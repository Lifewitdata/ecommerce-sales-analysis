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76f6dc41b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Dashboard" sheetId="1" r:id="R1937210fcb334631"/>
    <x:sheet xmlns:r="http://schemas.openxmlformats.org/officeDocument/2006/relationships" name="Monthly_Trend" sheetId="2" r:id="R0beb2eb7f84342bc"/>
    <x:sheet xmlns:r="http://schemas.openxmlformats.org/officeDocument/2006/relationships" name="Category_Region" sheetId="3" r:id="R562251b0504a4387"/>
    <x:sheet xmlns:r="http://schemas.openxmlformats.org/officeDocument/2006/relationships" name="Discount_Payment" sheetId="4" r:id="R3e47e4ee99a24226"/>
    <x:sheet xmlns:r="http://schemas.openxmlformats.org/officeDocument/2006/relationships" name="Pivot_Category" sheetId="5" r:id="Rb83189758ec94418"/>
    <x:sheet xmlns:r="http://schemas.openxmlformats.org/officeDocument/2006/relationships" name="Quality_Checks" sheetId="6" r:id="R2a110cecb13e4f84"/>
    <x:sheet xmlns:r="http://schemas.openxmlformats.org/officeDocument/2006/relationships" name="Clean_Data" sheetId="7" r:id="Ra9a16151091a4385"/>
    <x:sheet xmlns:r="http://schemas.openxmlformats.org/officeDocument/2006/relationships" name="Raw_Data" sheetId="8" r:id="R447384236700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.0%"/>
    <x:numFmt numFmtId="203" formatCode="&quot;Rs &quot;#,##0;[Red](&quot;Rs &quot;#,##0)"/>
    <x:numFmt numFmtId="204" formatCode="#,##0"/>
  </x:numFmts>
  <x:fonts count="6">
    <x:font>
      <x:sz val="11"/>
      <x:name val="Carlito"/>
    </x:font>
    <x:font>
      <x:sz val="11"/>
      <x:color rgb="FF233840"/>
      <x:name val="Arial"/>
    </x:font>
    <x:font>
      <x:sz val="10"/>
      <x:color rgb="FF233840"/>
      <x:name val="Arial"/>
    </x:font>
    <x:font>
      <x:sz val="10"/>
      <x:name val="Arial"/>
    </x:font>
    <x:font>
      <x:b/>
      <x:sz val="11"/>
      <x:color rgb="FFFFFFFF"/>
      <x:name val="Arial"/>
    </x:font>
    <x:font>
      <x:b/>
      <x:sz val="16"/>
      <x:color rgb="FF1956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5646"/>
      </x:patternFill>
    </x:fill>
    <x:fill>
      <x:patternFill patternType="solid">
        <x:fgColor rgb="FFFFF0CC"/>
      </x:patternFill>
    </x:fill>
  </x:fills>
  <x:borders count="2">
    <x:border>
      <x:left/>
      <x:right/>
      <x:top/>
      <x:bottom/>
      <x:diagonal/>
    </x:border>
    <x:border>
      <x:left style="thin">
        <x:color rgb="FFD5E1DB"/>
      </x:left>
      <x:right style="thin">
        <x:color rgb="FFD5E1DB"/>
      </x:right>
      <x:top style="thin">
        <x:color rgb="FFD5E1DB"/>
      </x:top>
      <x:bottom style="thin">
        <x:color rgb="FFD5E1DB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2" fillId="0" borderId="0" xfId="0" applyNumberFormat="1" applyFont="1" applyFill="1" applyBorder="1"/>
    <x:xf numFmtId="200" fontId="3" fillId="0" borderId="0" xfId="0" applyNumberFormat="1" applyFont="1" applyFill="1" applyBorder="1"/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202" fontId="2" fillId="0" borderId="0" xfId="0" applyNumberFormat="1" applyFont="1" applyFill="1" applyBorder="1"/>
    <x:xf numFmtId="202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3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4" fontId="1" fillId="0" borderId="0" xfId="0" applyNumberFormat="1" applyFont="1" applyFill="1" applyBorder="1"/>
    <x:xf numFmtId="0" fontId="4" fillId="2" borderId="1" xfId="0" applyNumberFormat="1" applyFont="1" applyFill="1" applyBorder="1"/>
    <x:xf numFmtId="0" fontId="1" fillId="0" borderId="1" xfId="0" applyNumberFormat="1" applyFont="1" applyFill="1" applyBorder="1"/>
    <x:xf numFmtId="203" fontId="1" fillId="0" borderId="1" xfId="0" applyNumberFormat="1" applyFont="1" applyFill="1" applyBorder="1"/>
    <x:xf numFmtId="202" fontId="1" fillId="0" borderId="1" xfId="0" applyNumberFormat="1" applyFont="1" applyFill="1" applyBorder="1"/>
    <x:xf numFmtId="204" fontId="1" fillId="0" borderId="1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  <x:dxfs count="4">
    <x:dxf>
      <x:font>
        <x:color rgb="FFA52121"/>
      </x:font>
      <x:fill>
        <x:patternFill patternType="solid">
          <x:bgColor rgb="FFFCE0DE"/>
        </x:patternFill>
      </x:fill>
    </x:dxf>
    <x:dxf>
      <x:fill>
        <x:patternFill patternType="solid">
          <x:bgColor rgb="FFE1F0E6"/>
        </x:patternFill>
      </x:fill>
    </x:dxf>
    <x:dxf>
      <x:fill>
        <x:patternFill patternType="solid">
          <x:bgColor rgb="FFFCE0DE"/>
        </x:patternFill>
      </x:fill>
    </x:dxf>
    <x:dxf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051565ed24644" /><Relationship Type="http://schemas.openxmlformats.org/officeDocument/2006/relationships/theme" Target="/xl/theme/theme1.xml" Id="R6b7a730d22f648a4" /><Relationship Type="http://schemas.openxmlformats.org/officeDocument/2006/relationships/sharedStrings" Target="/xl/sharedStrings.xml" Id="Rbc1f540de69d4004" /><Relationship Type="http://schemas.openxmlformats.org/officeDocument/2006/relationships/worksheet" Target="/xl/worksheets/sheet1.xml" Id="R1937210fcb334631" /><Relationship Type="http://schemas.openxmlformats.org/officeDocument/2006/relationships/worksheet" Target="/xl/worksheets/sheet2.xml" Id="R0beb2eb7f84342bc" /><Relationship Type="http://schemas.openxmlformats.org/officeDocument/2006/relationships/worksheet" Target="/xl/worksheets/sheet3.xml" Id="R562251b0504a4387" /><Relationship Type="http://schemas.openxmlformats.org/officeDocument/2006/relationships/worksheet" Target="/xl/worksheets/sheet4.xml" Id="R3e47e4ee99a24226" /><Relationship Type="http://schemas.openxmlformats.org/officeDocument/2006/relationships/worksheet" Target="/xl/worksheets/sheet5.xml" Id="Rb83189758ec94418" /><Relationship Type="http://schemas.openxmlformats.org/officeDocument/2006/relationships/worksheet" Target="/xl/worksheets/sheet6.xml" Id="R2a110cecb13e4f84" /><Relationship Type="http://schemas.openxmlformats.org/officeDocument/2006/relationships/worksheet" Target="/xl/worksheets/sheet7.xml" Id="Ra9a16151091a4385" /><Relationship Type="http://schemas.openxmlformats.org/officeDocument/2006/relationships/worksheet" Target="/xl/worksheets/sheet8.xml" Id="R44738423670041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cd5c89f578463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cae26c17fc54cb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da10013ee6a459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b2c2726689548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sales (Rs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67B65"/>
            </a:solidFill>
            <a:ln xmlns:a="http://schemas.openxmlformats.org/drawingml/2006/main" w="19050">
              <a:solidFill>
                <a:srgbClr val="267B65"/>
              </a:solidFill>
              <a:prstDash val="solid"/>
            </a:ln>
          </c:spPr>
          <c:marker>
            <c:symbol val="none"/>
          </c:marker>
          <c:cat>
            <c:strRef>
              <c:f>'KPI_Dashboard'!$D$5:$D$22</c:f>
              <c:strCache>
                <c:ptCount val="0"/>
              </c:strCache>
            </c:strRef>
          </c:cat>
          <c:val>
            <c:numRef>
              <c:f>'KPI_Dashboard'!$E$5:$E$22</c:f>
              <c:numCache>
                <c:formatCode>"Rs "#,##0;[Red]("Rs "#,##0)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sales (Rs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67B65"/>
            </a:solidFill>
            <a:ln xmlns:a="http://schemas.openxmlformats.org/drawingml/2006/main" w="19050">
              <a:solidFill>
                <a:srgbClr val="267B65"/>
              </a:solidFill>
              <a:prstDash val="solid"/>
            </a:ln>
          </c:spPr>
          <c:marker>
            <c:symbol val="none"/>
          </c:marker>
          <c:cat>
            <c:strRef>
              <c:f>'Monthly_Trend'!$A$2:$A$19</c:f>
              <c:strCache>
                <c:ptCount val="0"/>
              </c:strCache>
            </c:strRef>
          </c:cat>
          <c:val>
            <c:numRef>
              <c:f>'Monthly_Trend'!$C$2:$C$19</c:f>
              <c:numCache>
                <c:formatCode>"Rs "#,##0;[Red]("Rs "#,##0)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Sales by category (Rs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67B65"/>
            </a:solidFill>
          </c:spPr>
          <c:invertIfNegative val="0"/>
          <c:cat>
            <c:strRef>
              <c:f>'Category_Region'!$A$2:$A$6</c:f>
              <c:strCache>
                <c:ptCount val="0"/>
              </c:strCache>
            </c:strRef>
          </c:cat>
          <c:val>
            <c:numRef>
              <c:f>'Category_Region'!$C$2:$C$6</c:f>
              <c:numCache>
                <c:formatCode>"Rs "#,##0;[Red]("Rs "#,##0)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Orders by payment method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Orders</c:v>
          </c:tx>
          <c:cat>
            <c:strRef>
              <c:f>'Discount_Payment'!$A$10:$A$14</c:f>
              <c:strCache>
                <c:ptCount val="0"/>
              </c:strCache>
            </c:strRef>
          </c:cat>
          <c:val>
            <c:numRef>
              <c:f>'Discount_Payment'!$B$10:$B$14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cd5c89f578463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ae26c17fc54cb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a10013ee6a459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2c2726689548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Orders_Clean" displayName="Orders_Clean" ref="A1:Q2001" headerRowCount="1" totalsRowCount="0" totalsRowShown="0">
  <x:tableColumns count="17">
    <x:tableColumn id="1" name="order_id"/>
    <x:tableColumn id="2" name="order_date"/>
    <x:tableColumn id="3" name="customer_id"/>
    <x:tableColumn id="4" name="region"/>
    <x:tableColumn id="5" name="category"/>
    <x:tableColumn id="6" name="sub_category"/>
    <x:tableColumn id="7" name="product"/>
    <x:tableColumn id="8" name="quantity"/>
    <x:tableColumn id="9" name="unit_price"/>
    <x:tableColumn id="10" name="discount"/>
    <x:tableColumn id="11" name="sales"/>
    <x:tableColumn id="12" name="profit"/>
    <x:tableColumn id="13" name="payment_method"/>
    <x:tableColumn id="14" name="Year-Month"/>
    <x:tableColumn id="15" name="Discount Bucket"/>
    <x:tableColumn id="16" name="Margin %"/>
    <x:tableColumn id="17" name="Is Loss-Mak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Orders_Raw" displayName="Orders_Raw" ref="A1:M2001" headerRowCount="1" totalsRowCount="0" totalsRowShown="0">
  <x:tableColumns count="13">
    <x:tableColumn id="1" name="order_id"/>
    <x:tableColumn id="2" name="order_date"/>
    <x:tableColumn id="3" name="customer_id"/>
    <x:tableColumn id="4" name="region"/>
    <x:tableColumn id="5" name="category"/>
    <x:tableColumn id="6" name="sub_category"/>
    <x:tableColumn id="7" name="product"/>
    <x:tableColumn id="8" name="quantity"/>
    <x:tableColumn id="9" name="unit_price"/>
    <x:tableColumn id="10" name="discount"/>
    <x:tableColumn id="11" name="sales"/>
    <x:tableColumn id="12" name="profit"/>
    <x:tableColumn id="13" name="payment_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0aa0d6679840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63e0983b5d64d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7bc97ce04744f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f281c08b3f2741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d5f2649685e94d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dcf8476954d64f9e" /></Relationships>
</file>

<file path=xl/worksheets/sheet1.xml><?xml version="1.0" encoding="utf-8"?>
<x:worksheet xmlns:x="http://schemas.openxmlformats.org/spreadsheetml/2006/main">
  <x:sheetPr>
    <x:tabColor rgb="FF195646"/>
  </x:sheetPr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3" customHeight="1">
      <x:c r="A1" s="14" t="str">
        <x:v>E-commerce Sales - KPI Dashboard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 t="str">
        <x:v>Jan 2024 - Jun 2025. Source: ecommerce_sales_raw.csv, 2,000 orders.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8" customHeight="1">
      <x:c r="A4" s="16" t="str">
        <x:v>Metric</x:v>
      </x:c>
      <x:c r="B4" s="16" t="str">
        <x:v>Value</x:v>
      </x:c>
      <x:c r="C4" s="1"/>
      <x:c r="D4" s="11" t="str">
        <x:v>Month</x:v>
      </x:c>
      <x:c r="E4" s="11" t="str">
        <x:v>Sales</x:v>
      </x:c>
      <x:c r="F4" s="1"/>
      <x:c r="G4" s="1"/>
      <x:c r="H4" s="1"/>
      <x:c r="I4" s="1"/>
      <x:c r="J4" s="1"/>
      <x:c r="K4" s="1"/>
      <x:c r="L4" s="1"/>
      <x:c r="M4" s="1"/>
    </x:row>
    <x:row r="5" ht="29" customHeight="1">
      <x:c r="A5" s="17" t="str">
        <x:v>Total Sales</x:v>
      </x:c>
      <x:c r="B5" s="18" t="n">
        <x:f>SUM(Clean_Data!K2:K2001)</x:f>
        <x:v>35928968.56999994</x:v>
      </x:c>
      <x:c r="C5" s="1"/>
      <x:c r="D5" s="1" t="str">
        <x:f>Monthly_Trend!A2</x:f>
        <x:v>2024-01</x:v>
      </x:c>
      <x:c r="E5" s="12" t="n">
        <x:f>Monthly_Trend!C2</x:f>
        <x:v>1262656.8299999994</x:v>
      </x:c>
      <x:c r="F5" s="1"/>
      <x:c r="G5" s="1"/>
      <x:c r="H5" s="1"/>
      <x:c r="I5" s="1"/>
      <x:c r="J5" s="1"/>
      <x:c r="K5" s="1"/>
      <x:c r="L5" s="1"/>
      <x:c r="M5" s="1"/>
    </x:row>
    <x:row r="6" ht="29" customHeight="1">
      <x:c r="A6" s="17" t="str">
        <x:v>Total Profit</x:v>
      </x:c>
      <x:c r="B6" s="18" t="n">
        <x:f>SUM(Clean_Data!L2:L2001)</x:f>
        <x:v>5182911.579999988</x:v>
      </x:c>
      <x:c r="C6" s="1"/>
      <x:c r="D6" s="1" t="str">
        <x:f>Monthly_Trend!A3</x:f>
        <x:v>2024-02</x:v>
      </x:c>
      <x:c r="E6" s="12" t="n">
        <x:f>Monthly_Trend!C3</x:f>
        <x:v>2132179.7100000004</x:v>
      </x:c>
      <x:c r="F6" s="1"/>
      <x:c r="G6" s="1"/>
      <x:c r="H6" s="1"/>
      <x:c r="I6" s="1"/>
      <x:c r="J6" s="1"/>
      <x:c r="K6" s="1"/>
      <x:c r="L6" s="1"/>
      <x:c r="M6" s="1"/>
    </x:row>
    <x:row r="7" ht="29" customHeight="1">
      <x:c r="A7" s="17" t="str">
        <x:v>Margin %</x:v>
      </x:c>
      <x:c r="B7" s="19" t="n">
        <x:f>IF(B5=0,0,B6/B5)</x:f>
        <x:v>0.14425439377426572</x:v>
      </x:c>
      <x:c r="C7" s="1"/>
      <x:c r="D7" s="1" t="str">
        <x:f>Monthly_Trend!A4</x:f>
        <x:v>2024-03</x:v>
      </x:c>
      <x:c r="E7" s="12" t="n">
        <x:f>Monthly_Trend!C4</x:f>
        <x:v>1498811.1800000006</x:v>
      </x:c>
      <x:c r="F7" s="1"/>
      <x:c r="G7" s="1"/>
      <x:c r="H7" s="1"/>
      <x:c r="I7" s="1"/>
      <x:c r="J7" s="1"/>
      <x:c r="K7" s="1"/>
      <x:c r="L7" s="1"/>
      <x:c r="M7" s="1"/>
    </x:row>
    <x:row r="8" ht="29" customHeight="1">
      <x:c r="A8" s="17" t="str">
        <x:v>Total Orders</x:v>
      </x:c>
      <x:c r="B8" s="20" t="n">
        <x:f>COUNTA(Clean_Data!A2:A2001)</x:f>
        <x:v>2000</x:v>
      </x:c>
      <x:c r="C8" s="1"/>
      <x:c r="D8" s="1" t="str">
        <x:f>Monthly_Trend!A5</x:f>
        <x:v>2024-04</x:v>
      </x:c>
      <x:c r="E8" s="12" t="n">
        <x:f>Monthly_Trend!C5</x:f>
        <x:v>2866899.74</x:v>
      </x:c>
      <x:c r="F8" s="1"/>
      <x:c r="G8" s="1"/>
      <x:c r="H8" s="1"/>
      <x:c r="I8" s="1"/>
      <x:c r="J8" s="1"/>
      <x:c r="K8" s="1"/>
      <x:c r="L8" s="1"/>
      <x:c r="M8" s="1"/>
    </x:row>
    <x:row r="9" ht="29" customHeight="1">
      <x:c r="A9" s="17" t="str">
        <x:v>Unique Customers</x:v>
      </x:c>
      <x:c r="B9" s="20" t="n">
        <x:f>COUNTA(_xlfn.UNIQUE(Clean_Data!C2:C2001))</x:f>
        <x:v>573</x:v>
      </x:c>
      <x:c r="C9" s="1"/>
      <x:c r="D9" s="1" t="str">
        <x:f>Monthly_Trend!A6</x:f>
        <x:v>2024-05</x:v>
      </x:c>
      <x:c r="E9" s="12" t="n">
        <x:f>Monthly_Trend!C6</x:f>
        <x:v>1805108.86</x:v>
      </x:c>
      <x:c r="F9" s="1"/>
      <x:c r="G9" s="1"/>
      <x:c r="H9" s="1"/>
      <x:c r="I9" s="1"/>
      <x:c r="J9" s="1"/>
      <x:c r="K9" s="1"/>
      <x:c r="L9" s="1"/>
      <x:c r="M9" s="1"/>
    </x:row>
    <x:row r="10" ht="29" customHeight="1">
      <x:c r="A10" s="17" t="str">
        <x:v>AOV (Rs per order)</x:v>
      </x:c>
      <x:c r="B10" s="18" t="n">
        <x:f>B5/B8</x:f>
        <x:v>17964.48428499997</x:v>
      </x:c>
      <x:c r="C10" s="1"/>
      <x:c r="D10" s="1" t="str">
        <x:f>Monthly_Trend!A7</x:f>
        <x:v>2024-06</x:v>
      </x:c>
      <x:c r="E10" s="12" t="n">
        <x:f>Monthly_Trend!C7</x:f>
        <x:v>2416060.860000001</x:v>
      </x:c>
      <x:c r="F10" s="1"/>
      <x:c r="G10" s="1"/>
      <x:c r="H10" s="1"/>
      <x:c r="I10" s="1"/>
      <x:c r="J10" s="1"/>
      <x:c r="K10" s="1"/>
      <x:c r="L10" s="1"/>
      <x:c r="M10" s="1"/>
    </x:row>
    <x:row r="11" ht="29" customHeight="1">
      <x:c r="A11" s="17" t="str">
        <x:v>Loss-Making Orders</x:v>
      </x:c>
      <x:c r="B11" s="17" t="n">
        <x:f>COUNTIF(Clean_Data!Q2:Q2001,"Yes")</x:f>
        <x:v>114</x:v>
      </x:c>
      <x:c r="C11" s="1"/>
      <x:c r="D11" s="1" t="str">
        <x:f>Monthly_Trend!A8</x:f>
        <x:v>2024-07</x:v>
      </x:c>
      <x:c r="E11" s="12" t="n">
        <x:f>Monthly_Trend!C8</x:f>
        <x:v>1574698.9300000004</x:v>
      </x:c>
      <x:c r="F11" s="1"/>
      <x:c r="G11" s="1"/>
      <x:c r="H11" s="1"/>
      <x:c r="I11" s="1"/>
      <x:c r="J11" s="1"/>
      <x:c r="K11" s="1"/>
      <x:c r="L11" s="1"/>
      <x:c r="M11" s="1"/>
    </x:row>
    <x:row r="12" ht="29" customHeight="1">
      <x:c r="A12" s="17" t="str">
        <x:v>Best Category by Sales</x:v>
      </x:c>
      <x:c r="B12" s="17" t="str">
        <x:f>INDEX(Category_Region!A2:A6,MATCH(MAX(Category_Region!C2:C6),Category_Region!C2:C6,0))</x:f>
        <x:v>Electronics</x:v>
      </x:c>
      <x:c r="C12" s="1"/>
      <x:c r="D12" s="1" t="str">
        <x:f>Monthly_Trend!A9</x:f>
        <x:v>2024-08</x:v>
      </x:c>
      <x:c r="E12" s="12" t="n">
        <x:f>Monthly_Trend!C9</x:f>
        <x:v>2401676.23</x:v>
      </x:c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/>
      <x:c r="D13" s="1" t="str">
        <x:f>Monthly_Trend!A10</x:f>
        <x:v>2024-09</x:v>
      </x:c>
      <x:c r="E13" s="12" t="n">
        <x:f>Monthly_Trend!C10</x:f>
        <x:v>1647274.5499999998</x:v>
      </x:c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/>
      <x:c r="D14" s="1" t="str">
        <x:f>Monthly_Trend!A11</x:f>
        <x:v>2024-10</x:v>
      </x:c>
      <x:c r="E14" s="12" t="n">
        <x:f>Monthly_Trend!C11</x:f>
        <x:v>2283368.8899999997</x:v>
      </x:c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/>
      <x:c r="D15" s="1" t="str">
        <x:f>Monthly_Trend!A12</x:f>
        <x:v>2024-11</x:v>
      </x:c>
      <x:c r="E15" s="12" t="n">
        <x:f>Monthly_Trend!C12</x:f>
        <x:v>3322851.9600000014</x:v>
      </x:c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/>
      <x:c r="D16" s="1" t="str">
        <x:f>Monthly_Trend!A13</x:f>
        <x:v>2024-12</x:v>
      </x:c>
      <x:c r="E16" s="12" t="n">
        <x:f>Monthly_Trend!C13</x:f>
        <x:v>2941985.0699999994</x:v>
      </x:c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/>
      <x:c r="D17" s="1" t="str">
        <x:f>Monthly_Trend!A14</x:f>
        <x:v>2025-01</x:v>
      </x:c>
      <x:c r="E17" s="12" t="n">
        <x:f>Monthly_Trend!C14</x:f>
        <x:v>1525579.38</x:v>
      </x:c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" t="str">
        <x:f>Monthly_Trend!A15</x:f>
        <x:v>2025-02</x:v>
      </x:c>
      <x:c r="E18" s="12" t="n">
        <x:f>Monthly_Trend!C15</x:f>
        <x:v>1355935.13</x:v>
      </x:c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 t="str">
        <x:f>Monthly_Trend!A16</x:f>
        <x:v>2025-03</x:v>
      </x:c>
      <x:c r="E19" s="12" t="n">
        <x:f>Monthly_Trend!C16</x:f>
        <x:v>1728383.7399999998</x:v>
      </x:c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/>
      <x:c r="D20" s="1" t="str">
        <x:f>Monthly_Trend!A17</x:f>
        <x:v>2025-04</x:v>
      </x:c>
      <x:c r="E20" s="12" t="n">
        <x:f>Monthly_Trend!C17</x:f>
        <x:v>1570424.67</x:v>
      </x:c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 t="str">
        <x:f>Monthly_Trend!A18</x:f>
        <x:v>2025-05</x:v>
      </x:c>
      <x:c r="E21" s="12" t="n">
        <x:f>Monthly_Trend!C18</x:f>
        <x:v>1811992.3400000008</x:v>
      </x:c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 t="str">
        <x:f>Monthly_Trend!A19</x:f>
        <x:v>2025-06</x:v>
      </x:c>
      <x:c r="E22" s="12" t="n">
        <x:f>Monthly_Trend!C19</x:f>
        <x:v>1783080.5000000005</x:v>
      </x:c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</x:sheetData>
  <x:pageMargins left="0.7" right="0.7" top="0.75" bottom="0.75" header="0.3" footer="0.3"/>
  <x:drawing xmlns:r="http://schemas.openxmlformats.org/officeDocument/2006/relationships" r:id="R8a0aa0d66798401c"/>
</x:worksheet>
</file>

<file path=xl/worksheets/sheet2.xml><?xml version="1.0" encoding="utf-8"?>
<x:worksheet xmlns:x="http://schemas.openxmlformats.org/spreadsheetml/2006/main">
  <x:sheetPr>
    <x:tabColor rgb="FF9AA3AA"/>
  </x:sheetPr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8" customHeight="1">
      <x:c r="A1" s="11" t="str">
        <x:v>Year-Month</x:v>
      </x:c>
      <x:c r="B1" s="11" t="str">
        <x:v>Orders</x:v>
      </x:c>
      <x:c r="C1" s="11" t="str">
        <x:v>Sales</x:v>
      </x:c>
      <x:c r="D1" s="11" t="str">
        <x:v>Profit</x:v>
      </x:c>
      <x:c r="E1" s="11" t="str">
        <x:v>Margin %</x:v>
      </x:c>
      <x:c r="F1" s="1" t="str"/>
      <x:c r="G1" s="1"/>
      <x:c r="H1" s="1"/>
      <x:c r="I1" s="1"/>
      <x:c r="J1" s="1"/>
      <x:c r="K1" s="1"/>
      <x:c r="L1" s="1"/>
      <x:c r="M1" s="1"/>
    </x:row>
    <x:row r="2" ht="23" customHeight="1">
      <x:c r="A2" s="1" t="str">
        <x:v>2024-01</x:v>
      </x:c>
      <x:c r="B2" s="1" t="n">
        <x:f>COUNTIFS(Clean_Data!$N$2:$N$2001,$A2)</x:f>
        <x:v>92</x:v>
      </x:c>
      <x:c r="C2" s="12" t="n">
        <x:f>SUMIFS(Clean_Data!$K$2:$K$2001,Clean_Data!$N$2:$N$2001,$A2)</x:f>
        <x:v>1262656.8299999994</x:v>
      </x:c>
      <x:c r="D2" s="12" t="n">
        <x:f>SUMIFS(Clean_Data!$L$2:$L$2001,Clean_Data!$N$2:$N$2001,$A2)</x:f>
        <x:v>227732.45000000007</x:v>
      </x:c>
      <x:c r="E2" s="13" t="n">
        <x:f>IF(C2=0,0,D2/C2)</x:f>
        <x:v>0.1803597340062701</x:v>
      </x:c>
      <x:c r="F2" s="13"/>
      <x:c r="G2" s="1"/>
      <x:c r="H2" s="1"/>
      <x:c r="I2" s="1"/>
      <x:c r="J2" s="1"/>
      <x:c r="K2" s="1"/>
      <x:c r="L2" s="1"/>
      <x:c r="M2" s="1"/>
    </x:row>
    <x:row r="3" ht="23" customHeight="1">
      <x:c r="A3" s="1" t="str">
        <x:v>2024-02</x:v>
      </x:c>
      <x:c r="B3" s="1" t="n">
        <x:f>COUNTIFS(Clean_Data!$N$2:$N$2001,$A3)</x:f>
        <x:v>76</x:v>
      </x:c>
      <x:c r="C3" s="12" t="n">
        <x:f>SUMIFS(Clean_Data!$K$2:$K$2001,Clean_Data!$N$2:$N$2001,$A3)</x:f>
        <x:v>2132179.7100000004</x:v>
      </x:c>
      <x:c r="D3" s="12" t="n">
        <x:f>SUMIFS(Clean_Data!$L$2:$L$2001,Clean_Data!$N$2:$N$2001,$A3)</x:f>
        <x:v>172380.54999999993</x:v>
      </x:c>
      <x:c r="E3" s="13" t="n">
        <x:f>IF(C3=0,0,D3/C3)</x:f>
        <x:v>0.08084710176704565</x:v>
      </x:c>
      <x:c r="F3" s="13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2024-03</x:v>
      </x:c>
      <x:c r="B4" s="1" t="n">
        <x:f>COUNTIFS(Clean_Data!$N$2:$N$2001,$A4)</x:f>
        <x:v>102</x:v>
      </x:c>
      <x:c r="C4" s="12" t="n">
        <x:f>SUMIFS(Clean_Data!$K$2:$K$2001,Clean_Data!$N$2:$N$2001,$A4)</x:f>
        <x:v>1498811.1800000006</x:v>
      </x:c>
      <x:c r="D4" s="12" t="n">
        <x:f>SUMIFS(Clean_Data!$L$2:$L$2001,Clean_Data!$N$2:$N$2001,$A4)</x:f>
        <x:v>256969.26000000004</x:v>
      </x:c>
      <x:c r="E4" s="13" t="n">
        <x:f>IF(C4=0,0,D4/C4)</x:f>
        <x:v>0.17144872111242188</x:v>
      </x:c>
      <x:c r="F4" s="13"/>
      <x:c r="G4" s="1"/>
      <x:c r="H4" s="1"/>
      <x:c r="I4" s="1"/>
      <x:c r="J4" s="1"/>
      <x:c r="K4" s="1"/>
      <x:c r="L4" s="1"/>
      <x:c r="M4" s="1"/>
    </x:row>
    <x:row r="5" ht="23" customHeight="1">
      <x:c r="A5" s="1" t="str">
        <x:v>2024-04</x:v>
      </x:c>
      <x:c r="B5" s="1" t="n">
        <x:f>COUNTIFS(Clean_Data!$N$2:$N$2001,$A5)</x:f>
        <x:v>110</x:v>
      </x:c>
      <x:c r="C5" s="12" t="n">
        <x:f>SUMIFS(Clean_Data!$K$2:$K$2001,Clean_Data!$N$2:$N$2001,$A5)</x:f>
        <x:v>2866899.74</x:v>
      </x:c>
      <x:c r="D5" s="12" t="n">
        <x:f>SUMIFS(Clean_Data!$L$2:$L$2001,Clean_Data!$N$2:$N$2001,$A5)</x:f>
        <x:v>412563.21999999986</x:v>
      </x:c>
      <x:c r="E5" s="13" t="n">
        <x:f>IF(C5=0,0,D5/C5)</x:f>
        <x:v>0.14390570212266993</x:v>
      </x:c>
      <x:c r="F5" s="13"/>
      <x:c r="G5" s="1"/>
      <x:c r="H5" s="1"/>
      <x:c r="I5" s="1"/>
      <x:c r="J5" s="1"/>
      <x:c r="K5" s="1"/>
      <x:c r="L5" s="1"/>
      <x:c r="M5" s="1"/>
    </x:row>
    <x:row r="6" ht="23" customHeight="1">
      <x:c r="A6" s="1" t="str">
        <x:v>2024-05</x:v>
      </x:c>
      <x:c r="B6" s="1" t="n">
        <x:f>COUNTIFS(Clean_Data!$N$2:$N$2001,$A6)</x:f>
        <x:v>125</x:v>
      </x:c>
      <x:c r="C6" s="12" t="n">
        <x:f>SUMIFS(Clean_Data!$K$2:$K$2001,Clean_Data!$N$2:$N$2001,$A6)</x:f>
        <x:v>1805108.86</x:v>
      </x:c>
      <x:c r="D6" s="12" t="n">
        <x:f>SUMIFS(Clean_Data!$L$2:$L$2001,Clean_Data!$N$2:$N$2001,$A6)</x:f>
        <x:v>254783.1199999999</x:v>
      </x:c>
      <x:c r="E6" s="13" t="n">
        <x:f>IF(C6=0,0,D6/C6)</x:f>
        <x:v>0.1411455705779428</x:v>
      </x:c>
      <x:c r="F6" s="13"/>
      <x:c r="G6" s="1"/>
      <x:c r="H6" s="1"/>
      <x:c r="I6" s="1"/>
      <x:c r="J6" s="1"/>
      <x:c r="K6" s="1"/>
      <x:c r="L6" s="1"/>
      <x:c r="M6" s="1"/>
    </x:row>
    <x:row r="7" ht="23" customHeight="1">
      <x:c r="A7" s="1" t="str">
        <x:v>2024-06</x:v>
      </x:c>
      <x:c r="B7" s="1" t="n">
        <x:f>COUNTIFS(Clean_Data!$N$2:$N$2001,$A7)</x:f>
        <x:v>121</x:v>
      </x:c>
      <x:c r="C7" s="12" t="n">
        <x:f>SUMIFS(Clean_Data!$K$2:$K$2001,Clean_Data!$N$2:$N$2001,$A7)</x:f>
        <x:v>2416060.860000001</x:v>
      </x:c>
      <x:c r="D7" s="12" t="n">
        <x:f>SUMIFS(Clean_Data!$L$2:$L$2001,Clean_Data!$N$2:$N$2001,$A7)</x:f>
        <x:v>335160.8199999998</x:v>
      </x:c>
      <x:c r="E7" s="13" t="n">
        <x:f>IF(C7=0,0,D7/C7)</x:f>
        <x:v>0.13872201050432134</x:v>
      </x:c>
      <x:c r="F7" s="13"/>
      <x:c r="G7" s="1"/>
      <x:c r="H7" s="1"/>
      <x:c r="I7" s="1"/>
      <x:c r="J7" s="1"/>
      <x:c r="K7" s="1"/>
      <x:c r="L7" s="1"/>
      <x:c r="M7" s="1"/>
    </x:row>
    <x:row r="8" ht="23" customHeight="1">
      <x:c r="A8" s="1" t="str">
        <x:v>2024-07</x:v>
      </x:c>
      <x:c r="B8" s="1" t="n">
        <x:f>COUNTIFS(Clean_Data!$N$2:$N$2001,$A8)</x:f>
        <x:v>107</x:v>
      </x:c>
      <x:c r="C8" s="12" t="n">
        <x:f>SUMIFS(Clean_Data!$K$2:$K$2001,Clean_Data!$N$2:$N$2001,$A8)</x:f>
        <x:v>1574698.9300000004</x:v>
      </x:c>
      <x:c r="D8" s="12" t="n">
        <x:f>SUMIFS(Clean_Data!$L$2:$L$2001,Clean_Data!$N$2:$N$2001,$A8)</x:f>
        <x:v>283470.16000000003</x:v>
      </x:c>
      <x:c r="E8" s="13" t="n">
        <x:f>IF(C8=0,0,D8/C8)</x:f>
        <x:v>0.18001546492446016</x:v>
      </x:c>
      <x:c r="F8" s="13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2024-08</x:v>
      </x:c>
      <x:c r="B9" s="1" t="n">
        <x:f>COUNTIFS(Clean_Data!$N$2:$N$2001,$A9)</x:f>
        <x:v>125</x:v>
      </x:c>
      <x:c r="C9" s="12" t="n">
        <x:f>SUMIFS(Clean_Data!$K$2:$K$2001,Clean_Data!$N$2:$N$2001,$A9)</x:f>
        <x:v>2401676.23</x:v>
      </x:c>
      <x:c r="D9" s="12" t="n">
        <x:f>SUMIFS(Clean_Data!$L$2:$L$2001,Clean_Data!$N$2:$N$2001,$A9)</x:f>
        <x:v>378852.51</x:v>
      </x:c>
      <x:c r="E9" s="13" t="n">
        <x:f>IF(C9=0,0,D9/C9)</x:f>
        <x:v>0.15774503876403023</x:v>
      </x:c>
      <x:c r="F9" s="13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2024-09</x:v>
      </x:c>
      <x:c r="B10" s="1" t="n">
        <x:f>COUNTIFS(Clean_Data!$N$2:$N$2001,$A10)</x:f>
        <x:v>113</x:v>
      </x:c>
      <x:c r="C10" s="12" t="n">
        <x:f>SUMIFS(Clean_Data!$K$2:$K$2001,Clean_Data!$N$2:$N$2001,$A10)</x:f>
        <x:v>1647274.5499999998</x:v>
      </x:c>
      <x:c r="D10" s="12" t="n">
        <x:f>SUMIFS(Clean_Data!$L$2:$L$2001,Clean_Data!$N$2:$N$2001,$A10)</x:f>
        <x:v>276220.8699999998</x:v>
      </x:c>
      <x:c r="E10" s="13" t="n">
        <x:f>IF(C10=0,0,D10/C10)</x:f>
        <x:v>0.16768356555985148</x:v>
      </x:c>
      <x:c r="F10" s="13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2024-10</x:v>
      </x:c>
      <x:c r="B11" s="1" t="n">
        <x:f>COUNTIFS(Clean_Data!$N$2:$N$2001,$A11)</x:f>
        <x:v>157</x:v>
      </x:c>
      <x:c r="C11" s="12" t="n">
        <x:f>SUMIFS(Clean_Data!$K$2:$K$2001,Clean_Data!$N$2:$N$2001,$A11)</x:f>
        <x:v>2283368.8899999997</x:v>
      </x:c>
      <x:c r="D11" s="12" t="n">
        <x:f>SUMIFS(Clean_Data!$L$2:$L$2001,Clean_Data!$N$2:$N$2001,$A11)</x:f>
        <x:v>319599.27999999997</x:v>
      </x:c>
      <x:c r="E11" s="13" t="n">
        <x:f>IF(C11=0,0,D11/C11)</x:f>
        <x:v>0.13996830796796922</x:v>
      </x:c>
      <x:c r="F11" s="13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2024-11</x:v>
      </x:c>
      <x:c r="B12" s="1" t="n">
        <x:f>COUNTIFS(Clean_Data!$N$2:$N$2001,$A12)</x:f>
        <x:v>146</x:v>
      </x:c>
      <x:c r="C12" s="12" t="n">
        <x:f>SUMIFS(Clean_Data!$K$2:$K$2001,Clean_Data!$N$2:$N$2001,$A12)</x:f>
        <x:v>3322851.9600000014</x:v>
      </x:c>
      <x:c r="D12" s="12" t="n">
        <x:f>SUMIFS(Clean_Data!$L$2:$L$2001,Clean_Data!$N$2:$N$2001,$A12)</x:f>
        <x:v>394738.37000000005</x:v>
      </x:c>
      <x:c r="E12" s="13" t="n">
        <x:f>IF(C12=0,0,D12/C12)</x:f>
        <x:v>0.11879505158574681</x:v>
      </x:c>
      <x:c r="F12" s="13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2024-12</x:v>
      </x:c>
      <x:c r="B13" s="1" t="n">
        <x:f>COUNTIFS(Clean_Data!$N$2:$N$2001,$A13)</x:f>
        <x:v>133</x:v>
      </x:c>
      <x:c r="C13" s="12" t="n">
        <x:f>SUMIFS(Clean_Data!$K$2:$K$2001,Clean_Data!$N$2:$N$2001,$A13)</x:f>
        <x:v>2941985.0699999994</x:v>
      </x:c>
      <x:c r="D13" s="12" t="n">
        <x:f>SUMIFS(Clean_Data!$L$2:$L$2001,Clean_Data!$N$2:$N$2001,$A13)</x:f>
        <x:v>358351.2000000002</x:v>
      </x:c>
      <x:c r="E13" s="13" t="n">
        <x:f>IF(C13=0,0,D13/C13)</x:f>
        <x:v>0.12180592065343154</x:v>
      </x:c>
      <x:c r="F13" s="13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2025-01</x:v>
      </x:c>
      <x:c r="B14" s="1" t="n">
        <x:f>COUNTIFS(Clean_Data!$N$2:$N$2001,$A14)</x:f>
        <x:v>87</x:v>
      </x:c>
      <x:c r="C14" s="12" t="n">
        <x:f>SUMIFS(Clean_Data!$K$2:$K$2001,Clean_Data!$N$2:$N$2001,$A14)</x:f>
        <x:v>1525579.38</x:v>
      </x:c>
      <x:c r="D14" s="12" t="n">
        <x:f>SUMIFS(Clean_Data!$L$2:$L$2001,Clean_Data!$N$2:$N$2001,$A14)</x:f>
        <x:v>197839.40999999997</x:v>
      </x:c>
      <x:c r="E14" s="13" t="n">
        <x:f>IF(C14=0,0,D14/C14)</x:f>
        <x:v>0.12968149189326353</x:v>
      </x:c>
      <x:c r="F14" s="13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2025-02</x:v>
      </x:c>
      <x:c r="B15" s="1" t="n">
        <x:f>COUNTIFS(Clean_Data!$N$2:$N$2001,$A15)</x:f>
        <x:v>87</x:v>
      </x:c>
      <x:c r="C15" s="12" t="n">
        <x:f>SUMIFS(Clean_Data!$K$2:$K$2001,Clean_Data!$N$2:$N$2001,$A15)</x:f>
        <x:v>1355935.13</x:v>
      </x:c>
      <x:c r="D15" s="12" t="n">
        <x:f>SUMIFS(Clean_Data!$L$2:$L$2001,Clean_Data!$N$2:$N$2001,$A15)</x:f>
        <x:v>176466.76</x:v>
      </x:c>
      <x:c r="E15" s="13" t="n">
        <x:f>IF(C15=0,0,D15/C15)</x:f>
        <x:v>0.130143954600542</x:v>
      </x:c>
      <x:c r="F15" s="13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2025-03</x:v>
      </x:c>
      <x:c r="B16" s="1" t="n">
        <x:f>COUNTIFS(Clean_Data!$N$2:$N$2001,$A16)</x:f>
        <x:v>97</x:v>
      </x:c>
      <x:c r="C16" s="12" t="n">
        <x:f>SUMIFS(Clean_Data!$K$2:$K$2001,Clean_Data!$N$2:$N$2001,$A16)</x:f>
        <x:v>1728383.7399999998</x:v>
      </x:c>
      <x:c r="D16" s="12" t="n">
        <x:f>SUMIFS(Clean_Data!$L$2:$L$2001,Clean_Data!$N$2:$N$2001,$A16)</x:f>
        <x:v>293697.5600000001</x:v>
      </x:c>
      <x:c r="E16" s="13" t="n">
        <x:f>IF(C16=0,0,D16/C16)</x:f>
        <x:v>0.16992612994611958</x:v>
      </x:c>
      <x:c r="F16" s="13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2025-04</x:v>
      </x:c>
      <x:c r="B17" s="1" t="n">
        <x:f>COUNTIFS(Clean_Data!$N$2:$N$2001,$A17)</x:f>
        <x:v>99</x:v>
      </x:c>
      <x:c r="C17" s="12" t="n">
        <x:f>SUMIFS(Clean_Data!$K$2:$K$2001,Clean_Data!$N$2:$N$2001,$A17)</x:f>
        <x:v>1570424.67</x:v>
      </x:c>
      <x:c r="D17" s="12" t="n">
        <x:f>SUMIFS(Clean_Data!$L$2:$L$2001,Clean_Data!$N$2:$N$2001,$A17)</x:f>
        <x:v>241927.16999999995</x:v>
      </x:c>
      <x:c r="E17" s="13" t="n">
        <x:f>IF(C17=0,0,D17/C17)</x:f>
        <x:v>0.15405206924060863</x:v>
      </x:c>
      <x:c r="F17" s="13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2025-05</x:v>
      </x:c>
      <x:c r="B18" s="1" t="n">
        <x:f>COUNTIFS(Clean_Data!$N$2:$N$2001,$A18)</x:f>
        <x:v>112</x:v>
      </x:c>
      <x:c r="C18" s="12" t="n">
        <x:f>SUMIFS(Clean_Data!$K$2:$K$2001,Clean_Data!$N$2:$N$2001,$A18)</x:f>
        <x:v>1811992.3400000008</x:v>
      </x:c>
      <x:c r="D18" s="12" t="n">
        <x:f>SUMIFS(Clean_Data!$L$2:$L$2001,Clean_Data!$N$2:$N$2001,$A18)</x:f>
        <x:v>321626.50000000006</x:v>
      </x:c>
      <x:c r="E18" s="13" t="n">
        <x:f>IF(C18=0,0,D18/C18)</x:f>
        <x:v>0.17749881878639726</x:v>
      </x:c>
      <x:c r="F18" s="13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2025-06</x:v>
      </x:c>
      <x:c r="B19" s="1" t="n">
        <x:f>COUNTIFS(Clean_Data!$N$2:$N$2001,$A19)</x:f>
        <x:v>111</x:v>
      </x:c>
      <x:c r="C19" s="12" t="n">
        <x:f>SUMIFS(Clean_Data!$K$2:$K$2001,Clean_Data!$N$2:$N$2001,$A19)</x:f>
        <x:v>1783080.5000000005</x:v>
      </x:c>
      <x:c r="D19" s="12" t="n">
        <x:f>SUMIFS(Clean_Data!$L$2:$L$2001,Clean_Data!$N$2:$N$2001,$A19)</x:f>
        <x:v>280532.3700000001</x:v>
      </x:c>
      <x:c r="E19" s="13" t="n">
        <x:f>IF(C19=0,0,D19/C19)</x:f>
        <x:v>0.15733017662410645</x:v>
      </x:c>
      <x:c r="F19" s="13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TOTAL</x:v>
      </x:c>
      <x:c r="B20" s="1" t="n">
        <x:f>SUM(B2:B19)</x:f>
        <x:v>2000</x:v>
      </x:c>
      <x:c r="C20" s="12" t="n">
        <x:f>SUM(C2:C19)</x:f>
        <x:v>35928968.57</x:v>
      </x:c>
      <x:c r="D20" s="12" t="n">
        <x:f>SUM(D2:D19)</x:f>
        <x:v>5182911.58</x:v>
      </x:c>
      <x:c r="E20" s="13" t="n">
        <x:f>D20/C20</x:f>
        <x:v>0.1442543937742658</x:v>
      </x:c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</x:sheetData>
  <x:pageMargins left="0.7" right="0.7" top="0.75" bottom="0.75" header="0.3" footer="0.3"/>
  <x:drawing xmlns:r="http://schemas.openxmlformats.org/officeDocument/2006/relationships" r:id="R663e0983b5d64dc5"/>
</x:worksheet>
</file>

<file path=xl/worksheets/sheet3.xml><?xml version="1.0" encoding="utf-8"?>
<x:worksheet xmlns:x="http://schemas.openxmlformats.org/spreadsheetml/2006/main">
  <x:sheetPr>
    <x:tabColor rgb="FF9AA3AA"/>
  </x:sheetPr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8" customHeight="1">
      <x:c r="A1" s="11" t="str">
        <x:v>Category</x:v>
      </x:c>
      <x:c r="B1" s="11" t="str">
        <x:v>Orders</x:v>
      </x:c>
      <x:c r="C1" s="11" t="str">
        <x:v>Sales</x:v>
      </x:c>
      <x:c r="D1" s="11" t="str">
        <x:v>Profit</x:v>
      </x:c>
      <x:c r="E1" s="11" t="str">
        <x:v>Margin %</x:v>
      </x:c>
      <x:c r="F1" s="11" t="str">
        <x:v>Sales Share %</x:v>
      </x:c>
      <x:c r="G1" s="1"/>
      <x:c r="H1" s="1"/>
      <x:c r="I1" s="1"/>
      <x:c r="J1" s="1"/>
      <x:c r="K1" s="1"/>
      <x:c r="L1" s="1"/>
      <x:c r="M1" s="1"/>
    </x:row>
    <x:row r="2" ht="23" customHeight="1">
      <x:c r="A2" s="1" t="str">
        <x:v>Electronics</x:v>
      </x:c>
      <x:c r="B2" s="1" t="n">
        <x:f>COUNTIFS(Clean_Data!$E$2:$E$2001,$A2)</x:f>
        <x:v>418</x:v>
      </x:c>
      <x:c r="C2" s="12" t="n">
        <x:f>SUMIFS(Clean_Data!$K$2:$K$2001,Clean_Data!$E$2:$E$2001,$A2)</x:f>
        <x:v>25774936.06000001</x:v>
      </x:c>
      <x:c r="D2" s="12" t="n">
        <x:f>SUMIFS(Clean_Data!$L$2:$L$2001,Clean_Data!$E$2:$E$2001,$A2)</x:f>
        <x:v>2300710.5599999996</x:v>
      </x:c>
      <x:c r="E2" s="13" t="n">
        <x:f>IF(C2=0,0,D2/C2)</x:f>
        <x:v>0.08926154286646167</x:v>
      </x:c>
      <x:c r="F2" s="13" t="n">
        <x:f>C2/SUM($C$2:$C$6)</x:f>
        <x:v>0.7173859168760435</x:v>
      </x:c>
      <x:c r="G2" s="1"/>
      <x:c r="H2" s="1"/>
      <x:c r="I2" s="1"/>
      <x:c r="J2" s="1"/>
      <x:c r="K2" s="1"/>
      <x:c r="L2" s="1"/>
      <x:c r="M2" s="1"/>
    </x:row>
    <x:row r="3" ht="23" customHeight="1">
      <x:c r="A3" s="1" t="str">
        <x:v>Fashion</x:v>
      </x:c>
      <x:c r="B3" s="1" t="n">
        <x:f>COUNTIFS(Clean_Data!$E$2:$E$2001,$A3)</x:f>
        <x:v>415</x:v>
      </x:c>
      <x:c r="C3" s="12" t="n">
        <x:f>SUMIFS(Clean_Data!$K$2:$K$2001,Clean_Data!$E$2:$E$2001,$A3)</x:f>
        <x:v>1517003.1999999997</x:v>
      </x:c>
      <x:c r="D3" s="12" t="n">
        <x:f>SUMIFS(Clean_Data!$L$2:$L$2001,Clean_Data!$E$2:$E$2001,$A3)</x:f>
        <x:v>469450.21</x:v>
      </x:c>
      <x:c r="E3" s="13" t="n">
        <x:f>IF(C3=0,0,D3/C3)</x:f>
        <x:v>0.3094589451096742</x:v>
      </x:c>
      <x:c r="F3" s="13" t="n">
        <x:f>C3/SUM($C$2:$C$6)</x:f>
        <x:v>0.0422222863716346</x:v>
      </x:c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Home &amp; Kitchen</x:v>
      </x:c>
      <x:c r="B4" s="1" t="n">
        <x:f>COUNTIFS(Clean_Data!$E$2:$E$2001,$A4)</x:f>
        <x:v>362</x:v>
      </x:c>
      <x:c r="C4" s="12" t="n">
        <x:f>SUMIFS(Clean_Data!$K$2:$K$2001,Clean_Data!$E$2:$E$2001,$A4)</x:f>
        <x:v>3935871.96</x:v>
      </x:c>
      <x:c r="D4" s="12" t="n">
        <x:f>SUMIFS(Clean_Data!$L$2:$L$2001,Clean_Data!$E$2:$E$2001,$A4)</x:f>
        <x:v>938009.8699999998</x:v>
      </x:c>
      <x:c r="E4" s="13" t="n">
        <x:f>IF(C4=0,0,D4/C4)</x:f>
        <x:v>0.23832326852421282</x:v>
      </x:c>
      <x:c r="F4" s="13" t="n">
        <x:f>C4/SUM($C$2:$C$6)</x:f>
        <x:v>0.10954592120649898</x:v>
      </x:c>
      <x:c r="G4" s="1"/>
      <x:c r="H4" s="1"/>
      <x:c r="I4" s="1"/>
      <x:c r="J4" s="1"/>
      <x:c r="K4" s="1"/>
      <x:c r="L4" s="1"/>
      <x:c r="M4" s="1"/>
    </x:row>
    <x:row r="5" ht="23" customHeight="1">
      <x:c r="A5" s="1" t="str">
        <x:v>Sports</x:v>
      </x:c>
      <x:c r="B5" s="1" t="n">
        <x:f>COUNTIFS(Clean_Data!$E$2:$E$2001,$A5)</x:f>
        <x:v>379</x:v>
      </x:c>
      <x:c r="C5" s="12" t="n">
        <x:f>SUMIFS(Clean_Data!$K$2:$K$2001,Clean_Data!$E$2:$E$2001,$A5)</x:f>
        <x:v>3864046.68</x:v>
      </x:c>
      <x:c r="D5" s="12" t="n">
        <x:f>SUMIFS(Clean_Data!$L$2:$L$2001,Clean_Data!$E$2:$E$2001,$A5)</x:f>
        <x:v>1090564.91</x:v>
      </x:c>
      <x:c r="E5" s="13" t="n">
        <x:f>IF(C5=0,0,D5/C5)</x:f>
        <x:v>0.28223388595295124</x:v>
      </x:c>
      <x:c r="F5" s="13" t="n">
        <x:f>C5/SUM($C$2:$C$6)</x:f>
        <x:v>0.10754683014269448</x:v>
      </x:c>
      <x:c r="G5" s="1"/>
      <x:c r="H5" s="1"/>
      <x:c r="I5" s="1"/>
      <x:c r="J5" s="1"/>
      <x:c r="K5" s="1"/>
      <x:c r="L5" s="1"/>
      <x:c r="M5" s="1"/>
    </x:row>
    <x:row r="6" ht="23" customHeight="1">
      <x:c r="A6" s="1" t="str">
        <x:v>Beauty</x:v>
      </x:c>
      <x:c r="B6" s="1" t="n">
        <x:f>COUNTIFS(Clean_Data!$E$2:$E$2001,$A6)</x:f>
        <x:v>426</x:v>
      </x:c>
      <x:c r="C6" s="12" t="n">
        <x:f>SUMIFS(Clean_Data!$K$2:$K$2001,Clean_Data!$E$2:$E$2001,$A6)</x:f>
        <x:v>837110.6700000003</x:v>
      </x:c>
      <x:c r="D6" s="12" t="n">
        <x:f>SUMIFS(Clean_Data!$L$2:$L$2001,Clean_Data!$E$2:$E$2001,$A6)</x:f>
        <x:v>384176.03000000026</x:v>
      </x:c>
      <x:c r="E6" s="13" t="n">
        <x:f>IF(C6=0,0,D6/C6)</x:f>
        <x:v>0.4589309917648047</x:v>
      </x:c>
      <x:c r="F6" s="13" t="n">
        <x:f>C6/SUM($C$2:$C$6)</x:f>
        <x:v>0.023299045403128306</x:v>
      </x:c>
      <x:c r="G6" s="1"/>
      <x:c r="H6" s="1"/>
      <x:c r="I6" s="1"/>
      <x:c r="J6" s="1"/>
      <x:c r="K6" s="1"/>
      <x:c r="L6" s="1"/>
      <x:c r="M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8" customHeight="1">
      <x:c r="A9" s="11" t="str">
        <x:v>Region</x:v>
      </x:c>
      <x:c r="B9" s="11" t="str">
        <x:v>Orders</x:v>
      </x:c>
      <x:c r="C9" s="11" t="str">
        <x:v>Sales</x:v>
      </x:c>
      <x:c r="D9" s="11" t="str">
        <x:v>Profit</x:v>
      </x:c>
      <x:c r="E9" s="11" t="str">
        <x:v>Margin %</x:v>
      </x:c>
      <x:c r="F9" s="1" t="str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North</x:v>
      </x:c>
      <x:c r="B10" s="1" t="n">
        <x:f>COUNTIFS(Clean_Data!$D$2:$D$2001,$A10)</x:f>
        <x:v>571</x:v>
      </x:c>
      <x:c r="C10" s="12" t="n">
        <x:f>SUMIFS(Clean_Data!$K$2:$K$2001,Clean_Data!$D$2:$D$2001,$A10)</x:f>
        <x:v>9876245.959999995</x:v>
      </x:c>
      <x:c r="D10" s="12" t="n">
        <x:f>SUMIFS(Clean_Data!$L$2:$L$2001,Clean_Data!$D$2:$D$2001,$A10)</x:f>
        <x:v>1334223.540000001</x:v>
      </x:c>
      <x:c r="E10" s="13" t="n">
        <x:f>IF(C10=0,0,D10/C10)</x:f>
        <x:v>0.13509419929432392</x:v>
      </x:c>
      <x:c r="F10" s="13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South</x:v>
      </x:c>
      <x:c r="B11" s="1" t="n">
        <x:f>COUNTIFS(Clean_Data!$D$2:$D$2001,$A11)</x:f>
        <x:v>544</x:v>
      </x:c>
      <x:c r="C11" s="12" t="n">
        <x:f>SUMIFS(Clean_Data!$K$2:$K$2001,Clean_Data!$D$2:$D$2001,$A11)</x:f>
        <x:v>10405345.120000003</x:v>
      </x:c>
      <x:c r="D11" s="12" t="n">
        <x:f>SUMIFS(Clean_Data!$L$2:$L$2001,Clean_Data!$D$2:$D$2001,$A11)</x:f>
        <x:v>1533092.8899999994</x:v>
      </x:c>
      <x:c r="E11" s="13" t="n">
        <x:f>IF(C11=0,0,D11/C11)</x:f>
        <x:v>0.1473370534393192</x:v>
      </x:c>
      <x:c r="F11" s="13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East</x:v>
      </x:c>
      <x:c r="B12" s="1" t="n">
        <x:f>COUNTIFS(Clean_Data!$D$2:$D$2001,$A12)</x:f>
        <x:v>480</x:v>
      </x:c>
      <x:c r="C12" s="12" t="n">
        <x:f>SUMIFS(Clean_Data!$K$2:$K$2001,Clean_Data!$D$2:$D$2001,$A12)</x:f>
        <x:v>8643214.190000007</x:v>
      </x:c>
      <x:c r="D12" s="12" t="n">
        <x:f>SUMIFS(Clean_Data!$L$2:$L$2001,Clean_Data!$D$2:$D$2001,$A12)</x:f>
        <x:v>1321542.8499999994</x:v>
      </x:c>
      <x:c r="E12" s="13" t="n">
        <x:f>IF(C12=0,0,D12/C12)</x:f>
        <x:v>0.1528994678309596</x:v>
      </x:c>
      <x:c r="F12" s="13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West</x:v>
      </x:c>
      <x:c r="B13" s="1" t="n">
        <x:f>COUNTIFS(Clean_Data!$D$2:$D$2001,$A13)</x:f>
        <x:v>405</x:v>
      </x:c>
      <x:c r="C13" s="12" t="n">
        <x:f>SUMIFS(Clean_Data!$K$2:$K$2001,Clean_Data!$D$2:$D$2001,$A13)</x:f>
        <x:v>7004163.299999998</x:v>
      </x:c>
      <x:c r="D13" s="12" t="n">
        <x:f>SUMIFS(Clean_Data!$L$2:$L$2001,Clean_Data!$D$2:$D$2001,$A13)</x:f>
        <x:v>994052.3000000007</x:v>
      </x:c>
      <x:c r="E13" s="13" t="n">
        <x:f>IF(C13=0,0,D13/C13)</x:f>
        <x:v>0.14192306167390487</x:v>
      </x:c>
      <x:c r="F13" s="13"/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</x:sheetData>
  <x:pageMargins left="0.7" right="0.7" top="0.75" bottom="0.75" header="0.3" footer="0.3"/>
  <x:drawing xmlns:r="http://schemas.openxmlformats.org/officeDocument/2006/relationships" r:id="Rf7bc97ce04744fc7"/>
</x:worksheet>
</file>

<file path=xl/worksheets/sheet4.xml><?xml version="1.0" encoding="utf-8"?>
<x:worksheet xmlns:x="http://schemas.openxmlformats.org/spreadsheetml/2006/main">
  <x:sheetPr>
    <x:tabColor rgb="FF9AA3AA"/>
  </x:sheetPr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8" customHeight="1">
      <x:c r="A1" s="11" t="str">
        <x:v>Discount Bucket</x:v>
      </x:c>
      <x:c r="B1" s="11" t="str">
        <x:v>Orders</x:v>
      </x:c>
      <x:c r="C1" s="11" t="str">
        <x:v>Sales</x:v>
      </x:c>
      <x:c r="D1" s="11" t="str">
        <x:v>Profit</x:v>
      </x:c>
      <x:c r="E1" s="11" t="str">
        <x:v>Margin %</x:v>
      </x:c>
      <x:c r="F1" s="1" t="str"/>
      <x:c r="G1" s="1"/>
      <x:c r="H1" s="1"/>
      <x:c r="I1" s="1"/>
      <x:c r="J1" s="1"/>
      <x:c r="K1" s="1"/>
      <x:c r="L1" s="1"/>
      <x:c r="M1" s="1"/>
    </x:row>
    <x:row r="2" ht="23" customHeight="1">
      <x:c r="A2" s="1" t="str">
        <x:v>No discount</x:v>
      </x:c>
      <x:c r="B2" s="1" t="n">
        <x:f>COUNTIFS(Clean_Data!$O$2:$O$2001,$A2)</x:f>
        <x:v>605</x:v>
      </x:c>
      <x:c r="C2" s="12" t="n">
        <x:f>SUMIFS(Clean_Data!$K$2:$K$2001,Clean_Data!$O$2:$O$2001,$A2)</x:f>
        <x:v>12079173.04</x:v>
      </x:c>
      <x:c r="D2" s="12" t="n">
        <x:f>SUMIFS(Clean_Data!$L$2:$L$2001,Clean_Data!$O$2:$O$2001,$A2)</x:f>
        <x:v>2860137.8899999973</x:v>
      </x:c>
      <x:c r="E2" s="13" t="n">
        <x:f>IF(C2=0,0,D2/C2)</x:f>
        <x:v>0.2367825910373743</x:v>
      </x:c>
      <x:c r="F2" s="13"/>
      <x:c r="G2" s="1"/>
      <x:c r="H2" s="1"/>
      <x:c r="I2" s="1"/>
      <x:c r="J2" s="1"/>
      <x:c r="K2" s="1"/>
      <x:c r="L2" s="1"/>
      <x:c r="M2" s="1"/>
    </x:row>
    <x:row r="3" ht="23" customHeight="1">
      <x:c r="A3" s="1" t="str">
        <x:v>1-10%</x:v>
      </x:c>
      <x:c r="B3" s="1" t="n">
        <x:f>COUNTIFS(Clean_Data!$O$2:$O$2001,$A3)</x:f>
        <x:v>790</x:v>
      </x:c>
      <x:c r="C3" s="12" t="n">
        <x:f>SUMIFS(Clean_Data!$K$2:$K$2001,Clean_Data!$O$2:$O$2001,$A3)</x:f>
        <x:v>14921248.88999999</x:v>
      </x:c>
      <x:c r="D3" s="12" t="n">
        <x:f>SUMIFS(Clean_Data!$L$2:$L$2001,Clean_Data!$O$2:$O$2001,$A3)</x:f>
        <x:v>2267746.7900000005</x:v>
      </x:c>
      <x:c r="E3" s="13" t="n">
        <x:f>IF(C3=0,0,D3/C3)</x:f>
        <x:v>0.15198103099264113</x:v>
      </x:c>
      <x:c r="F3" s="13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11-15%</x:v>
      </x:c>
      <x:c r="B4" s="1" t="n">
        <x:f>COUNTIFS(Clean_Data!$O$2:$O$2001,$A4)</x:f>
        <x:v>254</x:v>
      </x:c>
      <x:c r="C4" s="12" t="n">
        <x:f>SUMIFS(Clean_Data!$K$2:$K$2001,Clean_Data!$O$2:$O$2001,$A4)</x:f>
        <x:v>3909696.7800000017</x:v>
      </x:c>
      <x:c r="D4" s="12" t="n">
        <x:f>SUMIFS(Clean_Data!$L$2:$L$2001,Clean_Data!$O$2:$O$2001,$A4)</x:f>
        <x:v>275164.16</x:v>
      </x:c>
      <x:c r="E4" s="13" t="n">
        <x:f>IF(C4=0,0,D4/C4)</x:f>
        <x:v>0.07037992342720753</x:v>
      </x:c>
      <x:c r="F4" s="13"/>
      <x:c r="G4" s="1"/>
      <x:c r="H4" s="1"/>
      <x:c r="I4" s="1"/>
      <x:c r="J4" s="1"/>
      <x:c r="K4" s="1"/>
      <x:c r="L4" s="1"/>
      <x:c r="M4" s="1"/>
    </x:row>
    <x:row r="5" ht="23" customHeight="1">
      <x:c r="A5" s="1" t="str">
        <x:v>16-20%</x:v>
      </x:c>
      <x:c r="B5" s="1" t="n">
        <x:f>COUNTIFS(Clean_Data!$O$2:$O$2001,$A5)</x:f>
        <x:v>156</x:v>
      </x:c>
      <x:c r="C5" s="12" t="n">
        <x:f>SUMIFS(Clean_Data!$K$2:$K$2001,Clean_Data!$O$2:$O$2001,$A5)</x:f>
        <x:v>2119526.409999999</x:v>
      </x:c>
      <x:c r="D5" s="12" t="n">
        <x:f>SUMIFS(Clean_Data!$L$2:$L$2001,Clean_Data!$O$2:$O$2001,$A5)</x:f>
        <x:v>28747.24000000002</x:v>
      </x:c>
      <x:c r="E5" s="13" t="n">
        <x:f>IF(C5=0,0,D5/C5)</x:f>
        <x:v>0.013563048737854619</x:v>
      </x:c>
      <x:c r="F5" s="13"/>
      <x:c r="G5" s="1"/>
      <x:c r="H5" s="1"/>
      <x:c r="I5" s="1"/>
      <x:c r="J5" s="1"/>
      <x:c r="K5" s="1"/>
      <x:c r="L5" s="1"/>
      <x:c r="M5" s="1"/>
    </x:row>
    <x:row r="6" ht="23" customHeight="1">
      <x:c r="A6" s="1" t="str">
        <x:v>21%+</x:v>
      </x:c>
      <x:c r="B6" s="1" t="n">
        <x:f>COUNTIFS(Clean_Data!$O$2:$O$2001,$A6)</x:f>
        <x:v>195</x:v>
      </x:c>
      <x:c r="C6" s="12" t="n">
        <x:f>SUMIFS(Clean_Data!$K$2:$K$2001,Clean_Data!$O$2:$O$2001,$A6)</x:f>
        <x:v>2899323.45</x:v>
      </x:c>
      <x:c r="D6" s="12" t="n">
        <x:f>SUMIFS(Clean_Data!$L$2:$L$2001,Clean_Data!$O$2:$O$2001,$A6)</x:f>
        <x:v>-248884.50000000006</x:v>
      </x:c>
      <x:c r="E6" s="13" t="n">
        <x:f>IF(C6=0,0,D6/C6)</x:f>
        <x:v>-0.08584226778836974</x:v>
      </x:c>
      <x:c r="F6" s="13"/>
      <x:c r="G6" s="1"/>
      <x:c r="H6" s="1"/>
      <x:c r="I6" s="1"/>
      <x:c r="J6" s="1"/>
      <x:c r="K6" s="1"/>
      <x:c r="L6" s="1"/>
      <x:c r="M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8" customHeight="1">
      <x:c r="A9" s="11" t="str">
        <x:v>Payment Method</x:v>
      </x:c>
      <x:c r="B9" s="11" t="str">
        <x:v>Orders</x:v>
      </x:c>
      <x:c r="C9" s="11" t="str">
        <x:v>Sales</x:v>
      </x:c>
      <x:c r="D9" s="11" t="str">
        <x:v>Order Share %</x:v>
      </x:c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UPI</x:v>
      </x:c>
      <x:c r="B10" s="1" t="n">
        <x:f>COUNTIFS(Clean_Data!$M$2:$M$2001,A10)</x:f>
        <x:v>865</x:v>
      </x:c>
      <x:c r="C10" s="12" t="n">
        <x:f>SUMIFS(Clean_Data!$K$2:$K$2001,Clean_Data!$M$2:$M$2001,A10)</x:f>
        <x:v>15873664.359999986</x:v>
      </x:c>
      <x:c r="D10" s="13" t="n">
        <x:f>B10/SUM($B$10:$B$14)</x:f>
        <x:v>0.4325</x:v>
      </x:c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Credit Card</x:v>
      </x:c>
      <x:c r="B11" s="1" t="n">
        <x:f>COUNTIFS(Clean_Data!$M$2:$M$2001,A11)</x:f>
        <x:v>540</x:v>
      </x:c>
      <x:c r="C11" s="12" t="n">
        <x:f>SUMIFS(Clean_Data!$K$2:$K$2001,Clean_Data!$M$2:$M$2001,A11)</x:f>
        <x:v>9278350.51</x:v>
      </x:c>
      <x:c r="D11" s="13" t="n">
        <x:f>B11/SUM($B$10:$B$14)</x:f>
        <x:v>0.27</x:v>
      </x:c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Debit Card</x:v>
      </x:c>
      <x:c r="B12" s="1" t="n">
        <x:f>COUNTIFS(Clean_Data!$M$2:$M$2001,A12)</x:f>
        <x:v>293</x:v>
      </x:c>
      <x:c r="C12" s="12" t="n">
        <x:f>SUMIFS(Clean_Data!$K$2:$K$2001,Clean_Data!$M$2:$M$2001,A12)</x:f>
        <x:v>5185736.310000002</x:v>
      </x:c>
      <x:c r="D12" s="13" t="n">
        <x:f>B12/SUM($B$10:$B$14)</x:f>
        <x:v>0.1465</x:v>
      </x:c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Net Banking</x:v>
      </x:c>
      <x:c r="B13" s="1" t="n">
        <x:f>COUNTIFS(Clean_Data!$M$2:$M$2001,A13)</x:f>
        <x:v>152</x:v>
      </x:c>
      <x:c r="C13" s="12" t="n">
        <x:f>SUMIFS(Clean_Data!$K$2:$K$2001,Clean_Data!$M$2:$M$2001,A13)</x:f>
        <x:v>3273814.709999998</x:v>
      </x:c>
      <x:c r="D13" s="13" t="n">
        <x:f>B13/SUM($B$10:$B$14)</x:f>
        <x:v>0.076</x:v>
      </x:c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Cash on Delivery</x:v>
      </x:c>
      <x:c r="B14" s="1" t="n">
        <x:f>COUNTIFS(Clean_Data!$M$2:$M$2001,A14)</x:f>
        <x:v>150</x:v>
      </x:c>
      <x:c r="C14" s="12" t="n">
        <x:f>SUMIFS(Clean_Data!$K$2:$K$2001,Clean_Data!$M$2:$M$2001,A14)</x:f>
        <x:v>2317402.6800000006</x:v>
      </x:c>
      <x:c r="D14" s="13" t="n">
        <x:f>B14/SUM($B$10:$B$14)</x:f>
        <x:v>0.075</x:v>
      </x:c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</x:sheetData>
  <x:conditionalFormatting sqref="D2:D6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281c08b3f27416a"/>
</x:worksheet>
</file>

<file path=xl/worksheets/sheet5.xml><?xml version="1.0" encoding="utf-8"?>
<x:worksheet xmlns:x="http://schemas.openxmlformats.org/spreadsheetml/2006/main">
  <x:sheetPr>
    <x:tabColor rgb="FF9AA3AA"/>
  </x:sheetPr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3" customHeight="1">
      <x:c r="A1" s="1" t="str">
        <x:v>Category sales by region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 t="str">
        <x:v>Formula-based alternative; this is not a native PivotTable or slicer.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Region</x:v>
      </x:c>
      <x:c r="B4" s="22" t="str">
        <x:v>All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8" customHeight="1">
      <x:c r="A6" s="11" t="str">
        <x:v>Category</x:v>
      </x:c>
      <x:c r="B6" s="11" t="str">
        <x:v>Sales</x:v>
      </x:c>
      <x:c r="C6" s="11" t="str">
        <x:v>Profit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3" customHeight="1">
      <x:c r="A7" s="1" t="str">
        <x:v>Electronics</x:v>
      </x:c>
      <x:c r="B7" s="12" t="n">
        <x:f>IF($B$4="All",SUMIFS(Clean_Data!$K$2:$K$2001,Clean_Data!$E$2:$E$2001,A7),SUMIFS(Clean_Data!$K$2:$K$2001,Clean_Data!$E$2:$E$2001,A7,Clean_Data!$D$2:$D$2001,$B$4))</x:f>
        <x:v>25774936.06000001</x:v>
      </x:c>
      <x:c r="C7" s="12" t="n">
        <x:f>IF($B$4="All",SUMIFS(Clean_Data!$L$2:$L$2001,Clean_Data!$E$2:$E$2001,A7),SUMIFS(Clean_Data!$L$2:$L$2001,Clean_Data!$E$2:$E$2001,A7,Clean_Data!$D$2:$D$2001,$B$4))</x:f>
        <x:v>2300710.5599999996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 t="str">
        <x:v>Fashion</x:v>
      </x:c>
      <x:c r="B8" s="12" t="n">
        <x:f>IF($B$4="All",SUMIFS(Clean_Data!$K$2:$K$2001,Clean_Data!$E$2:$E$2001,A8),SUMIFS(Clean_Data!$K$2:$K$2001,Clean_Data!$E$2:$E$2001,A8,Clean_Data!$D$2:$D$2001,$B$4))</x:f>
        <x:v>1517003.1999999997</x:v>
      </x:c>
      <x:c r="C8" s="12" t="n">
        <x:f>IF($B$4="All",SUMIFS(Clean_Data!$L$2:$L$2001,Clean_Data!$E$2:$E$2001,A8),SUMIFS(Clean_Data!$L$2:$L$2001,Clean_Data!$E$2:$E$2001,A8,Clean_Data!$D$2:$D$2001,$B$4))</x:f>
        <x:v>469450.21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Home &amp; Kitchen</x:v>
      </x:c>
      <x:c r="B9" s="12" t="n">
        <x:f>IF($B$4="All",SUMIFS(Clean_Data!$K$2:$K$2001,Clean_Data!$E$2:$E$2001,A9),SUMIFS(Clean_Data!$K$2:$K$2001,Clean_Data!$E$2:$E$2001,A9,Clean_Data!$D$2:$D$2001,$B$4))</x:f>
        <x:v>3935871.96</x:v>
      </x:c>
      <x:c r="C9" s="12" t="n">
        <x:f>IF($B$4="All",SUMIFS(Clean_Data!$L$2:$L$2001,Clean_Data!$E$2:$E$2001,A9),SUMIFS(Clean_Data!$L$2:$L$2001,Clean_Data!$E$2:$E$2001,A9,Clean_Data!$D$2:$D$2001,$B$4))</x:f>
        <x:v>938009.8699999998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Sports</x:v>
      </x:c>
      <x:c r="B10" s="12" t="n">
        <x:f>IF($B$4="All",SUMIFS(Clean_Data!$K$2:$K$2001,Clean_Data!$E$2:$E$2001,A10),SUMIFS(Clean_Data!$K$2:$K$2001,Clean_Data!$E$2:$E$2001,A10,Clean_Data!$D$2:$D$2001,$B$4))</x:f>
        <x:v>3864046.68</x:v>
      </x:c>
      <x:c r="C10" s="12" t="n">
        <x:f>IF($B$4="All",SUMIFS(Clean_Data!$L$2:$L$2001,Clean_Data!$E$2:$E$2001,A10),SUMIFS(Clean_Data!$L$2:$L$2001,Clean_Data!$E$2:$E$2001,A10,Clean_Data!$D$2:$D$2001,$B$4))</x:f>
        <x:v>1090564.91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Beauty</x:v>
      </x:c>
      <x:c r="B11" s="12" t="n">
        <x:f>IF($B$4="All",SUMIFS(Clean_Data!$K$2:$K$2001,Clean_Data!$E$2:$E$2001,A11),SUMIFS(Clean_Data!$K$2:$K$2001,Clean_Data!$E$2:$E$2001,A11,Clean_Data!$D$2:$D$2001,$B$4))</x:f>
        <x:v>837110.6700000003</x:v>
      </x:c>
      <x:c r="C11" s="12" t="n">
        <x:f>IF($B$4="All",SUMIFS(Clean_Data!$L$2:$L$2001,Clean_Data!$E$2:$E$2001,A11),SUMIFS(Clean_Data!$L$2:$L$2001,Clean_Data!$E$2:$E$2001,A11,Clean_Data!$D$2:$D$2001,$B$4))</x:f>
        <x:v>384176.03000000026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TOTAL</x:v>
      </x:c>
      <x:c r="B12" s="12" t="n">
        <x:f>SUM(B7:B11)</x:f>
        <x:v>35928968.570000015</x:v>
      </x:c>
      <x:c r="C12" s="12" t="n">
        <x:f>SUM(C7:C11)</x:f>
        <x:v>5182911.579999999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For a native pivot: select Orders_Clean in Excel, then Insert &gt; PivotTable.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Use category as Rows, sales/profit as Values, and insert a region slicer.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</x:sheetData>
  <x:dataValidations count="1">
    <x:dataValidation type="list" sqref="B4">
      <x:formula1>"All,North,South,East,West"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99032"/>
  </x:sheetPr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8" customHeight="1">
      <x:c r="A1" s="11" t="str">
        <x:v>Check</x:v>
      </x:c>
      <x:c r="B1" s="11" t="str">
        <x:v>Result</x:v>
      </x:c>
      <x:c r="C1" s="11" t="str">
        <x:v>Expected</x:v>
      </x:c>
      <x:c r="D1" s="11" t="str">
        <x:v>Status</x:v>
      </x:c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 t="str">
        <x:v>Total rows</x:v>
      </x:c>
      <x:c r="B2" s="1" t="n">
        <x:f>COUNTA(Clean_Data!A2:A2001)</x:f>
        <x:v>2000</x:v>
      </x:c>
      <x:c r="C2" s="1" t="n">
        <x:v>2000</x:v>
      </x:c>
      <x:c r="D2" s="1" t="str">
        <x:f>IF(ABS(B2-C2)&lt;0.00001,"PASS","FAIL")</x:f>
        <x:v>PASS</x:v>
      </x:c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 t="str">
        <x:v>Duplicate Order IDs</x:v>
      </x:c>
      <x:c r="B3" s="1" t="n">
        <x:f>SUMPRODUCT((COUNTIF(Clean_Data!A2:A2001,Clean_Data!A2:A2001)&gt;1)*1)</x:f>
        <x:v>0</x:v>
      </x:c>
      <x:c r="C3" s="1" t="n">
        <x:v>0</x:v>
      </x:c>
      <x:c r="D3" s="1" t="str">
        <x:f>IF(ABS(B3-C3)&lt;0.00001,"PASS","FAIL")</x:f>
        <x:v>PASS</x:v>
      </x:c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Blank Order IDs</x:v>
      </x:c>
      <x:c r="B4" s="1" t="n">
        <x:f>COUNTBLANK(Clean_Data!A2:A2001)</x:f>
        <x:v>0</x:v>
      </x:c>
      <x:c r="C4" s="1" t="n">
        <x:v>0</x:v>
      </x:c>
      <x:c r="D4" s="1" t="str">
        <x:f>IF(ABS(B4-C4)&lt;0.00001,"PASS","FAIL")</x:f>
        <x:v>PASS</x:v>
      </x:c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 t="str">
        <x:v>Blank Order Dates</x:v>
      </x:c>
      <x:c r="B5" s="1" t="n">
        <x:f>COUNTBLANK(Clean_Data!B2:B2001)</x:f>
        <x:v>0</x:v>
      </x:c>
      <x:c r="C5" s="1" t="n">
        <x:v>0</x:v>
      </x:c>
      <x:c r="D5" s="1" t="str">
        <x:f>IF(ABS(B5-C5)&lt;0.00001,"PASS","FAIL")</x:f>
        <x:v>PASS</x:v>
      </x:c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A6" s="1" t="str">
        <x:v>Negative Sales rows</x:v>
      </x:c>
      <x:c r="B6" s="1" t="n">
        <x:f>COUNTIF(Clean_Data!K2:K2001,"&lt;0")</x:f>
        <x:v>0</x:v>
      </x:c>
      <x:c r="C6" s="1" t="n">
        <x:v>0</x:v>
      </x:c>
      <x:c r="D6" s="1" t="str">
        <x:f>IF(ABS(B6-C6)&lt;0.00001,"PASS","FAIL")</x:f>
        <x:v>PASS</x:v>
      </x:c>
      <x:c r="E6" s="1"/>
      <x:c r="F6" s="1"/>
      <x:c r="G6" s="1"/>
      <x:c r="H6" s="1"/>
      <x:c r="I6" s="1"/>
      <x:c r="J6" s="1"/>
      <x:c r="K6" s="1"/>
      <x:c r="L6" s="1"/>
      <x:c r="M6" s="1"/>
    </x:row>
    <x:row r="7" ht="23" customHeight="1">
      <x:c r="A7" s="1" t="str">
        <x:v>Total Sales - Clean_Data</x:v>
      </x:c>
      <x:c r="B7" s="21" t="n">
        <x:f>SUM(Clean_Data!K2:K2001)</x:f>
        <x:v>35928968.56999994</x:v>
      </x:c>
      <x:c r="C7" s="21" t="n">
        <x:v>35928968.57</x:v>
      </x:c>
      <x:c r="D7" s="1" t="str">
        <x:f>IF(ABS(B7-C7)&lt;1,"PASS","FAIL")</x:f>
        <x:v>PASS</x:v>
      </x:c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 t="str">
        <x:v>Total Sales - Raw_Data</x:v>
      </x:c>
      <x:c r="B8" s="21" t="n">
        <x:f>SUM(Raw_Data!K2:K2001)</x:f>
        <x:v>35928968.56999994</x:v>
      </x:c>
      <x:c r="C8" s="21" t="n">
        <x:v>35928968.57</x:v>
      </x:c>
      <x:c r="D8" s="1" t="str">
        <x:f>IF(ABS(B8-C8)&lt;1,"PASS","FAIL")</x:f>
        <x:v>PASS</x:v>
      </x:c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Total Profit - Clean_Data</x:v>
      </x:c>
      <x:c r="B9" s="21" t="n">
        <x:f>SUM(Clean_Data!L2:L2001)</x:f>
        <x:v>5182911.579999988</x:v>
      </x:c>
      <x:c r="C9" s="21" t="n">
        <x:v>5182911.58</x:v>
      </x:c>
      <x:c r="D9" s="1" t="str">
        <x:f>IF(ABS(B9-C9)&lt;1,"PASS","FAIL")</x:f>
        <x:v>PASS</x:v>
      </x:c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Loss-Making Orders (info)</x:v>
      </x:c>
      <x:c r="B10" s="1" t="n">
        <x:f>COUNTIF(Clean_Data!L2:L2001,"&lt;0")</x:f>
        <x:v>114</x:v>
      </x:c>
      <x:c r="C10" s="1" t="n">
        <x:v>114</x:v>
      </x:c>
      <x:c r="D10" s="1" t="str">
        <x:f>"INFO"</x:f>
        <x:v>INFO</x:v>
      </x:c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</x:sheetData>
  <x:conditionalFormatting sqref="D2:D10">
    <x:cfRule type="containsText" dxfId="1" priority="1" operator="containsText" text="PASS"/>
    <x:cfRule type="containsText" dxfId="2" priority="2" operator="containsText" text="FAIL"/>
    <x:cfRule type="containsText" dxfId="3" priority="3" operator="containsText" text="INFO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AA3A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0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21" customHeight="1">
      <x:c r="A1" s="2" t="str">
        <x:v>order_id</x:v>
      </x:c>
      <x:c r="B1" s="2" t="str">
        <x:v>order_date</x:v>
      </x:c>
      <x:c r="C1" s="2" t="str">
        <x:v>customer_id</x:v>
      </x:c>
      <x:c r="D1" s="2" t="str">
        <x:v>region</x:v>
      </x:c>
      <x:c r="E1" s="2" t="str">
        <x:v>category</x:v>
      </x:c>
      <x:c r="F1" s="2" t="str">
        <x:v>sub_category</x:v>
      </x:c>
      <x:c r="G1" s="2" t="str">
        <x:v>product</x:v>
      </x:c>
      <x:c r="H1" s="2" t="str">
        <x:v>quantity</x:v>
      </x:c>
      <x:c r="I1" s="2" t="str">
        <x:v>unit_price</x:v>
      </x:c>
      <x:c r="J1" s="2" t="str">
        <x:v>discount</x:v>
      </x:c>
      <x:c r="K1" s="2" t="str">
        <x:v>sales</x:v>
      </x:c>
      <x:c r="L1" s="2" t="str">
        <x:v>profit</x:v>
      </x:c>
      <x:c r="M1" s="2" t="str">
        <x:v>payment_method</x:v>
      </x:c>
      <x:c r="N1" s="3" t="str">
        <x:v>Year-Month</x:v>
      </x:c>
      <x:c r="O1" s="3" t="str">
        <x:v>Discount Bucket</x:v>
      </x:c>
      <x:c r="P1" s="3" t="str">
        <x:v>Margin %</x:v>
      </x:c>
      <x:c r="Q1" s="3" t="str">
        <x:v>Is Loss-Making</x:v>
      </x:c>
    </x:row>
    <x:row r="2" ht="21" customHeight="1">
      <x:c r="A2" s="2" t="str">
        <x:v>ORD-101070</x:v>
      </x:c>
      <x:c r="B2" s="4" t="n">
        <x:v>45292</x:v>
      </x:c>
      <x:c r="C2" s="2" t="str">
        <x:v>CUST-00391</x:v>
      </x:c>
      <x:c r="D2" s="2" t="str">
        <x:v>West</x:v>
      </x:c>
      <x:c r="E2" s="2" t="str">
        <x:v>Beauty</x:v>
      </x:c>
      <x:c r="F2" s="2" t="str">
        <x:v>Skincare</x:v>
      </x:c>
      <x:c r="G2" s="2" t="str">
        <x:v>HydraBoost Moisturizer</x:v>
      </x:c>
      <x:c r="H2" s="2" t="n">
        <x:v>1</x:v>
      </x:c>
      <x:c r="I2" s="6" t="n">
        <x:v>1234.37</x:v>
      </x:c>
      <x:c r="J2" s="8" t="n">
        <x:v>0.1</x:v>
      </x:c>
      <x:c r="K2" s="6" t="n">
        <x:v>1110.93</x:v>
      </x:c>
      <x:c r="L2" s="6" t="n">
        <x:v>498.1</x:v>
      </x:c>
      <x:c r="M2" s="2" t="str">
        <x:v>UPI</x:v>
      </x:c>
      <x:c r="N2" s="3" t="str">
        <x:f>TEXT(B2,"yyyy-mm")</x:f>
        <x:v>2024-01</x:v>
      </x:c>
      <x:c r="O2" s="3" t="str">
        <x:f>IF(J2=0,"No discount",IF(J2&lt;=0.1,"1-10%",IF(J2&lt;=0.15,"11-15%",IF(J2&lt;=0.2,"16-20%","21%+"))))</x:f>
        <x:v>1-10%</x:v>
      </x:c>
      <x:c r="P2" s="9" t="n">
        <x:f>IF(K2=0,0,L2/K2)</x:f>
        <x:v>0.44836308318255874</x:v>
      </x:c>
      <x:c r="Q2" s="3" t="str">
        <x:f>IF(L2&lt;0,"Yes","No")</x:f>
        <x:v>No</x:v>
      </x:c>
    </x:row>
    <x:row r="3" ht="21" customHeight="1">
      <x:c r="A3" s="2" t="str">
        <x:v>ORD-101945</x:v>
      </x:c>
      <x:c r="B3" s="4" t="n">
        <x:v>45292</x:v>
      </x:c>
      <x:c r="C3" s="2" t="str">
        <x:v>CUST-00595</x:v>
      </x:c>
      <x:c r="D3" s="2" t="str">
        <x:v>East</x:v>
      </x:c>
      <x:c r="E3" s="2" t="str">
        <x:v>Electronics</x:v>
      </x:c>
      <x:c r="F3" s="2" t="str">
        <x:v>Laptop</x:v>
      </x:c>
      <x:c r="G3" s="2" t="str">
        <x:v>AirBook Slim</x:v>
      </x:c>
      <x:c r="H3" s="2" t="n">
        <x:v>1</x:v>
      </x:c>
      <x:c r="I3" s="6" t="n">
        <x:v>80111.49</x:v>
      </x:c>
      <x:c r="J3" s="8" t="n">
        <x:v>0.1</x:v>
      </x:c>
      <x:c r="K3" s="6" t="n">
        <x:v>72100.34</x:v>
      </x:c>
      <x:c r="L3" s="6" t="n">
        <x:v>5701.57</x:v>
      </x:c>
      <x:c r="M3" s="2" t="str">
        <x:v>Cash on Delivery</x:v>
      </x:c>
      <x:c r="N3" s="3" t="str">
        <x:f>TEXT(B3,"yyyy-mm")</x:f>
        <x:v>2024-01</x:v>
      </x:c>
      <x:c r="O3" s="3" t="str">
        <x:f>IF(J3=0,"No discount",IF(J3&lt;=0.1,"1-10%",IF(J3&lt;=0.15,"11-15%",IF(J3&lt;=0.2,"16-20%","21%+"))))</x:f>
        <x:v>1-10%</x:v>
      </x:c>
      <x:c r="P3" s="9" t="n">
        <x:f>IF(K3=0,0,L3/K3)</x:f>
        <x:v>0.0790782678694719</x:v>
      </x:c>
      <x:c r="Q3" s="3" t="str">
        <x:f>IF(L3&lt;0,"Yes","No")</x:f>
        <x:v>No</x:v>
      </x:c>
    </x:row>
    <x:row r="4" ht="21" customHeight="1">
      <x:c r="A4" s="2" t="str">
        <x:v>ORD-100664</x:v>
      </x:c>
      <x:c r="B4" s="4" t="n">
        <x:v>45293</x:v>
      </x:c>
      <x:c r="C4" s="2" t="str">
        <x:v>CUST-00549</x:v>
      </x:c>
      <x:c r="D4" s="2" t="str">
        <x:v>East</x:v>
      </x:c>
      <x:c r="E4" s="2" t="str">
        <x:v>Electronics</x:v>
      </x:c>
      <x:c r="F4" s="2" t="str">
        <x:v>Mobile</x:v>
      </x:c>
      <x:c r="G4" s="2" t="str">
        <x:v>Galaxy Nova X5</x:v>
      </x:c>
      <x:c r="H4" s="2" t="n">
        <x:v>1</x:v>
      </x:c>
      <x:c r="I4" s="6" t="n">
        <x:v>24219.42</x:v>
      </x:c>
      <x:c r="J4" s="8" t="n">
        <x:v>0.1</x:v>
      </x:c>
      <x:c r="K4" s="6" t="n">
        <x:v>21797.48</x:v>
      </x:c>
      <x:c r="L4" s="6" t="n">
        <x:v>2187.61</x:v>
      </x:c>
      <x:c r="M4" s="2" t="str">
        <x:v>UPI</x:v>
      </x:c>
      <x:c r="N4" s="3" t="str">
        <x:f>TEXT(B4,"yyyy-mm")</x:f>
        <x:v>2024-01</x:v>
      </x:c>
      <x:c r="O4" s="3" t="str">
        <x:f>IF(J4=0,"No discount",IF(J4&lt;=0.1,"1-10%",IF(J4&lt;=0.15,"11-15%",IF(J4&lt;=0.2,"16-20%","21%+"))))</x:f>
        <x:v>1-10%</x:v>
      </x:c>
      <x:c r="P4" s="9" t="n">
        <x:f>IF(K4=0,0,L4/K4)</x:f>
        <x:v>0.10036068389556958</x:v>
      </x:c>
      <x:c r="Q4" s="3" t="str">
        <x:f>IF(L4&lt;0,"Yes","No")</x:f>
        <x:v>No</x:v>
      </x:c>
    </x:row>
    <x:row r="5" ht="21" customHeight="1">
      <x:c r="A5" s="2" t="str">
        <x:v>ORD-101555</x:v>
      </x:c>
      <x:c r="B5" s="4" t="n">
        <x:v>45293</x:v>
      </x:c>
      <x:c r="C5" s="2" t="str">
        <x:v>CUST-00220</x:v>
      </x:c>
      <x:c r="D5" s="2" t="str">
        <x:v>North</x:v>
      </x:c>
      <x:c r="E5" s="2" t="str">
        <x:v>Home &amp; Kitchen</x:v>
      </x:c>
      <x:c r="F5" s="2" t="str">
        <x:v>Appliances</x:v>
      </x:c>
      <x:c r="G5" s="2" t="str">
        <x:v>ColdBrew Coffee Maker</x:v>
      </x:c>
      <x:c r="H5" s="2" t="n">
        <x:v>1</x:v>
      </x:c>
      <x:c r="I5" s="6" t="n">
        <x:v>6807.91</x:v>
      </x:c>
      <x:c r="J5" s="8" t="n">
        <x:v>0</x:v>
      </x:c>
      <x:c r="K5" s="6" t="n">
        <x:v>6807.91</x:v>
      </x:c>
      <x:c r="L5" s="6" t="n">
        <x:v>2498.96</x:v>
      </x:c>
      <x:c r="M5" s="2" t="str">
        <x:v>Credit Card</x:v>
      </x:c>
      <x:c r="N5" s="3" t="str">
        <x:f>TEXT(B5,"yyyy-mm")</x:f>
        <x:v>2024-01</x:v>
      </x:c>
      <x:c r="O5" s="3" t="str">
        <x:f>IF(J5=0,"No discount",IF(J5&lt;=0.1,"1-10%",IF(J5&lt;=0.15,"11-15%",IF(J5&lt;=0.2,"16-20%","21%+"))))</x:f>
        <x:v>No discount</x:v>
      </x:c>
      <x:c r="P5" s="9" t="n">
        <x:f>IF(K5=0,0,L5/K5)</x:f>
        <x:v>0.3670671322035691</x:v>
      </x:c>
      <x:c r="Q5" s="3" t="str">
        <x:f>IF(L5&lt;0,"Yes","No")</x:f>
        <x:v>No</x:v>
      </x:c>
    </x:row>
    <x:row r="6" ht="21" customHeight="1">
      <x:c r="A6" s="2" t="str">
        <x:v>ORD-101584</x:v>
      </x:c>
      <x:c r="B6" s="4" t="n">
        <x:v>45294</x:v>
      </x:c>
      <x:c r="C6" s="2" t="str">
        <x:v>CUST-00095</x:v>
      </x:c>
      <x:c r="D6" s="2" t="str">
        <x:v>North</x:v>
      </x:c>
      <x:c r="E6" s="2" t="str">
        <x:v>Beauty</x:v>
      </x:c>
      <x:c r="F6" s="2" t="str">
        <x:v>Skincare</x:v>
      </x:c>
      <x:c r="G6" s="2" t="str">
        <x:v>Vitamin C Serum</x:v>
      </x:c>
      <x:c r="H6" s="2" t="n">
        <x:v>1</x:v>
      </x:c>
      <x:c r="I6" s="6" t="n">
        <x:v>924.01</x:v>
      </x:c>
      <x:c r="J6" s="8" t="n">
        <x:v>0.1</x:v>
      </x:c>
      <x:c r="K6" s="6" t="n">
        <x:v>831.61</x:v>
      </x:c>
      <x:c r="L6" s="6" t="n">
        <x:v>394.97</x:v>
      </x:c>
      <x:c r="M6" s="2" t="str">
        <x:v>UPI</x:v>
      </x:c>
      <x:c r="N6" s="3" t="str">
        <x:f>TEXT(B6,"yyyy-mm")</x:f>
        <x:v>2024-01</x:v>
      </x:c>
      <x:c r="O6" s="3" t="str">
        <x:f>IF(J6=0,"No discount",IF(J6&lt;=0.1,"1-10%",IF(J6&lt;=0.15,"11-15%",IF(J6&lt;=0.2,"16-20%","21%+"))))</x:f>
        <x:v>1-10%</x:v>
      </x:c>
      <x:c r="P6" s="9" t="n">
        <x:f>IF(K6=0,0,L6/K6)</x:f>
        <x:v>0.4749461887182694</x:v>
      </x:c>
      <x:c r="Q6" s="3" t="str">
        <x:f>IF(L6&lt;0,"Yes","No")</x:f>
        <x:v>No</x:v>
      </x:c>
    </x:row>
    <x:row r="7" ht="21" customHeight="1">
      <x:c r="A7" s="2" t="str">
        <x:v>ORD-101499</x:v>
      </x:c>
      <x:c r="B7" s="4" t="n">
        <x:v>45295</x:v>
      </x:c>
      <x:c r="C7" s="2" t="str">
        <x:v>CUST-00048</x:v>
      </x:c>
      <x:c r="D7" s="2" t="str">
        <x:v>South</x:v>
      </x:c>
      <x:c r="E7" s="2" t="str">
        <x:v>Fashion</x:v>
      </x:c>
      <x:c r="F7" s="2" t="str">
        <x:v>Footwear</x:v>
      </x:c>
      <x:c r="G7" s="2" t="str">
        <x:v>RunFlex Sneakers</x:v>
      </x:c>
      <x:c r="H7" s="2" t="n">
        <x:v>1</x:v>
      </x:c>
      <x:c r="I7" s="6" t="n">
        <x:v>2908.04</x:v>
      </x:c>
      <x:c r="J7" s="8" t="n">
        <x:v>0.05</x:v>
      </x:c>
      <x:c r="K7" s="6" t="n">
        <x:v>2762.64</x:v>
      </x:c>
      <x:c r="L7" s="6" t="n">
        <x:v>926.6</x:v>
      </x:c>
      <x:c r="M7" s="2" t="str">
        <x:v>Credit Card</x:v>
      </x:c>
      <x:c r="N7" s="3" t="str">
        <x:f>TEXT(B7,"yyyy-mm")</x:f>
        <x:v>2024-01</x:v>
      </x:c>
      <x:c r="O7" s="3" t="str">
        <x:f>IF(J7=0,"No discount",IF(J7&lt;=0.1,"1-10%",IF(J7&lt;=0.15,"11-15%",IF(J7&lt;=0.2,"16-20%","21%+"))))</x:f>
        <x:v>1-10%</x:v>
      </x:c>
      <x:c r="P7" s="9" t="n">
        <x:f>IF(K7=0,0,L7/K7)</x:f>
        <x:v>0.33540381663915675</x:v>
      </x:c>
      <x:c r="Q7" s="3" t="str">
        <x:f>IF(L7&lt;0,"Yes","No")</x:f>
        <x:v>No</x:v>
      </x:c>
    </x:row>
    <x:row r="8" ht="21" customHeight="1">
      <x:c r="A8" s="2" t="str">
        <x:v>ORD-101151</x:v>
      </x:c>
      <x:c r="B8" s="4" t="n">
        <x:v>45296</x:v>
      </x:c>
      <x:c r="C8" s="2" t="str">
        <x:v>CUST-00042</x:v>
      </x:c>
      <x:c r="D8" s="2" t="str">
        <x:v>East</x:v>
      </x:c>
      <x:c r="E8" s="2" t="str">
        <x:v>Sports</x:v>
      </x:c>
      <x:c r="F8" s="2" t="str">
        <x:v>Outdoor</x:v>
      </x:c>
      <x:c r="G8" s="2" t="str">
        <x:v>AllWeather Tent 4P</x:v>
      </x:c>
      <x:c r="H8" s="2" t="n">
        <x:v>4</x:v>
      </x:c>
      <x:c r="I8" s="6" t="n">
        <x:v>12379.05</x:v>
      </x:c>
      <x:c r="J8" s="8" t="n">
        <x:v>0.2</x:v>
      </x:c>
      <x:c r="K8" s="6" t="n">
        <x:v>39612.96</x:v>
      </x:c>
      <x:c r="L8" s="6" t="n">
        <x:v>6475.71</x:v>
      </x:c>
      <x:c r="M8" s="2" t="str">
        <x:v>UPI</x:v>
      </x:c>
      <x:c r="N8" s="3" t="str">
        <x:f>TEXT(B8,"yyyy-mm")</x:f>
        <x:v>2024-01</x:v>
      </x:c>
      <x:c r="O8" s="3" t="str">
        <x:f>IF(J8=0,"No discount",IF(J8&lt;=0.1,"1-10%",IF(J8&lt;=0.15,"11-15%",IF(J8&lt;=0.2,"16-20%","21%+"))))</x:f>
        <x:v>16-20%</x:v>
      </x:c>
      <x:c r="P8" s="9" t="n">
        <x:f>IF(K8=0,0,L8/K8)</x:f>
        <x:v>0.16347452954790553</x:v>
      </x:c>
      <x:c r="Q8" s="3" t="str">
        <x:f>IF(L8&lt;0,"Yes","No")</x:f>
        <x:v>No</x:v>
      </x:c>
    </x:row>
    <x:row r="9" ht="21" customHeight="1">
      <x:c r="A9" s="2" t="str">
        <x:v>ORD-101166</x:v>
      </x:c>
      <x:c r="B9" s="4" t="n">
        <x:v>45296</x:v>
      </x:c>
      <x:c r="C9" s="2" t="str">
        <x:v>CUST-00489</x:v>
      </x:c>
      <x:c r="D9" s="2" t="str">
        <x:v>North</x:v>
      </x:c>
      <x:c r="E9" s="2" t="str">
        <x:v>Electronics</x:v>
      </x:c>
      <x:c r="F9" s="2" t="str">
        <x:v>Laptop</x:v>
      </x:c>
      <x:c r="G9" s="2" t="str">
        <x:v>AirBook Slim</x:v>
      </x:c>
      <x:c r="H9" s="2" t="n">
        <x:v>1</x:v>
      </x:c>
      <x:c r="I9" s="6" t="n">
        <x:v>80903.62</x:v>
      </x:c>
      <x:c r="J9" s="8" t="n">
        <x:v>0.05</x:v>
      </x:c>
      <x:c r="K9" s="6" t="n">
        <x:v>76858.44</x:v>
      </x:c>
      <x:c r="L9" s="6" t="n">
        <x:v>7182.52</x:v>
      </x:c>
      <x:c r="M9" s="2" t="str">
        <x:v>Cash on Delivery</x:v>
      </x:c>
      <x:c r="N9" s="3" t="str">
        <x:f>TEXT(B9,"yyyy-mm")</x:f>
        <x:v>2024-01</x:v>
      </x:c>
      <x:c r="O9" s="3" t="str">
        <x:f>IF(J9=0,"No discount",IF(J9&lt;=0.1,"1-10%",IF(J9&lt;=0.15,"11-15%",IF(J9&lt;=0.2,"16-20%","21%+"))))</x:f>
        <x:v>1-10%</x:v>
      </x:c>
      <x:c r="P9" s="9" t="n">
        <x:f>IF(K9=0,0,L9/K9)</x:f>
        <x:v>0.09345128524596648</x:v>
      </x:c>
      <x:c r="Q9" s="3" t="str">
        <x:f>IF(L9&lt;0,"Yes","No")</x:f>
        <x:v>No</x:v>
      </x:c>
    </x:row>
    <x:row r="10" ht="21" customHeight="1">
      <x:c r="A10" s="2" t="str">
        <x:v>ORD-101640</x:v>
      </x:c>
      <x:c r="B10" s="4" t="n">
        <x:v>45297</x:v>
      </x:c>
      <x:c r="C10" s="2" t="str">
        <x:v>CUST-00577</x:v>
      </x:c>
      <x:c r="D10" s="2" t="str">
        <x:v>South</x:v>
      </x:c>
      <x:c r="E10" s="2" t="str">
        <x:v>Sports</x:v>
      </x:c>
      <x:c r="F10" s="2" t="str">
        <x:v>Fitness</x:v>
      </x:c>
      <x:c r="G10" s="2" t="str">
        <x:v>ProYoga Mat</x:v>
      </x:c>
      <x:c r="H10" s="2" t="n">
        <x:v>3</x:v>
      </x:c>
      <x:c r="I10" s="6" t="n">
        <x:v>1307.21</x:v>
      </x:c>
      <x:c r="J10" s="8" t="n">
        <x:v>0.05</x:v>
      </x:c>
      <x:c r="K10" s="6" t="n">
        <x:v>3725.55</x:v>
      </x:c>
      <x:c r="L10" s="6" t="n">
        <x:v>1285.69</x:v>
      </x:c>
      <x:c r="M10" s="2" t="str">
        <x:v>UPI</x:v>
      </x:c>
      <x:c r="N10" s="3" t="str">
        <x:f>TEXT(B10,"yyyy-mm")</x:f>
        <x:v>2024-01</x:v>
      </x:c>
      <x:c r="O10" s="3" t="str">
        <x:f>IF(J10=0,"No discount",IF(J10&lt;=0.1,"1-10%",IF(J10&lt;=0.15,"11-15%",IF(J10&lt;=0.2,"16-20%","21%+"))))</x:f>
        <x:v>1-10%</x:v>
      </x:c>
      <x:c r="P10" s="9" t="n">
        <x:f>IF(K10=0,0,L10/K10)</x:f>
        <x:v>0.34510072338312464</x:v>
      </x:c>
      <x:c r="Q10" s="3" t="str">
        <x:f>IF(L10&lt;0,"Yes","No")</x:f>
        <x:v>No</x:v>
      </x:c>
    </x:row>
    <x:row r="11" ht="21" customHeight="1">
      <x:c r="A11" s="2" t="str">
        <x:v>ORD-101882</x:v>
      </x:c>
      <x:c r="B11" s="4" t="n">
        <x:v>45297</x:v>
      </x:c>
      <x:c r="C11" s="2" t="str">
        <x:v>CUST-00130</x:v>
      </x:c>
      <x:c r="D11" s="2" t="str">
        <x:v>South</x:v>
      </x:c>
      <x:c r="E11" s="2" t="str">
        <x:v>Sports</x:v>
      </x:c>
      <x:c r="F11" s="2" t="str">
        <x:v>Outdoor</x:v>
      </x:c>
      <x:c r="G11" s="2" t="str">
        <x:v>TrailHike Backpack 60L</x:v>
      </x:c>
      <x:c r="H11" s="2" t="n">
        <x:v>2</x:v>
      </x:c>
      <x:c r="I11" s="6" t="n">
        <x:v>3333.3</x:v>
      </x:c>
      <x:c r="J11" s="8" t="n">
        <x:v>0.2</x:v>
      </x:c>
      <x:c r="K11" s="6" t="n">
        <x:v>5333.28</x:v>
      </x:c>
      <x:c r="L11" s="6" t="n">
        <x:v>623.79</x:v>
      </x:c>
      <x:c r="M11" s="2" t="str">
        <x:v>Net Banking</x:v>
      </x:c>
      <x:c r="N11" s="3" t="str">
        <x:f>TEXT(B11,"yyyy-mm")</x:f>
        <x:v>2024-01</x:v>
      </x:c>
      <x:c r="O11" s="3" t="str">
        <x:f>IF(J11=0,"No discount",IF(J11&lt;=0.1,"1-10%",IF(J11&lt;=0.15,"11-15%",IF(J11&lt;=0.2,"16-20%","21%+"))))</x:f>
        <x:v>16-20%</x:v>
      </x:c>
      <x:c r="P11" s="9" t="n">
        <x:f>IF(K11=0,0,L11/K11)</x:f>
        <x:v>0.11696179461794617</x:v>
      </x:c>
      <x:c r="Q11" s="3" t="str">
        <x:f>IF(L11&lt;0,"Yes","No")</x:f>
        <x:v>No</x:v>
      </x:c>
    </x:row>
    <x:row r="12" ht="21" customHeight="1">
      <x:c r="A12" s="2" t="str">
        <x:v>ORD-100797</x:v>
      </x:c>
      <x:c r="B12" s="4" t="n">
        <x:v>45298</x:v>
      </x:c>
      <x:c r="C12" s="2" t="str">
        <x:v>CUST-00531</x:v>
      </x:c>
      <x:c r="D12" s="2" t="str">
        <x:v>West</x:v>
      </x:c>
      <x:c r="E12" s="2" t="str">
        <x:v>Beauty</x:v>
      </x:c>
      <x:c r="F12" s="2" t="str">
        <x:v>Makeup</x:v>
      </x:c>
      <x:c r="G12" s="2" t="str">
        <x:v>Matte Lipstick Set</x:v>
      </x:c>
      <x:c r="H12" s="2" t="n">
        <x:v>2</x:v>
      </x:c>
      <x:c r="I12" s="6" t="n">
        <x:v>1036.74</x:v>
      </x:c>
      <x:c r="J12" s="8" t="n">
        <x:v>0.2</x:v>
      </x:c>
      <x:c r="K12" s="6" t="n">
        <x:v>1658.78</x:v>
      </x:c>
      <x:c r="L12" s="6" t="n">
        <x:v>471.56</x:v>
      </x:c>
      <x:c r="M12" s="2" t="str">
        <x:v>UPI</x:v>
      </x:c>
      <x:c r="N12" s="3" t="str">
        <x:f>TEXT(B12,"yyyy-mm")</x:f>
        <x:v>2024-01</x:v>
      </x:c>
      <x:c r="O12" s="3" t="str">
        <x:f>IF(J12=0,"No discount",IF(J12&lt;=0.1,"1-10%",IF(J12&lt;=0.15,"11-15%",IF(J12&lt;=0.2,"16-20%","21%+"))))</x:f>
        <x:v>16-20%</x:v>
      </x:c>
      <x:c r="P12" s="9" t="n">
        <x:f>IF(K12=0,0,L12/K12)</x:f>
        <x:v>0.2842812187270162</x:v>
      </x:c>
      <x:c r="Q12" s="3" t="str">
        <x:f>IF(L12&lt;0,"Yes","No")</x:f>
        <x:v>No</x:v>
      </x:c>
    </x:row>
    <x:row r="13" ht="21" customHeight="1">
      <x:c r="A13" s="2" t="str">
        <x:v>ORD-100938</x:v>
      </x:c>
      <x:c r="B13" s="4" t="n">
        <x:v>45298</x:v>
      </x:c>
      <x:c r="C13" s="2" t="str">
        <x:v>CUST-00522</x:v>
      </x:c>
      <x:c r="D13" s="2" t="str">
        <x:v>East</x:v>
      </x:c>
      <x:c r="E13" s="2" t="str">
        <x:v>Fashion</x:v>
      </x:c>
      <x:c r="F13" s="2" t="str">
        <x:v>Women</x:v>
      </x:c>
      <x:c r="G13" s="2" t="str">
        <x:v>Knit Winter Sweater</x:v>
      </x:c>
      <x:c r="H13" s="2" t="n">
        <x:v>2</x:v>
      </x:c>
      <x:c r="I13" s="6" t="n">
        <x:v>2226.69</x:v>
      </x:c>
      <x:c r="J13" s="8" t="n">
        <x:v>0.05</x:v>
      </x:c>
      <x:c r="K13" s="6" t="n">
        <x:v>4230.71</x:v>
      </x:c>
      <x:c r="L13" s="6" t="n">
        <x:v>1402.13</x:v>
      </x:c>
      <x:c r="M13" s="2" t="str">
        <x:v>UPI</x:v>
      </x:c>
      <x:c r="N13" s="3" t="str">
        <x:f>TEXT(B13,"yyyy-mm")</x:f>
        <x:v>2024-01</x:v>
      </x:c>
      <x:c r="O13" s="3" t="str">
        <x:f>IF(J13=0,"No discount",IF(J13&lt;=0.1,"1-10%",IF(J13&lt;=0.15,"11-15%",IF(J13&lt;=0.2,"16-20%","21%+"))))</x:f>
        <x:v>1-10%</x:v>
      </x:c>
      <x:c r="P13" s="9" t="n">
        <x:f>IF(K13=0,0,L13/K13)</x:f>
        <x:v>0.3314171852951396</x:v>
      </x:c>
      <x:c r="Q13" s="3" t="str">
        <x:f>IF(L13&lt;0,"Yes","No")</x:f>
        <x:v>No</x:v>
      </x:c>
    </x:row>
    <x:row r="14" ht="21" customHeight="1">
      <x:c r="A14" s="2" t="str">
        <x:v>ORD-101263</x:v>
      </x:c>
      <x:c r="B14" s="4" t="n">
        <x:v>45298</x:v>
      </x:c>
      <x:c r="C14" s="2" t="str">
        <x:v>CUST-00133</x:v>
      </x:c>
      <x:c r="D14" s="2" t="str">
        <x:v>South</x:v>
      </x:c>
      <x:c r="E14" s="2" t="str">
        <x:v>Fashion</x:v>
      </x:c>
      <x:c r="F14" s="2" t="str">
        <x:v>Women</x:v>
      </x:c>
      <x:c r="G14" s="2" t="str">
        <x:v>Knit Winter Sweater</x:v>
      </x:c>
      <x:c r="H14" s="2" t="n">
        <x:v>2</x:v>
      </x:c>
      <x:c r="I14" s="6" t="n">
        <x:v>2115.88</x:v>
      </x:c>
      <x:c r="J14" s="8" t="n">
        <x:v>0.25</x:v>
      </x:c>
      <x:c r="K14" s="6" t="n">
        <x:v>3173.82</x:v>
      </x:c>
      <x:c r="L14" s="6" t="n">
        <x:v>443.82</x:v>
      </x:c>
      <x:c r="M14" s="2" t="str">
        <x:v>UPI</x:v>
      </x:c>
      <x:c r="N14" s="3" t="str">
        <x:f>TEXT(B14,"yyyy-mm")</x:f>
        <x:v>2024-01</x:v>
      </x:c>
      <x:c r="O14" s="3" t="str">
        <x:f>IF(J14=0,"No discount",IF(J14&lt;=0.1,"1-10%",IF(J14&lt;=0.15,"11-15%",IF(J14&lt;=0.2,"16-20%","21%+"))))</x:f>
        <x:v>21%+</x:v>
      </x:c>
      <x:c r="P14" s="9" t="n">
        <x:f>IF(K14=0,0,L14/K14)</x:f>
        <x:v>0.13983779798476284</x:v>
      </x:c>
      <x:c r="Q14" s="3" t="str">
        <x:f>IF(L14&lt;0,"Yes","No")</x:f>
        <x:v>No</x:v>
      </x:c>
    </x:row>
    <x:row r="15" ht="21" customHeight="1">
      <x:c r="A15" s="2" t="str">
        <x:v>ORD-101631</x:v>
      </x:c>
      <x:c r="B15" s="4" t="n">
        <x:v>45298</x:v>
      </x:c>
      <x:c r="C15" s="2" t="str">
        <x:v>CUST-00027</x:v>
      </x:c>
      <x:c r="D15" s="2" t="str">
        <x:v>South</x:v>
      </x:c>
      <x:c r="E15" s="2" t="str">
        <x:v>Electronics</x:v>
      </x:c>
      <x:c r="F15" s="2" t="str">
        <x:v>Laptop</x:v>
      </x:c>
      <x:c r="G15" s="2" t="str">
        <x:v>AirBook Slim</x:v>
      </x:c>
      <x:c r="H15" s="2" t="n">
        <x:v>2</x:v>
      </x:c>
      <x:c r="I15" s="6" t="n">
        <x:v>75503.57</x:v>
      </x:c>
      <x:c r="J15" s="8" t="n">
        <x:v>0</x:v>
      </x:c>
      <x:c r="K15" s="6" t="n">
        <x:v>151007.14</x:v>
      </x:c>
      <x:c r="L15" s="6" t="n">
        <x:v>25183.27</x:v>
      </x:c>
      <x:c r="M15" s="2" t="str">
        <x:v>UPI</x:v>
      </x:c>
      <x:c r="N15" s="3" t="str">
        <x:f>TEXT(B15,"yyyy-mm")</x:f>
        <x:v>2024-01</x:v>
      </x:c>
      <x:c r="O15" s="3" t="str">
        <x:f>IF(J15=0,"No discount",IF(J15&lt;=0.1,"1-10%",IF(J15&lt;=0.15,"11-15%",IF(J15&lt;=0.2,"16-20%","21%+"))))</x:f>
        <x:v>No discount</x:v>
      </x:c>
      <x:c r="P15" s="9" t="n">
        <x:f>IF(K15=0,0,L15/K15)</x:f>
        <x:v>0.16676873689548719</x:v>
      </x:c>
      <x:c r="Q15" s="3" t="str">
        <x:f>IF(L15&lt;0,"Yes","No")</x:f>
        <x:v>No</x:v>
      </x:c>
    </x:row>
    <x:row r="16" ht="21" customHeight="1">
      <x:c r="A16" s="2" t="str">
        <x:v>ORD-101717</x:v>
      </x:c>
      <x:c r="B16" s="4" t="n">
        <x:v>45298</x:v>
      </x:c>
      <x:c r="C16" s="2" t="str">
        <x:v>CUST-00315</x:v>
      </x:c>
      <x:c r="D16" s="2" t="str">
        <x:v>North</x:v>
      </x:c>
      <x:c r="E16" s="2" t="str">
        <x:v>Sports</x:v>
      </x:c>
      <x:c r="F16" s="2" t="str">
        <x:v>Outdoor</x:v>
      </x:c>
      <x:c r="G16" s="2" t="str">
        <x:v>AllWeather Tent 4P</x:v>
      </x:c>
      <x:c r="H16" s="2" t="n">
        <x:v>1</x:v>
      </x:c>
      <x:c r="I16" s="6" t="n">
        <x:v>12085.24</x:v>
      </x:c>
      <x:c r="J16" s="8" t="n">
        <x:v>0.1</x:v>
      </x:c>
      <x:c r="K16" s="6" t="n">
        <x:v>10876.72</x:v>
      </x:c>
      <x:c r="L16" s="6" t="n">
        <x:v>3298.41</x:v>
      </x:c>
      <x:c r="M16" s="2" t="str">
        <x:v>Debit Card</x:v>
      </x:c>
      <x:c r="N16" s="3" t="str">
        <x:f>TEXT(B16,"yyyy-mm")</x:f>
        <x:v>2024-01</x:v>
      </x:c>
      <x:c r="O16" s="3" t="str">
        <x:f>IF(J16=0,"No discount",IF(J16&lt;=0.1,"1-10%",IF(J16&lt;=0.15,"11-15%",IF(J16&lt;=0.2,"16-20%","21%+"))))</x:f>
        <x:v>1-10%</x:v>
      </x:c>
      <x:c r="P16" s="9" t="n">
        <x:f>IF(K16=0,0,L16/K16)</x:f>
        <x:v>0.3032541060172552</x:v>
      </x:c>
      <x:c r="Q16" s="3" t="str">
        <x:f>IF(L16&lt;0,"Yes","No")</x:f>
        <x:v>No</x:v>
      </x:c>
    </x:row>
    <x:row r="17" ht="21" customHeight="1">
      <x:c r="A17" s="2" t="str">
        <x:v>ORD-101901</x:v>
      </x:c>
      <x:c r="B17" s="4" t="n">
        <x:v>45298</x:v>
      </x:c>
      <x:c r="C17" s="2" t="str">
        <x:v>CUST-00354</x:v>
      </x:c>
      <x:c r="D17" s="2" t="str">
        <x:v>South</x:v>
      </x:c>
      <x:c r="E17" s="2" t="str">
        <x:v>Sports</x:v>
      </x:c>
      <x:c r="F17" s="2" t="str">
        <x:v>Outdoor</x:v>
      </x:c>
      <x:c r="G17" s="2" t="str">
        <x:v>TrailHike Backpack 60L</x:v>
      </x:c>
      <x:c r="H17" s="2" t="n">
        <x:v>1</x:v>
      </x:c>
      <x:c r="I17" s="6" t="n">
        <x:v>3426.47</x:v>
      </x:c>
      <x:c r="J17" s="8" t="n">
        <x:v>0.15</x:v>
      </x:c>
      <x:c r="K17" s="6" t="n">
        <x:v>2912.5</x:v>
      </x:c>
      <x:c r="L17" s="6" t="n">
        <x:v>602.81</x:v>
      </x:c>
      <x:c r="M17" s="2" t="str">
        <x:v>Net Banking</x:v>
      </x:c>
      <x:c r="N17" s="3" t="str">
        <x:f>TEXT(B17,"yyyy-mm")</x:f>
        <x:v>2024-01</x:v>
      </x:c>
      <x:c r="O17" s="3" t="str">
        <x:f>IF(J17=0,"No discount",IF(J17&lt;=0.1,"1-10%",IF(J17&lt;=0.15,"11-15%",IF(J17&lt;=0.2,"16-20%","21%+"))))</x:f>
        <x:v>11-15%</x:v>
      </x:c>
      <x:c r="P17" s="9" t="n">
        <x:f>IF(K17=0,0,L17/K17)</x:f>
        <x:v>0.2069733905579399</x:v>
      </x:c>
      <x:c r="Q17" s="3" t="str">
        <x:f>IF(L17&lt;0,"Yes","No")</x:f>
        <x:v>No</x:v>
      </x:c>
    </x:row>
    <x:row r="18" ht="21" customHeight="1">
      <x:c r="A18" s="2" t="str">
        <x:v>ORD-100355</x:v>
      </x:c>
      <x:c r="B18" s="4" t="n">
        <x:v>45299</x:v>
      </x:c>
      <x:c r="C18" s="2" t="str">
        <x:v>CUST-00194</x:v>
      </x:c>
      <x:c r="D18" s="2" t="str">
        <x:v>North</x:v>
      </x:c>
      <x:c r="E18" s="2" t="str">
        <x:v>Electronics</x:v>
      </x:c>
      <x:c r="F18" s="2" t="str">
        <x:v>Audio</x:v>
      </x:c>
      <x:c r="G18" s="2" t="str">
        <x:v>BassBoom Speaker</x:v>
      </x:c>
      <x:c r="H18" s="2" t="n">
        <x:v>4</x:v>
      </x:c>
      <x:c r="I18" s="6" t="n">
        <x:v>8557.27</x:v>
      </x:c>
      <x:c r="J18" s="8" t="n">
        <x:v>0.05</x:v>
      </x:c>
      <x:c r="K18" s="6" t="n">
        <x:v>32517.63</x:v>
      </x:c>
      <x:c r="L18" s="6" t="n">
        <x:v>3802.44</x:v>
      </x:c>
      <x:c r="M18" s="2" t="str">
        <x:v>UPI</x:v>
      </x:c>
      <x:c r="N18" s="3" t="str">
        <x:f>TEXT(B18,"yyyy-mm")</x:f>
        <x:v>2024-01</x:v>
      </x:c>
      <x:c r="O18" s="3" t="str">
        <x:f>IF(J18=0,"No discount",IF(J18&lt;=0.1,"1-10%",IF(J18&lt;=0.15,"11-15%",IF(J18&lt;=0.2,"16-20%","21%+"))))</x:f>
        <x:v>1-10%</x:v>
      </x:c>
      <x:c r="P18" s="9" t="n">
        <x:f>IF(K18=0,0,L18/K18)</x:f>
        <x:v>0.116934721257361</x:v>
      </x:c>
      <x:c r="Q18" s="3" t="str">
        <x:f>IF(L18&lt;0,"Yes","No")</x:f>
        <x:v>No</x:v>
      </x:c>
    </x:row>
    <x:row r="19" ht="21" customHeight="1">
      <x:c r="A19" s="2" t="str">
        <x:v>ORD-101920</x:v>
      </x:c>
      <x:c r="B19" s="4" t="n">
        <x:v>45299</x:v>
      </x:c>
      <x:c r="C19" s="2" t="str">
        <x:v>CUST-00578</x:v>
      </x:c>
      <x:c r="D19" s="2" t="str">
        <x:v>South</x:v>
      </x:c>
      <x:c r="E19" s="2" t="str">
        <x:v>Home &amp; Kitchen</x:v>
      </x:c>
      <x:c r="F19" s="2" t="str">
        <x:v>Appliances</x:v>
      </x:c>
      <x:c r="G19" s="2" t="str">
        <x:v>AirFryer Deluxe</x:v>
      </x:c>
      <x:c r="H19" s="2" t="n">
        <x:v>1</x:v>
      </x:c>
      <x:c r="I19" s="6" t="n">
        <x:v>8013.29</x:v>
      </x:c>
      <x:c r="J19" s="8" t="n">
        <x:v>0</x:v>
      </x:c>
      <x:c r="K19" s="6" t="n">
        <x:v>8013.29</x:v>
      </x:c>
      <x:c r="L19" s="6" t="n">
        <x:v>2928.63</x:v>
      </x:c>
      <x:c r="M19" s="2" t="str">
        <x:v>Cash on Delivery</x:v>
      </x:c>
      <x:c r="N19" s="3" t="str">
        <x:f>TEXT(B19,"yyyy-mm")</x:f>
        <x:v>2024-01</x:v>
      </x:c>
      <x:c r="O19" s="3" t="str">
        <x:f>IF(J19=0,"No discount",IF(J19&lt;=0.1,"1-10%",IF(J19&lt;=0.15,"11-15%",IF(J19&lt;=0.2,"16-20%","21%+"))))</x:f>
        <x:v>No discount</x:v>
      </x:c>
      <x:c r="P19" s="9" t="n">
        <x:f>IF(K19=0,0,L19/K19)</x:f>
        <x:v>0.36547161028741004</x:v>
      </x:c>
      <x:c r="Q19" s="3" t="str">
        <x:f>IF(L19&lt;0,"Yes","No")</x:f>
        <x:v>No</x:v>
      </x:c>
    </x:row>
    <x:row r="20" ht="21" customHeight="1">
      <x:c r="A20" s="2" t="str">
        <x:v>ORD-100590</x:v>
      </x:c>
      <x:c r="B20" s="4" t="n">
        <x:v>45300</x:v>
      </x:c>
      <x:c r="C20" s="2" t="str">
        <x:v>CUST-00380</x:v>
      </x:c>
      <x:c r="D20" s="2" t="str">
        <x:v>South</x:v>
      </x:c>
      <x:c r="E20" s="2" t="str">
        <x:v>Beauty</x:v>
      </x:c>
      <x:c r="F20" s="2" t="str">
        <x:v>Skincare</x:v>
      </x:c>
      <x:c r="G20" s="2" t="str">
        <x:v>HydraBoost Moisturizer</x:v>
      </x:c>
      <x:c r="H20" s="2" t="n">
        <x:v>2</x:v>
      </x:c>
      <x:c r="I20" s="6" t="n">
        <x:v>1236.5</x:v>
      </x:c>
      <x:c r="J20" s="8" t="n">
        <x:v>0.05</x:v>
      </x:c>
      <x:c r="K20" s="6" t="n">
        <x:v>2349.35</x:v>
      </x:c>
      <x:c r="L20" s="6" t="n">
        <x:v>1218.6</x:v>
      </x:c>
      <x:c r="M20" s="2" t="str">
        <x:v>UPI</x:v>
      </x:c>
      <x:c r="N20" s="3" t="str">
        <x:f>TEXT(B20,"yyyy-mm")</x:f>
        <x:v>2024-01</x:v>
      </x:c>
      <x:c r="O20" s="3" t="str">
        <x:f>IF(J20=0,"No discount",IF(J20&lt;=0.1,"1-10%",IF(J20&lt;=0.15,"11-15%",IF(J20&lt;=0.2,"16-20%","21%+"))))</x:f>
        <x:v>1-10%</x:v>
      </x:c>
      <x:c r="P20" s="9" t="n">
        <x:f>IF(K20=0,0,L20/K20)</x:f>
        <x:v>0.5186966607785132</x:v>
      </x:c>
      <x:c r="Q20" s="3" t="str">
        <x:f>IF(L20&lt;0,"Yes","No")</x:f>
        <x:v>No</x:v>
      </x:c>
    </x:row>
    <x:row r="21" ht="21" customHeight="1">
      <x:c r="A21" s="2" t="str">
        <x:v>ORD-100603</x:v>
      </x:c>
      <x:c r="B21" s="4" t="n">
        <x:v>45300</x:v>
      </x:c>
      <x:c r="C21" s="2" t="str">
        <x:v>CUST-00149</x:v>
      </x:c>
      <x:c r="D21" s="2" t="str">
        <x:v>East</x:v>
      </x:c>
      <x:c r="E21" s="2" t="str">
        <x:v>Beauty</x:v>
      </x:c>
      <x:c r="F21" s="2" t="str">
        <x:v>Makeup</x:v>
      </x:c>
      <x:c r="G21" s="2" t="str">
        <x:v>HD Foundation Kit</x:v>
      </x:c>
      <x:c r="H21" s="2" t="n">
        <x:v>2</x:v>
      </x:c>
      <x:c r="I21" s="6" t="n">
        <x:v>1445.88</x:v>
      </x:c>
      <x:c r="J21" s="8" t="n">
        <x:v>0.1</x:v>
      </x:c>
      <x:c r="K21" s="6" t="n">
        <x:v>2602.58</x:v>
      </x:c>
      <x:c r="L21" s="6" t="n">
        <x:v>1125.78</x:v>
      </x:c>
      <x:c r="M21" s="2" t="str">
        <x:v>UPI</x:v>
      </x:c>
      <x:c r="N21" s="3" t="str">
        <x:f>TEXT(B21,"yyyy-mm")</x:f>
        <x:v>2024-01</x:v>
      </x:c>
      <x:c r="O21" s="3" t="str">
        <x:f>IF(J21=0,"No discount",IF(J21&lt;=0.1,"1-10%",IF(J21&lt;=0.15,"11-15%",IF(J21&lt;=0.2,"16-20%","21%+"))))</x:f>
        <x:v>1-10%</x:v>
      </x:c>
      <x:c r="P21" s="9" t="n">
        <x:f>IF(K21=0,0,L21/K21)</x:f>
        <x:v>0.43256307202852556</x:v>
      </x:c>
      <x:c r="Q21" s="3" t="str">
        <x:f>IF(L21&lt;0,"Yes","No")</x:f>
        <x:v>No</x:v>
      </x:c>
    </x:row>
    <x:row r="22" ht="21" customHeight="1">
      <x:c r="A22" s="2" t="str">
        <x:v>ORD-100697</x:v>
      </x:c>
      <x:c r="B22" s="4" t="n">
        <x:v>45300</x:v>
      </x:c>
      <x:c r="C22" s="2" t="str">
        <x:v>CUST-00297</x:v>
      </x:c>
      <x:c r="D22" s="2" t="str">
        <x:v>West</x:v>
      </x:c>
      <x:c r="E22" s="2" t="str">
        <x:v>Electronics</x:v>
      </x:c>
      <x:c r="F22" s="2" t="str">
        <x:v>Mobile</x:v>
      </x:c>
      <x:c r="G22" s="2" t="str">
        <x:v>Galaxy Nova X5</x:v>
      </x:c>
      <x:c r="H22" s="2" t="n">
        <x:v>1</x:v>
      </x:c>
      <x:c r="I22" s="6" t="n">
        <x:v>25460.08</x:v>
      </x:c>
      <x:c r="J22" s="8" t="n">
        <x:v>0</x:v>
      </x:c>
      <x:c r="K22" s="6" t="n">
        <x:v>25460.08</x:v>
      </x:c>
      <x:c r="L22" s="6" t="n">
        <x:v>3670.41</x:v>
      </x:c>
      <x:c r="M22" s="2" t="str">
        <x:v>Credit Card</x:v>
      </x:c>
      <x:c r="N22" s="3" t="str">
        <x:f>TEXT(B22,"yyyy-mm")</x:f>
        <x:v>2024-01</x:v>
      </x:c>
      <x:c r="O22" s="3" t="str">
        <x:f>IF(J22=0,"No discount",IF(J22&lt;=0.1,"1-10%",IF(J22&lt;=0.15,"11-15%",IF(J22&lt;=0.2,"16-20%","21%+"))))</x:f>
        <x:v>No discount</x:v>
      </x:c>
      <x:c r="P22" s="9" t="n">
        <x:f>IF(K22=0,0,L22/K22)</x:f>
        <x:v>0.14416333334380724</x:v>
      </x:c>
      <x:c r="Q22" s="3" t="str">
        <x:f>IF(L22&lt;0,"Yes","No")</x:f>
        <x:v>No</x:v>
      </x:c>
    </x:row>
    <x:row r="23" ht="21" customHeight="1">
      <x:c r="A23" s="2" t="str">
        <x:v>ORD-100850</x:v>
      </x:c>
      <x:c r="B23" s="4" t="n">
        <x:v>45300</x:v>
      </x:c>
      <x:c r="C23" s="2" t="str">
        <x:v>CUST-00386</x:v>
      </x:c>
      <x:c r="D23" s="2" t="str">
        <x:v>South</x:v>
      </x:c>
      <x:c r="E23" s="2" t="str">
        <x:v>Electronics</x:v>
      </x:c>
      <x:c r="F23" s="2" t="str">
        <x:v>Audio</x:v>
      </x:c>
      <x:c r="G23" s="2" t="str">
        <x:v>BassBoom Speaker</x:v>
      </x:c>
      <x:c r="H23" s="2" t="n">
        <x:v>4</x:v>
      </x:c>
      <x:c r="I23" s="6" t="n">
        <x:v>8639.43</x:v>
      </x:c>
      <x:c r="J23" s="8" t="n">
        <x:v>0</x:v>
      </x:c>
      <x:c r="K23" s="6" t="n">
        <x:v>34557.72</x:v>
      </x:c>
      <x:c r="L23" s="6" t="n">
        <x:v>6787.42</x:v>
      </x:c>
      <x:c r="M23" s="2" t="str">
        <x:v>UPI</x:v>
      </x:c>
      <x:c r="N23" s="3" t="str">
        <x:f>TEXT(B23,"yyyy-mm")</x:f>
        <x:v>2024-01</x:v>
      </x:c>
      <x:c r="O23" s="3" t="str">
        <x:f>IF(J23=0,"No discount",IF(J23&lt;=0.1,"1-10%",IF(J23&lt;=0.15,"11-15%",IF(J23&lt;=0.2,"16-20%","21%+"))))</x:f>
        <x:v>No discount</x:v>
      </x:c>
      <x:c r="P23" s="9" t="n">
        <x:f>IF(K23=0,0,L23/K23)</x:f>
        <x:v>0.1964082121158456</x:v>
      </x:c>
      <x:c r="Q23" s="3" t="str">
        <x:f>IF(L23&lt;0,"Yes","No")</x:f>
        <x:v>No</x:v>
      </x:c>
    </x:row>
    <x:row r="24" ht="21" customHeight="1">
      <x:c r="A24" s="2" t="str">
        <x:v>ORD-100891</x:v>
      </x:c>
      <x:c r="B24" s="4" t="n">
        <x:v>45300</x:v>
      </x:c>
      <x:c r="C24" s="2" t="str">
        <x:v>CUST-00487</x:v>
      </x:c>
      <x:c r="D24" s="2" t="str">
        <x:v>North</x:v>
      </x:c>
      <x:c r="E24" s="2" t="str">
        <x:v>Beauty</x:v>
      </x:c>
      <x:c r="F24" s="2" t="str">
        <x:v>Makeup</x:v>
      </x:c>
      <x:c r="G24" s="2" t="str">
        <x:v>HD Foundation Kit</x:v>
      </x:c>
      <x:c r="H24" s="2" t="n">
        <x:v>2</x:v>
      </x:c>
      <x:c r="I24" s="6" t="n">
        <x:v>1559.15</x:v>
      </x:c>
      <x:c r="J24" s="8" t="n">
        <x:v>0.1</x:v>
      </x:c>
      <x:c r="K24" s="6" t="n">
        <x:v>2806.47</x:v>
      </x:c>
      <x:c r="L24" s="6" t="n">
        <x:v>1180.93</x:v>
      </x:c>
      <x:c r="M24" s="2" t="str">
        <x:v>UPI</x:v>
      </x:c>
      <x:c r="N24" s="3" t="str">
        <x:f>TEXT(B24,"yyyy-mm")</x:f>
        <x:v>2024-01</x:v>
      </x:c>
      <x:c r="O24" s="3" t="str">
        <x:f>IF(J24=0,"No discount",IF(J24&lt;=0.1,"1-10%",IF(J24&lt;=0.15,"11-15%",IF(J24&lt;=0.2,"16-20%","21%+"))))</x:f>
        <x:v>1-10%</x:v>
      </x:c>
      <x:c r="P24" s="9" t="n">
        <x:f>IF(K24=0,0,L24/K24)</x:f>
        <x:v>0.42078839253581907</x:v>
      </x:c>
      <x:c r="Q24" s="3" t="str">
        <x:f>IF(L24&lt;0,"Yes","No")</x:f>
        <x:v>No</x:v>
      </x:c>
    </x:row>
    <x:row r="25" ht="21" customHeight="1">
      <x:c r="A25" s="2" t="str">
        <x:v>ORD-101138</x:v>
      </x:c>
      <x:c r="B25" s="4" t="n">
        <x:v>45300</x:v>
      </x:c>
      <x:c r="C25" s="2" t="str">
        <x:v>CUST-00439</x:v>
      </x:c>
      <x:c r="D25" s="2" t="str">
        <x:v>North</x:v>
      </x:c>
      <x:c r="E25" s="2" t="str">
        <x:v>Home &amp; Kitchen</x:v>
      </x:c>
      <x:c r="F25" s="2" t="str">
        <x:v>Furniture</x:v>
      </x:c>
      <x:c r="G25" s="2" t="str">
        <x:v>Oakwood Study Desk</x:v>
      </x:c>
      <x:c r="H25" s="2" t="n">
        <x:v>1</x:v>
      </x:c>
      <x:c r="I25" s="6" t="n">
        <x:v>13120.47</x:v>
      </x:c>
      <x:c r="J25" s="8" t="n">
        <x:v>0.1</x:v>
      </x:c>
      <x:c r="K25" s="6" t="n">
        <x:v>11808.42</x:v>
      </x:c>
      <x:c r="L25" s="6" t="n">
        <x:v>2872.47</x:v>
      </x:c>
      <x:c r="M25" s="2" t="str">
        <x:v>UPI</x:v>
      </x:c>
      <x:c r="N25" s="3" t="str">
        <x:f>TEXT(B25,"yyyy-mm")</x:f>
        <x:v>2024-01</x:v>
      </x:c>
      <x:c r="O25" s="3" t="str">
        <x:f>IF(J25=0,"No discount",IF(J25&lt;=0.1,"1-10%",IF(J25&lt;=0.15,"11-15%",IF(J25&lt;=0.2,"16-20%","21%+"))))</x:f>
        <x:v>1-10%</x:v>
      </x:c>
      <x:c r="P25" s="9" t="n">
        <x:f>IF(K25=0,0,L25/K25)</x:f>
        <x:v>0.24325608337101828</x:v>
      </x:c>
      <x:c r="Q25" s="3" t="str">
        <x:f>IF(L25&lt;0,"Yes","No")</x:f>
        <x:v>No</x:v>
      </x:c>
    </x:row>
    <x:row r="26" ht="21" customHeight="1">
      <x:c r="A26" s="2" t="str">
        <x:v>ORD-101290</x:v>
      </x:c>
      <x:c r="B26" s="4" t="n">
        <x:v>45300</x:v>
      </x:c>
      <x:c r="C26" s="2" t="str">
        <x:v>CUST-00335</x:v>
      </x:c>
      <x:c r="D26" s="2" t="str">
        <x:v>North</x:v>
      </x:c>
      <x:c r="E26" s="2" t="str">
        <x:v>Fashion</x:v>
      </x:c>
      <x:c r="F26" s="2" t="str">
        <x:v>Men</x:v>
      </x:c>
      <x:c r="G26" s="2" t="str">
        <x:v>SlimFit Denim Jeans</x:v>
      </x:c>
      <x:c r="H26" s="2" t="n">
        <x:v>1</x:v>
      </x:c>
      <x:c r="I26" s="6" t="n">
        <x:v>2035.59</x:v>
      </x:c>
      <x:c r="J26" s="8" t="n">
        <x:v>0.15</x:v>
      </x:c>
      <x:c r="K26" s="6" t="n">
        <x:v>1730.25</x:v>
      </x:c>
      <x:c r="L26" s="6" t="n">
        <x:v>445.59</x:v>
      </x:c>
      <x:c r="M26" s="2" t="str">
        <x:v>UPI</x:v>
      </x:c>
      <x:c r="N26" s="3" t="str">
        <x:f>TEXT(B26,"yyyy-mm")</x:f>
        <x:v>2024-01</x:v>
      </x:c>
      <x:c r="O26" s="3" t="str">
        <x:f>IF(J26=0,"No discount",IF(J26&lt;=0.1,"1-10%",IF(J26&lt;=0.15,"11-15%",IF(J26&lt;=0.2,"16-20%","21%+"))))</x:f>
        <x:v>11-15%</x:v>
      </x:c>
      <x:c r="P26" s="9" t="n">
        <x:f>IF(K26=0,0,L26/K26)</x:f>
        <x:v>0.2575292587776333</x:v>
      </x:c>
      <x:c r="Q26" s="3" t="str">
        <x:f>IF(L26&lt;0,"Yes","No")</x:f>
        <x:v>No</x:v>
      </x:c>
    </x:row>
    <x:row r="27" ht="21" customHeight="1">
      <x:c r="A27" s="2" t="str">
        <x:v>ORD-101421</x:v>
      </x:c>
      <x:c r="B27" s="4" t="n">
        <x:v>45300</x:v>
      </x:c>
      <x:c r="C27" s="2" t="str">
        <x:v>CUST-00314</x:v>
      </x:c>
      <x:c r="D27" s="2" t="str">
        <x:v>South</x:v>
      </x:c>
      <x:c r="E27" s="2" t="str">
        <x:v>Sports</x:v>
      </x:c>
      <x:c r="F27" s="2" t="str">
        <x:v>Fitness</x:v>
      </x:c>
      <x:c r="G27" s="2" t="str">
        <x:v>Adjustable Dumbbell 24kg</x:v>
      </x:c>
      <x:c r="H27" s="2" t="n">
        <x:v>1</x:v>
      </x:c>
      <x:c r="I27" s="6" t="n">
        <x:v>9578.12</x:v>
      </x:c>
      <x:c r="J27" s="8" t="n">
        <x:v>0</x:v>
      </x:c>
      <x:c r="K27" s="6" t="n">
        <x:v>9578.12</x:v>
      </x:c>
      <x:c r="L27" s="6" t="n">
        <x:v>3519.58</x:v>
      </x:c>
      <x:c r="M27" s="2" t="str">
        <x:v>Credit Card</x:v>
      </x:c>
      <x:c r="N27" s="3" t="str">
        <x:f>TEXT(B27,"yyyy-mm")</x:f>
        <x:v>2024-01</x:v>
      </x:c>
      <x:c r="O27" s="3" t="str">
        <x:f>IF(J27=0,"No discount",IF(J27&lt;=0.1,"1-10%",IF(J27&lt;=0.15,"11-15%",IF(J27&lt;=0.2,"16-20%","21%+"))))</x:f>
        <x:v>No discount</x:v>
      </x:c>
      <x:c r="P27" s="9" t="n">
        <x:f>IF(K27=0,0,L27/K27)</x:f>
        <x:v>0.3674604202077234</x:v>
      </x:c>
      <x:c r="Q27" s="3" t="str">
        <x:f>IF(L27&lt;0,"Yes","No")</x:f>
        <x:v>No</x:v>
      </x:c>
    </x:row>
    <x:row r="28" ht="21" customHeight="1">
      <x:c r="A28" s="2" t="str">
        <x:v>ORD-101454</x:v>
      </x:c>
      <x:c r="B28" s="4" t="n">
        <x:v>45300</x:v>
      </x:c>
      <x:c r="C28" s="2" t="str">
        <x:v>CUST-00359</x:v>
      </x:c>
      <x:c r="D28" s="2" t="str">
        <x:v>South</x:v>
      </x:c>
      <x:c r="E28" s="2" t="str">
        <x:v>Beauty</x:v>
      </x:c>
      <x:c r="F28" s="2" t="str">
        <x:v>Makeup</x:v>
      </x:c>
      <x:c r="G28" s="2" t="str">
        <x:v>Matte Lipstick Set</x:v>
      </x:c>
      <x:c r="H28" s="2" t="n">
        <x:v>2</x:v>
      </x:c>
      <x:c r="I28" s="6" t="n">
        <x:v>981.13</x:v>
      </x:c>
      <x:c r="J28" s="8" t="n">
        <x:v>0.05</x:v>
      </x:c>
      <x:c r="K28" s="6" t="n">
        <x:v>1864.15</x:v>
      </x:c>
      <x:c r="L28" s="6" t="n">
        <x:v>850.92</x:v>
      </x:c>
      <x:c r="M28" s="2" t="str">
        <x:v>Credit Card</x:v>
      </x:c>
      <x:c r="N28" s="3" t="str">
        <x:f>TEXT(B28,"yyyy-mm")</x:f>
        <x:v>2024-01</x:v>
      </x:c>
      <x:c r="O28" s="3" t="str">
        <x:f>IF(J28=0,"No discount",IF(J28&lt;=0.1,"1-10%",IF(J28&lt;=0.15,"11-15%",IF(J28&lt;=0.2,"16-20%","21%+"))))</x:f>
        <x:v>1-10%</x:v>
      </x:c>
      <x:c r="P28" s="9" t="n">
        <x:f>IF(K28=0,0,L28/K28)</x:f>
        <x:v>0.45646541319099854</x:v>
      </x:c>
      <x:c r="Q28" s="3" t="str">
        <x:f>IF(L28&lt;0,"Yes","No")</x:f>
        <x:v>No</x:v>
      </x:c>
    </x:row>
    <x:row r="29" ht="21" customHeight="1">
      <x:c r="A29" s="2" t="str">
        <x:v>ORD-101959</x:v>
      </x:c>
      <x:c r="B29" s="4" t="n">
        <x:v>45300</x:v>
      </x:c>
      <x:c r="C29" s="2" t="str">
        <x:v>CUST-00202</x:v>
      </x:c>
      <x:c r="D29" s="2" t="str">
        <x:v>South</x:v>
      </x:c>
      <x:c r="E29" s="2" t="str">
        <x:v>Home &amp; Kitchen</x:v>
      </x:c>
      <x:c r="F29" s="2" t="str">
        <x:v>Furniture</x:v>
      </x:c>
      <x:c r="G29" s="2" t="str">
        <x:v>ErgoComfort Chair</x:v>
      </x:c>
      <x:c r="H29" s="2" t="n">
        <x:v>5</x:v>
      </x:c>
      <x:c r="I29" s="6" t="n">
        <x:v>8706.41</x:v>
      </x:c>
      <x:c r="J29" s="8" t="n">
        <x:v>0</x:v>
      </x:c>
      <x:c r="K29" s="6" t="n">
        <x:v>43532.05</x:v>
      </x:c>
      <x:c r="L29" s="6" t="n">
        <x:v>13561.59</x:v>
      </x:c>
      <x:c r="M29" s="2" t="str">
        <x:v>Debit Card</x:v>
      </x:c>
      <x:c r="N29" s="3" t="str">
        <x:f>TEXT(B29,"yyyy-mm")</x:f>
        <x:v>2024-01</x:v>
      </x:c>
      <x:c r="O29" s="3" t="str">
        <x:f>IF(J29=0,"No discount",IF(J29&lt;=0.1,"1-10%",IF(J29&lt;=0.15,"11-15%",IF(J29&lt;=0.2,"16-20%","21%+"))))</x:f>
        <x:v>No discount</x:v>
      </x:c>
      <x:c r="P29" s="9" t="n">
        <x:f>IF(K29=0,0,L29/K29)</x:f>
        <x:v>0.3115311592263631</x:v>
      </x:c>
      <x:c r="Q29" s="3" t="str">
        <x:f>IF(L29&lt;0,"Yes","No")</x:f>
        <x:v>No</x:v>
      </x:c>
    </x:row>
    <x:row r="30" ht="21" customHeight="1">
      <x:c r="A30" s="2" t="str">
        <x:v>ORD-100262</x:v>
      </x:c>
      <x:c r="B30" s="4" t="n">
        <x:v>45301</x:v>
      </x:c>
      <x:c r="C30" s="2" t="str">
        <x:v>CUST-00136</x:v>
      </x:c>
      <x:c r="D30" s="2" t="str">
        <x:v>East</x:v>
      </x:c>
      <x:c r="E30" s="2" t="str">
        <x:v>Fashion</x:v>
      </x:c>
      <x:c r="F30" s="2" t="str">
        <x:v>Men</x:v>
      </x:c>
      <x:c r="G30" s="2" t="str">
        <x:v>SlimFit Denim Jeans</x:v>
      </x:c>
      <x:c r="H30" s="2" t="n">
        <x:v>2</x:v>
      </x:c>
      <x:c r="I30" s="6" t="n">
        <x:v>1980.91</x:v>
      </x:c>
      <x:c r="J30" s="8" t="n">
        <x:v>0</x:v>
      </x:c>
      <x:c r="K30" s="6" t="n">
        <x:v>3961.82</x:v>
      </x:c>
      <x:c r="L30" s="6" t="n">
        <x:v>1511.85</x:v>
      </x:c>
      <x:c r="M30" s="2" t="str">
        <x:v>Debit Card</x:v>
      </x:c>
      <x:c r="N30" s="3" t="str">
        <x:f>TEXT(B30,"yyyy-mm")</x:f>
        <x:v>2024-01</x:v>
      </x:c>
      <x:c r="O30" s="3" t="str">
        <x:f>IF(J30=0,"No discount",IF(J30&lt;=0.1,"1-10%",IF(J30&lt;=0.15,"11-15%",IF(J30&lt;=0.2,"16-20%","21%+"))))</x:f>
        <x:v>No discount</x:v>
      </x:c>
      <x:c r="P30" s="9" t="n">
        <x:f>IF(K30=0,0,L30/K30)</x:f>
        <x:v>0.381604918951391</x:v>
      </x:c>
      <x:c r="Q30" s="3" t="str">
        <x:f>IF(L30&lt;0,"Yes","No")</x:f>
        <x:v>No</x:v>
      </x:c>
    </x:row>
    <x:row r="31" ht="21" customHeight="1">
      <x:c r="A31" s="2" t="str">
        <x:v>ORD-101985</x:v>
      </x:c>
      <x:c r="B31" s="4" t="n">
        <x:v>45301</x:v>
      </x:c>
      <x:c r="C31" s="2" t="str">
        <x:v>CUST-00579</x:v>
      </x:c>
      <x:c r="D31" s="2" t="str">
        <x:v>East</x:v>
      </x:c>
      <x:c r="E31" s="2" t="str">
        <x:v>Fashion</x:v>
      </x:c>
      <x:c r="F31" s="2" t="str">
        <x:v>Footwear</x:v>
      </x:c>
      <x:c r="G31" s="2" t="str">
        <x:v>RunFlex Sneakers</x:v>
      </x:c>
      <x:c r="H31" s="2" t="n">
        <x:v>3</x:v>
      </x:c>
      <x:c r="I31" s="6" t="n">
        <x:v>3005.89</x:v>
      </x:c>
      <x:c r="J31" s="8" t="n">
        <x:v>0.1</x:v>
      </x:c>
      <x:c r="K31" s="6" t="n">
        <x:v>8115.9</x:v>
      </x:c>
      <x:c r="L31" s="6" t="n">
        <x:v>2620.57</x:v>
      </x:c>
      <x:c r="M31" s="2" t="str">
        <x:v>UPI</x:v>
      </x:c>
      <x:c r="N31" s="3" t="str">
        <x:f>TEXT(B31,"yyyy-mm")</x:f>
        <x:v>2024-01</x:v>
      </x:c>
      <x:c r="O31" s="3" t="str">
        <x:f>IF(J31=0,"No discount",IF(J31&lt;=0.1,"1-10%",IF(J31&lt;=0.15,"11-15%",IF(J31&lt;=0.2,"16-20%","21%+"))))</x:f>
        <x:v>1-10%</x:v>
      </x:c>
      <x:c r="P31" s="9" t="n">
        <x:f>IF(K31=0,0,L31/K31)</x:f>
        <x:v>0.32289333284047367</x:v>
      </x:c>
      <x:c r="Q31" s="3" t="str">
        <x:f>IF(L31&lt;0,"Yes","No")</x:f>
        <x:v>No</x:v>
      </x:c>
    </x:row>
    <x:row r="32" ht="21" customHeight="1">
      <x:c r="A32" s="2" t="str">
        <x:v>ORD-101987</x:v>
      </x:c>
      <x:c r="B32" s="4" t="n">
        <x:v>45301</x:v>
      </x:c>
      <x:c r="C32" s="2" t="str">
        <x:v>CUST-00445</x:v>
      </x:c>
      <x:c r="D32" s="2" t="str">
        <x:v>North</x:v>
      </x:c>
      <x:c r="E32" s="2" t="str">
        <x:v>Electronics</x:v>
      </x:c>
      <x:c r="F32" s="2" t="str">
        <x:v>Mobile</x:v>
      </x:c>
      <x:c r="G32" s="2" t="str">
        <x:v>Galaxy Nova X5</x:v>
      </x:c>
      <x:c r="H32" s="2" t="n">
        <x:v>1</x:v>
      </x:c>
      <x:c r="I32" s="6" t="n">
        <x:v>25495.85</x:v>
      </x:c>
      <x:c r="J32" s="8" t="n">
        <x:v>0</x:v>
      </x:c>
      <x:c r="K32" s="6" t="n">
        <x:v>25495.85</x:v>
      </x:c>
      <x:c r="L32" s="6" t="n">
        <x:v>3772.82</x:v>
      </x:c>
      <x:c r="M32" s="2" t="str">
        <x:v>Credit Card</x:v>
      </x:c>
      <x:c r="N32" s="3" t="str">
        <x:f>TEXT(B32,"yyyy-mm")</x:f>
        <x:v>2024-01</x:v>
      </x:c>
      <x:c r="O32" s="3" t="str">
        <x:f>IF(J32=0,"No discount",IF(J32&lt;=0.1,"1-10%",IF(J32&lt;=0.15,"11-15%",IF(J32&lt;=0.2,"16-20%","21%+"))))</x:f>
        <x:v>No discount</x:v>
      </x:c>
      <x:c r="P32" s="9" t="n">
        <x:f>IF(K32=0,0,L32/K32)</x:f>
        <x:v>0.14797780815309158</x:v>
      </x:c>
      <x:c r="Q32" s="3" t="str">
        <x:f>IF(L32&lt;0,"Yes","No")</x:f>
        <x:v>No</x:v>
      </x:c>
    </x:row>
    <x:row r="33" ht="21" customHeight="1">
      <x:c r="A33" s="2" t="str">
        <x:v>ORD-100600</x:v>
      </x:c>
      <x:c r="B33" s="4" t="n">
        <x:v>45302</x:v>
      </x:c>
      <x:c r="C33" s="2" t="str">
        <x:v>CUST-00476</x:v>
      </x:c>
      <x:c r="D33" s="2" t="str">
        <x:v>East</x:v>
      </x:c>
      <x:c r="E33" s="2" t="str">
        <x:v>Electronics</x:v>
      </x:c>
      <x:c r="F33" s="2" t="str">
        <x:v>Mobile</x:v>
      </x:c>
      <x:c r="G33" s="2" t="str">
        <x:v>iPhone Zeta</x:v>
      </x:c>
      <x:c r="H33" s="2" t="n">
        <x:v>1</x:v>
      </x:c>
      <x:c r="I33" s="6" t="n">
        <x:v>72448.47</x:v>
      </x:c>
      <x:c r="J33" s="8" t="n">
        <x:v>0</x:v>
      </x:c>
      <x:c r="K33" s="6" t="n">
        <x:v>72448.47</x:v>
      </x:c>
      <x:c r="L33" s="6" t="n">
        <x:v>12470.89</x:v>
      </x:c>
      <x:c r="M33" s="2" t="str">
        <x:v>UPI</x:v>
      </x:c>
      <x:c r="N33" s="3" t="str">
        <x:f>TEXT(B33,"yyyy-mm")</x:f>
        <x:v>2024-01</x:v>
      </x:c>
      <x:c r="O33" s="3" t="str">
        <x:f>IF(J33=0,"No discount",IF(J33&lt;=0.1,"1-10%",IF(J33&lt;=0.15,"11-15%",IF(J33&lt;=0.2,"16-20%","21%+"))))</x:f>
        <x:v>No discount</x:v>
      </x:c>
      <x:c r="P33" s="9" t="n">
        <x:f>IF(K33=0,0,L33/K33)</x:f>
        <x:v>0.17213462202859495</x:v>
      </x:c>
      <x:c r="Q33" s="3" t="str">
        <x:f>IF(L33&lt;0,"Yes","No")</x:f>
        <x:v>No</x:v>
      </x:c>
    </x:row>
    <x:row r="34" ht="21" customHeight="1">
      <x:c r="A34" s="2" t="str">
        <x:v>ORD-101471</x:v>
      </x:c>
      <x:c r="B34" s="4" t="n">
        <x:v>45302</x:v>
      </x:c>
      <x:c r="C34" s="2" t="str">
        <x:v>CUST-00225</x:v>
      </x:c>
      <x:c r="D34" s="2" t="str">
        <x:v>North</x:v>
      </x:c>
      <x:c r="E34" s="2" t="str">
        <x:v>Fashion</x:v>
      </x:c>
      <x:c r="F34" s="2" t="str">
        <x:v>Footwear</x:v>
      </x:c>
      <x:c r="G34" s="2" t="str">
        <x:v>RunFlex Sneakers</x:v>
      </x:c>
      <x:c r="H34" s="2" t="n">
        <x:v>1</x:v>
      </x:c>
      <x:c r="I34" s="6" t="n">
        <x:v>2948.07</x:v>
      </x:c>
      <x:c r="J34" s="8" t="n">
        <x:v>0</x:v>
      </x:c>
      <x:c r="K34" s="6" t="n">
        <x:v>2948.07</x:v>
      </x:c>
      <x:c r="L34" s="6" t="n">
        <x:v>1255.55</x:v>
      </x:c>
      <x:c r="M34" s="2" t="str">
        <x:v>UPI</x:v>
      </x:c>
      <x:c r="N34" s="3" t="str">
        <x:f>TEXT(B34,"yyyy-mm")</x:f>
        <x:v>2024-01</x:v>
      </x:c>
      <x:c r="O34" s="3" t="str">
        <x:f>IF(J34=0,"No discount",IF(J34&lt;=0.1,"1-10%",IF(J34&lt;=0.15,"11-15%",IF(J34&lt;=0.2,"16-20%","21%+"))))</x:f>
        <x:v>No discount</x:v>
      </x:c>
      <x:c r="P34" s="9" t="n">
        <x:f>IF(K34=0,0,L34/K34)</x:f>
        <x:v>0.42588880182627953</x:v>
      </x:c>
      <x:c r="Q34" s="3" t="str">
        <x:f>IF(L34&lt;0,"Yes","No")</x:f>
        <x:v>No</x:v>
      </x:c>
    </x:row>
    <x:row r="35" ht="21" customHeight="1">
      <x:c r="A35" s="2" t="str">
        <x:v>ORD-101472</x:v>
      </x:c>
      <x:c r="B35" s="4" t="n">
        <x:v>45302</x:v>
      </x:c>
      <x:c r="C35" s="2" t="str">
        <x:v>CUST-00438</x:v>
      </x:c>
      <x:c r="D35" s="2" t="str">
        <x:v>South</x:v>
      </x:c>
      <x:c r="E35" s="2" t="str">
        <x:v>Fashion</x:v>
      </x:c>
      <x:c r="F35" s="2" t="str">
        <x:v>Women</x:v>
      </x:c>
      <x:c r="G35" s="2" t="str">
        <x:v>Knit Winter Sweater</x:v>
      </x:c>
      <x:c r="H35" s="2" t="n">
        <x:v>1</x:v>
      </x:c>
      <x:c r="I35" s="6" t="n">
        <x:v>2241.28</x:v>
      </x:c>
      <x:c r="J35" s="8" t="n">
        <x:v>0</x:v>
      </x:c>
      <x:c r="K35" s="6" t="n">
        <x:v>2241.28</x:v>
      </x:c>
      <x:c r="L35" s="6" t="n">
        <x:v>971.88</x:v>
      </x:c>
      <x:c r="M35" s="2" t="str">
        <x:v>Credit Card</x:v>
      </x:c>
      <x:c r="N35" s="3" t="str">
        <x:f>TEXT(B35,"yyyy-mm")</x:f>
        <x:v>2024-01</x:v>
      </x:c>
      <x:c r="O35" s="3" t="str">
        <x:f>IF(J35=0,"No discount",IF(J35&lt;=0.1,"1-10%",IF(J35&lt;=0.15,"11-15%",IF(J35&lt;=0.2,"16-20%","21%+"))))</x:f>
        <x:v>No discount</x:v>
      </x:c>
      <x:c r="P35" s="9" t="n">
        <x:f>IF(K35=0,0,L35/K35)</x:f>
        <x:v>0.4336272130211307</x:v>
      </x:c>
      <x:c r="Q35" s="3" t="str">
        <x:f>IF(L35&lt;0,"Yes","No")</x:f>
        <x:v>No</x:v>
      </x:c>
    </x:row>
    <x:row r="36" ht="21" customHeight="1">
      <x:c r="A36" s="2" t="str">
        <x:v>ORD-100153</x:v>
      </x:c>
      <x:c r="B36" s="4" t="n">
        <x:v>45303</x:v>
      </x:c>
      <x:c r="C36" s="2" t="str">
        <x:v>CUST-00369</x:v>
      </x:c>
      <x:c r="D36" s="2" t="str">
        <x:v>South</x:v>
      </x:c>
      <x:c r="E36" s="2" t="str">
        <x:v>Sports</x:v>
      </x:c>
      <x:c r="F36" s="2" t="str">
        <x:v>Outdoor</x:v>
      </x:c>
      <x:c r="G36" s="2" t="str">
        <x:v>TrailHike Backpack 60L</x:v>
      </x:c>
      <x:c r="H36" s="2" t="n">
        <x:v>1</x:v>
      </x:c>
      <x:c r="I36" s="6" t="n">
        <x:v>3480.36</x:v>
      </x:c>
      <x:c r="J36" s="8" t="n">
        <x:v>0.05</x:v>
      </x:c>
      <x:c r="K36" s="6" t="n">
        <x:v>3306.34</x:v>
      </x:c>
      <x:c r="L36" s="6" t="n">
        <x:v>1004.66</x:v>
      </x:c>
      <x:c r="M36" s="2" t="str">
        <x:v>Credit Card</x:v>
      </x:c>
      <x:c r="N36" s="3" t="str">
        <x:f>TEXT(B36,"yyyy-mm")</x:f>
        <x:v>2024-01</x:v>
      </x:c>
      <x:c r="O36" s="3" t="str">
        <x:f>IF(J36=0,"No discount",IF(J36&lt;=0.1,"1-10%",IF(J36&lt;=0.15,"11-15%",IF(J36&lt;=0.2,"16-20%","21%+"))))</x:f>
        <x:v>1-10%</x:v>
      </x:c>
      <x:c r="P36" s="9" t="n">
        <x:f>IF(K36=0,0,L36/K36)</x:f>
        <x:v>0.3038586473260463</x:v>
      </x:c>
      <x:c r="Q36" s="3" t="str">
        <x:f>IF(L36&lt;0,"Yes","No")</x:f>
        <x:v>No</x:v>
      </x:c>
    </x:row>
    <x:row r="37" ht="21" customHeight="1">
      <x:c r="A37" s="2" t="str">
        <x:v>ORD-100308</x:v>
      </x:c>
      <x:c r="B37" s="4" t="n">
        <x:v>45303</x:v>
      </x:c>
      <x:c r="C37" s="2" t="str">
        <x:v>CUST-00569</x:v>
      </x:c>
      <x:c r="D37" s="2" t="str">
        <x:v>East</x:v>
      </x:c>
      <x:c r="E37" s="2" t="str">
        <x:v>Sports</x:v>
      </x:c>
      <x:c r="F37" s="2" t="str">
        <x:v>Outdoor</x:v>
      </x:c>
      <x:c r="G37" s="2" t="str">
        <x:v>TrailHike Backpack 60L</x:v>
      </x:c>
      <x:c r="H37" s="2" t="n">
        <x:v>1</x:v>
      </x:c>
      <x:c r="I37" s="6" t="n">
        <x:v>3661.83</x:v>
      </x:c>
      <x:c r="J37" s="8" t="n">
        <x:v>0.2</x:v>
      </x:c>
      <x:c r="K37" s="6" t="n">
        <x:v>2929.46</x:v>
      </x:c>
      <x:c r="L37" s="6" t="n">
        <x:v>525.46</x:v>
      </x:c>
      <x:c r="M37" s="2" t="str">
        <x:v>Cash on Delivery</x:v>
      </x:c>
      <x:c r="N37" s="3" t="str">
        <x:f>TEXT(B37,"yyyy-mm")</x:f>
        <x:v>2024-01</x:v>
      </x:c>
      <x:c r="O37" s="3" t="str">
        <x:f>IF(J37=0,"No discount",IF(J37&lt;=0.1,"1-10%",IF(J37&lt;=0.15,"11-15%",IF(J37&lt;=0.2,"16-20%","21%+"))))</x:f>
        <x:v>16-20%</x:v>
      </x:c>
      <x:c r="P37" s="9" t="n">
        <x:f>IF(K37=0,0,L37/K37)</x:f>
        <x:v>0.17937094208488938</x:v>
      </x:c>
      <x:c r="Q37" s="3" t="str">
        <x:f>IF(L37&lt;0,"Yes","No")</x:f>
        <x:v>No</x:v>
      </x:c>
    </x:row>
    <x:row r="38" ht="21" customHeight="1">
      <x:c r="A38" s="2" t="str">
        <x:v>ORD-100221</x:v>
      </x:c>
      <x:c r="B38" s="4" t="n">
        <x:v>45304</x:v>
      </x:c>
      <x:c r="C38" s="2" t="str">
        <x:v>CUST-00484</x:v>
      </x:c>
      <x:c r="D38" s="2" t="str">
        <x:v>North</x:v>
      </x:c>
      <x:c r="E38" s="2" t="str">
        <x:v>Fashion</x:v>
      </x:c>
      <x:c r="F38" s="2" t="str">
        <x:v>Women</x:v>
      </x:c>
      <x:c r="G38" s="2" t="str">
        <x:v>Floral Summer Dress</x:v>
      </x:c>
      <x:c r="H38" s="2" t="n">
        <x:v>1</x:v>
      </x:c>
      <x:c r="I38" s="6" t="n">
        <x:v>1812.3</x:v>
      </x:c>
      <x:c r="J38" s="8" t="n">
        <x:v>0</x:v>
      </x:c>
      <x:c r="K38" s="6" t="n">
        <x:v>1812.3</x:v>
      </x:c>
      <x:c r="L38" s="6" t="n">
        <x:v>793.47</x:v>
      </x:c>
      <x:c r="M38" s="2" t="str">
        <x:v>Credit Card</x:v>
      </x:c>
      <x:c r="N38" s="3" t="str">
        <x:f>TEXT(B38,"yyyy-mm")</x:f>
        <x:v>2024-01</x:v>
      </x:c>
      <x:c r="O38" s="3" t="str">
        <x:f>IF(J38=0,"No discount",IF(J38&lt;=0.1,"1-10%",IF(J38&lt;=0.15,"11-15%",IF(J38&lt;=0.2,"16-20%","21%+"))))</x:f>
        <x:v>No discount</x:v>
      </x:c>
      <x:c r="P38" s="9" t="n">
        <x:f>IF(K38=0,0,L38/K38)</x:f>
        <x:v>0.4378248634332064</x:v>
      </x:c>
      <x:c r="Q38" s="3" t="str">
        <x:f>IF(L38&lt;0,"Yes","No")</x:f>
        <x:v>No</x:v>
      </x:c>
    </x:row>
    <x:row r="39" ht="21" customHeight="1">
      <x:c r="A39" s="2" t="str">
        <x:v>ORD-100617</x:v>
      </x:c>
      <x:c r="B39" s="4" t="n">
        <x:v>45304</x:v>
      </x:c>
      <x:c r="C39" s="2" t="str">
        <x:v>CUST-00525</x:v>
      </x:c>
      <x:c r="D39" s="2" t="str">
        <x:v>West</x:v>
      </x:c>
      <x:c r="E39" s="2" t="str">
        <x:v>Beauty</x:v>
      </x:c>
      <x:c r="F39" s="2" t="str">
        <x:v>Makeup</x:v>
      </x:c>
      <x:c r="G39" s="2" t="str">
        <x:v>Matte Lipstick Set</x:v>
      </x:c>
      <x:c r="H39" s="2" t="n">
        <x:v>3</x:v>
      </x:c>
      <x:c r="I39" s="6" t="n">
        <x:v>983.68</x:v>
      </x:c>
      <x:c r="J39" s="8" t="n">
        <x:v>0</x:v>
      </x:c>
      <x:c r="K39" s="6" t="n">
        <x:v>2951.04</x:v>
      </x:c>
      <x:c r="L39" s="6" t="n">
        <x:v>1740.37</x:v>
      </x:c>
      <x:c r="M39" s="2" t="str">
        <x:v>Debit Card</x:v>
      </x:c>
      <x:c r="N39" s="3" t="str">
        <x:f>TEXT(B39,"yyyy-mm")</x:f>
        <x:v>2024-01</x:v>
      </x:c>
      <x:c r="O39" s="3" t="str">
        <x:f>IF(J39=0,"No discount",IF(J39&lt;=0.1,"1-10%",IF(J39&lt;=0.15,"11-15%",IF(J39&lt;=0.2,"16-20%","21%+"))))</x:f>
        <x:v>No discount</x:v>
      </x:c>
      <x:c r="P39" s="9" t="n">
        <x:f>IF(K39=0,0,L39/K39)</x:f>
        <x:v>0.5897480210366515</x:v>
      </x:c>
      <x:c r="Q39" s="3" t="str">
        <x:f>IF(L39&lt;0,"Yes","No")</x:f>
        <x:v>No</x:v>
      </x:c>
    </x:row>
    <x:row r="40" ht="21" customHeight="1">
      <x:c r="A40" s="2" t="str">
        <x:v>ORD-100828</x:v>
      </x:c>
      <x:c r="B40" s="4" t="n">
        <x:v>45304</x:v>
      </x:c>
      <x:c r="C40" s="2" t="str">
        <x:v>CUST-00583</x:v>
      </x:c>
      <x:c r="D40" s="2" t="str">
        <x:v>North</x:v>
      </x:c>
      <x:c r="E40" s="2" t="str">
        <x:v>Beauty</x:v>
      </x:c>
      <x:c r="F40" s="2" t="str">
        <x:v>Makeup</x:v>
      </x:c>
      <x:c r="G40" s="2" t="str">
        <x:v>HD Foundation Kit</x:v>
      </x:c>
      <x:c r="H40" s="2" t="n">
        <x:v>2</x:v>
      </x:c>
      <x:c r="I40" s="6" t="n">
        <x:v>1465.16</x:v>
      </x:c>
      <x:c r="J40" s="8" t="n">
        <x:v>0</x:v>
      </x:c>
      <x:c r="K40" s="6" t="n">
        <x:v>2930.32</x:v>
      </x:c>
      <x:c r="L40" s="6" t="n">
        <x:v>1557.46</x:v>
      </x:c>
      <x:c r="M40" s="2" t="str">
        <x:v>Credit Card</x:v>
      </x:c>
      <x:c r="N40" s="3" t="str">
        <x:f>TEXT(B40,"yyyy-mm")</x:f>
        <x:v>2024-01</x:v>
      </x:c>
      <x:c r="O40" s="3" t="str">
        <x:f>IF(J40=0,"No discount",IF(J40&lt;=0.1,"1-10%",IF(J40&lt;=0.15,"11-15%",IF(J40&lt;=0.2,"16-20%","21%+"))))</x:f>
        <x:v>No discount</x:v>
      </x:c>
      <x:c r="P40" s="9" t="n">
        <x:f>IF(K40=0,0,L40/K40)</x:f>
        <x:v>0.5314982664009391</x:v>
      </x:c>
      <x:c r="Q40" s="3" t="str">
        <x:f>IF(L40&lt;0,"Yes","No")</x:f>
        <x:v>No</x:v>
      </x:c>
    </x:row>
    <x:row r="41" ht="21" customHeight="1">
      <x:c r="A41" s="2" t="str">
        <x:v>ORD-100901</x:v>
      </x:c>
      <x:c r="B41" s="4" t="n">
        <x:v>45304</x:v>
      </x:c>
      <x:c r="C41" s="2" t="str">
        <x:v>CUST-00132</x:v>
      </x:c>
      <x:c r="D41" s="2" t="str">
        <x:v>East</x:v>
      </x:c>
      <x:c r="E41" s="2" t="str">
        <x:v>Fashion</x:v>
      </x:c>
      <x:c r="F41" s="2" t="str">
        <x:v>Men</x:v>
      </x:c>
      <x:c r="G41" s="2" t="str">
        <x:v>Oxford Casual Shirt</x:v>
      </x:c>
      <x:c r="H41" s="2" t="n">
        <x:v>2</x:v>
      </x:c>
      <x:c r="I41" s="6" t="n">
        <x:v>1294.44</x:v>
      </x:c>
      <x:c r="J41" s="8" t="n">
        <x:v>0.2</x:v>
      </x:c>
      <x:c r="K41" s="6" t="n">
        <x:v>2071.1</x:v>
      </x:c>
      <x:c r="L41" s="6" t="n">
        <x:v>324.36</x:v>
      </x:c>
      <x:c r="M41" s="2" t="str">
        <x:v>UPI</x:v>
      </x:c>
      <x:c r="N41" s="3" t="str">
        <x:f>TEXT(B41,"yyyy-mm")</x:f>
        <x:v>2024-01</x:v>
      </x:c>
      <x:c r="O41" s="3" t="str">
        <x:f>IF(J41=0,"No discount",IF(J41&lt;=0.1,"1-10%",IF(J41&lt;=0.15,"11-15%",IF(J41&lt;=0.2,"16-20%","21%+"))))</x:f>
        <x:v>16-20%</x:v>
      </x:c>
      <x:c r="P41" s="9" t="n">
        <x:f>IF(K41=0,0,L41/K41)</x:f>
        <x:v>0.15661242817826276</x:v>
      </x:c>
      <x:c r="Q41" s="3" t="str">
        <x:f>IF(L41&lt;0,"Yes","No")</x:f>
        <x:v>No</x:v>
      </x:c>
    </x:row>
    <x:row r="42" ht="21" customHeight="1">
      <x:c r="A42" s="2" t="str">
        <x:v>ORD-101386</x:v>
      </x:c>
      <x:c r="B42" s="4" t="n">
        <x:v>45304</x:v>
      </x:c>
      <x:c r="C42" s="2" t="str">
        <x:v>CUST-00593</x:v>
      </x:c>
      <x:c r="D42" s="2" t="str">
        <x:v>North</x:v>
      </x:c>
      <x:c r="E42" s="2" t="str">
        <x:v>Home &amp; Kitchen</x:v>
      </x:c>
      <x:c r="F42" s="2" t="str">
        <x:v>Appliances</x:v>
      </x:c>
      <x:c r="G42" s="2" t="str">
        <x:v>ColdBrew Coffee Maker</x:v>
      </x:c>
      <x:c r="H42" s="2" t="n">
        <x:v>2</x:v>
      </x:c>
      <x:c r="I42" s="6" t="n">
        <x:v>6607.16</x:v>
      </x:c>
      <x:c r="J42" s="8" t="n">
        <x:v>0.25</x:v>
      </x:c>
      <x:c r="K42" s="6" t="n">
        <x:v>9910.74</x:v>
      </x:c>
      <x:c r="L42" s="6" t="n">
        <x:v>682.24</x:v>
      </x:c>
      <x:c r="M42" s="2" t="str">
        <x:v>Cash on Delivery</x:v>
      </x:c>
      <x:c r="N42" s="3" t="str">
        <x:f>TEXT(B42,"yyyy-mm")</x:f>
        <x:v>2024-01</x:v>
      </x:c>
      <x:c r="O42" s="3" t="str">
        <x:f>IF(J42=0,"No discount",IF(J42&lt;=0.1,"1-10%",IF(J42&lt;=0.15,"11-15%",IF(J42&lt;=0.2,"16-20%","21%+"))))</x:f>
        <x:v>21%+</x:v>
      </x:c>
      <x:c r="P42" s="9" t="n">
        <x:f>IF(K42=0,0,L42/K42)</x:f>
        <x:v>0.06883845202275511</x:v>
      </x:c>
      <x:c r="Q42" s="3" t="str">
        <x:f>IF(L42&lt;0,"Yes","No")</x:f>
        <x:v>No</x:v>
      </x:c>
    </x:row>
    <x:row r="43" ht="21" customHeight="1">
      <x:c r="A43" s="2" t="str">
        <x:v>ORD-101570</x:v>
      </x:c>
      <x:c r="B43" s="4" t="n">
        <x:v>45304</x:v>
      </x:c>
      <x:c r="C43" s="2" t="str">
        <x:v>CUST-00473</x:v>
      </x:c>
      <x:c r="D43" s="2" t="str">
        <x:v>South</x:v>
      </x:c>
      <x:c r="E43" s="2" t="str">
        <x:v>Sports</x:v>
      </x:c>
      <x:c r="F43" s="2" t="str">
        <x:v>Fitness</x:v>
      </x:c>
      <x:c r="G43" s="2" t="str">
        <x:v>ProYoga Mat</x:v>
      </x:c>
      <x:c r="H43" s="2" t="n">
        <x:v>1</x:v>
      </x:c>
      <x:c r="I43" s="6" t="n">
        <x:v>1274.71</x:v>
      </x:c>
      <x:c r="J43" s="8" t="n">
        <x:v>0.05</x:v>
      </x:c>
      <x:c r="K43" s="6" t="n">
        <x:v>1210.97</x:v>
      </x:c>
      <x:c r="L43" s="6" t="n">
        <x:v>347.91</x:v>
      </x:c>
      <x:c r="M43" s="2" t="str">
        <x:v>UPI</x:v>
      </x:c>
      <x:c r="N43" s="3" t="str">
        <x:f>TEXT(B43,"yyyy-mm")</x:f>
        <x:v>2024-01</x:v>
      </x:c>
      <x:c r="O43" s="3" t="str">
        <x:f>IF(J43=0,"No discount",IF(J43&lt;=0.1,"1-10%",IF(J43&lt;=0.15,"11-15%",IF(J43&lt;=0.2,"16-20%","21%+"))))</x:f>
        <x:v>1-10%</x:v>
      </x:c>
      <x:c r="P43" s="9" t="n">
        <x:f>IF(K43=0,0,L43/K43)</x:f>
        <x:v>0.2872986118566108</x:v>
      </x:c>
      <x:c r="Q43" s="3" t="str">
        <x:f>IF(L43&lt;0,"Yes","No")</x:f>
        <x:v>No</x:v>
      </x:c>
    </x:row>
    <x:row r="44" ht="21" customHeight="1">
      <x:c r="A44" s="2" t="str">
        <x:v>ORD-100638</x:v>
      </x:c>
      <x:c r="B44" s="4" t="n">
        <x:v>45305</x:v>
      </x:c>
      <x:c r="C44" s="2" t="str">
        <x:v>CUST-00128</x:v>
      </x:c>
      <x:c r="D44" s="2" t="str">
        <x:v>East</x:v>
      </x:c>
      <x:c r="E44" s="2" t="str">
        <x:v>Sports</x:v>
      </x:c>
      <x:c r="F44" s="2" t="str">
        <x:v>Fitness</x:v>
      </x:c>
      <x:c r="G44" s="2" t="str">
        <x:v>Adjustable Dumbbell 24kg</x:v>
      </x:c>
      <x:c r="H44" s="2" t="n">
        <x:v>1</x:v>
      </x:c>
      <x:c r="I44" s="6" t="n">
        <x:v>9947.92</x:v>
      </x:c>
      <x:c r="J44" s="8" t="n">
        <x:v>0.25</x:v>
      </x:c>
      <x:c r="K44" s="6" t="n">
        <x:v>7460.94</x:v>
      </x:c>
      <x:c r="L44" s="6" t="n">
        <x:v>696.72</x:v>
      </x:c>
      <x:c r="M44" s="2" t="str">
        <x:v>Credit Card</x:v>
      </x:c>
      <x:c r="N44" s="3" t="str">
        <x:f>TEXT(B44,"yyyy-mm")</x:f>
        <x:v>2024-01</x:v>
      </x:c>
      <x:c r="O44" s="3" t="str">
        <x:f>IF(J44=0,"No discount",IF(J44&lt;=0.1,"1-10%",IF(J44&lt;=0.15,"11-15%",IF(J44&lt;=0.2,"16-20%","21%+"))))</x:f>
        <x:v>21%+</x:v>
      </x:c>
      <x:c r="P44" s="9" t="n">
        <x:f>IF(K44=0,0,L44/K44)</x:f>
        <x:v>0.09338233520173062</x:v>
      </x:c>
      <x:c r="Q44" s="3" t="str">
        <x:f>IF(L44&lt;0,"Yes","No")</x:f>
        <x:v>No</x:v>
      </x:c>
    </x:row>
    <x:row r="45" ht="21" customHeight="1">
      <x:c r="A45" s="2" t="str">
        <x:v>ORD-100747</x:v>
      </x:c>
      <x:c r="B45" s="4" t="n">
        <x:v>45306</x:v>
      </x:c>
      <x:c r="C45" s="2" t="str">
        <x:v>CUST-00373</x:v>
      </x:c>
      <x:c r="D45" s="2" t="str">
        <x:v>East</x:v>
      </x:c>
      <x:c r="E45" s="2" t="str">
        <x:v>Electronics</x:v>
      </x:c>
      <x:c r="F45" s="2" t="str">
        <x:v>Mobile</x:v>
      </x:c>
      <x:c r="G45" s="2" t="str">
        <x:v>Galaxy Nova X5</x:v>
      </x:c>
      <x:c r="H45" s="2" t="n">
        <x:v>2</x:v>
      </x:c>
      <x:c r="I45" s="6" t="n">
        <x:v>25490.1</x:v>
      </x:c>
      <x:c r="J45" s="8" t="n">
        <x:v>0</x:v>
      </x:c>
      <x:c r="K45" s="6" t="n">
        <x:v>50980.2</x:v>
      </x:c>
      <x:c r="L45" s="6" t="n">
        <x:v>10295.49</x:v>
      </x:c>
      <x:c r="M45" s="2" t="str">
        <x:v>UPI</x:v>
      </x:c>
      <x:c r="N45" s="3" t="str">
        <x:f>TEXT(B45,"yyyy-mm")</x:f>
        <x:v>2024-01</x:v>
      </x:c>
      <x:c r="O45" s="3" t="str">
        <x:f>IF(J45=0,"No discount",IF(J45&lt;=0.1,"1-10%",IF(J45&lt;=0.15,"11-15%",IF(J45&lt;=0.2,"16-20%","21%+"))))</x:f>
        <x:v>No discount</x:v>
      </x:c>
      <x:c r="P45" s="9" t="n">
        <x:f>IF(K45=0,0,L45/K45)</x:f>
        <x:v>0.20195075735285464</x:v>
      </x:c>
      <x:c r="Q45" s="3" t="str">
        <x:f>IF(L45&lt;0,"Yes","No")</x:f>
        <x:v>No</x:v>
      </x:c>
    </x:row>
    <x:row r="46" ht="21" customHeight="1">
      <x:c r="A46" s="2" t="str">
        <x:v>ORD-101171</x:v>
      </x:c>
      <x:c r="B46" s="4" t="n">
        <x:v>45306</x:v>
      </x:c>
      <x:c r="C46" s="2" t="str">
        <x:v>CUST-00350</x:v>
      </x:c>
      <x:c r="D46" s="2" t="str">
        <x:v>West</x:v>
      </x:c>
      <x:c r="E46" s="2" t="str">
        <x:v>Fashion</x:v>
      </x:c>
      <x:c r="F46" s="2" t="str">
        <x:v>Men</x:v>
      </x:c>
      <x:c r="G46" s="2" t="str">
        <x:v>SlimFit Denim Jeans</x:v>
      </x:c>
      <x:c r="H46" s="2" t="n">
        <x:v>2</x:v>
      </x:c>
      <x:c r="I46" s="6" t="n">
        <x:v>1925.63</x:v>
      </x:c>
      <x:c r="J46" s="8" t="n">
        <x:v>0.1</x:v>
      </x:c>
      <x:c r="K46" s="6" t="n">
        <x:v>3466.13</x:v>
      </x:c>
      <x:c r="L46" s="6" t="n">
        <x:v>979.01</x:v>
      </x:c>
      <x:c r="M46" s="2" t="str">
        <x:v>Credit Card</x:v>
      </x:c>
      <x:c r="N46" s="3" t="str">
        <x:f>TEXT(B46,"yyyy-mm")</x:f>
        <x:v>2024-01</x:v>
      </x:c>
      <x:c r="O46" s="3" t="str">
        <x:f>IF(J46=0,"No discount",IF(J46&lt;=0.1,"1-10%",IF(J46&lt;=0.15,"11-15%",IF(J46&lt;=0.2,"16-20%","21%+"))))</x:f>
        <x:v>1-10%</x:v>
      </x:c>
      <x:c r="P46" s="9" t="n">
        <x:f>IF(K46=0,0,L46/K46)</x:f>
        <x:v>0.28245045627255755</x:v>
      </x:c>
      <x:c r="Q46" s="3" t="str">
        <x:f>IF(L46&lt;0,"Yes","No")</x:f>
        <x:v>No</x:v>
      </x:c>
    </x:row>
    <x:row r="47" ht="21" customHeight="1">
      <x:c r="A47" s="2" t="str">
        <x:v>ORD-101637</x:v>
      </x:c>
      <x:c r="B47" s="4" t="n">
        <x:v>45306</x:v>
      </x:c>
      <x:c r="C47" s="2" t="str">
        <x:v>CUST-00273</x:v>
      </x:c>
      <x:c r="D47" s="2" t="str">
        <x:v>North</x:v>
      </x:c>
      <x:c r="E47" s="2" t="str">
        <x:v>Electronics</x:v>
      </x:c>
      <x:c r="F47" s="2" t="str">
        <x:v>Laptop</x:v>
      </x:c>
      <x:c r="G47" s="2" t="str">
        <x:v>ThinkPro 14</x:v>
      </x:c>
      <x:c r="H47" s="2" t="n">
        <x:v>1</x:v>
      </x:c>
      <x:c r="I47" s="6" t="n">
        <x:v>53234.47</x:v>
      </x:c>
      <x:c r="J47" s="8" t="n">
        <x:v>0.2</x:v>
      </x:c>
      <x:c r="K47" s="6" t="n">
        <x:v>42587.58</x:v>
      </x:c>
      <x:c r="L47" s="6" t="n">
        <x:v>-3732.08</x:v>
      </x:c>
      <x:c r="M47" s="2" t="str">
        <x:v>UPI</x:v>
      </x:c>
      <x:c r="N47" s="3" t="str">
        <x:f>TEXT(B47,"yyyy-mm")</x:f>
        <x:v>2024-01</x:v>
      </x:c>
      <x:c r="O47" s="3" t="str">
        <x:f>IF(J47=0,"No discount",IF(J47&lt;=0.1,"1-10%",IF(J47&lt;=0.15,"11-15%",IF(J47&lt;=0.2,"16-20%","21%+"))))</x:f>
        <x:v>16-20%</x:v>
      </x:c>
      <x:c r="P47" s="9" t="n">
        <x:f>IF(K47=0,0,L47/K47)</x:f>
        <x:v>-0.08763306109433783</x:v>
      </x:c>
      <x:c r="Q47" s="3" t="str">
        <x:f>IF(L47&lt;0,"Yes","No")</x:f>
        <x:v>Yes</x:v>
      </x:c>
    </x:row>
    <x:row r="48" ht="21" customHeight="1">
      <x:c r="A48" s="2" t="str">
        <x:v>ORD-100167</x:v>
      </x:c>
      <x:c r="B48" s="4" t="n">
        <x:v>45307</x:v>
      </x:c>
      <x:c r="C48" s="2" t="str">
        <x:v>CUST-00195</x:v>
      </x:c>
      <x:c r="D48" s="2" t="str">
        <x:v>South</x:v>
      </x:c>
      <x:c r="E48" s="2" t="str">
        <x:v>Electronics</x:v>
      </x:c>
      <x:c r="F48" s="2" t="str">
        <x:v>Mobile</x:v>
      </x:c>
      <x:c r="G48" s="2" t="str">
        <x:v>iPhone Zeta</x:v>
      </x:c>
      <x:c r="H48" s="2" t="n">
        <x:v>2</x:v>
      </x:c>
      <x:c r="I48" s="6" t="n">
        <x:v>69854.76</x:v>
      </x:c>
      <x:c r="J48" s="8" t="n">
        <x:v>0.1</x:v>
      </x:c>
      <x:c r="K48" s="6" t="n">
        <x:v>125738.57</x:v>
      </x:c>
      <x:c r="L48" s="6" t="n">
        <x:v>11889.58</x:v>
      </x:c>
      <x:c r="M48" s="2" t="str">
        <x:v>Cash on Delivery</x:v>
      </x:c>
      <x:c r="N48" s="3" t="str">
        <x:f>TEXT(B48,"yyyy-mm")</x:f>
        <x:v>2024-01</x:v>
      </x:c>
      <x:c r="O48" s="3" t="str">
        <x:f>IF(J48=0,"No discount",IF(J48&lt;=0.1,"1-10%",IF(J48&lt;=0.15,"11-15%",IF(J48&lt;=0.2,"16-20%","21%+"))))</x:f>
        <x:v>1-10%</x:v>
      </x:c>
      <x:c r="P48" s="9" t="n">
        <x:f>IF(K48=0,0,L48/K48)</x:f>
        <x:v>0.0945579387454462</x:v>
      </x:c>
      <x:c r="Q48" s="3" t="str">
        <x:f>IF(L48&lt;0,"Yes","No")</x:f>
        <x:v>No</x:v>
      </x:c>
    </x:row>
    <x:row r="49" ht="21" customHeight="1">
      <x:c r="A49" s="2" t="str">
        <x:v>ORD-101009</x:v>
      </x:c>
      <x:c r="B49" s="4" t="n">
        <x:v>45307</x:v>
      </x:c>
      <x:c r="C49" s="2" t="str">
        <x:v>CUST-00391</x:v>
      </x:c>
      <x:c r="D49" s="2" t="str">
        <x:v>North</x:v>
      </x:c>
      <x:c r="E49" s="2" t="str">
        <x:v>Fashion</x:v>
      </x:c>
      <x:c r="F49" s="2" t="str">
        <x:v>Men</x:v>
      </x:c>
      <x:c r="G49" s="2" t="str">
        <x:v>Oxford Casual Shirt</x:v>
      </x:c>
      <x:c r="H49" s="2" t="n">
        <x:v>4</x:v>
      </x:c>
      <x:c r="I49" s="6" t="n">
        <x:v>1326.59</x:v>
      </x:c>
      <x:c r="J49" s="8" t="n">
        <x:v>0.2</x:v>
      </x:c>
      <x:c r="K49" s="6" t="n">
        <x:v>4245.09</x:v>
      </x:c>
      <x:c r="L49" s="6" t="n">
        <x:v>661.54</x:v>
      </x:c>
      <x:c r="M49" s="2" t="str">
        <x:v>UPI</x:v>
      </x:c>
      <x:c r="N49" s="3" t="str">
        <x:f>TEXT(B49,"yyyy-mm")</x:f>
        <x:v>2024-01</x:v>
      </x:c>
      <x:c r="O49" s="3" t="str">
        <x:f>IF(J49=0,"No discount",IF(J49&lt;=0.1,"1-10%",IF(J49&lt;=0.15,"11-15%",IF(J49&lt;=0.2,"16-20%","21%+"))))</x:f>
        <x:v>16-20%</x:v>
      </x:c>
      <x:c r="P49" s="9" t="n">
        <x:f>IF(K49=0,0,L49/K49)</x:f>
        <x:v>0.15583650758876724</x:v>
      </x:c>
      <x:c r="Q49" s="3" t="str">
        <x:f>IF(L49&lt;0,"Yes","No")</x:f>
        <x:v>No</x:v>
      </x:c>
    </x:row>
    <x:row r="50" ht="21" customHeight="1">
      <x:c r="A50" s="2" t="str">
        <x:v>ORD-101245</x:v>
      </x:c>
      <x:c r="B50" s="4" t="n">
        <x:v>45307</x:v>
      </x:c>
      <x:c r="C50" s="2" t="str">
        <x:v>CUST-00003</x:v>
      </x:c>
      <x:c r="D50" s="2" t="str">
        <x:v>East</x:v>
      </x:c>
      <x:c r="E50" s="2" t="str">
        <x:v>Sports</x:v>
      </x:c>
      <x:c r="F50" s="2" t="str">
        <x:v>Outdoor</x:v>
      </x:c>
      <x:c r="G50" s="2" t="str">
        <x:v>TrailHike Backpack 60L</x:v>
      </x:c>
      <x:c r="H50" s="2" t="n">
        <x:v>1</x:v>
      </x:c>
      <x:c r="I50" s="6" t="n">
        <x:v>3406.61</x:v>
      </x:c>
      <x:c r="J50" s="8" t="n">
        <x:v>0.25</x:v>
      </x:c>
      <x:c r="K50" s="6" t="n">
        <x:v>2554.96</x:v>
      </x:c>
      <x:c r="L50" s="6" t="n">
        <x:v>216.93</x:v>
      </x:c>
      <x:c r="M50" s="2" t="str">
        <x:v>UPI</x:v>
      </x:c>
      <x:c r="N50" s="3" t="str">
        <x:f>TEXT(B50,"yyyy-mm")</x:f>
        <x:v>2024-01</x:v>
      </x:c>
      <x:c r="O50" s="3" t="str">
        <x:f>IF(J50=0,"No discount",IF(J50&lt;=0.1,"1-10%",IF(J50&lt;=0.15,"11-15%",IF(J50&lt;=0.2,"16-20%","21%+"))))</x:f>
        <x:v>21%+</x:v>
      </x:c>
      <x:c r="P50" s="9" t="n">
        <x:f>IF(K50=0,0,L50/K50)</x:f>
        <x:v>0.08490543883270188</x:v>
      </x:c>
      <x:c r="Q50" s="3" t="str">
        <x:f>IF(L50&lt;0,"Yes","No")</x:f>
        <x:v>No</x:v>
      </x:c>
    </x:row>
    <x:row r="51" ht="21" customHeight="1">
      <x:c r="A51" s="3" t="str">
        <x:v>ORD-101879</x:v>
      </x:c>
      <x:c r="B51" s="5" t="n">
        <x:v>45307</x:v>
      </x:c>
      <x:c r="C51" s="3" t="str">
        <x:v>CUST-00169</x:v>
      </x:c>
      <x:c r="D51" s="3" t="str">
        <x:v>South</x:v>
      </x:c>
      <x:c r="E51" s="3" t="str">
        <x:v>Home &amp; Kitchen</x:v>
      </x:c>
      <x:c r="F51" s="3" t="str">
        <x:v>Decor</x:v>
      </x:c>
      <x:c r="G51" s="3" t="str">
        <x:v>LED Wall Lamp</x:v>
      </x:c>
      <x:c r="H51" s="3" t="n">
        <x:v>3</x:v>
      </x:c>
      <x:c r="I51" s="7" t="n">
        <x:v>951.93</x:v>
      </x:c>
      <x:c r="J51" s="9" t="n">
        <x:v>0.1</x:v>
      </x:c>
      <x:c r="K51" s="7" t="n">
        <x:v>2570.21</x:v>
      </x:c>
      <x:c r="L51" s="7" t="n">
        <x:v>485.59</x:v>
      </x:c>
      <x:c r="M51" s="3" t="str">
        <x:v>Debit Card</x:v>
      </x:c>
      <x:c r="N51" s="3" t="str">
        <x:f>TEXT(B51,"yyyy-mm")</x:f>
        <x:v>2024-01</x:v>
      </x:c>
      <x:c r="O51" s="3" t="str">
        <x:f>IF(J51=0,"No discount",IF(J51&lt;=0.1,"1-10%",IF(J51&lt;=0.15,"11-15%",IF(J51&lt;=0.2,"16-20%","21%+"))))</x:f>
        <x:v>1-10%</x:v>
      </x:c>
      <x:c r="P51" s="9" t="n">
        <x:f>IF(K51=0,0,L51/K51)</x:f>
        <x:v>0.18893008742476294</x:v>
      </x:c>
      <x:c r="Q51" s="3" t="str">
        <x:f>IF(L51&lt;0,"Yes","No")</x:f>
        <x:v>No</x:v>
      </x:c>
    </x:row>
    <x:row r="52" ht="21" customHeight="1">
      <x:c r="A52" s="3" t="str">
        <x:v>ORD-100161</x:v>
      </x:c>
      <x:c r="B52" s="5" t="n">
        <x:v>45308</x:v>
      </x:c>
      <x:c r="C52" s="3" t="str">
        <x:v>CUST-00069</x:v>
      </x:c>
      <x:c r="D52" s="3" t="str">
        <x:v>North</x:v>
      </x:c>
      <x:c r="E52" s="3" t="str">
        <x:v>Fashion</x:v>
      </x:c>
      <x:c r="F52" s="3" t="str">
        <x:v>Women</x:v>
      </x:c>
      <x:c r="G52" s="3" t="str">
        <x:v>Knit Winter Sweater</x:v>
      </x:c>
      <x:c r="H52" s="3" t="n">
        <x:v>1</x:v>
      </x:c>
      <x:c r="I52" s="7" t="n">
        <x:v>2281.51</x:v>
      </x:c>
      <x:c r="J52" s="9" t="n">
        <x:v>0</x:v>
      </x:c>
      <x:c r="K52" s="7" t="n">
        <x:v>2281.51</x:v>
      </x:c>
      <x:c r="L52" s="7" t="n">
        <x:v>1006.69</x:v>
      </x:c>
      <x:c r="M52" s="3" t="str">
        <x:v>Credit Card</x:v>
      </x:c>
      <x:c r="N52" s="3" t="str">
        <x:f>TEXT(B52,"yyyy-mm")</x:f>
        <x:v>2024-01</x:v>
      </x:c>
      <x:c r="O52" s="3" t="str">
        <x:f>IF(J52=0,"No discount",IF(J52&lt;=0.1,"1-10%",IF(J52&lt;=0.15,"11-15%",IF(J52&lt;=0.2,"16-20%","21%+"))))</x:f>
        <x:v>No discount</x:v>
      </x:c>
      <x:c r="P52" s="9" t="n">
        <x:f>IF(K52=0,0,L52/K52)</x:f>
        <x:v>0.4412384780255182</x:v>
      </x:c>
      <x:c r="Q52" s="3" t="str">
        <x:f>IF(L52&lt;0,"Yes","No")</x:f>
        <x:v>No</x:v>
      </x:c>
    </x:row>
    <x:row r="53" ht="21" customHeight="1">
      <x:c r="A53" s="3" t="str">
        <x:v>ORD-100375</x:v>
      </x:c>
      <x:c r="B53" s="5" t="n">
        <x:v>45308</x:v>
      </x:c>
      <x:c r="C53" s="3" t="str">
        <x:v>CUST-00310</x:v>
      </x:c>
      <x:c r="D53" s="3" t="str">
        <x:v>South</x:v>
      </x:c>
      <x:c r="E53" s="3" t="str">
        <x:v>Beauty</x:v>
      </x:c>
      <x:c r="F53" s="3" t="str">
        <x:v>Skincare</x:v>
      </x:c>
      <x:c r="G53" s="3" t="str">
        <x:v>HydraBoost Moisturizer</x:v>
      </x:c>
      <x:c r="H53" s="3" t="n">
        <x:v>2</x:v>
      </x:c>
      <x:c r="I53" s="7" t="n">
        <x:v>1169.52</x:v>
      </x:c>
      <x:c r="J53" s="9" t="n">
        <x:v>0.25</x:v>
      </x:c>
      <x:c r="K53" s="7" t="n">
        <x:v>1754.28</x:v>
      </x:c>
      <x:c r="L53" s="7" t="n">
        <x:v>525.29</x:v>
      </x:c>
      <x:c r="M53" s="3" t="str">
        <x:v>UPI</x:v>
      </x:c>
      <x:c r="N53" s="3" t="str">
        <x:f>TEXT(B53,"yyyy-mm")</x:f>
        <x:v>2024-01</x:v>
      </x:c>
      <x:c r="O53" s="3" t="str">
        <x:f>IF(J53=0,"No discount",IF(J53&lt;=0.1,"1-10%",IF(J53&lt;=0.15,"11-15%",IF(J53&lt;=0.2,"16-20%","21%+"))))</x:f>
        <x:v>21%+</x:v>
      </x:c>
      <x:c r="P53" s="9" t="n">
        <x:f>IF(K53=0,0,L53/K53)</x:f>
        <x:v>0.29943338577650086</x:v>
      </x:c>
      <x:c r="Q53" s="3" t="str">
        <x:f>IF(L53&lt;0,"Yes","No")</x:f>
        <x:v>No</x:v>
      </x:c>
    </x:row>
    <x:row r="54" ht="21" customHeight="1">
      <x:c r="A54" s="3" t="str">
        <x:v>ORD-100432</x:v>
      </x:c>
      <x:c r="B54" s="5" t="n">
        <x:v>45308</x:v>
      </x:c>
      <x:c r="C54" s="3" t="str">
        <x:v>CUST-00499</x:v>
      </x:c>
      <x:c r="D54" s="3" t="str">
        <x:v>North</x:v>
      </x:c>
      <x:c r="E54" s="3" t="str">
        <x:v>Beauty</x:v>
      </x:c>
      <x:c r="F54" s="3" t="str">
        <x:v>Makeup</x:v>
      </x:c>
      <x:c r="G54" s="3" t="str">
        <x:v>HD Foundation Kit</x:v>
      </x:c>
      <x:c r="H54" s="3" t="n">
        <x:v>3</x:v>
      </x:c>
      <x:c r="I54" s="7" t="n">
        <x:v>1573.57</x:v>
      </x:c>
      <x:c r="J54" s="9" t="n">
        <x:v>0</x:v>
      </x:c>
      <x:c r="K54" s="7" t="n">
        <x:v>4720.71</x:v>
      </x:c>
      <x:c r="L54" s="7" t="n">
        <x:v>2660.62</x:v>
      </x:c>
      <x:c r="M54" s="3" t="str">
        <x:v>UPI</x:v>
      </x:c>
      <x:c r="N54" s="3" t="str">
        <x:f>TEXT(B54,"yyyy-mm")</x:f>
        <x:v>2024-01</x:v>
      </x:c>
      <x:c r="O54" s="3" t="str">
        <x:f>IF(J54=0,"No discount",IF(J54&lt;=0.1,"1-10%",IF(J54&lt;=0.15,"11-15%",IF(J54&lt;=0.2,"16-20%","21%+"))))</x:f>
        <x:v>No discount</x:v>
      </x:c>
      <x:c r="P54" s="9" t="n">
        <x:f>IF(K54=0,0,L54/K54)</x:f>
        <x:v>0.5636058982653033</x:v>
      </x:c>
      <x:c r="Q54" s="3" t="str">
        <x:f>IF(L54&lt;0,"Yes","No")</x:f>
        <x:v>No</x:v>
      </x:c>
    </x:row>
    <x:row r="55" ht="21" customHeight="1">
      <x:c r="A55" s="3" t="str">
        <x:v>ORD-100453</x:v>
      </x:c>
      <x:c r="B55" s="5" t="n">
        <x:v>45308</x:v>
      </x:c>
      <x:c r="C55" s="3" t="str">
        <x:v>CUST-00058</x:v>
      </x:c>
      <x:c r="D55" s="3" t="str">
        <x:v>West</x:v>
      </x:c>
      <x:c r="E55" s="3" t="str">
        <x:v>Beauty</x:v>
      </x:c>
      <x:c r="F55" s="3" t="str">
        <x:v>Skincare</x:v>
      </x:c>
      <x:c r="G55" s="3" t="str">
        <x:v>HydraBoost Moisturizer</x:v>
      </x:c>
      <x:c r="H55" s="3" t="n">
        <x:v>1</x:v>
      </x:c>
      <x:c r="I55" s="7" t="n">
        <x:v>1216.19</x:v>
      </x:c>
      <x:c r="J55" s="9" t="n">
        <x:v>0.15</x:v>
      </x:c>
      <x:c r="K55" s="7" t="n">
        <x:v>1033.76</x:v>
      </x:c>
      <x:c r="L55" s="7" t="n">
        <x:v>390.22</x:v>
      </x:c>
      <x:c r="M55" s="3" t="str">
        <x:v>Debit Card</x:v>
      </x:c>
      <x:c r="N55" s="3" t="str">
        <x:f>TEXT(B55,"yyyy-mm")</x:f>
        <x:v>2024-01</x:v>
      </x:c>
      <x:c r="O55" s="3" t="str">
        <x:f>IF(J55=0,"No discount",IF(J55&lt;=0.1,"1-10%",IF(J55&lt;=0.15,"11-15%",IF(J55&lt;=0.2,"16-20%","21%+"))))</x:f>
        <x:v>11-15%</x:v>
      </x:c>
      <x:c r="P55" s="9" t="n">
        <x:f>IF(K55=0,0,L55/K55)</x:f>
        <x:v>0.37747639684259404</x:v>
      </x:c>
      <x:c r="Q55" s="3" t="str">
        <x:f>IF(L55&lt;0,"Yes","No")</x:f>
        <x:v>No</x:v>
      </x:c>
    </x:row>
    <x:row r="56" ht="21" customHeight="1">
      <x:c r="A56" s="3" t="str">
        <x:v>ORD-100633</x:v>
      </x:c>
      <x:c r="B56" s="5" t="n">
        <x:v>45308</x:v>
      </x:c>
      <x:c r="C56" s="3" t="str">
        <x:v>CUST-00015</x:v>
      </x:c>
      <x:c r="D56" s="3" t="str">
        <x:v>West</x:v>
      </x:c>
      <x:c r="E56" s="3" t="str">
        <x:v>Sports</x:v>
      </x:c>
      <x:c r="F56" s="3" t="str">
        <x:v>Fitness</x:v>
      </x:c>
      <x:c r="G56" s="3" t="str">
        <x:v>ProYoga Mat</x:v>
      </x:c>
      <x:c r="H56" s="3" t="n">
        <x:v>1</x:v>
      </x:c>
      <x:c r="I56" s="7" t="n">
        <x:v>1260.26</x:v>
      </x:c>
      <x:c r="J56" s="9" t="n">
        <x:v>0.05</x:v>
      </x:c>
      <x:c r="K56" s="7" t="n">
        <x:v>1197.25</x:v>
      </x:c>
      <x:c r="L56" s="7" t="n">
        <x:v>362.14</x:v>
      </x:c>
      <x:c r="M56" s="3" t="str">
        <x:v>UPI</x:v>
      </x:c>
      <x:c r="N56" s="3" t="str">
        <x:f>TEXT(B56,"yyyy-mm")</x:f>
        <x:v>2024-01</x:v>
      </x:c>
      <x:c r="O56" s="3" t="str">
        <x:f>IF(J56=0,"No discount",IF(J56&lt;=0.1,"1-10%",IF(J56&lt;=0.15,"11-15%",IF(J56&lt;=0.2,"16-20%","21%+"))))</x:f>
        <x:v>1-10%</x:v>
      </x:c>
      <x:c r="P56" s="9" t="n">
        <x:f>IF(K56=0,0,L56/K56)</x:f>
        <x:v>0.3024765086656922</x:v>
      </x:c>
      <x:c r="Q56" s="3" t="str">
        <x:f>IF(L56&lt;0,"Yes","No")</x:f>
        <x:v>No</x:v>
      </x:c>
    </x:row>
    <x:row r="57" ht="21" customHeight="1">
      <x:c r="A57" s="3" t="str">
        <x:v>ORD-100286</x:v>
      </x:c>
      <x:c r="B57" s="5" t="n">
        <x:v>45310</x:v>
      </x:c>
      <x:c r="C57" s="3" t="str">
        <x:v>CUST-00423</x:v>
      </x:c>
      <x:c r="D57" s="3" t="str">
        <x:v>South</x:v>
      </x:c>
      <x:c r="E57" s="3" t="str">
        <x:v>Sports</x:v>
      </x:c>
      <x:c r="F57" s="3" t="str">
        <x:v>Fitness</x:v>
      </x:c>
      <x:c r="G57" s="3" t="str">
        <x:v>ProYoga Mat</x:v>
      </x:c>
      <x:c r="H57" s="3" t="n">
        <x:v>1</x:v>
      </x:c>
      <x:c r="I57" s="7" t="n">
        <x:v>1292.26</x:v>
      </x:c>
      <x:c r="J57" s="9" t="n">
        <x:v>0.15</x:v>
      </x:c>
      <x:c r="K57" s="7" t="n">
        <x:v>1098.42</x:v>
      </x:c>
      <x:c r="L57" s="7" t="n">
        <x:v>259.26</x:v>
      </x:c>
      <x:c r="M57" s="3" t="str">
        <x:v>UPI</x:v>
      </x:c>
      <x:c r="N57" s="3" t="str">
        <x:f>TEXT(B57,"yyyy-mm")</x:f>
        <x:v>2024-01</x:v>
      </x:c>
      <x:c r="O57" s="3" t="str">
        <x:f>IF(J57=0,"No discount",IF(J57&lt;=0.1,"1-10%",IF(J57&lt;=0.15,"11-15%",IF(J57&lt;=0.2,"16-20%","21%+"))))</x:f>
        <x:v>11-15%</x:v>
      </x:c>
      <x:c r="P57" s="9" t="n">
        <x:f>IF(K57=0,0,L57/K57)</x:f>
        <x:v>0.2360299339050636</x:v>
      </x:c>
      <x:c r="Q57" s="3" t="str">
        <x:f>IF(L57&lt;0,"Yes","No")</x:f>
        <x:v>No</x:v>
      </x:c>
    </x:row>
    <x:row r="58" ht="21" customHeight="1">
      <x:c r="A58" s="3" t="str">
        <x:v>ORD-101425</x:v>
      </x:c>
      <x:c r="B58" s="5" t="n">
        <x:v>45310</x:v>
      </x:c>
      <x:c r="C58" s="3" t="str">
        <x:v>CUST-00125</x:v>
      </x:c>
      <x:c r="D58" s="3" t="str">
        <x:v>North</x:v>
      </x:c>
      <x:c r="E58" s="3" t="str">
        <x:v>Fashion</x:v>
      </x:c>
      <x:c r="F58" s="3" t="str">
        <x:v>Footwear</x:v>
      </x:c>
      <x:c r="G58" s="3" t="str">
        <x:v>RunFlex Sneakers</x:v>
      </x:c>
      <x:c r="H58" s="3" t="n">
        <x:v>1</x:v>
      </x:c>
      <x:c r="I58" s="7" t="n">
        <x:v>3046.32</x:v>
      </x:c>
      <x:c r="J58" s="9" t="n">
        <x:v>0.05</x:v>
      </x:c>
      <x:c r="K58" s="7" t="n">
        <x:v>2894</x:v>
      </x:c>
      <x:c r="L58" s="7" t="n">
        <x:v>1039.33</x:v>
      </x:c>
      <x:c r="M58" s="3" t="str">
        <x:v>Net Banking</x:v>
      </x:c>
      <x:c r="N58" s="3" t="str">
        <x:f>TEXT(B58,"yyyy-mm")</x:f>
        <x:v>2024-01</x:v>
      </x:c>
      <x:c r="O58" s="3" t="str">
        <x:f>IF(J58=0,"No discount",IF(J58&lt;=0.1,"1-10%",IF(J58&lt;=0.15,"11-15%",IF(J58&lt;=0.2,"16-20%","21%+"))))</x:f>
        <x:v>1-10%</x:v>
      </x:c>
      <x:c r="P58" s="9" t="n">
        <x:f>IF(K58=0,0,L58/K58)</x:f>
        <x:v>0.3591326883206634</x:v>
      </x:c>
      <x:c r="Q58" s="3" t="str">
        <x:f>IF(L58&lt;0,"Yes","No")</x:f>
        <x:v>No</x:v>
      </x:c>
    </x:row>
    <x:row r="59" ht="21" customHeight="1">
      <x:c r="A59" s="3" t="str">
        <x:v>ORD-101445</x:v>
      </x:c>
      <x:c r="B59" s="5" t="n">
        <x:v>45310</x:v>
      </x:c>
      <x:c r="C59" s="3" t="str">
        <x:v>CUST-00446</x:v>
      </x:c>
      <x:c r="D59" s="3" t="str">
        <x:v>West</x:v>
      </x:c>
      <x:c r="E59" s="3" t="str">
        <x:v>Beauty</x:v>
      </x:c>
      <x:c r="F59" s="3" t="str">
        <x:v>Skincare</x:v>
      </x:c>
      <x:c r="G59" s="3" t="str">
        <x:v>HydraBoost Moisturizer</x:v>
      </x:c>
      <x:c r="H59" s="3" t="n">
        <x:v>1</x:v>
      </x:c>
      <x:c r="I59" s="7" t="n">
        <x:v>1235.55</x:v>
      </x:c>
      <x:c r="J59" s="9" t="n">
        <x:v>0.05</x:v>
      </x:c>
      <x:c r="K59" s="7" t="n">
        <x:v>1173.77</x:v>
      </x:c>
      <x:c r="L59" s="7" t="n">
        <x:v>536.78</x:v>
      </x:c>
      <x:c r="M59" s="3" t="str">
        <x:v>Debit Card</x:v>
      </x:c>
      <x:c r="N59" s="3" t="str">
        <x:f>TEXT(B59,"yyyy-mm")</x:f>
        <x:v>2024-01</x:v>
      </x:c>
      <x:c r="O59" s="3" t="str">
        <x:f>IF(J59=0,"No discount",IF(J59&lt;=0.1,"1-10%",IF(J59&lt;=0.15,"11-15%",IF(J59&lt;=0.2,"16-20%","21%+"))))</x:f>
        <x:v>1-10%</x:v>
      </x:c>
      <x:c r="P59" s="9" t="n">
        <x:f>IF(K59=0,0,L59/K59)</x:f>
        <x:v>0.45731276144389443</x:v>
      </x:c>
      <x:c r="Q59" s="3" t="str">
        <x:f>IF(L59&lt;0,"Yes","No")</x:f>
        <x:v>No</x:v>
      </x:c>
    </x:row>
    <x:row r="60" ht="21" customHeight="1">
      <x:c r="A60" s="3" t="str">
        <x:v>ORD-101484</x:v>
      </x:c>
      <x:c r="B60" s="5" t="n">
        <x:v>45310</x:v>
      </x:c>
      <x:c r="C60" s="3" t="str">
        <x:v>CUST-00532</x:v>
      </x:c>
      <x:c r="D60" s="3" t="str">
        <x:v>South</x:v>
      </x:c>
      <x:c r="E60" s="3" t="str">
        <x:v>Fashion</x:v>
      </x:c>
      <x:c r="F60" s="3" t="str">
        <x:v>Men</x:v>
      </x:c>
      <x:c r="G60" s="3" t="str">
        <x:v>SlimFit Denim Jeans</x:v>
      </x:c>
      <x:c r="H60" s="3" t="n">
        <x:v>2</x:v>
      </x:c>
      <x:c r="I60" s="7" t="n">
        <x:v>1939.5</x:v>
      </x:c>
      <x:c r="J60" s="9" t="n">
        <x:v>0.15</x:v>
      </x:c>
      <x:c r="K60" s="7" t="n">
        <x:v>3297.15</x:v>
      </x:c>
      <x:c r="L60" s="7" t="n">
        <x:v>760.63</x:v>
      </x:c>
      <x:c r="M60" s="3" t="str">
        <x:v>Net Banking</x:v>
      </x:c>
      <x:c r="N60" s="3" t="str">
        <x:f>TEXT(B60,"yyyy-mm")</x:f>
        <x:v>2024-01</x:v>
      </x:c>
      <x:c r="O60" s="3" t="str">
        <x:f>IF(J60=0,"No discount",IF(J60&lt;=0.1,"1-10%",IF(J60&lt;=0.15,"11-15%",IF(J60&lt;=0.2,"16-20%","21%+"))))</x:f>
        <x:v>11-15%</x:v>
      </x:c>
      <x:c r="P60" s="9" t="n">
        <x:f>IF(K60=0,0,L60/K60)</x:f>
        <x:v>0.230693174408201</x:v>
      </x:c>
      <x:c r="Q60" s="3" t="str">
        <x:f>IF(L60&lt;0,"Yes","No")</x:f>
        <x:v>No</x:v>
      </x:c>
    </x:row>
    <x:row r="61" ht="21" customHeight="1">
      <x:c r="A61" s="3" t="str">
        <x:v>ORD-101588</x:v>
      </x:c>
      <x:c r="B61" s="5" t="n">
        <x:v>45310</x:v>
      </x:c>
      <x:c r="C61" s="3" t="str">
        <x:v>CUST-00267</x:v>
      </x:c>
      <x:c r="D61" s="3" t="str">
        <x:v>West</x:v>
      </x:c>
      <x:c r="E61" s="3" t="str">
        <x:v>Home &amp; Kitchen</x:v>
      </x:c>
      <x:c r="F61" s="3" t="str">
        <x:v>Furniture</x:v>
      </x:c>
      <x:c r="G61" s="3" t="str">
        <x:v>ErgoComfort Chair</x:v>
      </x:c>
      <x:c r="H61" s="3" t="n">
        <x:v>2</x:v>
      </x:c>
      <x:c r="I61" s="7" t="n">
        <x:v>8676.41</x:v>
      </x:c>
      <x:c r="J61" s="9" t="n">
        <x:v>0.05</x:v>
      </x:c>
      <x:c r="K61" s="7" t="n">
        <x:v>16485.18</x:v>
      </x:c>
      <x:c r="L61" s="7" t="n">
        <x:v>4588.92</x:v>
      </x:c>
      <x:c r="M61" s="3" t="str">
        <x:v>UPI</x:v>
      </x:c>
      <x:c r="N61" s="3" t="str">
        <x:f>TEXT(B61,"yyyy-mm")</x:f>
        <x:v>2024-01</x:v>
      </x:c>
      <x:c r="O61" s="3" t="str">
        <x:f>IF(J61=0,"No discount",IF(J61&lt;=0.1,"1-10%",IF(J61&lt;=0.15,"11-15%",IF(J61&lt;=0.2,"16-20%","21%+"))))</x:f>
        <x:v>1-10%</x:v>
      </x:c>
      <x:c r="P61" s="9" t="n">
        <x:f>IF(K61=0,0,L61/K61)</x:f>
        <x:v>0.2783663872641973</x:v>
      </x:c>
      <x:c r="Q61" s="3" t="str">
        <x:f>IF(L61&lt;0,"Yes","No")</x:f>
        <x:v>No</x:v>
      </x:c>
    </x:row>
    <x:row r="62" ht="21" customHeight="1">
      <x:c r="A62" s="3" t="str">
        <x:v>ORD-101593</x:v>
      </x:c>
      <x:c r="B62" s="5" t="n">
        <x:v>45310</x:v>
      </x:c>
      <x:c r="C62" s="3" t="str">
        <x:v>CUST-00408</x:v>
      </x:c>
      <x:c r="D62" s="3" t="str">
        <x:v>West</x:v>
      </x:c>
      <x:c r="E62" s="3" t="str">
        <x:v>Electronics</x:v>
      </x:c>
      <x:c r="F62" s="3" t="str">
        <x:v>Audio</x:v>
      </x:c>
      <x:c r="G62" s="3" t="str">
        <x:v>SoundPods Pro</x:v>
      </x:c>
      <x:c r="H62" s="3" t="n">
        <x:v>2</x:v>
      </x:c>
      <x:c r="I62" s="7" t="n">
        <x:v>5063.16</x:v>
      </x:c>
      <x:c r="J62" s="9" t="n">
        <x:v>0.25</x:v>
      </x:c>
      <x:c r="K62" s="7" t="n">
        <x:v>7594.74</x:v>
      </x:c>
      <x:c r="L62" s="7" t="n">
        <x:v>-642.48</x:v>
      </x:c>
      <x:c r="M62" s="3" t="str">
        <x:v>UPI</x:v>
      </x:c>
      <x:c r="N62" s="3" t="str">
        <x:f>TEXT(B62,"yyyy-mm")</x:f>
        <x:v>2024-01</x:v>
      </x:c>
      <x:c r="O62" s="3" t="str">
        <x:f>IF(J62=0,"No discount",IF(J62&lt;=0.1,"1-10%",IF(J62&lt;=0.15,"11-15%",IF(J62&lt;=0.2,"16-20%","21%+"))))</x:f>
        <x:v>21%+</x:v>
      </x:c>
      <x:c r="P62" s="9" t="n">
        <x:f>IF(K62=0,0,L62/K62)</x:f>
        <x:v>-0.08459539102062744</x:v>
      </x:c>
      <x:c r="Q62" s="3" t="str">
        <x:f>IF(L62&lt;0,"Yes","No")</x:f>
        <x:v>Yes</x:v>
      </x:c>
    </x:row>
    <x:row r="63" ht="21" customHeight="1">
      <x:c r="A63" s="3" t="str">
        <x:v>ORD-100275</x:v>
      </x:c>
      <x:c r="B63" s="5" t="n">
        <x:v>45312</x:v>
      </x:c>
      <x:c r="C63" s="3" t="str">
        <x:v>CUST-00119</x:v>
      </x:c>
      <x:c r="D63" s="3" t="str">
        <x:v>North</x:v>
      </x:c>
      <x:c r="E63" s="3" t="str">
        <x:v>Fashion</x:v>
      </x:c>
      <x:c r="F63" s="3" t="str">
        <x:v>Men</x:v>
      </x:c>
      <x:c r="G63" s="3" t="str">
        <x:v>SlimFit Denim Jeans</x:v>
      </x:c>
      <x:c r="H63" s="3" t="n">
        <x:v>2</x:v>
      </x:c>
      <x:c r="I63" s="7" t="n">
        <x:v>1972.33</x:v>
      </x:c>
      <x:c r="J63" s="9" t="n">
        <x:v>0</x:v>
      </x:c>
      <x:c r="K63" s="7" t="n">
        <x:v>3944.66</x:v>
      </x:c>
      <x:c r="L63" s="7" t="n">
        <x:v>1704.26</x:v>
      </x:c>
      <x:c r="M63" s="3" t="str">
        <x:v>Net Banking</x:v>
      </x:c>
      <x:c r="N63" s="3" t="str">
        <x:f>TEXT(B63,"yyyy-mm")</x:f>
        <x:v>2024-01</x:v>
      </x:c>
      <x:c r="O63" s="3" t="str">
        <x:f>IF(J63=0,"No discount",IF(J63&lt;=0.1,"1-10%",IF(J63&lt;=0.15,"11-15%",IF(J63&lt;=0.2,"16-20%","21%+"))))</x:f>
        <x:v>No discount</x:v>
      </x:c>
      <x:c r="P63" s="9" t="n">
        <x:f>IF(K63=0,0,L63/K63)</x:f>
        <x:v>0.4320423052937389</x:v>
      </x:c>
      <x:c r="Q63" s="3" t="str">
        <x:f>IF(L63&lt;0,"Yes","No")</x:f>
        <x:v>No</x:v>
      </x:c>
    </x:row>
    <x:row r="64" ht="21" customHeight="1">
      <x:c r="A64" s="3" t="str">
        <x:v>ORD-101031</x:v>
      </x:c>
      <x:c r="B64" s="5" t="n">
        <x:v>45312</x:v>
      </x:c>
      <x:c r="C64" s="3" t="str">
        <x:v>CUST-00372</x:v>
      </x:c>
      <x:c r="D64" s="3" t="str">
        <x:v>South</x:v>
      </x:c>
      <x:c r="E64" s="3" t="str">
        <x:v>Electronics</x:v>
      </x:c>
      <x:c r="F64" s="3" t="str">
        <x:v>Audio</x:v>
      </x:c>
      <x:c r="G64" s="3" t="str">
        <x:v>SoundPods Pro</x:v>
      </x:c>
      <x:c r="H64" s="3" t="n">
        <x:v>4</x:v>
      </x:c>
      <x:c r="I64" s="7" t="n">
        <x:v>4768.74</x:v>
      </x:c>
      <x:c r="J64" s="9" t="n">
        <x:v>0</x:v>
      </x:c>
      <x:c r="K64" s="7" t="n">
        <x:v>19074.96</x:v>
      </x:c>
      <x:c r="L64" s="7" t="n">
        <x:v>4013.73</x:v>
      </x:c>
      <x:c r="M64" s="3" t="str">
        <x:v>Credit Card</x:v>
      </x:c>
      <x:c r="N64" s="3" t="str">
        <x:f>TEXT(B64,"yyyy-mm")</x:f>
        <x:v>2024-01</x:v>
      </x:c>
      <x:c r="O64" s="3" t="str">
        <x:f>IF(J64=0,"No discount",IF(J64&lt;=0.1,"1-10%",IF(J64&lt;=0.15,"11-15%",IF(J64&lt;=0.2,"16-20%","21%+"))))</x:f>
        <x:v>No discount</x:v>
      </x:c>
      <x:c r="P64" s="9" t="n">
        <x:f>IF(K64=0,0,L64/K64)</x:f>
        <x:v>0.21041878986902202</x:v>
      </x:c>
      <x:c r="Q64" s="3" t="str">
        <x:f>IF(L64&lt;0,"Yes","No")</x:f>
        <x:v>No</x:v>
      </x:c>
    </x:row>
    <x:row r="65" ht="21" customHeight="1">
      <x:c r="A65" s="3" t="str">
        <x:v>ORD-101189</x:v>
      </x:c>
      <x:c r="B65" s="5" t="n">
        <x:v>45312</x:v>
      </x:c>
      <x:c r="C65" s="3" t="str">
        <x:v>CUST-00303</x:v>
      </x:c>
      <x:c r="D65" s="3" t="str">
        <x:v>North</x:v>
      </x:c>
      <x:c r="E65" s="3" t="str">
        <x:v>Beauty</x:v>
      </x:c>
      <x:c r="F65" s="3" t="str">
        <x:v>Skincare</x:v>
      </x:c>
      <x:c r="G65" s="3" t="str">
        <x:v>HydraBoost Moisturizer</x:v>
      </x:c>
      <x:c r="H65" s="3" t="n">
        <x:v>1</x:v>
      </x:c>
      <x:c r="I65" s="7" t="n">
        <x:v>1234.34</x:v>
      </x:c>
      <x:c r="J65" s="9" t="n">
        <x:v>0.1</x:v>
      </x:c>
      <x:c r="K65" s="7" t="n">
        <x:v>1110.91</x:v>
      </x:c>
      <x:c r="L65" s="7" t="n">
        <x:v>463.62</x:v>
      </x:c>
      <x:c r="M65" s="3" t="str">
        <x:v>UPI</x:v>
      </x:c>
      <x:c r="N65" s="3" t="str">
        <x:f>TEXT(B65,"yyyy-mm")</x:f>
        <x:v>2024-01</x:v>
      </x:c>
      <x:c r="O65" s="3" t="str">
        <x:f>IF(J65=0,"No discount",IF(J65&lt;=0.1,"1-10%",IF(J65&lt;=0.15,"11-15%",IF(J65&lt;=0.2,"16-20%","21%+"))))</x:f>
        <x:v>1-10%</x:v>
      </x:c>
      <x:c r="P65" s="9" t="n">
        <x:f>IF(K65=0,0,L65/K65)</x:f>
        <x:v>0.417333537370264</x:v>
      </x:c>
      <x:c r="Q65" s="3" t="str">
        <x:f>IF(L65&lt;0,"Yes","No")</x:f>
        <x:v>No</x:v>
      </x:c>
    </x:row>
    <x:row r="66" ht="21" customHeight="1">
      <x:c r="A66" s="3" t="str">
        <x:v>ORD-100783</x:v>
      </x:c>
      <x:c r="B66" s="5" t="n">
        <x:v>45313</x:v>
      </x:c>
      <x:c r="C66" s="3" t="str">
        <x:v>CUST-00271</x:v>
      </x:c>
      <x:c r="D66" s="3" t="str">
        <x:v>East</x:v>
      </x:c>
      <x:c r="E66" s="3" t="str">
        <x:v>Fashion</x:v>
      </x:c>
      <x:c r="F66" s="3" t="str">
        <x:v>Women</x:v>
      </x:c>
      <x:c r="G66" s="3" t="str">
        <x:v>Floral Summer Dress</x:v>
      </x:c>
      <x:c r="H66" s="3" t="n">
        <x:v>1</x:v>
      </x:c>
      <x:c r="I66" s="7" t="n">
        <x:v>1790.94</x:v>
      </x:c>
      <x:c r="J66" s="9" t="n">
        <x:v>0.05</x:v>
      </x:c>
      <x:c r="K66" s="7" t="n">
        <x:v>1701.39</x:v>
      </x:c>
      <x:c r="L66" s="7" t="n">
        <x:v>679.67</x:v>
      </x:c>
      <x:c r="M66" s="3" t="str">
        <x:v>Credit Card</x:v>
      </x:c>
      <x:c r="N66" s="3" t="str">
        <x:f>TEXT(B66,"yyyy-mm")</x:f>
        <x:v>2024-01</x:v>
      </x:c>
      <x:c r="O66" s="3" t="str">
        <x:f>IF(J66=0,"No discount",IF(J66&lt;=0.1,"1-10%",IF(J66&lt;=0.15,"11-15%",IF(J66&lt;=0.2,"16-20%","21%+"))))</x:f>
        <x:v>1-10%</x:v>
      </x:c>
      <x:c r="P66" s="9" t="n">
        <x:f>IF(K66=0,0,L66/K66)</x:f>
        <x:v>0.3994792493196739</x:v>
      </x:c>
      <x:c r="Q66" s="3" t="str">
        <x:f>IF(L66&lt;0,"Yes","No")</x:f>
        <x:v>No</x:v>
      </x:c>
    </x:row>
    <x:row r="67" ht="21" customHeight="1">
      <x:c r="A67" s="3" t="str">
        <x:v>ORD-100321</x:v>
      </x:c>
      <x:c r="B67" s="5" t="n">
        <x:v>45314</x:v>
      </x:c>
      <x:c r="C67" s="3" t="str">
        <x:v>CUST-00131</x:v>
      </x:c>
      <x:c r="D67" s="3" t="str">
        <x:v>North</x:v>
      </x:c>
      <x:c r="E67" s="3" t="str">
        <x:v>Fashion</x:v>
      </x:c>
      <x:c r="F67" s="3" t="str">
        <x:v>Women</x:v>
      </x:c>
      <x:c r="G67" s="3" t="str">
        <x:v>Knit Winter Sweater</x:v>
      </x:c>
      <x:c r="H67" s="3" t="n">
        <x:v>2</x:v>
      </x:c>
      <x:c r="I67" s="7" t="n">
        <x:v>2194.34</x:v>
      </x:c>
      <x:c r="J67" s="9" t="n">
        <x:v>0.05</x:v>
      </x:c>
      <x:c r="K67" s="7" t="n">
        <x:v>4169.25</x:v>
      </x:c>
      <x:c r="L67" s="7" t="n">
        <x:v>1414.86</x:v>
      </x:c>
      <x:c r="M67" s="3" t="str">
        <x:v>Debit Card</x:v>
      </x:c>
      <x:c r="N67" s="3" t="str">
        <x:f>TEXT(B67,"yyyy-mm")</x:f>
        <x:v>2024-01</x:v>
      </x:c>
      <x:c r="O67" s="3" t="str">
        <x:f>IF(J67=0,"No discount",IF(J67&lt;=0.1,"1-10%",IF(J67&lt;=0.15,"11-15%",IF(J67&lt;=0.2,"16-20%","21%+"))))</x:f>
        <x:v>1-10%</x:v>
      </x:c>
      <x:c r="P67" s="9" t="n">
        <x:f>IF(K67=0,0,L67/K67)</x:f>
        <x:v>0.3393559992804461</x:v>
      </x:c>
      <x:c r="Q67" s="3" t="str">
        <x:f>IF(L67&lt;0,"Yes","No")</x:f>
        <x:v>No</x:v>
      </x:c>
    </x:row>
    <x:row r="68" ht="21" customHeight="1">
      <x:c r="A68" s="3" t="str">
        <x:v>ORD-100946</x:v>
      </x:c>
      <x:c r="B68" s="5" t="n">
        <x:v>45314</x:v>
      </x:c>
      <x:c r="C68" s="3" t="str">
        <x:v>CUST-00070</x:v>
      </x:c>
      <x:c r="D68" s="3" t="str">
        <x:v>South</x:v>
      </x:c>
      <x:c r="E68" s="3" t="str">
        <x:v>Fashion</x:v>
      </x:c>
      <x:c r="F68" s="3" t="str">
        <x:v>Men</x:v>
      </x:c>
      <x:c r="G68" s="3" t="str">
        <x:v>Oxford Casual Shirt</x:v>
      </x:c>
      <x:c r="H68" s="3" t="n">
        <x:v>2</x:v>
      </x:c>
      <x:c r="I68" s="7" t="n">
        <x:v>1290.98</x:v>
      </x:c>
      <x:c r="J68" s="9" t="n">
        <x:v>0.1</x:v>
      </x:c>
      <x:c r="K68" s="7" t="n">
        <x:v>2323.76</x:v>
      </x:c>
      <x:c r="L68" s="7" t="n">
        <x:v>676.74</x:v>
      </x:c>
      <x:c r="M68" s="3" t="str">
        <x:v>Credit Card</x:v>
      </x:c>
      <x:c r="N68" s="3" t="str">
        <x:f>TEXT(B68,"yyyy-mm")</x:f>
        <x:v>2024-01</x:v>
      </x:c>
      <x:c r="O68" s="3" t="str">
        <x:f>IF(J68=0,"No discount",IF(J68&lt;=0.1,"1-10%",IF(J68&lt;=0.15,"11-15%",IF(J68&lt;=0.2,"16-20%","21%+"))))</x:f>
        <x:v>1-10%</x:v>
      </x:c>
      <x:c r="P68" s="9" t="n">
        <x:f>IF(K68=0,0,L68/K68)</x:f>
        <x:v>0.29122628842909765</x:v>
      </x:c>
      <x:c r="Q68" s="3" t="str">
        <x:f>IF(L68&lt;0,"Yes","No")</x:f>
        <x:v>No</x:v>
      </x:c>
    </x:row>
    <x:row r="69" ht="21" customHeight="1">
      <x:c r="A69" s="3" t="str">
        <x:v>ORD-101048</x:v>
      </x:c>
      <x:c r="B69" s="5" t="n">
        <x:v>45314</x:v>
      </x:c>
      <x:c r="C69" s="3" t="str">
        <x:v>CUST-00163</x:v>
      </x:c>
      <x:c r="D69" s="3" t="str">
        <x:v>North</x:v>
      </x:c>
      <x:c r="E69" s="3" t="str">
        <x:v>Sports</x:v>
      </x:c>
      <x:c r="F69" s="3" t="str">
        <x:v>Fitness</x:v>
      </x:c>
      <x:c r="G69" s="3" t="str">
        <x:v>ProYoga Mat</x:v>
      </x:c>
      <x:c r="H69" s="3" t="n">
        <x:v>2</x:v>
      </x:c>
      <x:c r="I69" s="7" t="n">
        <x:v>1246.37</x:v>
      </x:c>
      <x:c r="J69" s="9" t="n">
        <x:v>0</x:v>
      </x:c>
      <x:c r="K69" s="7" t="n">
        <x:v>2492.74</x:v>
      </x:c>
      <x:c r="L69" s="7" t="n">
        <x:v>925.56</x:v>
      </x:c>
      <x:c r="M69" s="3" t="str">
        <x:v>UPI</x:v>
      </x:c>
      <x:c r="N69" s="3" t="str">
        <x:f>TEXT(B69,"yyyy-mm")</x:f>
        <x:v>2024-01</x:v>
      </x:c>
      <x:c r="O69" s="3" t="str">
        <x:f>IF(J69=0,"No discount",IF(J69&lt;=0.1,"1-10%",IF(J69&lt;=0.15,"11-15%",IF(J69&lt;=0.2,"16-20%","21%+"))))</x:f>
        <x:v>No discount</x:v>
      </x:c>
      <x:c r="P69" s="9" t="n">
        <x:f>IF(K69=0,0,L69/K69)</x:f>
        <x:v>0.37130226176817477</x:v>
      </x:c>
      <x:c r="Q69" s="3" t="str">
        <x:f>IF(L69&lt;0,"Yes","No")</x:f>
        <x:v>No</x:v>
      </x:c>
    </x:row>
    <x:row r="70" ht="21" customHeight="1">
      <x:c r="A70" s="3" t="str">
        <x:v>ORD-101113</x:v>
      </x:c>
      <x:c r="B70" s="5" t="n">
        <x:v>45314</x:v>
      </x:c>
      <x:c r="C70" s="3" t="str">
        <x:v>CUST-00354</x:v>
      </x:c>
      <x:c r="D70" s="3" t="str">
        <x:v>North</x:v>
      </x:c>
      <x:c r="E70" s="3" t="str">
        <x:v>Fashion</x:v>
      </x:c>
      <x:c r="F70" s="3" t="str">
        <x:v>Women</x:v>
      </x:c>
      <x:c r="G70" s="3" t="str">
        <x:v>Knit Winter Sweater</x:v>
      </x:c>
      <x:c r="H70" s="3" t="n">
        <x:v>5</x:v>
      </x:c>
      <x:c r="I70" s="7" t="n">
        <x:v>2212.92</x:v>
      </x:c>
      <x:c r="J70" s="9" t="n">
        <x:v>0.1</x:v>
      </x:c>
      <x:c r="K70" s="7" t="n">
        <x:v>9958.14</x:v>
      </x:c>
      <x:c r="L70" s="7" t="n">
        <x:v>3153.13</x:v>
      </x:c>
      <x:c r="M70" s="3" t="str">
        <x:v>Debit Card</x:v>
      </x:c>
      <x:c r="N70" s="3" t="str">
        <x:f>TEXT(B70,"yyyy-mm")</x:f>
        <x:v>2024-01</x:v>
      </x:c>
      <x:c r="O70" s="3" t="str">
        <x:f>IF(J70=0,"No discount",IF(J70&lt;=0.1,"1-10%",IF(J70&lt;=0.15,"11-15%",IF(J70&lt;=0.2,"16-20%","21%+"))))</x:f>
        <x:v>1-10%</x:v>
      </x:c>
      <x:c r="P70" s="9" t="n">
        <x:f>IF(K70=0,0,L70/K70)</x:f>
        <x:v>0.31663844854561196</x:v>
      </x:c>
      <x:c r="Q70" s="3" t="str">
        <x:f>IF(L70&lt;0,"Yes","No")</x:f>
        <x:v>No</x:v>
      </x:c>
    </x:row>
    <x:row r="71" ht="21" customHeight="1">
      <x:c r="A71" s="3" t="str">
        <x:v>ORD-101892</x:v>
      </x:c>
      <x:c r="B71" s="5" t="n">
        <x:v>45314</x:v>
      </x:c>
      <x:c r="C71" s="3" t="str">
        <x:v>CUST-00251</x:v>
      </x:c>
      <x:c r="D71" s="3" t="str">
        <x:v>North</x:v>
      </x:c>
      <x:c r="E71" s="3" t="str">
        <x:v>Home &amp; Kitchen</x:v>
      </x:c>
      <x:c r="F71" s="3" t="str">
        <x:v>Appliances</x:v>
      </x:c>
      <x:c r="G71" s="3" t="str">
        <x:v>ColdBrew Coffee Maker</x:v>
      </x:c>
      <x:c r="H71" s="3" t="n">
        <x:v>1</x:v>
      </x:c>
      <x:c r="I71" s="7" t="n">
        <x:v>6228.5</x:v>
      </x:c>
      <x:c r="J71" s="9" t="n">
        <x:v>0.25</x:v>
      </x:c>
      <x:c r="K71" s="7" t="n">
        <x:v>4671.38</x:v>
      </x:c>
      <x:c r="L71" s="7" t="n">
        <x:v>118.58</x:v>
      </x:c>
      <x:c r="M71" s="3" t="str">
        <x:v>UPI</x:v>
      </x:c>
      <x:c r="N71" s="3" t="str">
        <x:f>TEXT(B71,"yyyy-mm")</x:f>
        <x:v>2024-01</x:v>
      </x:c>
      <x:c r="O71" s="3" t="str">
        <x:f>IF(J71=0,"No discount",IF(J71&lt;=0.1,"1-10%",IF(J71&lt;=0.15,"11-15%",IF(J71&lt;=0.2,"16-20%","21%+"))))</x:f>
        <x:v>21%+</x:v>
      </x:c>
      <x:c r="P71" s="9" t="n">
        <x:f>IF(K71=0,0,L71/K71)</x:f>
        <x:v>0.025384361794587466</x:v>
      </x:c>
      <x:c r="Q71" s="3" t="str">
        <x:f>IF(L71&lt;0,"Yes","No")</x:f>
        <x:v>No</x:v>
      </x:c>
    </x:row>
    <x:row r="72" ht="21" customHeight="1">
      <x:c r="A72" s="3" t="str">
        <x:v>ORD-100385</x:v>
      </x:c>
      <x:c r="B72" s="5" t="n">
        <x:v>45315</x:v>
      </x:c>
      <x:c r="C72" s="3" t="str">
        <x:v>CUST-00551</x:v>
      </x:c>
      <x:c r="D72" s="3" t="str">
        <x:v>North</x:v>
      </x:c>
      <x:c r="E72" s="3" t="str">
        <x:v>Fashion</x:v>
      </x:c>
      <x:c r="F72" s="3" t="str">
        <x:v>Footwear</x:v>
      </x:c>
      <x:c r="G72" s="3" t="str">
        <x:v>RunFlex Sneakers</x:v>
      </x:c>
      <x:c r="H72" s="3" t="n">
        <x:v>3</x:v>
      </x:c>
      <x:c r="I72" s="7" t="n">
        <x:v>2853.17</x:v>
      </x:c>
      <x:c r="J72" s="9" t="n">
        <x:v>0.2</x:v>
      </x:c>
      <x:c r="K72" s="7" t="n">
        <x:v>6847.61</x:v>
      </x:c>
      <x:c r="L72" s="7" t="n">
        <x:v>1407.21</x:v>
      </x:c>
      <x:c r="M72" s="3" t="str">
        <x:v>Credit Card</x:v>
      </x:c>
      <x:c r="N72" s="3" t="str">
        <x:f>TEXT(B72,"yyyy-mm")</x:f>
        <x:v>2024-01</x:v>
      </x:c>
      <x:c r="O72" s="3" t="str">
        <x:f>IF(J72=0,"No discount",IF(J72&lt;=0.1,"1-10%",IF(J72&lt;=0.15,"11-15%",IF(J72&lt;=0.2,"16-20%","21%+"))))</x:f>
        <x:v>16-20%</x:v>
      </x:c>
      <x:c r="P72" s="9" t="n">
        <x:f>IF(K72=0,0,L72/K72)</x:f>
        <x:v>0.20550381812048293</x:v>
      </x:c>
      <x:c r="Q72" s="3" t="str">
        <x:f>IF(L72&lt;0,"Yes","No")</x:f>
        <x:v>No</x:v>
      </x:c>
    </x:row>
    <x:row r="73" ht="21" customHeight="1">
      <x:c r="A73" s="3" t="str">
        <x:v>ORD-100476</x:v>
      </x:c>
      <x:c r="B73" s="5" t="n">
        <x:v>45315</x:v>
      </x:c>
      <x:c r="C73" s="3" t="str">
        <x:v>CUST-00555</x:v>
      </x:c>
      <x:c r="D73" s="3" t="str">
        <x:v>West</x:v>
      </x:c>
      <x:c r="E73" s="3" t="str">
        <x:v>Fashion</x:v>
      </x:c>
      <x:c r="F73" s="3" t="str">
        <x:v>Women</x:v>
      </x:c>
      <x:c r="G73" s="3" t="str">
        <x:v>Floral Summer Dress</x:v>
      </x:c>
      <x:c r="H73" s="3" t="n">
        <x:v>1</x:v>
      </x:c>
      <x:c r="I73" s="7" t="n">
        <x:v>1834.46</x:v>
      </x:c>
      <x:c r="J73" s="9" t="n">
        <x:v>0</x:v>
      </x:c>
      <x:c r="K73" s="7" t="n">
        <x:v>1834.46</x:v>
      </x:c>
      <x:c r="L73" s="7" t="n">
        <x:v>769.93</x:v>
      </x:c>
      <x:c r="M73" s="3" t="str">
        <x:v>Credit Card</x:v>
      </x:c>
      <x:c r="N73" s="3" t="str">
        <x:f>TEXT(B73,"yyyy-mm")</x:f>
        <x:v>2024-01</x:v>
      </x:c>
      <x:c r="O73" s="3" t="str">
        <x:f>IF(J73=0,"No discount",IF(J73&lt;=0.1,"1-10%",IF(J73&lt;=0.15,"11-15%",IF(J73&lt;=0.2,"16-20%","21%+"))))</x:f>
        <x:v>No discount</x:v>
      </x:c>
      <x:c r="P73" s="9" t="n">
        <x:f>IF(K73=0,0,L73/K73)</x:f>
        <x:v>0.41970389106331013</x:v>
      </x:c>
      <x:c r="Q73" s="3" t="str">
        <x:f>IF(L73&lt;0,"Yes","No")</x:f>
        <x:v>No</x:v>
      </x:c>
    </x:row>
    <x:row r="74" ht="21" customHeight="1">
      <x:c r="A74" s="3" t="str">
        <x:v>ORD-100620</x:v>
      </x:c>
      <x:c r="B74" s="5" t="n">
        <x:v>45315</x:v>
      </x:c>
      <x:c r="C74" s="3" t="str">
        <x:v>CUST-00033</x:v>
      </x:c>
      <x:c r="D74" s="3" t="str">
        <x:v>East</x:v>
      </x:c>
      <x:c r="E74" s="3" t="str">
        <x:v>Sports</x:v>
      </x:c>
      <x:c r="F74" s="3" t="str">
        <x:v>Outdoor</x:v>
      </x:c>
      <x:c r="G74" s="3" t="str">
        <x:v>AllWeather Tent 4P</x:v>
      </x:c>
      <x:c r="H74" s="3" t="n">
        <x:v>1</x:v>
      </x:c>
      <x:c r="I74" s="7" t="n">
        <x:v>12302.13</x:v>
      </x:c>
      <x:c r="J74" s="9" t="n">
        <x:v>0.05</x:v>
      </x:c>
      <x:c r="K74" s="7" t="n">
        <x:v>11687.02</x:v>
      </x:c>
      <x:c r="L74" s="7" t="n">
        <x:v>4014.81</x:v>
      </x:c>
      <x:c r="M74" s="3" t="str">
        <x:v>UPI</x:v>
      </x:c>
      <x:c r="N74" s="3" t="str">
        <x:f>TEXT(B74,"yyyy-mm")</x:f>
        <x:v>2024-01</x:v>
      </x:c>
      <x:c r="O74" s="3" t="str">
        <x:f>IF(J74=0,"No discount",IF(J74&lt;=0.1,"1-10%",IF(J74&lt;=0.15,"11-15%",IF(J74&lt;=0.2,"16-20%","21%+"))))</x:f>
        <x:v>1-10%</x:v>
      </x:c>
      <x:c r="P74" s="9" t="n">
        <x:f>IF(K74=0,0,L74/K74)</x:f>
        <x:v>0.3435272635795951</x:v>
      </x:c>
      <x:c r="Q74" s="3" t="str">
        <x:f>IF(L74&lt;0,"Yes","No")</x:f>
        <x:v>No</x:v>
      </x:c>
    </x:row>
    <x:row r="75" ht="21" customHeight="1">
      <x:c r="A75" s="3" t="str">
        <x:v>ORD-101951</x:v>
      </x:c>
      <x:c r="B75" s="5" t="n">
        <x:v>45315</x:v>
      </x:c>
      <x:c r="C75" s="3" t="str">
        <x:v>CUST-00353</x:v>
      </x:c>
      <x:c r="D75" s="3" t="str">
        <x:v>North</x:v>
      </x:c>
      <x:c r="E75" s="3" t="str">
        <x:v>Fashion</x:v>
      </x:c>
      <x:c r="F75" s="3" t="str">
        <x:v>Women</x:v>
      </x:c>
      <x:c r="G75" s="3" t="str">
        <x:v>Floral Summer Dress</x:v>
      </x:c>
      <x:c r="H75" s="3" t="n">
        <x:v>1</x:v>
      </x:c>
      <x:c r="I75" s="7" t="n">
        <x:v>1859.38</x:v>
      </x:c>
      <x:c r="J75" s="9" t="n">
        <x:v>0.05</x:v>
      </x:c>
      <x:c r="K75" s="7" t="n">
        <x:v>1766.41</x:v>
      </x:c>
      <x:c r="L75" s="7" t="n">
        <x:v>574.77</x:v>
      </x:c>
      <x:c r="M75" s="3" t="str">
        <x:v>Credit Card</x:v>
      </x:c>
      <x:c r="N75" s="3" t="str">
        <x:f>TEXT(B75,"yyyy-mm")</x:f>
        <x:v>2024-01</x:v>
      </x:c>
      <x:c r="O75" s="3" t="str">
        <x:f>IF(J75=0,"No discount",IF(J75&lt;=0.1,"1-10%",IF(J75&lt;=0.15,"11-15%",IF(J75&lt;=0.2,"16-20%","21%+"))))</x:f>
        <x:v>1-10%</x:v>
      </x:c>
      <x:c r="P75" s="9" t="n">
        <x:f>IF(K75=0,0,L75/K75)</x:f>
        <x:v>0.32538878289864753</x:v>
      </x:c>
      <x:c r="Q75" s="3" t="str">
        <x:f>IF(L75&lt;0,"Yes","No")</x:f>
        <x:v>No</x:v>
      </x:c>
    </x:row>
    <x:row r="76" ht="21" customHeight="1">
      <x:c r="A76" s="3" t="str">
        <x:v>ORD-100943</x:v>
      </x:c>
      <x:c r="B76" s="5" t="n">
        <x:v>45316</x:v>
      </x:c>
      <x:c r="C76" s="3" t="str">
        <x:v>CUST-00392</x:v>
      </x:c>
      <x:c r="D76" s="3" t="str">
        <x:v>North</x:v>
      </x:c>
      <x:c r="E76" s="3" t="str">
        <x:v>Home &amp; Kitchen</x:v>
      </x:c>
      <x:c r="F76" s="3" t="str">
        <x:v>Appliances</x:v>
      </x:c>
      <x:c r="G76" s="3" t="str">
        <x:v>AirFryer Deluxe</x:v>
      </x:c>
      <x:c r="H76" s="3" t="n">
        <x:v>5</x:v>
      </x:c>
      <x:c r="I76" s="7" t="n">
        <x:v>7614.63</x:v>
      </x:c>
      <x:c r="J76" s="9" t="n">
        <x:v>0.15</x:v>
      </x:c>
      <x:c r="K76" s="7" t="n">
        <x:v>32362.18</x:v>
      </x:c>
      <x:c r="L76" s="7" t="n">
        <x:v>5626.07</x:v>
      </x:c>
      <x:c r="M76" s="3" t="str">
        <x:v>Debit Card</x:v>
      </x:c>
      <x:c r="N76" s="3" t="str">
        <x:f>TEXT(B76,"yyyy-mm")</x:f>
        <x:v>2024-01</x:v>
      </x:c>
      <x:c r="O76" s="3" t="str">
        <x:f>IF(J76=0,"No discount",IF(J76&lt;=0.1,"1-10%",IF(J76&lt;=0.15,"11-15%",IF(J76&lt;=0.2,"16-20%","21%+"))))</x:f>
        <x:v>11-15%</x:v>
      </x:c>
      <x:c r="P76" s="9" t="n">
        <x:f>IF(K76=0,0,L76/K76)</x:f>
        <x:v>0.1738470646909448</x:v>
      </x:c>
      <x:c r="Q76" s="3" t="str">
        <x:f>IF(L76&lt;0,"Yes","No")</x:f>
        <x:v>No</x:v>
      </x:c>
    </x:row>
    <x:row r="77" ht="21" customHeight="1">
      <x:c r="A77" s="3" t="str">
        <x:v>ORD-101034</x:v>
      </x:c>
      <x:c r="B77" s="5" t="n">
        <x:v>45316</x:v>
      </x:c>
      <x:c r="C77" s="3" t="str">
        <x:v>CUST-00171</x:v>
      </x:c>
      <x:c r="D77" s="3" t="str">
        <x:v>West</x:v>
      </x:c>
      <x:c r="E77" s="3" t="str">
        <x:v>Home &amp; Kitchen</x:v>
      </x:c>
      <x:c r="F77" s="3" t="str">
        <x:v>Appliances</x:v>
      </x:c>
      <x:c r="G77" s="3" t="str">
        <x:v>ColdBrew Coffee Maker</x:v>
      </x:c>
      <x:c r="H77" s="3" t="n">
        <x:v>1</x:v>
      </x:c>
      <x:c r="I77" s="7" t="n">
        <x:v>6445.54</x:v>
      </x:c>
      <x:c r="J77" s="9" t="n">
        <x:v>0.2</x:v>
      </x:c>
      <x:c r="K77" s="7" t="n">
        <x:v>5156.43</x:v>
      </x:c>
      <x:c r="L77" s="7" t="n">
        <x:v>379.13</x:v>
      </x:c>
      <x:c r="M77" s="3" t="str">
        <x:v>UPI</x:v>
      </x:c>
      <x:c r="N77" s="3" t="str">
        <x:f>TEXT(B77,"yyyy-mm")</x:f>
        <x:v>2024-01</x:v>
      </x:c>
      <x:c r="O77" s="3" t="str">
        <x:f>IF(J77=0,"No discount",IF(J77&lt;=0.1,"1-10%",IF(J77&lt;=0.15,"11-15%",IF(J77&lt;=0.2,"16-20%","21%+"))))</x:f>
        <x:v>16-20%</x:v>
      </x:c>
      <x:c r="P77" s="9" t="n">
        <x:f>IF(K77=0,0,L77/K77)</x:f>
        <x:v>0.07352567570974491</x:v>
      </x:c>
      <x:c r="Q77" s="3" t="str">
        <x:f>IF(L77&lt;0,"Yes","No")</x:f>
        <x:v>No</x:v>
      </x:c>
    </x:row>
    <x:row r="78" ht="21" customHeight="1">
      <x:c r="A78" s="3" t="str">
        <x:v>ORD-101090</x:v>
      </x:c>
      <x:c r="B78" s="5" t="n">
        <x:v>45316</x:v>
      </x:c>
      <x:c r="C78" s="3" t="str">
        <x:v>CUST-00376</x:v>
      </x:c>
      <x:c r="D78" s="3" t="str">
        <x:v>North</x:v>
      </x:c>
      <x:c r="E78" s="3" t="str">
        <x:v>Home &amp; Kitchen</x:v>
      </x:c>
      <x:c r="F78" s="3" t="str">
        <x:v>Appliances</x:v>
      </x:c>
      <x:c r="G78" s="3" t="str">
        <x:v>ColdBrew Coffee Maker</x:v>
      </x:c>
      <x:c r="H78" s="3" t="n">
        <x:v>1</x:v>
      </x:c>
      <x:c r="I78" s="7" t="n">
        <x:v>6629.49</x:v>
      </x:c>
      <x:c r="J78" s="9" t="n">
        <x:v>0.05</x:v>
      </x:c>
      <x:c r="K78" s="7" t="n">
        <x:v>6298.02</x:v>
      </x:c>
      <x:c r="L78" s="7" t="n">
        <x:v>1923.62</x:v>
      </x:c>
      <x:c r="M78" s="3" t="str">
        <x:v>UPI</x:v>
      </x:c>
      <x:c r="N78" s="3" t="str">
        <x:f>TEXT(B78,"yyyy-mm")</x:f>
        <x:v>2024-01</x:v>
      </x:c>
      <x:c r="O78" s="3" t="str">
        <x:f>IF(J78=0,"No discount",IF(J78&lt;=0.1,"1-10%",IF(J78&lt;=0.15,"11-15%",IF(J78&lt;=0.2,"16-20%","21%+"))))</x:f>
        <x:v>1-10%</x:v>
      </x:c>
      <x:c r="P78" s="9" t="n">
        <x:f>IF(K78=0,0,L78/K78)</x:f>
        <x:v>0.30543250100825337</x:v>
      </x:c>
      <x:c r="Q78" s="3" t="str">
        <x:f>IF(L78&lt;0,"Yes","No")</x:f>
        <x:v>No</x:v>
      </x:c>
    </x:row>
    <x:row r="79" ht="21" customHeight="1">
      <x:c r="A79" s="3" t="str">
        <x:v>ORD-100025</x:v>
      </x:c>
      <x:c r="B79" s="5" t="n">
        <x:v>45317</x:v>
      </x:c>
      <x:c r="C79" s="3" t="str">
        <x:v>CUST-00341</x:v>
      </x:c>
      <x:c r="D79" s="3" t="str">
        <x:v>East</x:v>
      </x:c>
      <x:c r="E79" s="3" t="str">
        <x:v>Home &amp; Kitchen</x:v>
      </x:c>
      <x:c r="F79" s="3" t="str">
        <x:v>Decor</x:v>
      </x:c>
      <x:c r="G79" s="3" t="str">
        <x:v>Ceramic Vase Set</x:v>
      </x:c>
      <x:c r="H79" s="3" t="n">
        <x:v>4</x:v>
      </x:c>
      <x:c r="I79" s="7" t="n">
        <x:v>1461.45</x:v>
      </x:c>
      <x:c r="J79" s="9" t="n">
        <x:v>0</x:v>
      </x:c>
      <x:c r="K79" s="7" t="n">
        <x:v>5845.8</x:v>
      </x:c>
      <x:c r="L79" s="7" t="n">
        <x:v>1743.35</x:v>
      </x:c>
      <x:c r="M79" s="3" t="str">
        <x:v>Net Banking</x:v>
      </x:c>
      <x:c r="N79" s="3" t="str">
        <x:f>TEXT(B79,"yyyy-mm")</x:f>
        <x:v>2024-01</x:v>
      </x:c>
      <x:c r="O79" s="3" t="str">
        <x:f>IF(J79=0,"No discount",IF(J79&lt;=0.1,"1-10%",IF(J79&lt;=0.15,"11-15%",IF(J79&lt;=0.2,"16-20%","21%+"))))</x:f>
        <x:v>No discount</x:v>
      </x:c>
      <x:c r="P79" s="9" t="n">
        <x:f>IF(K79=0,0,L79/K79)</x:f>
        <x:v>0.2982226555817852</x:v>
      </x:c>
      <x:c r="Q79" s="3" t="str">
        <x:f>IF(L79&lt;0,"Yes","No")</x:f>
        <x:v>No</x:v>
      </x:c>
    </x:row>
    <x:row r="80" ht="21" customHeight="1">
      <x:c r="A80" s="3" t="str">
        <x:v>ORD-101597</x:v>
      </x:c>
      <x:c r="B80" s="5" t="n">
        <x:v>45317</x:v>
      </x:c>
      <x:c r="C80" s="3" t="str">
        <x:v>CUST-00091</x:v>
      </x:c>
      <x:c r="D80" s="3" t="str">
        <x:v>East</x:v>
      </x:c>
      <x:c r="E80" s="3" t="str">
        <x:v>Home &amp; Kitchen</x:v>
      </x:c>
      <x:c r="F80" s="3" t="str">
        <x:v>Appliances</x:v>
      </x:c>
      <x:c r="G80" s="3" t="str">
        <x:v>AirFryer Deluxe</x:v>
      </x:c>
      <x:c r="H80" s="3" t="n">
        <x:v>4</x:v>
      </x:c>
      <x:c r="I80" s="7" t="n">
        <x:v>7934.18</x:v>
      </x:c>
      <x:c r="J80" s="9" t="n">
        <x:v>0.3</x:v>
      </x:c>
      <x:c r="K80" s="7" t="n">
        <x:v>22215.7</x:v>
      </x:c>
      <x:c r="L80" s="7" t="n">
        <x:v>-833.07</x:v>
      </x:c>
      <x:c r="M80" s="3" t="str">
        <x:v>UPI</x:v>
      </x:c>
      <x:c r="N80" s="3" t="str">
        <x:f>TEXT(B80,"yyyy-mm")</x:f>
        <x:v>2024-01</x:v>
      </x:c>
      <x:c r="O80" s="3" t="str">
        <x:f>IF(J80=0,"No discount",IF(J80&lt;=0.1,"1-10%",IF(J80&lt;=0.15,"11-15%",IF(J80&lt;=0.2,"16-20%","21%+"))))</x:f>
        <x:v>21%+</x:v>
      </x:c>
      <x:c r="P80" s="9" t="n">
        <x:f>IF(K80=0,0,L80/K80)</x:f>
        <x:v>-0.03749915600228667</x:v>
      </x:c>
      <x:c r="Q80" s="3" t="str">
        <x:f>IF(L80&lt;0,"Yes","No")</x:f>
        <x:v>Yes</x:v>
      </x:c>
    </x:row>
    <x:row r="81" ht="21" customHeight="1">
      <x:c r="A81" s="3" t="str">
        <x:v>ORD-100083</x:v>
      </x:c>
      <x:c r="B81" s="5" t="n">
        <x:v>45318</x:v>
      </x:c>
      <x:c r="C81" s="3" t="str">
        <x:v>CUST-00367</x:v>
      </x:c>
      <x:c r="D81" s="3" t="str">
        <x:v>East</x:v>
      </x:c>
      <x:c r="E81" s="3" t="str">
        <x:v>Fashion</x:v>
      </x:c>
      <x:c r="F81" s="3" t="str">
        <x:v>Footwear</x:v>
      </x:c>
      <x:c r="G81" s="3" t="str">
        <x:v>RunFlex Sneakers</x:v>
      </x:c>
      <x:c r="H81" s="3" t="n">
        <x:v>3</x:v>
      </x:c>
      <x:c r="I81" s="7" t="n">
        <x:v>3081.28</x:v>
      </x:c>
      <x:c r="J81" s="9" t="n">
        <x:v>0</x:v>
      </x:c>
      <x:c r="K81" s="7" t="n">
        <x:v>9243.84</x:v>
      </x:c>
      <x:c r="L81" s="7" t="n">
        <x:v>4095.87</x:v>
      </x:c>
      <x:c r="M81" s="3" t="str">
        <x:v>UPI</x:v>
      </x:c>
      <x:c r="N81" s="3" t="str">
        <x:f>TEXT(B81,"yyyy-mm")</x:f>
        <x:v>2024-01</x:v>
      </x:c>
      <x:c r="O81" s="3" t="str">
        <x:f>IF(J81=0,"No discount",IF(J81&lt;=0.1,"1-10%",IF(J81&lt;=0.15,"11-15%",IF(J81&lt;=0.2,"16-20%","21%+"))))</x:f>
        <x:v>No discount</x:v>
      </x:c>
      <x:c r="P81" s="9" t="n">
        <x:f>IF(K81=0,0,L81/K81)</x:f>
        <x:v>0.4430918319659362</x:v>
      </x:c>
      <x:c r="Q81" s="3" t="str">
        <x:f>IF(L81&lt;0,"Yes","No")</x:f>
        <x:v>No</x:v>
      </x:c>
    </x:row>
    <x:row r="82" ht="21" customHeight="1">
      <x:c r="A82" s="3" t="str">
        <x:v>ORD-100847</x:v>
      </x:c>
      <x:c r="B82" s="5" t="n">
        <x:v>45318</x:v>
      </x:c>
      <x:c r="C82" s="3" t="str">
        <x:v>CUST-00289</x:v>
      </x:c>
      <x:c r="D82" s="3" t="str">
        <x:v>North</x:v>
      </x:c>
      <x:c r="E82" s="3" t="str">
        <x:v>Beauty</x:v>
      </x:c>
      <x:c r="F82" s="3" t="str">
        <x:v>Skincare</x:v>
      </x:c>
      <x:c r="G82" s="3" t="str">
        <x:v>Vitamin C Serum</x:v>
      </x:c>
      <x:c r="H82" s="3" t="n">
        <x:v>2</x:v>
      </x:c>
      <x:c r="I82" s="7" t="n">
        <x:v>934.12</x:v>
      </x:c>
      <x:c r="J82" s="9" t="n">
        <x:v>0</x:v>
      </x:c>
      <x:c r="K82" s="7" t="n">
        <x:v>1868.24</x:v>
      </x:c>
      <x:c r="L82" s="7" t="n">
        <x:v>1033.2</x:v>
      </x:c>
      <x:c r="M82" s="3" t="str">
        <x:v>Credit Card</x:v>
      </x:c>
      <x:c r="N82" s="3" t="str">
        <x:f>TEXT(B82,"yyyy-mm")</x:f>
        <x:v>2024-01</x:v>
      </x:c>
      <x:c r="O82" s="3" t="str">
        <x:f>IF(J82=0,"No discount",IF(J82&lt;=0.1,"1-10%",IF(J82&lt;=0.15,"11-15%",IF(J82&lt;=0.2,"16-20%","21%+"))))</x:f>
        <x:v>No discount</x:v>
      </x:c>
      <x:c r="P82" s="9" t="n">
        <x:f>IF(K82=0,0,L82/K82)</x:f>
        <x:v>0.5530338714512054</x:v>
      </x:c>
      <x:c r="Q82" s="3" t="str">
        <x:f>IF(L82&lt;0,"Yes","No")</x:f>
        <x:v>No</x:v>
      </x:c>
    </x:row>
    <x:row r="83" ht="21" customHeight="1">
      <x:c r="A83" s="3" t="str">
        <x:v>ORD-100982</x:v>
      </x:c>
      <x:c r="B83" s="5" t="n">
        <x:v>45318</x:v>
      </x:c>
      <x:c r="C83" s="3" t="str">
        <x:v>CUST-00186</x:v>
      </x:c>
      <x:c r="D83" s="3" t="str">
        <x:v>North</x:v>
      </x:c>
      <x:c r="E83" s="3" t="str">
        <x:v>Sports</x:v>
      </x:c>
      <x:c r="F83" s="3" t="str">
        <x:v>Fitness</x:v>
      </x:c>
      <x:c r="G83" s="3" t="str">
        <x:v>Adjustable Dumbbell 24kg</x:v>
      </x:c>
      <x:c r="H83" s="3" t="n">
        <x:v>2</x:v>
      </x:c>
      <x:c r="I83" s="7" t="n">
        <x:v>9959.75</x:v>
      </x:c>
      <x:c r="J83" s="9" t="n">
        <x:v>0.05</x:v>
      </x:c>
      <x:c r="K83" s="7" t="n">
        <x:v>18923.52</x:v>
      </x:c>
      <x:c r="L83" s="7" t="n">
        <x:v>6653</x:v>
      </x:c>
      <x:c r="M83" s="3" t="str">
        <x:v>UPI</x:v>
      </x:c>
      <x:c r="N83" s="3" t="str">
        <x:f>TEXT(B83,"yyyy-mm")</x:f>
        <x:v>2024-01</x:v>
      </x:c>
      <x:c r="O83" s="3" t="str">
        <x:f>IF(J83=0,"No discount",IF(J83&lt;=0.1,"1-10%",IF(J83&lt;=0.15,"11-15%",IF(J83&lt;=0.2,"16-20%","21%+"))))</x:f>
        <x:v>1-10%</x:v>
      </x:c>
      <x:c r="P83" s="9" t="n">
        <x:f>IF(K83=0,0,L83/K83)</x:f>
        <x:v>0.3515730688582251</x:v>
      </x:c>
      <x:c r="Q83" s="3" t="str">
        <x:f>IF(L83&lt;0,"Yes","No")</x:f>
        <x:v>No</x:v>
      </x:c>
    </x:row>
    <x:row r="84" ht="21" customHeight="1">
      <x:c r="A84" s="3" t="str">
        <x:v>ORD-101266</x:v>
      </x:c>
      <x:c r="B84" s="5" t="n">
        <x:v>45318</x:v>
      </x:c>
      <x:c r="C84" s="3" t="str">
        <x:v>CUST-00007</x:v>
      </x:c>
      <x:c r="D84" s="3" t="str">
        <x:v>North</x:v>
      </x:c>
      <x:c r="E84" s="3" t="str">
        <x:v>Beauty</x:v>
      </x:c>
      <x:c r="F84" s="3" t="str">
        <x:v>Makeup</x:v>
      </x:c>
      <x:c r="G84" s="3" t="str">
        <x:v>HD Foundation Kit</x:v>
      </x:c>
      <x:c r="H84" s="3" t="n">
        <x:v>3</x:v>
      </x:c>
      <x:c r="I84" s="7" t="n">
        <x:v>1530.88</x:v>
      </x:c>
      <x:c r="J84" s="9" t="n">
        <x:v>0.05</x:v>
      </x:c>
      <x:c r="K84" s="7" t="n">
        <x:v>4363.01</x:v>
      </x:c>
      <x:c r="L84" s="7" t="n">
        <x:v>2188.45</x:v>
      </x:c>
      <x:c r="M84" s="3" t="str">
        <x:v>UPI</x:v>
      </x:c>
      <x:c r="N84" s="3" t="str">
        <x:f>TEXT(B84,"yyyy-mm")</x:f>
        <x:v>2024-01</x:v>
      </x:c>
      <x:c r="O84" s="3" t="str">
        <x:f>IF(J84=0,"No discount",IF(J84&lt;=0.1,"1-10%",IF(J84&lt;=0.15,"11-15%",IF(J84&lt;=0.2,"16-20%","21%+"))))</x:f>
        <x:v>1-10%</x:v>
      </x:c>
      <x:c r="P84" s="9" t="n">
        <x:f>IF(K84=0,0,L84/K84)</x:f>
        <x:v>0.5015917909883314</x:v>
      </x:c>
      <x:c r="Q84" s="3" t="str">
        <x:f>IF(L84&lt;0,"Yes","No")</x:f>
        <x:v>No</x:v>
      </x:c>
    </x:row>
    <x:row r="85" ht="21" customHeight="1">
      <x:c r="A85" s="3" t="str">
        <x:v>ORD-100438</x:v>
      </x:c>
      <x:c r="B85" s="5" t="n">
        <x:v>45319</x:v>
      </x:c>
      <x:c r="C85" s="3" t="str">
        <x:v>CUST-00085</x:v>
      </x:c>
      <x:c r="D85" s="3" t="str">
        <x:v>West</x:v>
      </x:c>
      <x:c r="E85" s="3" t="str">
        <x:v>Beauty</x:v>
      </x:c>
      <x:c r="F85" s="3" t="str">
        <x:v>Makeup</x:v>
      </x:c>
      <x:c r="G85" s="3" t="str">
        <x:v>HD Foundation Kit</x:v>
      </x:c>
      <x:c r="H85" s="3" t="n">
        <x:v>1</x:v>
      </x:c>
      <x:c r="I85" s="7" t="n">
        <x:v>1449.39</x:v>
      </x:c>
      <x:c r="J85" s="9" t="n">
        <x:v>0.05</x:v>
      </x:c>
      <x:c r="K85" s="7" t="n">
        <x:v>1376.92</x:v>
      </x:c>
      <x:c r="L85" s="7" t="n">
        <x:v>628.74</x:v>
      </x:c>
      <x:c r="M85" s="3" t="str">
        <x:v>Debit Card</x:v>
      </x:c>
      <x:c r="N85" s="3" t="str">
        <x:f>TEXT(B85,"yyyy-mm")</x:f>
        <x:v>2024-01</x:v>
      </x:c>
      <x:c r="O85" s="3" t="str">
        <x:f>IF(J85=0,"No discount",IF(J85&lt;=0.1,"1-10%",IF(J85&lt;=0.15,"11-15%",IF(J85&lt;=0.2,"16-20%","21%+"))))</x:f>
        <x:v>1-10%</x:v>
      </x:c>
      <x:c r="P85" s="9" t="n">
        <x:f>IF(K85=0,0,L85/K85)</x:f>
        <x:v>0.45662783603985707</x:v>
      </x:c>
      <x:c r="Q85" s="3" t="str">
        <x:f>IF(L85&lt;0,"Yes","No")</x:f>
        <x:v>No</x:v>
      </x:c>
    </x:row>
    <x:row r="86" ht="21" customHeight="1">
      <x:c r="A86" s="3" t="str">
        <x:v>ORD-100954</x:v>
      </x:c>
      <x:c r="B86" s="5" t="n">
        <x:v>45319</x:v>
      </x:c>
      <x:c r="C86" s="3" t="str">
        <x:v>CUST-00451</x:v>
      </x:c>
      <x:c r="D86" s="3" t="str">
        <x:v>West</x:v>
      </x:c>
      <x:c r="E86" s="3" t="str">
        <x:v>Home &amp; Kitchen</x:v>
      </x:c>
      <x:c r="F86" s="3" t="str">
        <x:v>Furniture</x:v>
      </x:c>
      <x:c r="G86" s="3" t="str">
        <x:v>Oakwood Study Desk</x:v>
      </x:c>
      <x:c r="H86" s="3" t="n">
        <x:v>1</x:v>
      </x:c>
      <x:c r="I86" s="7" t="n">
        <x:v>13637.26</x:v>
      </x:c>
      <x:c r="J86" s="9" t="n">
        <x:v>0</x:v>
      </x:c>
      <x:c r="K86" s="7" t="n">
        <x:v>13637.26</x:v>
      </x:c>
      <x:c r="L86" s="7" t="n">
        <x:v>4208.98</x:v>
      </x:c>
      <x:c r="M86" s="3" t="str">
        <x:v>Debit Card</x:v>
      </x:c>
      <x:c r="N86" s="3" t="str">
        <x:f>TEXT(B86,"yyyy-mm")</x:f>
        <x:v>2024-01</x:v>
      </x:c>
      <x:c r="O86" s="3" t="str">
        <x:f>IF(J86=0,"No discount",IF(J86&lt;=0.1,"1-10%",IF(J86&lt;=0.15,"11-15%",IF(J86&lt;=0.2,"16-20%","21%+"))))</x:f>
        <x:v>No discount</x:v>
      </x:c>
      <x:c r="P86" s="9" t="n">
        <x:f>IF(K86=0,0,L86/K86)</x:f>
        <x:v>0.3086382455126616</x:v>
      </x:c>
      <x:c r="Q86" s="3" t="str">
        <x:f>IF(L86&lt;0,"Yes","No")</x:f>
        <x:v>No</x:v>
      </x:c>
    </x:row>
    <x:row r="87" ht="21" customHeight="1">
      <x:c r="A87" s="3" t="str">
        <x:v>ORD-101007</x:v>
      </x:c>
      <x:c r="B87" s="5" t="n">
        <x:v>45320</x:v>
      </x:c>
      <x:c r="C87" s="3" t="str">
        <x:v>CUST-00311</x:v>
      </x:c>
      <x:c r="D87" s="3" t="str">
        <x:v>South</x:v>
      </x:c>
      <x:c r="E87" s="3" t="str">
        <x:v>Fashion</x:v>
      </x:c>
      <x:c r="F87" s="3" t="str">
        <x:v>Men</x:v>
      </x:c>
      <x:c r="G87" s="3" t="str">
        <x:v>Oxford Casual Shirt</x:v>
      </x:c>
      <x:c r="H87" s="3" t="n">
        <x:v>4</x:v>
      </x:c>
      <x:c r="I87" s="7" t="n">
        <x:v>1308.26</x:v>
      </x:c>
      <x:c r="J87" s="9" t="n">
        <x:v>0.15</x:v>
      </x:c>
      <x:c r="K87" s="7" t="n">
        <x:v>4448.08</x:v>
      </x:c>
      <x:c r="L87" s="7" t="n">
        <x:v>984.67</x:v>
      </x:c>
      <x:c r="M87" s="3" t="str">
        <x:v>UPI</x:v>
      </x:c>
      <x:c r="N87" s="3" t="str">
        <x:f>TEXT(B87,"yyyy-mm")</x:f>
        <x:v>2024-01</x:v>
      </x:c>
      <x:c r="O87" s="3" t="str">
        <x:f>IF(J87=0,"No discount",IF(J87&lt;=0.1,"1-10%",IF(J87&lt;=0.15,"11-15%",IF(J87&lt;=0.2,"16-20%","21%+"))))</x:f>
        <x:v>11-15%</x:v>
      </x:c>
      <x:c r="P87" s="9" t="n">
        <x:f>IF(K87=0,0,L87/K87)</x:f>
        <x:v>0.2213696696102588</x:v>
      </x:c>
      <x:c r="Q87" s="3" t="str">
        <x:f>IF(L87&lt;0,"Yes","No")</x:f>
        <x:v>No</x:v>
      </x:c>
    </x:row>
    <x:row r="88" ht="21" customHeight="1">
      <x:c r="A88" s="3" t="str">
        <x:v>ORD-101633</x:v>
      </x:c>
      <x:c r="B88" s="5" t="n">
        <x:v>45320</x:v>
      </x:c>
      <x:c r="C88" s="3" t="str">
        <x:v>CUST-00540</x:v>
      </x:c>
      <x:c r="D88" s="3" t="str">
        <x:v>South</x:v>
      </x:c>
      <x:c r="E88" s="3" t="str">
        <x:v>Sports</x:v>
      </x:c>
      <x:c r="F88" s="3" t="str">
        <x:v>Outdoor</x:v>
      </x:c>
      <x:c r="G88" s="3" t="str">
        <x:v>TrailHike Backpack 60L</x:v>
      </x:c>
      <x:c r="H88" s="3" t="n">
        <x:v>2</x:v>
      </x:c>
      <x:c r="I88" s="7" t="n">
        <x:v>3632.6</x:v>
      </x:c>
      <x:c r="J88" s="9" t="n">
        <x:v>0.05</x:v>
      </x:c>
      <x:c r="K88" s="7" t="n">
        <x:v>6901.94</x:v>
      </x:c>
      <x:c r="L88" s="7" t="n">
        <x:v>2225.77</x:v>
      </x:c>
      <x:c r="M88" s="3" t="str">
        <x:v>UPI</x:v>
      </x:c>
      <x:c r="N88" s="3" t="str">
        <x:f>TEXT(B88,"yyyy-mm")</x:f>
        <x:v>2024-01</x:v>
      </x:c>
      <x:c r="O88" s="3" t="str">
        <x:f>IF(J88=0,"No discount",IF(J88&lt;=0.1,"1-10%",IF(J88&lt;=0.15,"11-15%",IF(J88&lt;=0.2,"16-20%","21%+"))))</x:f>
        <x:v>1-10%</x:v>
      </x:c>
      <x:c r="P88" s="9" t="n">
        <x:f>IF(K88=0,0,L88/K88)</x:f>
        <x:v>0.322484692709586</x:v>
      </x:c>
      <x:c r="Q88" s="3" t="str">
        <x:f>IF(L88&lt;0,"Yes","No")</x:f>
        <x:v>No</x:v>
      </x:c>
    </x:row>
    <x:row r="89" ht="21" customHeight="1">
      <x:c r="A89" s="3" t="str">
        <x:v>ORD-101915</x:v>
      </x:c>
      <x:c r="B89" s="5" t="n">
        <x:v>45320</x:v>
      </x:c>
      <x:c r="C89" s="3" t="str">
        <x:v>CUST-00550</x:v>
      </x:c>
      <x:c r="D89" s="3" t="str">
        <x:v>North</x:v>
      </x:c>
      <x:c r="E89" s="3" t="str">
        <x:v>Sports</x:v>
      </x:c>
      <x:c r="F89" s="3" t="str">
        <x:v>Outdoor</x:v>
      </x:c>
      <x:c r="G89" s="3" t="str">
        <x:v>AllWeather Tent 4P</x:v>
      </x:c>
      <x:c r="H89" s="3" t="n">
        <x:v>1</x:v>
      </x:c>
      <x:c r="I89" s="7" t="n">
        <x:v>12024.58</x:v>
      </x:c>
      <x:c r="J89" s="9" t="n">
        <x:v>0.15</x:v>
      </x:c>
      <x:c r="K89" s="7" t="n">
        <x:v>10220.89</x:v>
      </x:c>
      <x:c r="L89" s="7" t="n">
        <x:v>2254.93</x:v>
      </x:c>
      <x:c r="M89" s="3" t="str">
        <x:v>UPI</x:v>
      </x:c>
      <x:c r="N89" s="3" t="str">
        <x:f>TEXT(B89,"yyyy-mm")</x:f>
        <x:v>2024-01</x:v>
      </x:c>
      <x:c r="O89" s="3" t="str">
        <x:f>IF(J89=0,"No discount",IF(J89&lt;=0.1,"1-10%",IF(J89&lt;=0.15,"11-15%",IF(J89&lt;=0.2,"16-20%","21%+"))))</x:f>
        <x:v>11-15%</x:v>
      </x:c>
      <x:c r="P89" s="9" t="n">
        <x:f>IF(K89=0,0,L89/K89)</x:f>
        <x:v>0.22061973076708583</x:v>
      </x:c>
      <x:c r="Q89" s="3" t="str">
        <x:f>IF(L89&lt;0,"Yes","No")</x:f>
        <x:v>No</x:v>
      </x:c>
    </x:row>
    <x:row r="90" ht="21" customHeight="1">
      <x:c r="A90" s="3" t="str">
        <x:v>ORD-100532</x:v>
      </x:c>
      <x:c r="B90" s="5" t="n">
        <x:v>45321</x:v>
      </x:c>
      <x:c r="C90" s="3" t="str">
        <x:v>CUST-00269</x:v>
      </x:c>
      <x:c r="D90" s="3" t="str">
        <x:v>East</x:v>
      </x:c>
      <x:c r="E90" s="3" t="str">
        <x:v>Sports</x:v>
      </x:c>
      <x:c r="F90" s="3" t="str">
        <x:v>Fitness</x:v>
      </x:c>
      <x:c r="G90" s="3" t="str">
        <x:v>Adjustable Dumbbell 24kg</x:v>
      </x:c>
      <x:c r="H90" s="3" t="n">
        <x:v>3</x:v>
      </x:c>
      <x:c r="I90" s="7" t="n">
        <x:v>10494.16</x:v>
      </x:c>
      <x:c r="J90" s="9" t="n">
        <x:v>0.1</x:v>
      </x:c>
      <x:c r="K90" s="7" t="n">
        <x:v>28334.23</x:v>
      </x:c>
      <x:c r="L90" s="7" t="n">
        <x:v>7016.61</x:v>
      </x:c>
      <x:c r="M90" s="3" t="str">
        <x:v>UPI</x:v>
      </x:c>
      <x:c r="N90" s="3" t="str">
        <x:f>TEXT(B90,"yyyy-mm")</x:f>
        <x:v>2024-01</x:v>
      </x:c>
      <x:c r="O90" s="3" t="str">
        <x:f>IF(J90=0,"No discount",IF(J90&lt;=0.1,"1-10%",IF(J90&lt;=0.15,"11-15%",IF(J90&lt;=0.2,"16-20%","21%+"))))</x:f>
        <x:v>1-10%</x:v>
      </x:c>
      <x:c r="P90" s="9" t="n">
        <x:f>IF(K90=0,0,L90/K90)</x:f>
        <x:v>0.24763722183380313</x:v>
      </x:c>
      <x:c r="Q90" s="3" t="str">
        <x:f>IF(L90&lt;0,"Yes","No")</x:f>
        <x:v>No</x:v>
      </x:c>
    </x:row>
    <x:row r="91" ht="21" customHeight="1">
      <x:c r="A91" s="3" t="str">
        <x:v>ORD-101275</x:v>
      </x:c>
      <x:c r="B91" s="5" t="n">
        <x:v>45321</x:v>
      </x:c>
      <x:c r="C91" s="3" t="str">
        <x:v>CUST-00177</x:v>
      </x:c>
      <x:c r="D91" s="3" t="str">
        <x:v>East</x:v>
      </x:c>
      <x:c r="E91" s="3" t="str">
        <x:v>Sports</x:v>
      </x:c>
      <x:c r="F91" s="3" t="str">
        <x:v>Fitness</x:v>
      </x:c>
      <x:c r="G91" s="3" t="str">
        <x:v>Adjustable Dumbbell 24kg</x:v>
      </x:c>
      <x:c r="H91" s="3" t="n">
        <x:v>1</x:v>
      </x:c>
      <x:c r="I91" s="7" t="n">
        <x:v>9714.1</x:v>
      </x:c>
      <x:c r="J91" s="9" t="n">
        <x:v>0.05</x:v>
      </x:c>
      <x:c r="K91" s="7" t="n">
        <x:v>9228.4</x:v>
      </x:c>
      <x:c r="L91" s="7" t="n">
        <x:v>2934</x:v>
      </x:c>
      <x:c r="M91" s="3" t="str">
        <x:v>UPI</x:v>
      </x:c>
      <x:c r="N91" s="3" t="str">
        <x:f>TEXT(B91,"yyyy-mm")</x:f>
        <x:v>2024-01</x:v>
      </x:c>
      <x:c r="O91" s="3" t="str">
        <x:f>IF(J91=0,"No discount",IF(J91&lt;=0.1,"1-10%",IF(J91&lt;=0.15,"11-15%",IF(J91&lt;=0.2,"16-20%","21%+"))))</x:f>
        <x:v>1-10%</x:v>
      </x:c>
      <x:c r="P91" s="9" t="n">
        <x:f>IF(K91=0,0,L91/K91)</x:f>
        <x:v>0.3179316024446275</x:v>
      </x:c>
      <x:c r="Q91" s="3" t="str">
        <x:f>IF(L91&lt;0,"Yes","No")</x:f>
        <x:v>No</x:v>
      </x:c>
    </x:row>
    <x:row r="92" ht="21" customHeight="1">
      <x:c r="A92" s="3" t="str">
        <x:v>ORD-101963</x:v>
      </x:c>
      <x:c r="B92" s="5" t="n">
        <x:v>45321</x:v>
      </x:c>
      <x:c r="C92" s="3" t="str">
        <x:v>CUST-00171</x:v>
      </x:c>
      <x:c r="D92" s="3" t="str">
        <x:v>North</x:v>
      </x:c>
      <x:c r="E92" s="3" t="str">
        <x:v>Fashion</x:v>
      </x:c>
      <x:c r="F92" s="3" t="str">
        <x:v>Women</x:v>
      </x:c>
      <x:c r="G92" s="3" t="str">
        <x:v>Knit Winter Sweater</x:v>
      </x:c>
      <x:c r="H92" s="3" t="n">
        <x:v>1</x:v>
      </x:c>
      <x:c r="I92" s="7" t="n">
        <x:v>2248.45</x:v>
      </x:c>
      <x:c r="J92" s="9" t="n">
        <x:v>0.15</x:v>
      </x:c>
      <x:c r="K92" s="7" t="n">
        <x:v>1911.18</x:v>
      </x:c>
      <x:c r="L92" s="7" t="n">
        <x:v>411.95</x:v>
      </x:c>
      <x:c r="M92" s="3" t="str">
        <x:v>Credit Card</x:v>
      </x:c>
      <x:c r="N92" s="3" t="str">
        <x:f>TEXT(B92,"yyyy-mm")</x:f>
        <x:v>2024-01</x:v>
      </x:c>
      <x:c r="O92" s="3" t="str">
        <x:f>IF(J92=0,"No discount",IF(J92&lt;=0.1,"1-10%",IF(J92&lt;=0.15,"11-15%",IF(J92&lt;=0.2,"16-20%","21%+"))))</x:f>
        <x:v>11-15%</x:v>
      </x:c>
      <x:c r="P92" s="9" t="n">
        <x:f>IF(K92=0,0,L92/K92)</x:f>
        <x:v>0.21554746282401446</x:v>
      </x:c>
      <x:c r="Q92" s="3" t="str">
        <x:f>IF(L92&lt;0,"Yes","No")</x:f>
        <x:v>No</x:v>
      </x:c>
    </x:row>
    <x:row r="93" ht="21" customHeight="1">
      <x:c r="A93" s="3" t="str">
        <x:v>ORD-100960</x:v>
      </x:c>
      <x:c r="B93" s="5" t="n">
        <x:v>45322</x:v>
      </x:c>
      <x:c r="C93" s="3" t="str">
        <x:v>CUST-00314</x:v>
      </x:c>
      <x:c r="D93" s="3" t="str">
        <x:v>East</x:v>
      </x:c>
      <x:c r="E93" s="3" t="str">
        <x:v>Fashion</x:v>
      </x:c>
      <x:c r="F93" s="3" t="str">
        <x:v>Women</x:v>
      </x:c>
      <x:c r="G93" s="3" t="str">
        <x:v>Floral Summer Dress</x:v>
      </x:c>
      <x:c r="H93" s="3" t="n">
        <x:v>1</x:v>
      </x:c>
      <x:c r="I93" s="7" t="n">
        <x:v>1736.28</x:v>
      </x:c>
      <x:c r="J93" s="9" t="n">
        <x:v>0.05</x:v>
      </x:c>
      <x:c r="K93" s="7" t="n">
        <x:v>1649.47</x:v>
      </x:c>
      <x:c r="L93" s="7" t="n">
        <x:v>638.76</x:v>
      </x:c>
      <x:c r="M93" s="3" t="str">
        <x:v>UPI</x:v>
      </x:c>
      <x:c r="N93" s="3" t="str">
        <x:f>TEXT(B93,"yyyy-mm")</x:f>
        <x:v>2024-01</x:v>
      </x:c>
      <x:c r="O93" s="3" t="str">
        <x:f>IF(J93=0,"No discount",IF(J93&lt;=0.1,"1-10%",IF(J93&lt;=0.15,"11-15%",IF(J93&lt;=0.2,"16-20%","21%+"))))</x:f>
        <x:v>1-10%</x:v>
      </x:c>
      <x:c r="P93" s="9" t="n">
        <x:f>IF(K93=0,0,L93/K93)</x:f>
        <x:v>0.38725166265527716</x:v>
      </x:c>
      <x:c r="Q93" s="3" t="str">
        <x:f>IF(L93&lt;0,"Yes","No")</x:f>
        <x:v>No</x:v>
      </x:c>
    </x:row>
    <x:row r="94" ht="21" customHeight="1">
      <x:c r="A94" s="3" t="str">
        <x:v>ORD-100092</x:v>
      </x:c>
      <x:c r="B94" s="5" t="n">
        <x:v>45323</x:v>
      </x:c>
      <x:c r="C94" s="3" t="str">
        <x:v>CUST-00544</x:v>
      </x:c>
      <x:c r="D94" s="3" t="str">
        <x:v>North</x:v>
      </x:c>
      <x:c r="E94" s="3" t="str">
        <x:v>Home &amp; Kitchen</x:v>
      </x:c>
      <x:c r="F94" s="3" t="str">
        <x:v>Decor</x:v>
      </x:c>
      <x:c r="G94" s="3" t="str">
        <x:v>LED Wall Lamp</x:v>
      </x:c>
      <x:c r="H94" s="3" t="n">
        <x:v>1</x:v>
      </x:c>
      <x:c r="I94" s="7" t="n">
        <x:v>1005.63</x:v>
      </x:c>
      <x:c r="J94" s="9" t="n">
        <x:v>0.2</x:v>
      </x:c>
      <x:c r="K94" s="7" t="n">
        <x:v>804.5</x:v>
      </x:c>
      <x:c r="L94" s="7" t="n">
        <x:v>74.06</x:v>
      </x:c>
      <x:c r="M94" s="3" t="str">
        <x:v>Credit Card</x:v>
      </x:c>
      <x:c r="N94" s="3" t="str">
        <x:f>TEXT(B94,"yyyy-mm")</x:f>
        <x:v>2024-02</x:v>
      </x:c>
      <x:c r="O94" s="3" t="str">
        <x:f>IF(J94=0,"No discount",IF(J94&lt;=0.1,"1-10%",IF(J94&lt;=0.15,"11-15%",IF(J94&lt;=0.2,"16-20%","21%+"))))</x:f>
        <x:v>16-20%</x:v>
      </x:c>
      <x:c r="P94" s="9" t="n">
        <x:f>IF(K94=0,0,L94/K94)</x:f>
        <x:v>0.09205717837165941</x:v>
      </x:c>
      <x:c r="Q94" s="3" t="str">
        <x:f>IF(L94&lt;0,"Yes","No")</x:f>
        <x:v>No</x:v>
      </x:c>
    </x:row>
    <x:row r="95" ht="21" customHeight="1">
      <x:c r="A95" s="3" t="str">
        <x:v>ORD-100132</x:v>
      </x:c>
      <x:c r="B95" s="5" t="n">
        <x:v>45323</x:v>
      </x:c>
      <x:c r="C95" s="3" t="str">
        <x:v>CUST-00559</x:v>
      </x:c>
      <x:c r="D95" s="3" t="str">
        <x:v>East</x:v>
      </x:c>
      <x:c r="E95" s="3" t="str">
        <x:v>Electronics</x:v>
      </x:c>
      <x:c r="F95" s="3" t="str">
        <x:v>Mobile</x:v>
      </x:c>
      <x:c r="G95" s="3" t="str">
        <x:v>Galaxy Nova X5</x:v>
      </x:c>
      <x:c r="H95" s="3" t="n">
        <x:v>1</x:v>
      </x:c>
      <x:c r="I95" s="7" t="n">
        <x:v>25190.92</x:v>
      </x:c>
      <x:c r="J95" s="9" t="n">
        <x:v>0.1</x:v>
      </x:c>
      <x:c r="K95" s="7" t="n">
        <x:v>22671.83</x:v>
      </x:c>
      <x:c r="L95" s="7" t="n">
        <x:v>1747.78</x:v>
      </x:c>
      <x:c r="M95" s="3" t="str">
        <x:v>UPI</x:v>
      </x:c>
      <x:c r="N95" s="3" t="str">
        <x:f>TEXT(B95,"yyyy-mm")</x:f>
        <x:v>2024-02</x:v>
      </x:c>
      <x:c r="O95" s="3" t="str">
        <x:f>IF(J95=0,"No discount",IF(J95&lt;=0.1,"1-10%",IF(J95&lt;=0.15,"11-15%",IF(J95&lt;=0.2,"16-20%","21%+"))))</x:f>
        <x:v>1-10%</x:v>
      </x:c>
      <x:c r="P95" s="9" t="n">
        <x:f>IF(K95=0,0,L95/K95)</x:f>
        <x:v>0.07709038044127889</x:v>
      </x:c>
      <x:c r="Q95" s="3" t="str">
        <x:f>IF(L95&lt;0,"Yes","No")</x:f>
        <x:v>No</x:v>
      </x:c>
    </x:row>
    <x:row r="96" ht="21" customHeight="1">
      <x:c r="A96" s="3" t="str">
        <x:v>ORD-100246</x:v>
      </x:c>
      <x:c r="B96" s="5" t="n">
        <x:v>45323</x:v>
      </x:c>
      <x:c r="C96" s="3" t="str">
        <x:v>CUST-00169</x:v>
      </x:c>
      <x:c r="D96" s="3" t="str">
        <x:v>East</x:v>
      </x:c>
      <x:c r="E96" s="3" t="str">
        <x:v>Fashion</x:v>
      </x:c>
      <x:c r="F96" s="3" t="str">
        <x:v>Footwear</x:v>
      </x:c>
      <x:c r="G96" s="3" t="str">
        <x:v>RunFlex Sneakers</x:v>
      </x:c>
      <x:c r="H96" s="3" t="n">
        <x:v>1</x:v>
      </x:c>
      <x:c r="I96" s="7" t="n">
        <x:v>2876.97</x:v>
      </x:c>
      <x:c r="J96" s="9" t="n">
        <x:v>0.2</x:v>
      </x:c>
      <x:c r="K96" s="7" t="n">
        <x:v>2301.58</x:v>
      </x:c>
      <x:c r="L96" s="7" t="n">
        <x:v>454.61</x:v>
      </x:c>
      <x:c r="M96" s="3" t="str">
        <x:v>Credit Card</x:v>
      </x:c>
      <x:c r="N96" s="3" t="str">
        <x:f>TEXT(B96,"yyyy-mm")</x:f>
        <x:v>2024-02</x:v>
      </x:c>
      <x:c r="O96" s="3" t="str">
        <x:f>IF(J96=0,"No discount",IF(J96&lt;=0.1,"1-10%",IF(J96&lt;=0.15,"11-15%",IF(J96&lt;=0.2,"16-20%","21%+"))))</x:f>
        <x:v>16-20%</x:v>
      </x:c>
      <x:c r="P96" s="9" t="n">
        <x:f>IF(K96=0,0,L96/K96)</x:f>
        <x:v>0.19752083351436842</x:v>
      </x:c>
      <x:c r="Q96" s="3" t="str">
        <x:f>IF(L96&lt;0,"Yes","No")</x:f>
        <x:v>No</x:v>
      </x:c>
    </x:row>
    <x:row r="97" ht="21" customHeight="1">
      <x:c r="A97" s="3" t="str">
        <x:v>ORD-100413</x:v>
      </x:c>
      <x:c r="B97" s="5" t="n">
        <x:v>45323</x:v>
      </x:c>
      <x:c r="C97" s="3" t="str">
        <x:v>CUST-00385</x:v>
      </x:c>
      <x:c r="D97" s="3" t="str">
        <x:v>North</x:v>
      </x:c>
      <x:c r="E97" s="3" t="str">
        <x:v>Beauty</x:v>
      </x:c>
      <x:c r="F97" s="3" t="str">
        <x:v>Skincare</x:v>
      </x:c>
      <x:c r="G97" s="3" t="str">
        <x:v>Vitamin C Serum</x:v>
      </x:c>
      <x:c r="H97" s="3" t="n">
        <x:v>2</x:v>
      </x:c>
      <x:c r="I97" s="7" t="n">
        <x:v>936.42</x:v>
      </x:c>
      <x:c r="J97" s="9" t="n">
        <x:v>0.05</x:v>
      </x:c>
      <x:c r="K97" s="7" t="n">
        <x:v>1779.2</x:v>
      </x:c>
      <x:c r="L97" s="7" t="n">
        <x:v>918.36</x:v>
      </x:c>
      <x:c r="M97" s="3" t="str">
        <x:v>UPI</x:v>
      </x:c>
      <x:c r="N97" s="3" t="str">
        <x:f>TEXT(B97,"yyyy-mm")</x:f>
        <x:v>2024-02</x:v>
      </x:c>
      <x:c r="O97" s="3" t="str">
        <x:f>IF(J97=0,"No discount",IF(J97&lt;=0.1,"1-10%",IF(J97&lt;=0.15,"11-15%",IF(J97&lt;=0.2,"16-20%","21%+"))))</x:f>
        <x:v>1-10%</x:v>
      </x:c>
      <x:c r="P97" s="9" t="n">
        <x:f>IF(K97=0,0,L97/K97)</x:f>
        <x:v>0.5161645683453238</x:v>
      </x:c>
      <x:c r="Q97" s="3" t="str">
        <x:f>IF(L97&lt;0,"Yes","No")</x:f>
        <x:v>No</x:v>
      </x:c>
    </x:row>
    <x:row r="98" ht="21" customHeight="1">
      <x:c r="A98" s="3" t="str">
        <x:v>ORD-101084</x:v>
      </x:c>
      <x:c r="B98" s="5" t="n">
        <x:v>45324</x:v>
      </x:c>
      <x:c r="C98" s="3" t="str">
        <x:v>CUST-00360</x:v>
      </x:c>
      <x:c r="D98" s="3" t="str">
        <x:v>West</x:v>
      </x:c>
      <x:c r="E98" s="3" t="str">
        <x:v>Sports</x:v>
      </x:c>
      <x:c r="F98" s="3" t="str">
        <x:v>Fitness</x:v>
      </x:c>
      <x:c r="G98" s="3" t="str">
        <x:v>Adjustable Dumbbell 24kg</x:v>
      </x:c>
      <x:c r="H98" s="3" t="n">
        <x:v>1</x:v>
      </x:c>
      <x:c r="I98" s="7" t="n">
        <x:v>9802.81</x:v>
      </x:c>
      <x:c r="J98" s="9" t="n">
        <x:v>0.05</x:v>
      </x:c>
      <x:c r="K98" s="7" t="n">
        <x:v>9312.67</x:v>
      </x:c>
      <x:c r="L98" s="7" t="n">
        <x:v>3092.18</x:v>
      </x:c>
      <x:c r="M98" s="3" t="str">
        <x:v>Credit Card</x:v>
      </x:c>
      <x:c r="N98" s="3" t="str">
        <x:f>TEXT(B98,"yyyy-mm")</x:f>
        <x:v>2024-02</x:v>
      </x:c>
      <x:c r="O98" s="3" t="str">
        <x:f>IF(J98=0,"No discount",IF(J98&lt;=0.1,"1-10%",IF(J98&lt;=0.15,"11-15%",IF(J98&lt;=0.2,"16-20%","21%+"))))</x:f>
        <x:v>1-10%</x:v>
      </x:c>
      <x:c r="P98" s="9" t="n">
        <x:f>IF(K98=0,0,L98/K98)</x:f>
        <x:v>0.3320401130932375</x:v>
      </x:c>
      <x:c r="Q98" s="3" t="str">
        <x:f>IF(L98&lt;0,"Yes","No")</x:f>
        <x:v>No</x:v>
      </x:c>
    </x:row>
    <x:row r="99" ht="21" customHeight="1">
      <x:c r="A99" s="3" t="str">
        <x:v>ORD-101514</x:v>
      </x:c>
      <x:c r="B99" s="5" t="n">
        <x:v>45324</x:v>
      </x:c>
      <x:c r="C99" s="3" t="str">
        <x:v>CUST-00143</x:v>
      </x:c>
      <x:c r="D99" s="3" t="str">
        <x:v>West</x:v>
      </x:c>
      <x:c r="E99" s="3" t="str">
        <x:v>Home &amp; Kitchen</x:v>
      </x:c>
      <x:c r="F99" s="3" t="str">
        <x:v>Furniture</x:v>
      </x:c>
      <x:c r="G99" s="3" t="str">
        <x:v>Oakwood Study Desk</x:v>
      </x:c>
      <x:c r="H99" s="3" t="n">
        <x:v>2</x:v>
      </x:c>
      <x:c r="I99" s="7" t="n">
        <x:v>12861.86</x:v>
      </x:c>
      <x:c r="J99" s="9" t="n">
        <x:v>0.05</x:v>
      </x:c>
      <x:c r="K99" s="7" t="n">
        <x:v>24437.53</x:v>
      </x:c>
      <x:c r="L99" s="7" t="n">
        <x:v>5701.11</x:v>
      </x:c>
      <x:c r="M99" s="3" t="str">
        <x:v>UPI</x:v>
      </x:c>
      <x:c r="N99" s="3" t="str">
        <x:f>TEXT(B99,"yyyy-mm")</x:f>
        <x:v>2024-02</x:v>
      </x:c>
      <x:c r="O99" s="3" t="str">
        <x:f>IF(J99=0,"No discount",IF(J99&lt;=0.1,"1-10%",IF(J99&lt;=0.15,"11-15%",IF(J99&lt;=0.2,"16-20%","21%+"))))</x:f>
        <x:v>1-10%</x:v>
      </x:c>
      <x:c r="P99" s="9" t="n">
        <x:f>IF(K99=0,0,L99/K99)</x:f>
        <x:v>0.23329321744055148</x:v>
      </x:c>
      <x:c r="Q99" s="3" t="str">
        <x:f>IF(L99&lt;0,"Yes","No")</x:f>
        <x:v>No</x:v>
      </x:c>
    </x:row>
    <x:row r="100" ht="21" customHeight="1">
      <x:c r="A100" s="3" t="str">
        <x:v>ORD-101672</x:v>
      </x:c>
      <x:c r="B100" s="5" t="n">
        <x:v>45324</x:v>
      </x:c>
      <x:c r="C100" s="3" t="str">
        <x:v>CUST-00214</x:v>
      </x:c>
      <x:c r="D100" s="3" t="str">
        <x:v>South</x:v>
      </x:c>
      <x:c r="E100" s="3" t="str">
        <x:v>Sports</x:v>
      </x:c>
      <x:c r="F100" s="3" t="str">
        <x:v>Fitness</x:v>
      </x:c>
      <x:c r="G100" s="3" t="str">
        <x:v>Adjustable Dumbbell 24kg</x:v>
      </x:c>
      <x:c r="H100" s="3" t="n">
        <x:v>1</x:v>
      </x:c>
      <x:c r="I100" s="7" t="n">
        <x:v>10022.36</x:v>
      </x:c>
      <x:c r="J100" s="9" t="n">
        <x:v>0.2</x:v>
      </x:c>
      <x:c r="K100" s="7" t="n">
        <x:v>8017.89</x:v>
      </x:c>
      <x:c r="L100" s="7" t="n">
        <x:v>1187.68</x:v>
      </x:c>
      <x:c r="M100" s="3" t="str">
        <x:v>Net Banking</x:v>
      </x:c>
      <x:c r="N100" s="3" t="str">
        <x:f>TEXT(B100,"yyyy-mm")</x:f>
        <x:v>2024-02</x:v>
      </x:c>
      <x:c r="O100" s="3" t="str">
        <x:f>IF(J100=0,"No discount",IF(J100&lt;=0.1,"1-10%",IF(J100&lt;=0.15,"11-15%",IF(J100&lt;=0.2,"16-20%","21%+"))))</x:f>
        <x:v>16-20%</x:v>
      </x:c>
      <x:c r="P100" s="9" t="n">
        <x:f>IF(K100=0,0,L100/K100)</x:f>
        <x:v>0.1481287470893215</x:v>
      </x:c>
      <x:c r="Q100" s="3" t="str">
        <x:f>IF(L100&lt;0,"Yes","No")</x:f>
        <x:v>No</x:v>
      </x:c>
    </x:row>
    <x:row r="101" ht="21" customHeight="1">
      <x:c r="A101" s="3" t="str">
        <x:v>ORD-101958</x:v>
      </x:c>
      <x:c r="B101" s="5" t="n">
        <x:v>45324</x:v>
      </x:c>
      <x:c r="C101" s="3" t="str">
        <x:v>CUST-00313</x:v>
      </x:c>
      <x:c r="D101" s="3" t="str">
        <x:v>East</x:v>
      </x:c>
      <x:c r="E101" s="3" t="str">
        <x:v>Beauty</x:v>
      </x:c>
      <x:c r="F101" s="3" t="str">
        <x:v>Skincare</x:v>
      </x:c>
      <x:c r="G101" s="3" t="str">
        <x:v>HydraBoost Moisturizer</x:v>
      </x:c>
      <x:c r="H101" s="3" t="n">
        <x:v>1</x:v>
      </x:c>
      <x:c r="I101" s="7" t="n">
        <x:v>1226.43</x:v>
      </x:c>
      <x:c r="J101" s="9" t="n">
        <x:v>0.2</x:v>
      </x:c>
      <x:c r="K101" s="7" t="n">
        <x:v>981.14</x:v>
      </x:c>
      <x:c r="L101" s="7" t="n">
        <x:v>352.96</x:v>
      </x:c>
      <x:c r="M101" s="3" t="str">
        <x:v>Net Banking</x:v>
      </x:c>
      <x:c r="N101" s="3" t="str">
        <x:f>TEXT(B101,"yyyy-mm")</x:f>
        <x:v>2024-02</x:v>
      </x:c>
      <x:c r="O101" s="3" t="str">
        <x:f>IF(J101=0,"No discount",IF(J101&lt;=0.1,"1-10%",IF(J101&lt;=0.15,"11-15%",IF(J101&lt;=0.2,"16-20%","21%+"))))</x:f>
        <x:v>16-20%</x:v>
      </x:c>
      <x:c r="P101" s="9" t="n">
        <x:f>IF(K101=0,0,L101/K101)</x:f>
        <x:v>0.359744786676723</x:v>
      </x:c>
      <x:c r="Q101" s="3" t="str">
        <x:f>IF(L101&lt;0,"Yes","No")</x:f>
        <x:v>No</x:v>
      </x:c>
    </x:row>
    <x:row r="102" ht="21" customHeight="1">
      <x:c r="A102" s="3" t="str">
        <x:v>ORD-100242</x:v>
      </x:c>
      <x:c r="B102" s="5" t="n">
        <x:v>45325</x:v>
      </x:c>
      <x:c r="C102" s="3" t="str">
        <x:v>CUST-00326</x:v>
      </x:c>
      <x:c r="D102" s="3" t="str">
        <x:v>North</x:v>
      </x:c>
      <x:c r="E102" s="3" t="str">
        <x:v>Beauty</x:v>
      </x:c>
      <x:c r="F102" s="3" t="str">
        <x:v>Makeup</x:v>
      </x:c>
      <x:c r="G102" s="3" t="str">
        <x:v>Matte Lipstick Set</x:v>
      </x:c>
      <x:c r="H102" s="3" t="n">
        <x:v>2</x:v>
      </x:c>
      <x:c r="I102" s="7" t="n">
        <x:v>986.85</x:v>
      </x:c>
      <x:c r="J102" s="9" t="n">
        <x:v>0.15</x:v>
      </x:c>
      <x:c r="K102" s="7" t="n">
        <x:v>1677.64</x:v>
      </x:c>
      <x:c r="L102" s="7" t="n">
        <x:v>664.71</x:v>
      </x:c>
      <x:c r="M102" s="3" t="str">
        <x:v>UPI</x:v>
      </x:c>
      <x:c r="N102" s="3" t="str">
        <x:f>TEXT(B102,"yyyy-mm")</x:f>
        <x:v>2024-02</x:v>
      </x:c>
      <x:c r="O102" s="3" t="str">
        <x:f>IF(J102=0,"No discount",IF(J102&lt;=0.1,"1-10%",IF(J102&lt;=0.15,"11-15%",IF(J102&lt;=0.2,"16-20%","21%+"))))</x:f>
        <x:v>11-15%</x:v>
      </x:c>
      <x:c r="P102" s="9" t="n">
        <x:f>IF(K102=0,0,L102/K102)</x:f>
        <x:v>0.396217305262154</x:v>
      </x:c>
      <x:c r="Q102" s="3" t="str">
        <x:f>IF(L102&lt;0,"Yes","No")</x:f>
        <x:v>No</x:v>
      </x:c>
    </x:row>
    <x:row r="103" ht="21" customHeight="1">
      <x:c r="A103" s="3" t="str">
        <x:v>ORD-100731</x:v>
      </x:c>
      <x:c r="B103" s="5" t="n">
        <x:v>45325</x:v>
      </x:c>
      <x:c r="C103" s="3" t="str">
        <x:v>CUST-00088</x:v>
      </x:c>
      <x:c r="D103" s="3" t="str">
        <x:v>South</x:v>
      </x:c>
      <x:c r="E103" s="3" t="str">
        <x:v>Fashion</x:v>
      </x:c>
      <x:c r="F103" s="3" t="str">
        <x:v>Footwear</x:v>
      </x:c>
      <x:c r="G103" s="3" t="str">
        <x:v>RunFlex Sneakers</x:v>
      </x:c>
      <x:c r="H103" s="3" t="n">
        <x:v>1</x:v>
      </x:c>
      <x:c r="I103" s="7" t="n">
        <x:v>3075.93</x:v>
      </x:c>
      <x:c r="J103" s="9" t="n">
        <x:v>0.1</x:v>
      </x:c>
      <x:c r="K103" s="7" t="n">
        <x:v>2768.34</x:v>
      </x:c>
      <x:c r="L103" s="7" t="n">
        <x:v>802.07</x:v>
      </x:c>
      <x:c r="M103" s="3" t="str">
        <x:v>Credit Card</x:v>
      </x:c>
      <x:c r="N103" s="3" t="str">
        <x:f>TEXT(B103,"yyyy-mm")</x:f>
        <x:v>2024-02</x:v>
      </x:c>
      <x:c r="O103" s="3" t="str">
        <x:f>IF(J103=0,"No discount",IF(J103&lt;=0.1,"1-10%",IF(J103&lt;=0.15,"11-15%",IF(J103&lt;=0.2,"16-20%","21%+"))))</x:f>
        <x:v>1-10%</x:v>
      </x:c>
      <x:c r="P103" s="9" t="n">
        <x:f>IF(K103=0,0,L103/K103)</x:f>
        <x:v>0.2897295852388074</x:v>
      </x:c>
      <x:c r="Q103" s="3" t="str">
        <x:f>IF(L103&lt;0,"Yes","No")</x:f>
        <x:v>No</x:v>
      </x:c>
    </x:row>
    <x:row r="104" ht="21" customHeight="1">
      <x:c r="A104" s="3" t="str">
        <x:v>ORD-101452</x:v>
      </x:c>
      <x:c r="B104" s="5" t="n">
        <x:v>45325</x:v>
      </x:c>
      <x:c r="C104" s="3" t="str">
        <x:v>CUST-00251</x:v>
      </x:c>
      <x:c r="D104" s="3" t="str">
        <x:v>North</x:v>
      </x:c>
      <x:c r="E104" s="3" t="str">
        <x:v>Home &amp; Kitchen</x:v>
      </x:c>
      <x:c r="F104" s="3" t="str">
        <x:v>Furniture</x:v>
      </x:c>
      <x:c r="G104" s="3" t="str">
        <x:v>ErgoComfort Chair</x:v>
      </x:c>
      <x:c r="H104" s="3" t="n">
        <x:v>3</x:v>
      </x:c>
      <x:c r="I104" s="7" t="n">
        <x:v>8861.82</x:v>
      </x:c>
      <x:c r="J104" s="9" t="n">
        <x:v>0.05</x:v>
      </x:c>
      <x:c r="K104" s="7" t="n">
        <x:v>25256.19</x:v>
      </x:c>
      <x:c r="L104" s="7" t="n">
        <x:v>7267.47</x:v>
      </x:c>
      <x:c r="M104" s="3" t="str">
        <x:v>Net Banking</x:v>
      </x:c>
      <x:c r="N104" s="3" t="str">
        <x:f>TEXT(B104,"yyyy-mm")</x:f>
        <x:v>2024-02</x:v>
      </x:c>
      <x:c r="O104" s="3" t="str">
        <x:f>IF(J104=0,"No discount",IF(J104&lt;=0.1,"1-10%",IF(J104&lt;=0.15,"11-15%",IF(J104&lt;=0.2,"16-20%","21%+"))))</x:f>
        <x:v>1-10%</x:v>
      </x:c>
      <x:c r="P104" s="9" t="n">
        <x:f>IF(K104=0,0,L104/K104)</x:f>
        <x:v>0.2877500525613721</x:v>
      </x:c>
      <x:c r="Q104" s="3" t="str">
        <x:f>IF(L104&lt;0,"Yes","No")</x:f>
        <x:v>No</x:v>
      </x:c>
    </x:row>
    <x:row r="105" ht="21" customHeight="1">
      <x:c r="A105" s="3" t="str">
        <x:v>ORD-101646</x:v>
      </x:c>
      <x:c r="B105" s="5" t="n">
        <x:v>45325</x:v>
      </x:c>
      <x:c r="C105" s="3" t="str">
        <x:v>CUST-00556</x:v>
      </x:c>
      <x:c r="D105" s="3" t="str">
        <x:v>North</x:v>
      </x:c>
      <x:c r="E105" s="3" t="str">
        <x:v>Beauty</x:v>
      </x:c>
      <x:c r="F105" s="3" t="str">
        <x:v>Skincare</x:v>
      </x:c>
      <x:c r="G105" s="3" t="str">
        <x:v>Vitamin C Serum</x:v>
      </x:c>
      <x:c r="H105" s="3" t="n">
        <x:v>1</x:v>
      </x:c>
      <x:c r="I105" s="7" t="n">
        <x:v>887.44</x:v>
      </x:c>
      <x:c r="J105" s="9" t="n">
        <x:v>0</x:v>
      </x:c>
      <x:c r="K105" s="7" t="n">
        <x:v>887.44</x:v>
      </x:c>
      <x:c r="L105" s="7" t="n">
        <x:v>511.19</x:v>
      </x:c>
      <x:c r="M105" s="3" t="str">
        <x:v>Debit Card</x:v>
      </x:c>
      <x:c r="N105" s="3" t="str">
        <x:f>TEXT(B105,"yyyy-mm")</x:f>
        <x:v>2024-02</x:v>
      </x:c>
      <x:c r="O105" s="3" t="str">
        <x:f>IF(J105=0,"No discount",IF(J105&lt;=0.1,"1-10%",IF(J105&lt;=0.15,"11-15%",IF(J105&lt;=0.2,"16-20%","21%+"))))</x:f>
        <x:v>No discount</x:v>
      </x:c>
      <x:c r="P105" s="9" t="n">
        <x:f>IF(K105=0,0,L105/K105)</x:f>
        <x:v>0.57602767511043</x:v>
      </x:c>
      <x:c r="Q105" s="3" t="str">
        <x:f>IF(L105&lt;0,"Yes","No")</x:f>
        <x:v>No</x:v>
      </x:c>
    </x:row>
    <x:row r="106" ht="21" customHeight="1">
      <x:c r="A106" s="3" t="str">
        <x:v>ORD-101144</x:v>
      </x:c>
      <x:c r="B106" s="5" t="n">
        <x:v>45326</x:v>
      </x:c>
      <x:c r="C106" s="3" t="str">
        <x:v>CUST-00401</x:v>
      </x:c>
      <x:c r="D106" s="3" t="str">
        <x:v>South</x:v>
      </x:c>
      <x:c r="E106" s="3" t="str">
        <x:v>Fashion</x:v>
      </x:c>
      <x:c r="F106" s="3" t="str">
        <x:v>Men</x:v>
      </x:c>
      <x:c r="G106" s="3" t="str">
        <x:v>SlimFit Denim Jeans</x:v>
      </x:c>
      <x:c r="H106" s="3" t="n">
        <x:v>1</x:v>
      </x:c>
      <x:c r="I106" s="7" t="n">
        <x:v>1963.01</x:v>
      </x:c>
      <x:c r="J106" s="9" t="n">
        <x:v>0.05</x:v>
      </x:c>
      <x:c r="K106" s="7" t="n">
        <x:v>1864.86</x:v>
      </x:c>
      <x:c r="L106" s="7" t="n">
        <x:v>637.11</x:v>
      </x:c>
      <x:c r="M106" s="3" t="str">
        <x:v>UPI</x:v>
      </x:c>
      <x:c r="N106" s="3" t="str">
        <x:f>TEXT(B106,"yyyy-mm")</x:f>
        <x:v>2024-02</x:v>
      </x:c>
      <x:c r="O106" s="3" t="str">
        <x:f>IF(J106=0,"No discount",IF(J106&lt;=0.1,"1-10%",IF(J106&lt;=0.15,"11-15%",IF(J106&lt;=0.2,"16-20%","21%+"))))</x:f>
        <x:v>1-10%</x:v>
      </x:c>
      <x:c r="P106" s="9" t="n">
        <x:f>IF(K106=0,0,L106/K106)</x:f>
        <x:v>0.34163958688587887</x:v>
      </x:c>
      <x:c r="Q106" s="3" t="str">
        <x:f>IF(L106&lt;0,"Yes","No")</x:f>
        <x:v>No</x:v>
      </x:c>
    </x:row>
    <x:row r="107" ht="21" customHeight="1">
      <x:c r="A107" s="3" t="str">
        <x:v>ORD-100676</x:v>
      </x:c>
      <x:c r="B107" s="5" t="n">
        <x:v>45327</x:v>
      </x:c>
      <x:c r="C107" s="3" t="str">
        <x:v>CUST-00128</x:v>
      </x:c>
      <x:c r="D107" s="3" t="str">
        <x:v>North</x:v>
      </x:c>
      <x:c r="E107" s="3" t="str">
        <x:v>Electronics</x:v>
      </x:c>
      <x:c r="F107" s="3" t="str">
        <x:v>Audio</x:v>
      </x:c>
      <x:c r="G107" s="3" t="str">
        <x:v>BassBoom Speaker</x:v>
      </x:c>
      <x:c r="H107" s="3" t="n">
        <x:v>3</x:v>
      </x:c>
      <x:c r="I107" s="7" t="n">
        <x:v>8664.97</x:v>
      </x:c>
      <x:c r="J107" s="9" t="n">
        <x:v>0</x:v>
      </x:c>
      <x:c r="K107" s="7" t="n">
        <x:v>25994.91</x:v>
      </x:c>
      <x:c r="L107" s="7" t="n">
        <x:v>4068.16</x:v>
      </x:c>
      <x:c r="M107" s="3" t="str">
        <x:v>Credit Card</x:v>
      </x:c>
      <x:c r="N107" s="3" t="str">
        <x:f>TEXT(B107,"yyyy-mm")</x:f>
        <x:v>2024-02</x:v>
      </x:c>
      <x:c r="O107" s="3" t="str">
        <x:f>IF(J107=0,"No discount",IF(J107&lt;=0.1,"1-10%",IF(J107&lt;=0.15,"11-15%",IF(J107&lt;=0.2,"16-20%","21%+"))))</x:f>
        <x:v>No discount</x:v>
      </x:c>
      <x:c r="P107" s="9" t="n">
        <x:f>IF(K107=0,0,L107/K107)</x:f>
        <x:v>0.1564983298653467</x:v>
      </x:c>
      <x:c r="Q107" s="3" t="str">
        <x:f>IF(L107&lt;0,"Yes","No")</x:f>
        <x:v>No</x:v>
      </x:c>
    </x:row>
    <x:row r="108" ht="21" customHeight="1">
      <x:c r="A108" s="3" t="str">
        <x:v>ORD-101910</x:v>
      </x:c>
      <x:c r="B108" s="5" t="n">
        <x:v>45328</x:v>
      </x:c>
      <x:c r="C108" s="3" t="str">
        <x:v>CUST-00070</x:v>
      </x:c>
      <x:c r="D108" s="3" t="str">
        <x:v>East</x:v>
      </x:c>
      <x:c r="E108" s="3" t="str">
        <x:v>Home &amp; Kitchen</x:v>
      </x:c>
      <x:c r="F108" s="3" t="str">
        <x:v>Appliances</x:v>
      </x:c>
      <x:c r="G108" s="3" t="str">
        <x:v>AirFryer Deluxe</x:v>
      </x:c>
      <x:c r="H108" s="3" t="n">
        <x:v>1</x:v>
      </x:c>
      <x:c r="I108" s="7" t="n">
        <x:v>8360.28</x:v>
      </x:c>
      <x:c r="J108" s="9" t="n">
        <x:v>0</x:v>
      </x:c>
      <x:c r="K108" s="7" t="n">
        <x:v>8360.28</x:v>
      </x:c>
      <x:c r="L108" s="7" t="n">
        <x:v>2915.23</x:v>
      </x:c>
      <x:c r="M108" s="3" t="str">
        <x:v>Debit Card</x:v>
      </x:c>
      <x:c r="N108" s="3" t="str">
        <x:f>TEXT(B108,"yyyy-mm")</x:f>
        <x:v>2024-02</x:v>
      </x:c>
      <x:c r="O108" s="3" t="str">
        <x:f>IF(J108=0,"No discount",IF(J108&lt;=0.1,"1-10%",IF(J108&lt;=0.15,"11-15%",IF(J108&lt;=0.2,"16-20%","21%+"))))</x:f>
        <x:v>No discount</x:v>
      </x:c>
      <x:c r="P108" s="9" t="n">
        <x:f>IF(K108=0,0,L108/K108)</x:f>
        <x:v>0.3487000435392116</x:v>
      </x:c>
      <x:c r="Q108" s="3" t="str">
        <x:f>IF(L108&lt;0,"Yes","No")</x:f>
        <x:v>No</x:v>
      </x:c>
    </x:row>
    <x:row r="109" ht="21" customHeight="1">
      <x:c r="A109" s="3" t="str">
        <x:v>ORD-101531</x:v>
      </x:c>
      <x:c r="B109" s="5" t="n">
        <x:v>45329</x:v>
      </x:c>
      <x:c r="C109" s="3" t="str">
        <x:v>CUST-00501</x:v>
      </x:c>
      <x:c r="D109" s="3" t="str">
        <x:v>West</x:v>
      </x:c>
      <x:c r="E109" s="3" t="str">
        <x:v>Electronics</x:v>
      </x:c>
      <x:c r="F109" s="3" t="str">
        <x:v>Laptop</x:v>
      </x:c>
      <x:c r="G109" s="3" t="str">
        <x:v>AirBook Slim</x:v>
      </x:c>
      <x:c r="H109" s="3" t="n">
        <x:v>2</x:v>
      </x:c>
      <x:c r="I109" s="7" t="n">
        <x:v>78678.76</x:v>
      </x:c>
      <x:c r="J109" s="9" t="n">
        <x:v>0.3</x:v>
      </x:c>
      <x:c r="K109" s="7" t="n">
        <x:v>110150.26</x:v>
      </x:c>
      <x:c r="L109" s="7" t="n">
        <x:v>-20290.05</x:v>
      </x:c>
      <x:c r="M109" s="3" t="str">
        <x:v>Credit Card</x:v>
      </x:c>
      <x:c r="N109" s="3" t="str">
        <x:f>TEXT(B109,"yyyy-mm")</x:f>
        <x:v>2024-02</x:v>
      </x:c>
      <x:c r="O109" s="3" t="str">
        <x:f>IF(J109=0,"No discount",IF(J109&lt;=0.1,"1-10%",IF(J109&lt;=0.15,"11-15%",IF(J109&lt;=0.2,"16-20%","21%+"))))</x:f>
        <x:v>21%+</x:v>
      </x:c>
      <x:c r="P109" s="9" t="n">
        <x:f>IF(K109=0,0,L109/K109)</x:f>
        <x:v>-0.18420337818539875</x:v>
      </x:c>
      <x:c r="Q109" s="3" t="str">
        <x:f>IF(L109&lt;0,"Yes","No")</x:f>
        <x:v>Yes</x:v>
      </x:c>
    </x:row>
    <x:row r="110" ht="21" customHeight="1">
      <x:c r="A110" s="3" t="str">
        <x:v>ORD-101537</x:v>
      </x:c>
      <x:c r="B110" s="5" t="n">
        <x:v>45329</x:v>
      </x:c>
      <x:c r="C110" s="3" t="str">
        <x:v>CUST-00546</x:v>
      </x:c>
      <x:c r="D110" s="3" t="str">
        <x:v>East</x:v>
      </x:c>
      <x:c r="E110" s="3" t="str">
        <x:v>Home &amp; Kitchen</x:v>
      </x:c>
      <x:c r="F110" s="3" t="str">
        <x:v>Decor</x:v>
      </x:c>
      <x:c r="G110" s="3" t="str">
        <x:v>LED Wall Lamp</x:v>
      </x:c>
      <x:c r="H110" s="3" t="n">
        <x:v>1</x:v>
      </x:c>
      <x:c r="I110" s="7" t="n">
        <x:v>954.31</x:v>
      </x:c>
      <x:c r="J110" s="9" t="n">
        <x:v>0.25</x:v>
      </x:c>
      <x:c r="K110" s="7" t="n">
        <x:v>715.73</x:v>
      </x:c>
      <x:c r="L110" s="7" t="n">
        <x:v>35.43</x:v>
      </x:c>
      <x:c r="M110" s="3" t="str">
        <x:v>UPI</x:v>
      </x:c>
      <x:c r="N110" s="3" t="str">
        <x:f>TEXT(B110,"yyyy-mm")</x:f>
        <x:v>2024-02</x:v>
      </x:c>
      <x:c r="O110" s="3" t="str">
        <x:f>IF(J110=0,"No discount",IF(J110&lt;=0.1,"1-10%",IF(J110&lt;=0.15,"11-15%",IF(J110&lt;=0.2,"16-20%","21%+"))))</x:f>
        <x:v>21%+</x:v>
      </x:c>
      <x:c r="P110" s="9" t="n">
        <x:f>IF(K110=0,0,L110/K110)</x:f>
        <x:v>0.049501907143755325</x:v>
      </x:c>
      <x:c r="Q110" s="3" t="str">
        <x:f>IF(L110&lt;0,"Yes","No")</x:f>
        <x:v>No</x:v>
      </x:c>
    </x:row>
    <x:row r="111" ht="21" customHeight="1">
      <x:c r="A111" s="3" t="str">
        <x:v>ORD-101088</x:v>
      </x:c>
      <x:c r="B111" s="5" t="n">
        <x:v>45332</x:v>
      </x:c>
      <x:c r="C111" s="3" t="str">
        <x:v>CUST-00340</x:v>
      </x:c>
      <x:c r="D111" s="3" t="str">
        <x:v>North</x:v>
      </x:c>
      <x:c r="E111" s="3" t="str">
        <x:v>Sports</x:v>
      </x:c>
      <x:c r="F111" s="3" t="str">
        <x:v>Outdoor</x:v>
      </x:c>
      <x:c r="G111" s="3" t="str">
        <x:v>AllWeather Tent 4P</x:v>
      </x:c>
      <x:c r="H111" s="3" t="n">
        <x:v>3</x:v>
      </x:c>
      <x:c r="I111" s="7" t="n">
        <x:v>12268.17</x:v>
      </x:c>
      <x:c r="J111" s="9" t="n">
        <x:v>0.1</x:v>
      </x:c>
      <x:c r="K111" s="7" t="n">
        <x:v>33124.06</x:v>
      </x:c>
      <x:c r="L111" s="7" t="n">
        <x:v>8123.89</x:v>
      </x:c>
      <x:c r="M111" s="3" t="str">
        <x:v>Credit Card</x:v>
      </x:c>
      <x:c r="N111" s="3" t="str">
        <x:f>TEXT(B111,"yyyy-mm")</x:f>
        <x:v>2024-02</x:v>
      </x:c>
      <x:c r="O111" s="3" t="str">
        <x:f>IF(J111=0,"No discount",IF(J111&lt;=0.1,"1-10%",IF(J111&lt;=0.15,"11-15%",IF(J111&lt;=0.2,"16-20%","21%+"))))</x:f>
        <x:v>1-10%</x:v>
      </x:c>
      <x:c r="P111" s="9" t="n">
        <x:f>IF(K111=0,0,L111/K111)</x:f>
        <x:v>0.24525646916470992</x:v>
      </x:c>
      <x:c r="Q111" s="3" t="str">
        <x:f>IF(L111&lt;0,"Yes","No")</x:f>
        <x:v>No</x:v>
      </x:c>
    </x:row>
    <x:row r="112" ht="21" customHeight="1">
      <x:c r="A112" s="3" t="str">
        <x:v>ORD-101098</x:v>
      </x:c>
      <x:c r="B112" s="5" t="n">
        <x:v>45332</x:v>
      </x:c>
      <x:c r="C112" s="3" t="str">
        <x:v>CUST-00403</x:v>
      </x:c>
      <x:c r="D112" s="3" t="str">
        <x:v>North</x:v>
      </x:c>
      <x:c r="E112" s="3" t="str">
        <x:v>Sports</x:v>
      </x:c>
      <x:c r="F112" s="3" t="str">
        <x:v>Fitness</x:v>
      </x:c>
      <x:c r="G112" s="3" t="str">
        <x:v>ProYoga Mat</x:v>
      </x:c>
      <x:c r="H112" s="3" t="n">
        <x:v>2</x:v>
      </x:c>
      <x:c r="I112" s="7" t="n">
        <x:v>1334.48</x:v>
      </x:c>
      <x:c r="J112" s="9" t="n">
        <x:v>0</x:v>
      </x:c>
      <x:c r="K112" s="7" t="n">
        <x:v>2668.96</x:v>
      </x:c>
      <x:c r="L112" s="7" t="n">
        <x:v>999.84</x:v>
      </x:c>
      <x:c r="M112" s="3" t="str">
        <x:v>UPI</x:v>
      </x:c>
      <x:c r="N112" s="3" t="str">
        <x:f>TEXT(B112,"yyyy-mm")</x:f>
        <x:v>2024-02</x:v>
      </x:c>
      <x:c r="O112" s="3" t="str">
        <x:f>IF(J112=0,"No discount",IF(J112&lt;=0.1,"1-10%",IF(J112&lt;=0.15,"11-15%",IF(J112&lt;=0.2,"16-20%","21%+"))))</x:f>
        <x:v>No discount</x:v>
      </x:c>
      <x:c r="P112" s="9" t="n">
        <x:f>IF(K112=0,0,L112/K112)</x:f>
        <x:v>0.3746178286673461</x:v>
      </x:c>
      <x:c r="Q112" s="3" t="str">
        <x:f>IF(L112&lt;0,"Yes","No")</x:f>
        <x:v>No</x:v>
      </x:c>
    </x:row>
    <x:row r="113" ht="21" customHeight="1">
      <x:c r="A113" s="3" t="str">
        <x:v>ORD-101581</x:v>
      </x:c>
      <x:c r="B113" s="5" t="n">
        <x:v>45332</x:v>
      </x:c>
      <x:c r="C113" s="3" t="str">
        <x:v>CUST-00121</x:v>
      </x:c>
      <x:c r="D113" s="3" t="str">
        <x:v>North</x:v>
      </x:c>
      <x:c r="E113" s="3" t="str">
        <x:v>Fashion</x:v>
      </x:c>
      <x:c r="F113" s="3" t="str">
        <x:v>Women</x:v>
      </x:c>
      <x:c r="G113" s="3" t="str">
        <x:v>Floral Summer Dress</x:v>
      </x:c>
      <x:c r="H113" s="3" t="n">
        <x:v>3</x:v>
      </x:c>
      <x:c r="I113" s="7" t="n">
        <x:v>1885.29</x:v>
      </x:c>
      <x:c r="J113" s="9" t="n">
        <x:v>0.15</x:v>
      </x:c>
      <x:c r="K113" s="7" t="n">
        <x:v>4807.49</x:v>
      </x:c>
      <x:c r="L113" s="7" t="n">
        <x:v>1104.7</x:v>
      </x:c>
      <x:c r="M113" s="3" t="str">
        <x:v>Credit Card</x:v>
      </x:c>
      <x:c r="N113" s="3" t="str">
        <x:f>TEXT(B113,"yyyy-mm")</x:f>
        <x:v>2024-02</x:v>
      </x:c>
      <x:c r="O113" s="3" t="str">
        <x:f>IF(J113=0,"No discount",IF(J113&lt;=0.1,"1-10%",IF(J113&lt;=0.15,"11-15%",IF(J113&lt;=0.2,"16-20%","21%+"))))</x:f>
        <x:v>11-15%</x:v>
      </x:c>
      <x:c r="P113" s="9" t="n">
        <x:f>IF(K113=0,0,L113/K113)</x:f>
        <x:v>0.22978726944829841</x:v>
      </x:c>
      <x:c r="Q113" s="3" t="str">
        <x:f>IF(L113&lt;0,"Yes","No")</x:f>
        <x:v>No</x:v>
      </x:c>
    </x:row>
    <x:row r="114" ht="21" customHeight="1">
      <x:c r="A114" s="3" t="str">
        <x:v>ORD-101726</x:v>
      </x:c>
      <x:c r="B114" s="5" t="n">
        <x:v>45332</x:v>
      </x:c>
      <x:c r="C114" s="3" t="str">
        <x:v>CUST-00381</x:v>
      </x:c>
      <x:c r="D114" s="3" t="str">
        <x:v>East</x:v>
      </x:c>
      <x:c r="E114" s="3" t="str">
        <x:v>Fashion</x:v>
      </x:c>
      <x:c r="F114" s="3" t="str">
        <x:v>Men</x:v>
      </x:c>
      <x:c r="G114" s="3" t="str">
        <x:v>SlimFit Denim Jeans</x:v>
      </x:c>
      <x:c r="H114" s="3" t="n">
        <x:v>3</x:v>
      </x:c>
      <x:c r="I114" s="7" t="n">
        <x:v>1940.83</x:v>
      </x:c>
      <x:c r="J114" s="9" t="n">
        <x:v>0</x:v>
      </x:c>
      <x:c r="K114" s="7" t="n">
        <x:v>5822.49</x:v>
      </x:c>
      <x:c r="L114" s="7" t="n">
        <x:v>2390.77</x:v>
      </x:c>
      <x:c r="M114" s="3" t="str">
        <x:v>Debit Card</x:v>
      </x:c>
      <x:c r="N114" s="3" t="str">
        <x:f>TEXT(B114,"yyyy-mm")</x:f>
        <x:v>2024-02</x:v>
      </x:c>
      <x:c r="O114" s="3" t="str">
        <x:f>IF(J114=0,"No discount",IF(J114&lt;=0.1,"1-10%",IF(J114&lt;=0.15,"11-15%",IF(J114&lt;=0.2,"16-20%","21%+"))))</x:f>
        <x:v>No discount</x:v>
      </x:c>
      <x:c r="P114" s="9" t="n">
        <x:f>IF(K114=0,0,L114/K114)</x:f>
        <x:v>0.41060955020961826</x:v>
      </x:c>
      <x:c r="Q114" s="3" t="str">
        <x:f>IF(L114&lt;0,"Yes","No")</x:f>
        <x:v>No</x:v>
      </x:c>
    </x:row>
    <x:row r="115" ht="21" customHeight="1">
      <x:c r="A115" s="3" t="str">
        <x:v>ORD-100538</x:v>
      </x:c>
      <x:c r="B115" s="5" t="n">
        <x:v>45333</x:v>
      </x:c>
      <x:c r="C115" s="3" t="str">
        <x:v>CUST-00575</x:v>
      </x:c>
      <x:c r="D115" s="3" t="str">
        <x:v>West</x:v>
      </x:c>
      <x:c r="E115" s="3" t="str">
        <x:v>Electronics</x:v>
      </x:c>
      <x:c r="F115" s="3" t="str">
        <x:v>Mobile</x:v>
      </x:c>
      <x:c r="G115" s="3" t="str">
        <x:v>Galaxy Nova X5</x:v>
      </x:c>
      <x:c r="H115" s="3" t="n">
        <x:v>1</x:v>
      </x:c>
      <x:c r="I115" s="7" t="n">
        <x:v>25513.89</x:v>
      </x:c>
      <x:c r="J115" s="9" t="n">
        <x:v>0</x:v>
      </x:c>
      <x:c r="K115" s="7" t="n">
        <x:v>25513.89</x:v>
      </x:c>
      <x:c r="L115" s="7" t="n">
        <x:v>4462.75</x:v>
      </x:c>
      <x:c r="M115" s="3" t="str">
        <x:v>Net Banking</x:v>
      </x:c>
      <x:c r="N115" s="3" t="str">
        <x:f>TEXT(B115,"yyyy-mm")</x:f>
        <x:v>2024-02</x:v>
      </x:c>
      <x:c r="O115" s="3" t="str">
        <x:f>IF(J115=0,"No discount",IF(J115&lt;=0.1,"1-10%",IF(J115&lt;=0.15,"11-15%",IF(J115&lt;=0.2,"16-20%","21%+"))))</x:f>
        <x:v>No discount</x:v>
      </x:c>
      <x:c r="P115" s="9" t="n">
        <x:f>IF(K115=0,0,L115/K115)</x:f>
        <x:v>0.1749145269498301</x:v>
      </x:c>
      <x:c r="Q115" s="3" t="str">
        <x:f>IF(L115&lt;0,"Yes","No")</x:f>
        <x:v>No</x:v>
      </x:c>
    </x:row>
    <x:row r="116" ht="21" customHeight="1">
      <x:c r="A116" s="3" t="str">
        <x:v>ORD-101283</x:v>
      </x:c>
      <x:c r="B116" s="5" t="n">
        <x:v>45333</x:v>
      </x:c>
      <x:c r="C116" s="3" t="str">
        <x:v>CUST-00285</x:v>
      </x:c>
      <x:c r="D116" s="3" t="str">
        <x:v>West</x:v>
      </x:c>
      <x:c r="E116" s="3" t="str">
        <x:v>Home &amp; Kitchen</x:v>
      </x:c>
      <x:c r="F116" s="3" t="str">
        <x:v>Appliances</x:v>
      </x:c>
      <x:c r="G116" s="3" t="str">
        <x:v>ColdBrew Coffee Maker</x:v>
      </x:c>
      <x:c r="H116" s="3" t="n">
        <x:v>1</x:v>
      </x:c>
      <x:c r="I116" s="7" t="n">
        <x:v>6430.34</x:v>
      </x:c>
      <x:c r="J116" s="9" t="n">
        <x:v>0.1</x:v>
      </x:c>
      <x:c r="K116" s="7" t="n">
        <x:v>5787.31</x:v>
      </x:c>
      <x:c r="L116" s="7" t="n">
        <x:v>1040.97</x:v>
      </x:c>
      <x:c r="M116" s="3" t="str">
        <x:v>Debit Card</x:v>
      </x:c>
      <x:c r="N116" s="3" t="str">
        <x:f>TEXT(B116,"yyyy-mm")</x:f>
        <x:v>2024-02</x:v>
      </x:c>
      <x:c r="O116" s="3" t="str">
        <x:f>IF(J116=0,"No discount",IF(J116&lt;=0.1,"1-10%",IF(J116&lt;=0.15,"11-15%",IF(J116&lt;=0.2,"16-20%","21%+"))))</x:f>
        <x:v>1-10%</x:v>
      </x:c>
      <x:c r="P116" s="9" t="n">
        <x:f>IF(K116=0,0,L116/K116)</x:f>
        <x:v>0.17987113183845344</x:v>
      </x:c>
      <x:c r="Q116" s="3" t="str">
        <x:f>IF(L116&lt;0,"Yes","No")</x:f>
        <x:v>No</x:v>
      </x:c>
    </x:row>
    <x:row r="117" ht="21" customHeight="1">
      <x:c r="A117" s="3" t="str">
        <x:v>ORD-100560</x:v>
      </x:c>
      <x:c r="B117" s="5" t="n">
        <x:v>45334</x:v>
      </x:c>
      <x:c r="C117" s="3" t="str">
        <x:v>CUST-00172</x:v>
      </x:c>
      <x:c r="D117" s="3" t="str">
        <x:v>East</x:v>
      </x:c>
      <x:c r="E117" s="3" t="str">
        <x:v>Electronics</x:v>
      </x:c>
      <x:c r="F117" s="3" t="str">
        <x:v>Laptop</x:v>
      </x:c>
      <x:c r="G117" s="3" t="str">
        <x:v>AirBook Slim</x:v>
      </x:c>
      <x:c r="H117" s="3" t="n">
        <x:v>5</x:v>
      </x:c>
      <x:c r="I117" s="7" t="n">
        <x:v>82748.76</x:v>
      </x:c>
      <x:c r="J117" s="9" t="n">
        <x:v>0.15</x:v>
      </x:c>
      <x:c r="K117" s="7" t="n">
        <x:v>351682.23</x:v>
      </x:c>
      <x:c r="L117" s="7" t="n">
        <x:v>10561.79</x:v>
      </x:c>
      <x:c r="M117" s="3" t="str">
        <x:v>Net Banking</x:v>
      </x:c>
      <x:c r="N117" s="3" t="str">
        <x:f>TEXT(B117,"yyyy-mm")</x:f>
        <x:v>2024-02</x:v>
      </x:c>
      <x:c r="O117" s="3" t="str">
        <x:f>IF(J117=0,"No discount",IF(J117&lt;=0.1,"1-10%",IF(J117&lt;=0.15,"11-15%",IF(J117&lt;=0.2,"16-20%","21%+"))))</x:f>
        <x:v>11-15%</x:v>
      </x:c>
      <x:c r="P117" s="9" t="n">
        <x:f>IF(K117=0,0,L117/K117)</x:f>
        <x:v>0.030032196963719213</x:v>
      </x:c>
      <x:c r="Q117" s="3" t="str">
        <x:f>IF(L117&lt;0,"Yes","No")</x:f>
        <x:v>No</x:v>
      </x:c>
    </x:row>
    <x:row r="118" ht="21" customHeight="1">
      <x:c r="A118" s="3" t="str">
        <x:v>ORD-100585</x:v>
      </x:c>
      <x:c r="B118" s="5" t="n">
        <x:v>45334</x:v>
      </x:c>
      <x:c r="C118" s="3" t="str">
        <x:v>CUST-00476</x:v>
      </x:c>
      <x:c r="D118" s="3" t="str">
        <x:v>West</x:v>
      </x:c>
      <x:c r="E118" s="3" t="str">
        <x:v>Fashion</x:v>
      </x:c>
      <x:c r="F118" s="3" t="str">
        <x:v>Men</x:v>
      </x:c>
      <x:c r="G118" s="3" t="str">
        <x:v>Oxford Casual Shirt</x:v>
      </x:c>
      <x:c r="H118" s="3" t="n">
        <x:v>1</x:v>
      </x:c>
      <x:c r="I118" s="7" t="n">
        <x:v>1265.9</x:v>
      </x:c>
      <x:c r="J118" s="9" t="n">
        <x:v>0</x:v>
      </x:c>
      <x:c r="K118" s="7" t="n">
        <x:v>1265.9</x:v>
      </x:c>
      <x:c r="L118" s="7" t="n">
        <x:v>577.51</x:v>
      </x:c>
      <x:c r="M118" s="3" t="str">
        <x:v>Credit Card</x:v>
      </x:c>
      <x:c r="N118" s="3" t="str">
        <x:f>TEXT(B118,"yyyy-mm")</x:f>
        <x:v>2024-02</x:v>
      </x:c>
      <x:c r="O118" s="3" t="str">
        <x:f>IF(J118=0,"No discount",IF(J118&lt;=0.1,"1-10%",IF(J118&lt;=0.15,"11-15%",IF(J118&lt;=0.2,"16-20%","21%+"))))</x:f>
        <x:v>No discount</x:v>
      </x:c>
      <x:c r="P118" s="9" t="n">
        <x:f>IF(K118=0,0,L118/K118)</x:f>
        <x:v>0.45620507149063905</x:v>
      </x:c>
      <x:c r="Q118" s="3" t="str">
        <x:f>IF(L118&lt;0,"Yes","No")</x:f>
        <x:v>No</x:v>
      </x:c>
    </x:row>
    <x:row r="119" ht="21" customHeight="1">
      <x:c r="A119" s="3" t="str">
        <x:v>ORD-100655</x:v>
      </x:c>
      <x:c r="B119" s="5" t="n">
        <x:v>45334</x:v>
      </x:c>
      <x:c r="C119" s="3" t="str">
        <x:v>CUST-00535</x:v>
      </x:c>
      <x:c r="D119" s="3" t="str">
        <x:v>East</x:v>
      </x:c>
      <x:c r="E119" s="3" t="str">
        <x:v>Electronics</x:v>
      </x:c>
      <x:c r="F119" s="3" t="str">
        <x:v>Audio</x:v>
      </x:c>
      <x:c r="G119" s="3" t="str">
        <x:v>SoundPods Pro</x:v>
      </x:c>
      <x:c r="H119" s="3" t="n">
        <x:v>1</x:v>
      </x:c>
      <x:c r="I119" s="7" t="n">
        <x:v>4799.44</x:v>
      </x:c>
      <x:c r="J119" s="9" t="n">
        <x:v>0.1</x:v>
      </x:c>
      <x:c r="K119" s="7" t="n">
        <x:v>4319.5</x:v>
      </x:c>
      <x:c r="L119" s="7" t="n">
        <x:v>129.09</x:v>
      </x:c>
      <x:c r="M119" s="3" t="str">
        <x:v>UPI</x:v>
      </x:c>
      <x:c r="N119" s="3" t="str">
        <x:f>TEXT(B119,"yyyy-mm")</x:f>
        <x:v>2024-02</x:v>
      </x:c>
      <x:c r="O119" s="3" t="str">
        <x:f>IF(J119=0,"No discount",IF(J119&lt;=0.1,"1-10%",IF(J119&lt;=0.15,"11-15%",IF(J119&lt;=0.2,"16-20%","21%+"))))</x:f>
        <x:v>1-10%</x:v>
      </x:c>
      <x:c r="P119" s="9" t="n">
        <x:f>IF(K119=0,0,L119/K119)</x:f>
        <x:v>0.029885403403171664</x:v>
      </x:c>
      <x:c r="Q119" s="3" t="str">
        <x:f>IF(L119&lt;0,"Yes","No")</x:f>
        <x:v>No</x:v>
      </x:c>
    </x:row>
    <x:row r="120" ht="21" customHeight="1">
      <x:c r="A120" s="3" t="str">
        <x:v>ORD-101287</x:v>
      </x:c>
      <x:c r="B120" s="5" t="n">
        <x:v>45334</x:v>
      </x:c>
      <x:c r="C120" s="3" t="str">
        <x:v>CUST-00033</x:v>
      </x:c>
      <x:c r="D120" s="3" t="str">
        <x:v>North</x:v>
      </x:c>
      <x:c r="E120" s="3" t="str">
        <x:v>Electronics</x:v>
      </x:c>
      <x:c r="F120" s="3" t="str">
        <x:v>Mobile</x:v>
      </x:c>
      <x:c r="G120" s="3" t="str">
        <x:v>iPhone Zeta</x:v>
      </x:c>
      <x:c r="H120" s="3" t="n">
        <x:v>3</x:v>
      </x:c>
      <x:c r="I120" s="7" t="n">
        <x:v>67310.58</x:v>
      </x:c>
      <x:c r="J120" s="9" t="n">
        <x:v>0.1</x:v>
      </x:c>
      <x:c r="K120" s="7" t="n">
        <x:v>181738.57</x:v>
      </x:c>
      <x:c r="L120" s="7" t="n">
        <x:v>10105.86</x:v>
      </x:c>
      <x:c r="M120" s="3" t="str">
        <x:v>Net Banking</x:v>
      </x:c>
      <x:c r="N120" s="3" t="str">
        <x:f>TEXT(B120,"yyyy-mm")</x:f>
        <x:v>2024-02</x:v>
      </x:c>
      <x:c r="O120" s="3" t="str">
        <x:f>IF(J120=0,"No discount",IF(J120&lt;=0.1,"1-10%",IF(J120&lt;=0.15,"11-15%",IF(J120&lt;=0.2,"16-20%","21%+"))))</x:f>
        <x:v>1-10%</x:v>
      </x:c>
      <x:c r="P120" s="9" t="n">
        <x:f>IF(K120=0,0,L120/K120)</x:f>
        <x:v>0.055606578174352314</x:v>
      </x:c>
      <x:c r="Q120" s="3" t="str">
        <x:f>IF(L120&lt;0,"Yes","No")</x:f>
        <x:v>No</x:v>
      </x:c>
    </x:row>
    <x:row r="121" ht="21" customHeight="1">
      <x:c r="A121" s="3" t="str">
        <x:v>ORD-101326</x:v>
      </x:c>
      <x:c r="B121" s="5" t="n">
        <x:v>45334</x:v>
      </x:c>
      <x:c r="C121" s="3" t="str">
        <x:v>CUST-00003</x:v>
      </x:c>
      <x:c r="D121" s="3" t="str">
        <x:v>South</x:v>
      </x:c>
      <x:c r="E121" s="3" t="str">
        <x:v>Fashion</x:v>
      </x:c>
      <x:c r="F121" s="3" t="str">
        <x:v>Footwear</x:v>
      </x:c>
      <x:c r="G121" s="3" t="str">
        <x:v>UrbanLoafers</x:v>
      </x:c>
      <x:c r="H121" s="3" t="n">
        <x:v>1</x:v>
      </x:c>
      <x:c r="I121" s="7" t="n">
        <x:v>3469.75</x:v>
      </x:c>
      <x:c r="J121" s="9" t="n">
        <x:v>0.15</x:v>
      </x:c>
      <x:c r="K121" s="7" t="n">
        <x:v>2949.29</x:v>
      </x:c>
      <x:c r="L121" s="7" t="n">
        <x:v>811.38</x:v>
      </x:c>
      <x:c r="M121" s="3" t="str">
        <x:v>Debit Card</x:v>
      </x:c>
      <x:c r="N121" s="3" t="str">
        <x:f>TEXT(B121,"yyyy-mm")</x:f>
        <x:v>2024-02</x:v>
      </x:c>
      <x:c r="O121" s="3" t="str">
        <x:f>IF(J121=0,"No discount",IF(J121&lt;=0.1,"1-10%",IF(J121&lt;=0.15,"11-15%",IF(J121&lt;=0.2,"16-20%","21%+"))))</x:f>
        <x:v>11-15%</x:v>
      </x:c>
      <x:c r="P121" s="9" t="n">
        <x:f>IF(K121=0,0,L121/K121)</x:f>
        <x:v>0.27511028077944183</x:v>
      </x:c>
      <x:c r="Q121" s="3" t="str">
        <x:f>IF(L121&lt;0,"Yes","No")</x:f>
        <x:v>No</x:v>
      </x:c>
    </x:row>
    <x:row r="122" ht="21" customHeight="1">
      <x:c r="A122" s="3" t="str">
        <x:v>ORD-101736</x:v>
      </x:c>
      <x:c r="B122" s="5" t="n">
        <x:v>45334</x:v>
      </x:c>
      <x:c r="C122" s="3" t="str">
        <x:v>CUST-00245</x:v>
      </x:c>
      <x:c r="D122" s="3" t="str">
        <x:v>West</x:v>
      </x:c>
      <x:c r="E122" s="3" t="str">
        <x:v>Sports</x:v>
      </x:c>
      <x:c r="F122" s="3" t="str">
        <x:v>Outdoor</x:v>
      </x:c>
      <x:c r="G122" s="3" t="str">
        <x:v>TrailHike Backpack 60L</x:v>
      </x:c>
      <x:c r="H122" s="3" t="n">
        <x:v>1</x:v>
      </x:c>
      <x:c r="I122" s="7" t="n">
        <x:v>3464.46</x:v>
      </x:c>
      <x:c r="J122" s="9" t="n">
        <x:v>0.05</x:v>
      </x:c>
      <x:c r="K122" s="7" t="n">
        <x:v>3291.24</x:v>
      </x:c>
      <x:c r="L122" s="7" t="n">
        <x:v>1016.83</x:v>
      </x:c>
      <x:c r="M122" s="3" t="str">
        <x:v>UPI</x:v>
      </x:c>
      <x:c r="N122" s="3" t="str">
        <x:f>TEXT(B122,"yyyy-mm")</x:f>
        <x:v>2024-02</x:v>
      </x:c>
      <x:c r="O122" s="3" t="str">
        <x:f>IF(J122=0,"No discount",IF(J122&lt;=0.1,"1-10%",IF(J122&lt;=0.15,"11-15%",IF(J122&lt;=0.2,"16-20%","21%+"))))</x:f>
        <x:v>1-10%</x:v>
      </x:c>
      <x:c r="P122" s="9" t="n">
        <x:f>IF(K122=0,0,L122/K122)</x:f>
        <x:v>0.3089504259792662</x:v>
      </x:c>
      <x:c r="Q122" s="3" t="str">
        <x:f>IF(L122&lt;0,"Yes","No")</x:f>
        <x:v>No</x:v>
      </x:c>
    </x:row>
    <x:row r="123" ht="21" customHeight="1">
      <x:c r="A123" s="3" t="str">
        <x:v>ORD-101739</x:v>
      </x:c>
      <x:c r="B123" s="5" t="n">
        <x:v>45334</x:v>
      </x:c>
      <x:c r="C123" s="3" t="str">
        <x:v>CUST-00547</x:v>
      </x:c>
      <x:c r="D123" s="3" t="str">
        <x:v>West</x:v>
      </x:c>
      <x:c r="E123" s="3" t="str">
        <x:v>Sports</x:v>
      </x:c>
      <x:c r="F123" s="3" t="str">
        <x:v>Outdoor</x:v>
      </x:c>
      <x:c r="G123" s="3" t="str">
        <x:v>AllWeather Tent 4P</x:v>
      </x:c>
      <x:c r="H123" s="3" t="n">
        <x:v>2</x:v>
      </x:c>
      <x:c r="I123" s="7" t="n">
        <x:v>12427.93</x:v>
      </x:c>
      <x:c r="J123" s="9" t="n">
        <x:v>0.05</x:v>
      </x:c>
      <x:c r="K123" s="7" t="n">
        <x:v>23613.07</x:v>
      </x:c>
      <x:c r="L123" s="7" t="n">
        <x:v>7755.91</x:v>
      </x:c>
      <x:c r="M123" s="3" t="str">
        <x:v>Cash on Delivery</x:v>
      </x:c>
      <x:c r="N123" s="3" t="str">
        <x:f>TEXT(B123,"yyyy-mm")</x:f>
        <x:v>2024-02</x:v>
      </x:c>
      <x:c r="O123" s="3" t="str">
        <x:f>IF(J123=0,"No discount",IF(J123&lt;=0.1,"1-10%",IF(J123&lt;=0.15,"11-15%",IF(J123&lt;=0.2,"16-20%","21%+"))))</x:f>
        <x:v>1-10%</x:v>
      </x:c>
      <x:c r="P123" s="9" t="n">
        <x:f>IF(K123=0,0,L123/K123)</x:f>
        <x:v>0.328458349549635</x:v>
      </x:c>
      <x:c r="Q123" s="3" t="str">
        <x:f>IF(L123&lt;0,"Yes","No")</x:f>
        <x:v>No</x:v>
      </x:c>
    </x:row>
    <x:row r="124" ht="21" customHeight="1">
      <x:c r="A124" s="3" t="str">
        <x:v>ORD-100497</x:v>
      </x:c>
      <x:c r="B124" s="5" t="n">
        <x:v>45336</x:v>
      </x:c>
      <x:c r="C124" s="3" t="str">
        <x:v>CUST-00011</x:v>
      </x:c>
      <x:c r="D124" s="3" t="str">
        <x:v>South</x:v>
      </x:c>
      <x:c r="E124" s="3" t="str">
        <x:v>Electronics</x:v>
      </x:c>
      <x:c r="F124" s="3" t="str">
        <x:v>Mobile</x:v>
      </x:c>
      <x:c r="G124" s="3" t="str">
        <x:v>Pixel Aura 12</x:v>
      </x:c>
      <x:c r="H124" s="3" t="n">
        <x:v>2</x:v>
      </x:c>
      <x:c r="I124" s="7" t="n">
        <x:v>31704.84</x:v>
      </x:c>
      <x:c r="J124" s="9" t="n">
        <x:v>0</x:v>
      </x:c>
      <x:c r="K124" s="7" t="n">
        <x:v>63409.68</x:v>
      </x:c>
      <x:c r="L124" s="7" t="n">
        <x:v>12900.35</x:v>
      </x:c>
      <x:c r="M124" s="3" t="str">
        <x:v>UPI</x:v>
      </x:c>
      <x:c r="N124" s="3" t="str">
        <x:f>TEXT(B124,"yyyy-mm")</x:f>
        <x:v>2024-02</x:v>
      </x:c>
      <x:c r="O124" s="3" t="str">
        <x:f>IF(J124=0,"No discount",IF(J124&lt;=0.1,"1-10%",IF(J124&lt;=0.15,"11-15%",IF(J124&lt;=0.2,"16-20%","21%+"))))</x:f>
        <x:v>No discount</x:v>
      </x:c>
      <x:c r="P124" s="9" t="n">
        <x:f>IF(K124=0,0,L124/K124)</x:f>
        <x:v>0.20344448986337732</x:v>
      </x:c>
      <x:c r="Q124" s="3" t="str">
        <x:f>IF(L124&lt;0,"Yes","No")</x:f>
        <x:v>No</x:v>
      </x:c>
    </x:row>
    <x:row r="125" ht="21" customHeight="1">
      <x:c r="A125" s="3" t="str">
        <x:v>ORD-101089</x:v>
      </x:c>
      <x:c r="B125" s="5" t="n">
        <x:v>45336</x:v>
      </x:c>
      <x:c r="C125" s="3" t="str">
        <x:v>CUST-00229</x:v>
      </x:c>
      <x:c r="D125" s="3" t="str">
        <x:v>South</x:v>
      </x:c>
      <x:c r="E125" s="3" t="str">
        <x:v>Sports</x:v>
      </x:c>
      <x:c r="F125" s="3" t="str">
        <x:v>Fitness</x:v>
      </x:c>
      <x:c r="G125" s="3" t="str">
        <x:v>ProYoga Mat</x:v>
      </x:c>
      <x:c r="H125" s="3" t="n">
        <x:v>5</x:v>
      </x:c>
      <x:c r="I125" s="7" t="n">
        <x:v>1296.68</x:v>
      </x:c>
      <x:c r="J125" s="9" t="n">
        <x:v>0</x:v>
      </x:c>
      <x:c r="K125" s="7" t="n">
        <x:v>6483.4</x:v>
      </x:c>
      <x:c r="L125" s="7" t="n">
        <x:v>2333.53</x:v>
      </x:c>
      <x:c r="M125" s="3" t="str">
        <x:v>Debit Card</x:v>
      </x:c>
      <x:c r="N125" s="3" t="str">
        <x:f>TEXT(B125,"yyyy-mm")</x:f>
        <x:v>2024-02</x:v>
      </x:c>
      <x:c r="O125" s="3" t="str">
        <x:f>IF(J125=0,"No discount",IF(J125&lt;=0.1,"1-10%",IF(J125&lt;=0.15,"11-15%",IF(J125&lt;=0.2,"16-20%","21%+"))))</x:f>
        <x:v>No discount</x:v>
      </x:c>
      <x:c r="P125" s="9" t="n">
        <x:f>IF(K125=0,0,L125/K125)</x:f>
        <x:v>0.3599238054107413</x:v>
      </x:c>
      <x:c r="Q125" s="3" t="str">
        <x:f>IF(L125&lt;0,"Yes","No")</x:f>
        <x:v>No</x:v>
      </x:c>
    </x:row>
    <x:row r="126" ht="21" customHeight="1">
      <x:c r="A126" s="3" t="str">
        <x:v>ORD-101460</x:v>
      </x:c>
      <x:c r="B126" s="5" t="n">
        <x:v>45336</x:v>
      </x:c>
      <x:c r="C126" s="3" t="str">
        <x:v>CUST-00309</x:v>
      </x:c>
      <x:c r="D126" s="3" t="str">
        <x:v>North</x:v>
      </x:c>
      <x:c r="E126" s="3" t="str">
        <x:v>Electronics</x:v>
      </x:c>
      <x:c r="F126" s="3" t="str">
        <x:v>Mobile</x:v>
      </x:c>
      <x:c r="G126" s="3" t="str">
        <x:v>Galaxy Nova X5</x:v>
      </x:c>
      <x:c r="H126" s="3" t="n">
        <x:v>1</x:v>
      </x:c>
      <x:c r="I126" s="7" t="n">
        <x:v>25984.5</x:v>
      </x:c>
      <x:c r="J126" s="9" t="n">
        <x:v>0</x:v>
      </x:c>
      <x:c r="K126" s="7" t="n">
        <x:v>25984.5</x:v>
      </x:c>
      <x:c r="L126" s="7" t="n">
        <x:v>4824.82</x:v>
      </x:c>
      <x:c r="M126" s="3" t="str">
        <x:v>Credit Card</x:v>
      </x:c>
      <x:c r="N126" s="3" t="str">
        <x:f>TEXT(B126,"yyyy-mm")</x:f>
        <x:v>2024-02</x:v>
      </x:c>
      <x:c r="O126" s="3" t="str">
        <x:f>IF(J126=0,"No discount",IF(J126&lt;=0.1,"1-10%",IF(J126&lt;=0.15,"11-15%",IF(J126&lt;=0.2,"16-20%","21%+"))))</x:f>
        <x:v>No discount</x:v>
      </x:c>
      <x:c r="P126" s="9" t="n">
        <x:f>IF(K126=0,0,L126/K126)</x:f>
        <x:v>0.18568069426003964</x:v>
      </x:c>
      <x:c r="Q126" s="3" t="str">
        <x:f>IF(L126&lt;0,"Yes","No")</x:f>
        <x:v>No</x:v>
      </x:c>
    </x:row>
    <x:row r="127" ht="21" customHeight="1">
      <x:c r="A127" s="3" t="str">
        <x:v>ORD-100023</x:v>
      </x:c>
      <x:c r="B127" s="5" t="n">
        <x:v>45337</x:v>
      </x:c>
      <x:c r="C127" s="3" t="str">
        <x:v>CUST-00134</x:v>
      </x:c>
      <x:c r="D127" s="3" t="str">
        <x:v>East</x:v>
      </x:c>
      <x:c r="E127" s="3" t="str">
        <x:v>Home &amp; Kitchen</x:v>
      </x:c>
      <x:c r="F127" s="3" t="str">
        <x:v>Furniture</x:v>
      </x:c>
      <x:c r="G127" s="3" t="str">
        <x:v>ErgoComfort Chair</x:v>
      </x:c>
      <x:c r="H127" s="3" t="n">
        <x:v>1</x:v>
      </x:c>
      <x:c r="I127" s="7" t="n">
        <x:v>9366.3</x:v>
      </x:c>
      <x:c r="J127" s="9" t="n">
        <x:v>0</x:v>
      </x:c>
      <x:c r="K127" s="7" t="n">
        <x:v>9366.3</x:v>
      </x:c>
      <x:c r="L127" s="7" t="n">
        <x:v>2754.29</x:v>
      </x:c>
      <x:c r="M127" s="3" t="str">
        <x:v>Debit Card</x:v>
      </x:c>
      <x:c r="N127" s="3" t="str">
        <x:f>TEXT(B127,"yyyy-mm")</x:f>
        <x:v>2024-02</x:v>
      </x:c>
      <x:c r="O127" s="3" t="str">
        <x:f>IF(J127=0,"No discount",IF(J127&lt;=0.1,"1-10%",IF(J127&lt;=0.15,"11-15%",IF(J127&lt;=0.2,"16-20%","21%+"))))</x:f>
        <x:v>No discount</x:v>
      </x:c>
      <x:c r="P127" s="9" t="n">
        <x:f>IF(K127=0,0,L127/K127)</x:f>
        <x:v>0.2940638245625274</x:v>
      </x:c>
      <x:c r="Q127" s="3" t="str">
        <x:f>IF(L127&lt;0,"Yes","No")</x:f>
        <x:v>No</x:v>
      </x:c>
    </x:row>
    <x:row r="128" ht="21" customHeight="1">
      <x:c r="A128" s="3" t="str">
        <x:v>ORD-100678</x:v>
      </x:c>
      <x:c r="B128" s="5" t="n">
        <x:v>45337</x:v>
      </x:c>
      <x:c r="C128" s="3" t="str">
        <x:v>CUST-00193</x:v>
      </x:c>
      <x:c r="D128" s="3" t="str">
        <x:v>South</x:v>
      </x:c>
      <x:c r="E128" s="3" t="str">
        <x:v>Fashion</x:v>
      </x:c>
      <x:c r="F128" s="3" t="str">
        <x:v>Footwear</x:v>
      </x:c>
      <x:c r="G128" s="3" t="str">
        <x:v>UrbanLoafers</x:v>
      </x:c>
      <x:c r="H128" s="3" t="n">
        <x:v>2</x:v>
      </x:c>
      <x:c r="I128" s="7" t="n">
        <x:v>3669.06</x:v>
      </x:c>
      <x:c r="J128" s="9" t="n">
        <x:v>0.1</x:v>
      </x:c>
      <x:c r="K128" s="7" t="n">
        <x:v>6604.31</x:v>
      </x:c>
      <x:c r="L128" s="7" t="n">
        <x:v>1936.18</x:v>
      </x:c>
      <x:c r="M128" s="3" t="str">
        <x:v>UPI</x:v>
      </x:c>
      <x:c r="N128" s="3" t="str">
        <x:f>TEXT(B128,"yyyy-mm")</x:f>
        <x:v>2024-02</x:v>
      </x:c>
      <x:c r="O128" s="3" t="str">
        <x:f>IF(J128=0,"No discount",IF(J128&lt;=0.1,"1-10%",IF(J128&lt;=0.15,"11-15%",IF(J128&lt;=0.2,"16-20%","21%+"))))</x:f>
        <x:v>1-10%</x:v>
      </x:c>
      <x:c r="P128" s="9" t="n">
        <x:f>IF(K128=0,0,L128/K128)</x:f>
        <x:v>0.29316915771670315</x:v>
      </x:c>
      <x:c r="Q128" s="3" t="str">
        <x:f>IF(L128&lt;0,"Yes","No")</x:f>
        <x:v>No</x:v>
      </x:c>
    </x:row>
    <x:row r="129" ht="21" customHeight="1">
      <x:c r="A129" s="3" t="str">
        <x:v>ORD-101585</x:v>
      </x:c>
      <x:c r="B129" s="5" t="n">
        <x:v>45337</x:v>
      </x:c>
      <x:c r="C129" s="3" t="str">
        <x:v>CUST-00555</x:v>
      </x:c>
      <x:c r="D129" s="3" t="str">
        <x:v>East</x:v>
      </x:c>
      <x:c r="E129" s="3" t="str">
        <x:v>Sports</x:v>
      </x:c>
      <x:c r="F129" s="3" t="str">
        <x:v>Fitness</x:v>
      </x:c>
      <x:c r="G129" s="3" t="str">
        <x:v>ProYoga Mat</x:v>
      </x:c>
      <x:c r="H129" s="3" t="n">
        <x:v>1</x:v>
      </x:c>
      <x:c r="I129" s="7" t="n">
        <x:v>1355.35</x:v>
      </x:c>
      <x:c r="J129" s="9" t="n">
        <x:v>0.05</x:v>
      </x:c>
      <x:c r="K129" s="7" t="n">
        <x:v>1287.58</x:v>
      </x:c>
      <x:c r="L129" s="7" t="n">
        <x:v>440.19</x:v>
      </x:c>
      <x:c r="M129" s="3" t="str">
        <x:v>Credit Card</x:v>
      </x:c>
      <x:c r="N129" s="3" t="str">
        <x:f>TEXT(B129,"yyyy-mm")</x:f>
        <x:v>2024-02</x:v>
      </x:c>
      <x:c r="O129" s="3" t="str">
        <x:f>IF(J129=0,"No discount",IF(J129&lt;=0.1,"1-10%",IF(J129&lt;=0.15,"11-15%",IF(J129&lt;=0.2,"16-20%","21%+"))))</x:f>
        <x:v>1-10%</x:v>
      </x:c>
      <x:c r="P129" s="9" t="n">
        <x:f>IF(K129=0,0,L129/K129)</x:f>
        <x:v>0.3418739029807857</x:v>
      </x:c>
      <x:c r="Q129" s="3" t="str">
        <x:f>IF(L129&lt;0,"Yes","No")</x:f>
        <x:v>No</x:v>
      </x:c>
    </x:row>
    <x:row r="130" ht="21" customHeight="1">
      <x:c r="A130" s="3" t="str">
        <x:v>ORD-100534</x:v>
      </x:c>
      <x:c r="B130" s="5" t="n">
        <x:v>45338</x:v>
      </x:c>
      <x:c r="C130" s="3" t="str">
        <x:v>CUST-00517</x:v>
      </x:c>
      <x:c r="D130" s="3" t="str">
        <x:v>East</x:v>
      </x:c>
      <x:c r="E130" s="3" t="str">
        <x:v>Electronics</x:v>
      </x:c>
      <x:c r="F130" s="3" t="str">
        <x:v>Mobile</x:v>
      </x:c>
      <x:c r="G130" s="3" t="str">
        <x:v>Pixel Aura 12</x:v>
      </x:c>
      <x:c r="H130" s="3" t="n">
        <x:v>4</x:v>
      </x:c>
      <x:c r="I130" s="7" t="n">
        <x:v>32518.21</x:v>
      </x:c>
      <x:c r="J130" s="9" t="n">
        <x:v>0.05</x:v>
      </x:c>
      <x:c r="K130" s="7" t="n">
        <x:v>123569.2</x:v>
      </x:c>
      <x:c r="L130" s="7" t="n">
        <x:v>16188.8</x:v>
      </x:c>
      <x:c r="M130" s="3" t="str">
        <x:v>Debit Card</x:v>
      </x:c>
      <x:c r="N130" s="3" t="str">
        <x:f>TEXT(B130,"yyyy-mm")</x:f>
        <x:v>2024-02</x:v>
      </x:c>
      <x:c r="O130" s="3" t="str">
        <x:f>IF(J130=0,"No discount",IF(J130&lt;=0.1,"1-10%",IF(J130&lt;=0.15,"11-15%",IF(J130&lt;=0.2,"16-20%","21%+"))))</x:f>
        <x:v>1-10%</x:v>
      </x:c>
      <x:c r="P130" s="9" t="n">
        <x:f>IF(K130=0,0,L130/K130)</x:f>
        <x:v>0.1310099927813727</x:v>
      </x:c>
      <x:c r="Q130" s="3" t="str">
        <x:f>IF(L130&lt;0,"Yes","No")</x:f>
        <x:v>No</x:v>
      </x:c>
    </x:row>
    <x:row r="131" ht="21" customHeight="1">
      <x:c r="A131" s="3" t="str">
        <x:v>ORD-100961</x:v>
      </x:c>
      <x:c r="B131" s="5" t="n">
        <x:v>45339</x:v>
      </x:c>
      <x:c r="C131" s="3" t="str">
        <x:v>CUST-00538</x:v>
      </x:c>
      <x:c r="D131" s="3" t="str">
        <x:v>South</x:v>
      </x:c>
      <x:c r="E131" s="3" t="str">
        <x:v>Sports</x:v>
      </x:c>
      <x:c r="F131" s="3" t="str">
        <x:v>Outdoor</x:v>
      </x:c>
      <x:c r="G131" s="3" t="str">
        <x:v>AllWeather Tent 4P</x:v>
      </x:c>
      <x:c r="H131" s="3" t="n">
        <x:v>2</x:v>
      </x:c>
      <x:c r="I131" s="7" t="n">
        <x:v>11430.04</x:v>
      </x:c>
      <x:c r="J131" s="9" t="n">
        <x:v>0</x:v>
      </x:c>
      <x:c r="K131" s="7" t="n">
        <x:v>22860.08</x:v>
      </x:c>
      <x:c r="L131" s="7" t="n">
        <x:v>7824.54</x:v>
      </x:c>
      <x:c r="M131" s="3" t="str">
        <x:v>Debit Card</x:v>
      </x:c>
      <x:c r="N131" s="3" t="str">
        <x:f>TEXT(B131,"yyyy-mm")</x:f>
        <x:v>2024-02</x:v>
      </x:c>
      <x:c r="O131" s="3" t="str">
        <x:f>IF(J131=0,"No discount",IF(J131&lt;=0.1,"1-10%",IF(J131&lt;=0.15,"11-15%",IF(J131&lt;=0.2,"16-20%","21%+"))))</x:f>
        <x:v>No discount</x:v>
      </x:c>
      <x:c r="P131" s="9" t="n">
        <x:f>IF(K131=0,0,L131/K131)</x:f>
        <x:v>0.3422796420659945</x:v>
      </x:c>
      <x:c r="Q131" s="3" t="str">
        <x:f>IF(L131&lt;0,"Yes","No")</x:f>
        <x:v>No</x:v>
      </x:c>
    </x:row>
    <x:row r="132" ht="21" customHeight="1">
      <x:c r="A132" s="3" t="str">
        <x:v>ORD-101216</x:v>
      </x:c>
      <x:c r="B132" s="5" t="n">
        <x:v>45339</x:v>
      </x:c>
      <x:c r="C132" s="3" t="str">
        <x:v>CUST-00099</x:v>
      </x:c>
      <x:c r="D132" s="3" t="str">
        <x:v>South</x:v>
      </x:c>
      <x:c r="E132" s="3" t="str">
        <x:v>Sports</x:v>
      </x:c>
      <x:c r="F132" s="3" t="str">
        <x:v>Fitness</x:v>
      </x:c>
      <x:c r="G132" s="3" t="str">
        <x:v>Adjustable Dumbbell 24kg</x:v>
      </x:c>
      <x:c r="H132" s="3" t="n">
        <x:v>2</x:v>
      </x:c>
      <x:c r="I132" s="7" t="n">
        <x:v>9836.51</x:v>
      </x:c>
      <x:c r="J132" s="9" t="n">
        <x:v>0.15</x:v>
      </x:c>
      <x:c r="K132" s="7" t="n">
        <x:v>16722.07</x:v>
      </x:c>
      <x:c r="L132" s="7" t="n">
        <x:v>3459.63</x:v>
      </x:c>
      <x:c r="M132" s="3" t="str">
        <x:v>Credit Card</x:v>
      </x:c>
      <x:c r="N132" s="3" t="str">
        <x:f>TEXT(B132,"yyyy-mm")</x:f>
        <x:v>2024-02</x:v>
      </x:c>
      <x:c r="O132" s="3" t="str">
        <x:f>IF(J132=0,"No discount",IF(J132&lt;=0.1,"1-10%",IF(J132&lt;=0.15,"11-15%",IF(J132&lt;=0.2,"16-20%","21%+"))))</x:f>
        <x:v>11-15%</x:v>
      </x:c>
      <x:c r="P132" s="9" t="n">
        <x:f>IF(K132=0,0,L132/K132)</x:f>
        <x:v>0.20689005607559352</x:v>
      </x:c>
      <x:c r="Q132" s="3" t="str">
        <x:f>IF(L132&lt;0,"Yes","No")</x:f>
        <x:v>No</x:v>
      </x:c>
    </x:row>
    <x:row r="133" ht="21" customHeight="1">
      <x:c r="A133" s="3" t="str">
        <x:v>ORD-101474</x:v>
      </x:c>
      <x:c r="B133" s="5" t="n">
        <x:v>45339</x:v>
      </x:c>
      <x:c r="C133" s="3" t="str">
        <x:v>CUST-00304</x:v>
      </x:c>
      <x:c r="D133" s="3" t="str">
        <x:v>West</x:v>
      </x:c>
      <x:c r="E133" s="3" t="str">
        <x:v>Fashion</x:v>
      </x:c>
      <x:c r="F133" s="3" t="str">
        <x:v>Footwear</x:v>
      </x:c>
      <x:c r="G133" s="3" t="str">
        <x:v>UrbanLoafers</x:v>
      </x:c>
      <x:c r="H133" s="3" t="n">
        <x:v>3</x:v>
      </x:c>
      <x:c r="I133" s="7" t="n">
        <x:v>3334.21</x:v>
      </x:c>
      <x:c r="J133" s="9" t="n">
        <x:v>0</x:v>
      </x:c>
      <x:c r="K133" s="7" t="n">
        <x:v>10002.63</x:v>
      </x:c>
      <x:c r="L133" s="7" t="n">
        <x:v>4017.74</x:v>
      </x:c>
      <x:c r="M133" s="3" t="str">
        <x:v>Debit Card</x:v>
      </x:c>
      <x:c r="N133" s="3" t="str">
        <x:f>TEXT(B133,"yyyy-mm")</x:f>
        <x:v>2024-02</x:v>
      </x:c>
      <x:c r="O133" s="3" t="str">
        <x:f>IF(J133=0,"No discount",IF(J133&lt;=0.1,"1-10%",IF(J133&lt;=0.15,"11-15%",IF(J133&lt;=0.2,"16-20%","21%+"))))</x:f>
        <x:v>No discount</x:v>
      </x:c>
      <x:c r="P133" s="9" t="n">
        <x:f>IF(K133=0,0,L133/K133)</x:f>
        <x:v>0.4016683612209989</x:v>
      </x:c>
      <x:c r="Q133" s="3" t="str">
        <x:f>IF(L133&lt;0,"Yes","No")</x:f>
        <x:v>No</x:v>
      </x:c>
    </x:row>
    <x:row r="134" ht="21" customHeight="1">
      <x:c r="A134" s="3" t="str">
        <x:v>ORD-101992</x:v>
      </x:c>
      <x:c r="B134" s="5" t="n">
        <x:v>45339</x:v>
      </x:c>
      <x:c r="C134" s="3" t="str">
        <x:v>CUST-00144</x:v>
      </x:c>
      <x:c r="D134" s="3" t="str">
        <x:v>South</x:v>
      </x:c>
      <x:c r="E134" s="3" t="str">
        <x:v>Home &amp; Kitchen</x:v>
      </x:c>
      <x:c r="F134" s="3" t="str">
        <x:v>Decor</x:v>
      </x:c>
      <x:c r="G134" s="3" t="str">
        <x:v>LED Wall Lamp</x:v>
      </x:c>
      <x:c r="H134" s="3" t="n">
        <x:v>1</x:v>
      </x:c>
      <x:c r="I134" s="7" t="n">
        <x:v>1003.44</x:v>
      </x:c>
      <x:c r="J134" s="9" t="n">
        <x:v>0</x:v>
      </x:c>
      <x:c r="K134" s="7" t="n">
        <x:v>1003.44</x:v>
      </x:c>
      <x:c r="L134" s="7" t="n">
        <x:v>359.4</x:v>
      </x:c>
      <x:c r="M134" s="3" t="str">
        <x:v>UPI</x:v>
      </x:c>
      <x:c r="N134" s="3" t="str">
        <x:f>TEXT(B134,"yyyy-mm")</x:f>
        <x:v>2024-02</x:v>
      </x:c>
      <x:c r="O134" s="3" t="str">
        <x:f>IF(J134=0,"No discount",IF(J134&lt;=0.1,"1-10%",IF(J134&lt;=0.15,"11-15%",IF(J134&lt;=0.2,"16-20%","21%+"))))</x:f>
        <x:v>No discount</x:v>
      </x:c>
      <x:c r="P134" s="9" t="n">
        <x:f>IF(K134=0,0,L134/K134)</x:f>
        <x:v>0.35816790241568996</x:v>
      </x:c>
      <x:c r="Q134" s="3" t="str">
        <x:f>IF(L134&lt;0,"Yes","No")</x:f>
        <x:v>No</x:v>
      </x:c>
    </x:row>
    <x:row r="135" ht="21" customHeight="1">
      <x:c r="A135" s="3" t="str">
        <x:v>ORD-101221</x:v>
      </x:c>
      <x:c r="B135" s="5" t="n">
        <x:v>45340</x:v>
      </x:c>
      <x:c r="C135" s="3" t="str">
        <x:v>CUST-00579</x:v>
      </x:c>
      <x:c r="D135" s="3" t="str">
        <x:v>North</x:v>
      </x:c>
      <x:c r="E135" s="3" t="str">
        <x:v>Beauty</x:v>
      </x:c>
      <x:c r="F135" s="3" t="str">
        <x:v>Skincare</x:v>
      </x:c>
      <x:c r="G135" s="3" t="str">
        <x:v>HydraBoost Moisturizer</x:v>
      </x:c>
      <x:c r="H135" s="3" t="n">
        <x:v>1</x:v>
      </x:c>
      <x:c r="I135" s="7" t="n">
        <x:v>1183.93</x:v>
      </x:c>
      <x:c r="J135" s="9" t="n">
        <x:v>0</x:v>
      </x:c>
      <x:c r="K135" s="7" t="n">
        <x:v>1183.93</x:v>
      </x:c>
      <x:c r="L135" s="7" t="n">
        <x:v>672.36</x:v>
      </x:c>
      <x:c r="M135" s="3" t="str">
        <x:v>Credit Card</x:v>
      </x:c>
      <x:c r="N135" s="3" t="str">
        <x:f>TEXT(B135,"yyyy-mm")</x:f>
        <x:v>2024-02</x:v>
      </x:c>
      <x:c r="O135" s="3" t="str">
        <x:f>IF(J135=0,"No discount",IF(J135&lt;=0.1,"1-10%",IF(J135&lt;=0.15,"11-15%",IF(J135&lt;=0.2,"16-20%","21%+"))))</x:f>
        <x:v>No discount</x:v>
      </x:c>
      <x:c r="P135" s="9" t="n">
        <x:f>IF(K135=0,0,L135/K135)</x:f>
        <x:v>0.5679051970978014</x:v>
      </x:c>
      <x:c r="Q135" s="3" t="str">
        <x:f>IF(L135&lt;0,"Yes","No")</x:f>
        <x:v>No</x:v>
      </x:c>
    </x:row>
    <x:row r="136" ht="21" customHeight="1">
      <x:c r="A136" s="3" t="str">
        <x:v>ORD-101379</x:v>
      </x:c>
      <x:c r="B136" s="5" t="n">
        <x:v>45340</x:v>
      </x:c>
      <x:c r="C136" s="3" t="str">
        <x:v>CUST-00055</x:v>
      </x:c>
      <x:c r="D136" s="3" t="str">
        <x:v>North</x:v>
      </x:c>
      <x:c r="E136" s="3" t="str">
        <x:v>Fashion</x:v>
      </x:c>
      <x:c r="F136" s="3" t="str">
        <x:v>Women</x:v>
      </x:c>
      <x:c r="G136" s="3" t="str">
        <x:v>Floral Summer Dress</x:v>
      </x:c>
      <x:c r="H136" s="3" t="n">
        <x:v>1</x:v>
      </x:c>
      <x:c r="I136" s="7" t="n">
        <x:v>1872.35</x:v>
      </x:c>
      <x:c r="J136" s="9" t="n">
        <x:v>0.4</x:v>
      </x:c>
      <x:c r="K136" s="7" t="n">
        <x:v>1123.41</x:v>
      </x:c>
      <x:c r="L136" s="7" t="n">
        <x:v>-2.78</x:v>
      </x:c>
      <x:c r="M136" s="3" t="str">
        <x:v>Net Banking</x:v>
      </x:c>
      <x:c r="N136" s="3" t="str">
        <x:f>TEXT(B136,"yyyy-mm")</x:f>
        <x:v>2024-02</x:v>
      </x:c>
      <x:c r="O136" s="3" t="str">
        <x:f>IF(J136=0,"No discount",IF(J136&lt;=0.1,"1-10%",IF(J136&lt;=0.15,"11-15%",IF(J136&lt;=0.2,"16-20%","21%+"))))</x:f>
        <x:v>21%+</x:v>
      </x:c>
      <x:c r="P136" s="9" t="n">
        <x:f>IF(K136=0,0,L136/K136)</x:f>
        <x:v>-0.0024746085578729047</x:v>
      </x:c>
      <x:c r="Q136" s="3" t="str">
        <x:f>IF(L136&lt;0,"Yes","No")</x:f>
        <x:v>Yes</x:v>
      </x:c>
    </x:row>
    <x:row r="137" ht="21" customHeight="1">
      <x:c r="A137" s="3" t="str">
        <x:v>ORD-101517</x:v>
      </x:c>
      <x:c r="B137" s="5" t="n">
        <x:v>45340</x:v>
      </x:c>
      <x:c r="C137" s="3" t="str">
        <x:v>CUST-00048</x:v>
      </x:c>
      <x:c r="D137" s="3" t="str">
        <x:v>East</x:v>
      </x:c>
      <x:c r="E137" s="3" t="str">
        <x:v>Beauty</x:v>
      </x:c>
      <x:c r="F137" s="3" t="str">
        <x:v>Makeup</x:v>
      </x:c>
      <x:c r="G137" s="3" t="str">
        <x:v>HD Foundation Kit</x:v>
      </x:c>
      <x:c r="H137" s="3" t="n">
        <x:v>5</x:v>
      </x:c>
      <x:c r="I137" s="7" t="n">
        <x:v>1446.44</x:v>
      </x:c>
      <x:c r="J137" s="9" t="n">
        <x:v>0</x:v>
      </x:c>
      <x:c r="K137" s="7" t="n">
        <x:v>7232.2</x:v>
      </x:c>
      <x:c r="L137" s="7" t="n">
        <x:v>4243.93</x:v>
      </x:c>
      <x:c r="M137" s="3" t="str">
        <x:v>Net Banking</x:v>
      </x:c>
      <x:c r="N137" s="3" t="str">
        <x:f>TEXT(B137,"yyyy-mm")</x:f>
        <x:v>2024-02</x:v>
      </x:c>
      <x:c r="O137" s="3" t="str">
        <x:f>IF(J137=0,"No discount",IF(J137&lt;=0.1,"1-10%",IF(J137&lt;=0.15,"11-15%",IF(J137&lt;=0.2,"16-20%","21%+"))))</x:f>
        <x:v>No discount</x:v>
      </x:c>
      <x:c r="P137" s="9" t="n">
        <x:f>IF(K137=0,0,L137/K137)</x:f>
        <x:v>0.5868103758192529</x:v>
      </x:c>
      <x:c r="Q137" s="3" t="str">
        <x:f>IF(L137&lt;0,"Yes","No")</x:f>
        <x:v>No</x:v>
      </x:c>
    </x:row>
    <x:row r="138" ht="21" customHeight="1">
      <x:c r="A138" s="3" t="str">
        <x:v>ORD-101981</x:v>
      </x:c>
      <x:c r="B138" s="5" t="n">
        <x:v>45340</x:v>
      </x:c>
      <x:c r="C138" s="3" t="str">
        <x:v>CUST-00049</x:v>
      </x:c>
      <x:c r="D138" s="3" t="str">
        <x:v>East</x:v>
      </x:c>
      <x:c r="E138" s="3" t="str">
        <x:v>Beauty</x:v>
      </x:c>
      <x:c r="F138" s="3" t="str">
        <x:v>Skincare</x:v>
      </x:c>
      <x:c r="G138" s="3" t="str">
        <x:v>Vitamin C Serum</x:v>
      </x:c>
      <x:c r="H138" s="3" t="n">
        <x:v>2</x:v>
      </x:c>
      <x:c r="I138" s="7" t="n">
        <x:v>885.18</x:v>
      </x:c>
      <x:c r="J138" s="9" t="n">
        <x:v>0.05</x:v>
      </x:c>
      <x:c r="K138" s="7" t="n">
        <x:v>1681.84</x:v>
      </x:c>
      <x:c r="L138" s="7" t="n">
        <x:v>768.47</x:v>
      </x:c>
      <x:c r="M138" s="3" t="str">
        <x:v>Credit Card</x:v>
      </x:c>
      <x:c r="N138" s="3" t="str">
        <x:f>TEXT(B138,"yyyy-mm")</x:f>
        <x:v>2024-02</x:v>
      </x:c>
      <x:c r="O138" s="3" t="str">
        <x:f>IF(J138=0,"No discount",IF(J138&lt;=0.1,"1-10%",IF(J138&lt;=0.15,"11-15%",IF(J138&lt;=0.2,"16-20%","21%+"))))</x:f>
        <x:v>1-10%</x:v>
      </x:c>
      <x:c r="P138" s="9" t="n">
        <x:f>IF(K138=0,0,L138/K138)</x:f>
        <x:v>0.4569221804690102</x:v>
      </x:c>
      <x:c r="Q138" s="3" t="str">
        <x:f>IF(L138&lt;0,"Yes","No")</x:f>
        <x:v>No</x:v>
      </x:c>
    </x:row>
    <x:row r="139" ht="21" customHeight="1">
      <x:c r="A139" s="3" t="str">
        <x:v>ORD-100207</x:v>
      </x:c>
      <x:c r="B139" s="5" t="n">
        <x:v>45341</x:v>
      </x:c>
      <x:c r="C139" s="3" t="str">
        <x:v>CUST-00471</x:v>
      </x:c>
      <x:c r="D139" s="3" t="str">
        <x:v>West</x:v>
      </x:c>
      <x:c r="E139" s="3" t="str">
        <x:v>Fashion</x:v>
      </x:c>
      <x:c r="F139" s="3" t="str">
        <x:v>Women</x:v>
      </x:c>
      <x:c r="G139" s="3" t="str">
        <x:v>Knit Winter Sweater</x:v>
      </x:c>
      <x:c r="H139" s="3" t="n">
        <x:v>1</x:v>
      </x:c>
      <x:c r="I139" s="7" t="n">
        <x:v>2209.4</x:v>
      </x:c>
      <x:c r="J139" s="9" t="n">
        <x:v>0</x:v>
      </x:c>
      <x:c r="K139" s="7" t="n">
        <x:v>2209.4</x:v>
      </x:c>
      <x:c r="L139" s="7" t="n">
        <x:v>862.65</x:v>
      </x:c>
      <x:c r="M139" s="3" t="str">
        <x:v>Debit Card</x:v>
      </x:c>
      <x:c r="N139" s="3" t="str">
        <x:f>TEXT(B139,"yyyy-mm")</x:f>
        <x:v>2024-02</x:v>
      </x:c>
      <x:c r="O139" s="3" t="str">
        <x:f>IF(J139=0,"No discount",IF(J139&lt;=0.1,"1-10%",IF(J139&lt;=0.15,"11-15%",IF(J139&lt;=0.2,"16-20%","21%+"))))</x:f>
        <x:v>No discount</x:v>
      </x:c>
      <x:c r="P139" s="9" t="n">
        <x:f>IF(K139=0,0,L139/K139)</x:f>
        <x:v>0.39044536978365163</x:v>
      </x:c>
      <x:c r="Q139" s="3" t="str">
        <x:f>IF(L139&lt;0,"Yes","No")</x:f>
        <x:v>No</x:v>
      </x:c>
    </x:row>
    <x:row r="140" ht="21" customHeight="1">
      <x:c r="A140" s="3" t="str">
        <x:v>ORD-100261</x:v>
      </x:c>
      <x:c r="B140" s="5" t="n">
        <x:v>45342</x:v>
      </x:c>
      <x:c r="C140" s="3" t="str">
        <x:v>CUST-00586</x:v>
      </x:c>
      <x:c r="D140" s="3" t="str">
        <x:v>North</x:v>
      </x:c>
      <x:c r="E140" s="3" t="str">
        <x:v>Fashion</x:v>
      </x:c>
      <x:c r="F140" s="3" t="str">
        <x:v>Women</x:v>
      </x:c>
      <x:c r="G140" s="3" t="str">
        <x:v>Knit Winter Sweater</x:v>
      </x:c>
      <x:c r="H140" s="3" t="n">
        <x:v>1</x:v>
      </x:c>
      <x:c r="I140" s="7" t="n">
        <x:v>2145.93</x:v>
      </x:c>
      <x:c r="J140" s="9" t="n">
        <x:v>0.2</x:v>
      </x:c>
      <x:c r="K140" s="7" t="n">
        <x:v>1716.74</x:v>
      </x:c>
      <x:c r="L140" s="7" t="n">
        <x:v>371.62</x:v>
      </x:c>
      <x:c r="M140" s="3" t="str">
        <x:v>UPI</x:v>
      </x:c>
      <x:c r="N140" s="3" t="str">
        <x:f>TEXT(B140,"yyyy-mm")</x:f>
        <x:v>2024-02</x:v>
      </x:c>
      <x:c r="O140" s="3" t="str">
        <x:f>IF(J140=0,"No discount",IF(J140&lt;=0.1,"1-10%",IF(J140&lt;=0.15,"11-15%",IF(J140&lt;=0.2,"16-20%","21%+"))))</x:f>
        <x:v>16-20%</x:v>
      </x:c>
      <x:c r="P140" s="9" t="n">
        <x:f>IF(K140=0,0,L140/K140)</x:f>
        <x:v>0.21646842270815617</x:v>
      </x:c>
      <x:c r="Q140" s="3" t="str">
        <x:f>IF(L140&lt;0,"Yes","No")</x:f>
        <x:v>No</x:v>
      </x:c>
    </x:row>
    <x:row r="141" ht="21" customHeight="1">
      <x:c r="A141" s="3" t="str">
        <x:v>ORD-100398</x:v>
      </x:c>
      <x:c r="B141" s="5" t="n">
        <x:v>45342</x:v>
      </x:c>
      <x:c r="C141" s="3" t="str">
        <x:v>CUST-00451</x:v>
      </x:c>
      <x:c r="D141" s="3" t="str">
        <x:v>South</x:v>
      </x:c>
      <x:c r="E141" s="3" t="str">
        <x:v>Beauty</x:v>
      </x:c>
      <x:c r="F141" s="3" t="str">
        <x:v>Skincare</x:v>
      </x:c>
      <x:c r="G141" s="3" t="str">
        <x:v>Vitamin C Serum</x:v>
      </x:c>
      <x:c r="H141" s="3" t="n">
        <x:v>1</x:v>
      </x:c>
      <x:c r="I141" s="7" t="n">
        <x:v>857.86</x:v>
      </x:c>
      <x:c r="J141" s="9" t="n">
        <x:v>0.2</x:v>
      </x:c>
      <x:c r="K141" s="7" t="n">
        <x:v>686.29</x:v>
      </x:c>
      <x:c r="L141" s="7" t="n">
        <x:v>246.84</x:v>
      </x:c>
      <x:c r="M141" s="3" t="str">
        <x:v>UPI</x:v>
      </x:c>
      <x:c r="N141" s="3" t="str">
        <x:f>TEXT(B141,"yyyy-mm")</x:f>
        <x:v>2024-02</x:v>
      </x:c>
      <x:c r="O141" s="3" t="str">
        <x:f>IF(J141=0,"No discount",IF(J141&lt;=0.1,"1-10%",IF(J141&lt;=0.15,"11-15%",IF(J141&lt;=0.2,"16-20%","21%+"))))</x:f>
        <x:v>16-20%</x:v>
      </x:c>
      <x:c r="P141" s="9" t="n">
        <x:f>IF(K141=0,0,L141/K141)</x:f>
        <x:v>0.3596730245231608</x:v>
      </x:c>
      <x:c r="Q141" s="3" t="str">
        <x:f>IF(L141&lt;0,"Yes","No")</x:f>
        <x:v>No</x:v>
      </x:c>
    </x:row>
    <x:row r="142" ht="21" customHeight="1">
      <x:c r="A142" s="3" t="str">
        <x:v>ORD-101367</x:v>
      </x:c>
      <x:c r="B142" s="5" t="n">
        <x:v>45342</x:v>
      </x:c>
      <x:c r="C142" s="3" t="str">
        <x:v>CUST-00409</x:v>
      </x:c>
      <x:c r="D142" s="3" t="str">
        <x:v>South</x:v>
      </x:c>
      <x:c r="E142" s="3" t="str">
        <x:v>Home &amp; Kitchen</x:v>
      </x:c>
      <x:c r="F142" s="3" t="str">
        <x:v>Decor</x:v>
      </x:c>
      <x:c r="G142" s="3" t="str">
        <x:v>Ceramic Vase Set</x:v>
      </x:c>
      <x:c r="H142" s="3" t="n">
        <x:v>1</x:v>
      </x:c>
      <x:c r="I142" s="7" t="n">
        <x:v>1442.99</x:v>
      </x:c>
      <x:c r="J142" s="9" t="n">
        <x:v>0.1</x:v>
      </x:c>
      <x:c r="K142" s="7" t="n">
        <x:v>1298.69</x:v>
      </x:c>
      <x:c r="L142" s="7" t="n">
        <x:v>317.62</x:v>
      </x:c>
      <x:c r="M142" s="3" t="str">
        <x:v>UPI</x:v>
      </x:c>
      <x:c r="N142" s="3" t="str">
        <x:f>TEXT(B142,"yyyy-mm")</x:f>
        <x:v>2024-02</x:v>
      </x:c>
      <x:c r="O142" s="3" t="str">
        <x:f>IF(J142=0,"No discount",IF(J142&lt;=0.1,"1-10%",IF(J142&lt;=0.15,"11-15%",IF(J142&lt;=0.2,"16-20%","21%+"))))</x:f>
        <x:v>1-10%</x:v>
      </x:c>
      <x:c r="P142" s="9" t="n">
        <x:f>IF(K142=0,0,L142/K142)</x:f>
        <x:v>0.24456952775489146</x:v>
      </x:c>
      <x:c r="Q142" s="3" t="str">
        <x:f>IF(L142&lt;0,"Yes","No")</x:f>
        <x:v>No</x:v>
      </x:c>
    </x:row>
    <x:row r="143" ht="21" customHeight="1">
      <x:c r="A143" s="3" t="str">
        <x:v>ORD-100420</x:v>
      </x:c>
      <x:c r="B143" s="5" t="n">
        <x:v>45343</x:v>
      </x:c>
      <x:c r="C143" s="3" t="str">
        <x:v>CUST-00056</x:v>
      </x:c>
      <x:c r="D143" s="3" t="str">
        <x:v>North</x:v>
      </x:c>
      <x:c r="E143" s="3" t="str">
        <x:v>Beauty</x:v>
      </x:c>
      <x:c r="F143" s="3" t="str">
        <x:v>Skincare</x:v>
      </x:c>
      <x:c r="G143" s="3" t="str">
        <x:v>Vitamin C Serum</x:v>
      </x:c>
      <x:c r="H143" s="3" t="n">
        <x:v>1</x:v>
      </x:c>
      <x:c r="I143" s="7" t="n">
        <x:v>884.5</x:v>
      </x:c>
      <x:c r="J143" s="9" t="n">
        <x:v>0.1</x:v>
      </x:c>
      <x:c r="K143" s="7" t="n">
        <x:v>796.05</x:v>
      </x:c>
      <x:c r="L143" s="7" t="n">
        <x:v>342.69</x:v>
      </x:c>
      <x:c r="M143" s="3" t="str">
        <x:v>Credit Card</x:v>
      </x:c>
      <x:c r="N143" s="3" t="str">
        <x:f>TEXT(B143,"yyyy-mm")</x:f>
        <x:v>2024-02</x:v>
      </x:c>
      <x:c r="O143" s="3" t="str">
        <x:f>IF(J143=0,"No discount",IF(J143&lt;=0.1,"1-10%",IF(J143&lt;=0.15,"11-15%",IF(J143&lt;=0.2,"16-20%","21%+"))))</x:f>
        <x:v>1-10%</x:v>
      </x:c>
      <x:c r="P143" s="9" t="n">
        <x:f>IF(K143=0,0,L143/K143)</x:f>
        <x:v>0.430488034671189</x:v>
      </x:c>
      <x:c r="Q143" s="3" t="str">
        <x:f>IF(L143&lt;0,"Yes","No")</x:f>
        <x:v>No</x:v>
      </x:c>
    </x:row>
    <x:row r="144" ht="21" customHeight="1">
      <x:c r="A144" s="3" t="str">
        <x:v>ORD-101305</x:v>
      </x:c>
      <x:c r="B144" s="5" t="n">
        <x:v>45343</x:v>
      </x:c>
      <x:c r="C144" s="3" t="str">
        <x:v>CUST-00498</x:v>
      </x:c>
      <x:c r="D144" s="3" t="str">
        <x:v>East</x:v>
      </x:c>
      <x:c r="E144" s="3" t="str">
        <x:v>Home &amp; Kitchen</x:v>
      </x:c>
      <x:c r="F144" s="3" t="str">
        <x:v>Decor</x:v>
      </x:c>
      <x:c r="G144" s="3" t="str">
        <x:v>LED Wall Lamp</x:v>
      </x:c>
      <x:c r="H144" s="3" t="n">
        <x:v>1</x:v>
      </x:c>
      <x:c r="I144" s="7" t="n">
        <x:v>982.05</x:v>
      </x:c>
      <x:c r="J144" s="9" t="n">
        <x:v>0.05</x:v>
      </x:c>
      <x:c r="K144" s="7" t="n">
        <x:v>932.95</x:v>
      </x:c>
      <x:c r="L144" s="7" t="n">
        <x:v>260.89</x:v>
      </x:c>
      <x:c r="M144" s="3" t="str">
        <x:v>Debit Card</x:v>
      </x:c>
      <x:c r="N144" s="3" t="str">
        <x:f>TEXT(B144,"yyyy-mm")</x:f>
        <x:v>2024-02</x:v>
      </x:c>
      <x:c r="O144" s="3" t="str">
        <x:f>IF(J144=0,"No discount",IF(J144&lt;=0.1,"1-10%",IF(J144&lt;=0.15,"11-15%",IF(J144&lt;=0.2,"16-20%","21%+"))))</x:f>
        <x:v>1-10%</x:v>
      </x:c>
      <x:c r="P144" s="9" t="n">
        <x:f>IF(K144=0,0,L144/K144)</x:f>
        <x:v>0.2796398520821051</x:v>
      </x:c>
      <x:c r="Q144" s="3" t="str">
        <x:f>IF(L144&lt;0,"Yes","No")</x:f>
        <x:v>No</x:v>
      </x:c>
    </x:row>
    <x:row r="145" ht="21" customHeight="1">
      <x:c r="A145" s="3" t="str">
        <x:v>ORD-101317</x:v>
      </x:c>
      <x:c r="B145" s="5" t="n">
        <x:v>45343</x:v>
      </x:c>
      <x:c r="C145" s="3" t="str">
        <x:v>CUST-00364</x:v>
      </x:c>
      <x:c r="D145" s="3" t="str">
        <x:v>West</x:v>
      </x:c>
      <x:c r="E145" s="3" t="str">
        <x:v>Beauty</x:v>
      </x:c>
      <x:c r="F145" s="3" t="str">
        <x:v>Skincare</x:v>
      </x:c>
      <x:c r="G145" s="3" t="str">
        <x:v>HydraBoost Moisturizer</x:v>
      </x:c>
      <x:c r="H145" s="3" t="n">
        <x:v>2</x:v>
      </x:c>
      <x:c r="I145" s="7" t="n">
        <x:v>1252.15</x:v>
      </x:c>
      <x:c r="J145" s="9" t="n">
        <x:v>0.05</x:v>
      </x:c>
      <x:c r="K145" s="7" t="n">
        <x:v>2379.09</x:v>
      </x:c>
      <x:c r="L145" s="7" t="n">
        <x:v>1204.11</x:v>
      </x:c>
      <x:c r="M145" s="3" t="str">
        <x:v>Credit Card</x:v>
      </x:c>
      <x:c r="N145" s="3" t="str">
        <x:f>TEXT(B145,"yyyy-mm")</x:f>
        <x:v>2024-02</x:v>
      </x:c>
      <x:c r="O145" s="3" t="str">
        <x:f>IF(J145=0,"No discount",IF(J145&lt;=0.1,"1-10%",IF(J145&lt;=0.15,"11-15%",IF(J145&lt;=0.2,"16-20%","21%+"))))</x:f>
        <x:v>1-10%</x:v>
      </x:c>
      <x:c r="P145" s="9" t="n">
        <x:f>IF(K145=0,0,L145/K145)</x:f>
        <x:v>0.5061220886977793</x:v>
      </x:c>
      <x:c r="Q145" s="3" t="str">
        <x:f>IF(L145&lt;0,"Yes","No")</x:f>
        <x:v>No</x:v>
      </x:c>
    </x:row>
    <x:row r="146" ht="21" customHeight="1">
      <x:c r="A146" s="3" t="str">
        <x:v>ORD-101580</x:v>
      </x:c>
      <x:c r="B146" s="5" t="n">
        <x:v>45343</x:v>
      </x:c>
      <x:c r="C146" s="3" t="str">
        <x:v>CUST-00542</x:v>
      </x:c>
      <x:c r="D146" s="3" t="str">
        <x:v>North</x:v>
      </x:c>
      <x:c r="E146" s="3" t="str">
        <x:v>Electronics</x:v>
      </x:c>
      <x:c r="F146" s="3" t="str">
        <x:v>Audio</x:v>
      </x:c>
      <x:c r="G146" s="3" t="str">
        <x:v>SoundPods Pro</x:v>
      </x:c>
      <x:c r="H146" s="3" t="n">
        <x:v>2</x:v>
      </x:c>
      <x:c r="I146" s="7" t="n">
        <x:v>5058.84</x:v>
      </x:c>
      <x:c r="J146" s="9" t="n">
        <x:v>0.05</x:v>
      </x:c>
      <x:c r="K146" s="7" t="n">
        <x:v>9611.8</x:v>
      </x:c>
      <x:c r="L146" s="7" t="n">
        <x:v>1229.16</x:v>
      </x:c>
      <x:c r="M146" s="3" t="str">
        <x:v>UPI</x:v>
      </x:c>
      <x:c r="N146" s="3" t="str">
        <x:f>TEXT(B146,"yyyy-mm")</x:f>
        <x:v>2024-02</x:v>
      </x:c>
      <x:c r="O146" s="3" t="str">
        <x:f>IF(J146=0,"No discount",IF(J146&lt;=0.1,"1-10%",IF(J146&lt;=0.15,"11-15%",IF(J146&lt;=0.2,"16-20%","21%+"))))</x:f>
        <x:v>1-10%</x:v>
      </x:c>
      <x:c r="P146" s="9" t="n">
        <x:f>IF(K146=0,0,L146/K146)</x:f>
        <x:v>0.12788031378097756</x:v>
      </x:c>
      <x:c r="Q146" s="3" t="str">
        <x:f>IF(L146&lt;0,"Yes","No")</x:f>
        <x:v>No</x:v>
      </x:c>
    </x:row>
    <x:row r="147" ht="21" customHeight="1">
      <x:c r="A147" s="3" t="str">
        <x:v>ORD-101586</x:v>
      </x:c>
      <x:c r="B147" s="5" t="n">
        <x:v>45343</x:v>
      </x:c>
      <x:c r="C147" s="3" t="str">
        <x:v>CUST-00528</x:v>
      </x:c>
      <x:c r="D147" s="3" t="str">
        <x:v>North</x:v>
      </x:c>
      <x:c r="E147" s="3" t="str">
        <x:v>Home &amp; Kitchen</x:v>
      </x:c>
      <x:c r="F147" s="3" t="str">
        <x:v>Decor</x:v>
      </x:c>
      <x:c r="G147" s="3" t="str">
        <x:v>Ceramic Vase Set</x:v>
      </x:c>
      <x:c r="H147" s="3" t="n">
        <x:v>4</x:v>
      </x:c>
      <x:c r="I147" s="7" t="n">
        <x:v>1506.14</x:v>
      </x:c>
      <x:c r="J147" s="9" t="n">
        <x:v>0.2</x:v>
      </x:c>
      <x:c r="K147" s="7" t="n">
        <x:v>4819.65</x:v>
      </x:c>
      <x:c r="L147" s="7" t="n">
        <x:v>474.26</x:v>
      </x:c>
      <x:c r="M147" s="3" t="str">
        <x:v>UPI</x:v>
      </x:c>
      <x:c r="N147" s="3" t="str">
        <x:f>TEXT(B147,"yyyy-mm")</x:f>
        <x:v>2024-02</x:v>
      </x:c>
      <x:c r="O147" s="3" t="str">
        <x:f>IF(J147=0,"No discount",IF(J147&lt;=0.1,"1-10%",IF(J147&lt;=0.15,"11-15%",IF(J147&lt;=0.2,"16-20%","21%+"))))</x:f>
        <x:v>16-20%</x:v>
      </x:c>
      <x:c r="P147" s="9" t="n">
        <x:f>IF(K147=0,0,L147/K147)</x:f>
        <x:v>0.09840133619661179</x:v>
      </x:c>
      <x:c r="Q147" s="3" t="str">
        <x:f>IF(L147&lt;0,"Yes","No")</x:f>
        <x:v>No</x:v>
      </x:c>
    </x:row>
    <x:row r="148" ht="21" customHeight="1">
      <x:c r="A148" s="3" t="str">
        <x:v>ORD-100093</x:v>
      </x:c>
      <x:c r="B148" s="5" t="n">
        <x:v>45345</x:v>
      </x:c>
      <x:c r="C148" s="3" t="str">
        <x:v>CUST-00051</x:v>
      </x:c>
      <x:c r="D148" s="3" t="str">
        <x:v>West</x:v>
      </x:c>
      <x:c r="E148" s="3" t="str">
        <x:v>Fashion</x:v>
      </x:c>
      <x:c r="F148" s="3" t="str">
        <x:v>Women</x:v>
      </x:c>
      <x:c r="G148" s="3" t="str">
        <x:v>Knit Winter Sweater</x:v>
      </x:c>
      <x:c r="H148" s="3" t="n">
        <x:v>1</x:v>
      </x:c>
      <x:c r="I148" s="7" t="n">
        <x:v>2157.58</x:v>
      </x:c>
      <x:c r="J148" s="9" t="n">
        <x:v>0</x:v>
      </x:c>
      <x:c r="K148" s="7" t="n">
        <x:v>2157.58</x:v>
      </x:c>
      <x:c r="L148" s="7" t="n">
        <x:v>875.87</x:v>
      </x:c>
      <x:c r="M148" s="3" t="str">
        <x:v>Credit Card</x:v>
      </x:c>
      <x:c r="N148" s="3" t="str">
        <x:f>TEXT(B148,"yyyy-mm")</x:f>
        <x:v>2024-02</x:v>
      </x:c>
      <x:c r="O148" s="3" t="str">
        <x:f>IF(J148=0,"No discount",IF(J148&lt;=0.1,"1-10%",IF(J148&lt;=0.15,"11-15%",IF(J148&lt;=0.2,"16-20%","21%+"))))</x:f>
        <x:v>No discount</x:v>
      </x:c>
      <x:c r="P148" s="9" t="n">
        <x:f>IF(K148=0,0,L148/K148)</x:f>
        <x:v>0.40595018492941165</x:v>
      </x:c>
      <x:c r="Q148" s="3" t="str">
        <x:f>IF(L148&lt;0,"Yes","No")</x:f>
        <x:v>No</x:v>
      </x:c>
    </x:row>
    <x:row r="149" ht="21" customHeight="1">
      <x:c r="A149" s="3" t="str">
        <x:v>ORD-100771</x:v>
      </x:c>
      <x:c r="B149" s="5" t="n">
        <x:v>45345</x:v>
      </x:c>
      <x:c r="C149" s="3" t="str">
        <x:v>CUST-00045</x:v>
      </x:c>
      <x:c r="D149" s="3" t="str">
        <x:v>North</x:v>
      </x:c>
      <x:c r="E149" s="3" t="str">
        <x:v>Electronics</x:v>
      </x:c>
      <x:c r="F149" s="3" t="str">
        <x:v>Mobile</x:v>
      </x:c>
      <x:c r="G149" s="3" t="str">
        <x:v>Galaxy Nova X5</x:v>
      </x:c>
      <x:c r="H149" s="3" t="n">
        <x:v>5</x:v>
      </x:c>
      <x:c r="I149" s="7" t="n">
        <x:v>25559.61</x:v>
      </x:c>
      <x:c r="J149" s="9" t="n">
        <x:v>0.2</x:v>
      </x:c>
      <x:c r="K149" s="7" t="n">
        <x:v>102238.44</x:v>
      </x:c>
      <x:c r="L149" s="7" t="n">
        <x:v>-7350.2</x:v>
      </x:c>
      <x:c r="M149" s="3" t="str">
        <x:v>Debit Card</x:v>
      </x:c>
      <x:c r="N149" s="3" t="str">
        <x:f>TEXT(B149,"yyyy-mm")</x:f>
        <x:v>2024-02</x:v>
      </x:c>
      <x:c r="O149" s="3" t="str">
        <x:f>IF(J149=0,"No discount",IF(J149&lt;=0.1,"1-10%",IF(J149&lt;=0.15,"11-15%",IF(J149&lt;=0.2,"16-20%","21%+"))))</x:f>
        <x:v>16-20%</x:v>
      </x:c>
      <x:c r="P149" s="9" t="n">
        <x:f>IF(K149=0,0,L149/K149)</x:f>
        <x:v>-0.07189272449775251</x:v>
      </x:c>
      <x:c r="Q149" s="3" t="str">
        <x:f>IF(L149&lt;0,"Yes","No")</x:f>
        <x:v>Yes</x:v>
      </x:c>
    </x:row>
    <x:row r="150" ht="21" customHeight="1">
      <x:c r="A150" s="3" t="str">
        <x:v>ORD-101519</x:v>
      </x:c>
      <x:c r="B150" s="5" t="n">
        <x:v>45345</x:v>
      </x:c>
      <x:c r="C150" s="3" t="str">
        <x:v>CUST-00492</x:v>
      </x:c>
      <x:c r="D150" s="3" t="str">
        <x:v>North</x:v>
      </x:c>
      <x:c r="E150" s="3" t="str">
        <x:v>Beauty</x:v>
      </x:c>
      <x:c r="F150" s="3" t="str">
        <x:v>Makeup</x:v>
      </x:c>
      <x:c r="G150" s="3" t="str">
        <x:v>Matte Lipstick Set</x:v>
      </x:c>
      <x:c r="H150" s="3" t="n">
        <x:v>3</x:v>
      </x:c>
      <x:c r="I150" s="7" t="n">
        <x:v>1015.48</x:v>
      </x:c>
      <x:c r="J150" s="9" t="n">
        <x:v>0.3</x:v>
      </x:c>
      <x:c r="K150" s="7" t="n">
        <x:v>2132.51</x:v>
      </x:c>
      <x:c r="L150" s="7" t="n">
        <x:v>504.93</x:v>
      </x:c>
      <x:c r="M150" s="3" t="str">
        <x:v>Credit Card</x:v>
      </x:c>
      <x:c r="N150" s="3" t="str">
        <x:f>TEXT(B150,"yyyy-mm")</x:f>
        <x:v>2024-02</x:v>
      </x:c>
      <x:c r="O150" s="3" t="str">
        <x:f>IF(J150=0,"No discount",IF(J150&lt;=0.1,"1-10%",IF(J150&lt;=0.15,"11-15%",IF(J150&lt;=0.2,"16-20%","21%+"))))</x:f>
        <x:v>21%+</x:v>
      </x:c>
      <x:c r="P150" s="9" t="n">
        <x:f>IF(K150=0,0,L150/K150)</x:f>
        <x:v>0.2367773187464537</x:v>
      </x:c>
      <x:c r="Q150" s="3" t="str">
        <x:f>IF(L150&lt;0,"Yes","No")</x:f>
        <x:v>No</x:v>
      </x:c>
    </x:row>
    <x:row r="151" ht="21" customHeight="1">
      <x:c r="A151" s="3" t="str">
        <x:v>ORD-101695</x:v>
      </x:c>
      <x:c r="B151" s="5" t="n">
        <x:v>45345</x:v>
      </x:c>
      <x:c r="C151" s="3" t="str">
        <x:v>CUST-00259</x:v>
      </x:c>
      <x:c r="D151" s="3" t="str">
        <x:v>East</x:v>
      </x:c>
      <x:c r="E151" s="3" t="str">
        <x:v>Sports</x:v>
      </x:c>
      <x:c r="F151" s="3" t="str">
        <x:v>Outdoor</x:v>
      </x:c>
      <x:c r="G151" s="3" t="str">
        <x:v>AllWeather Tent 4P</x:v>
      </x:c>
      <x:c r="H151" s="3" t="n">
        <x:v>2</x:v>
      </x:c>
      <x:c r="I151" s="7" t="n">
        <x:v>11811.5</x:v>
      </x:c>
      <x:c r="J151" s="9" t="n">
        <x:v>0.1</x:v>
      </x:c>
      <x:c r="K151" s="7" t="n">
        <x:v>21260.7</x:v>
      </x:c>
      <x:c r="L151" s="7" t="n">
        <x:v>5881.05</x:v>
      </x:c>
      <x:c r="M151" s="3" t="str">
        <x:v>Debit Card</x:v>
      </x:c>
      <x:c r="N151" s="3" t="str">
        <x:f>TEXT(B151,"yyyy-mm")</x:f>
        <x:v>2024-02</x:v>
      </x:c>
      <x:c r="O151" s="3" t="str">
        <x:f>IF(J151=0,"No discount",IF(J151&lt;=0.1,"1-10%",IF(J151&lt;=0.15,"11-15%",IF(J151&lt;=0.2,"16-20%","21%+"))))</x:f>
        <x:v>1-10%</x:v>
      </x:c>
      <x:c r="P151" s="9" t="n">
        <x:f>IF(K151=0,0,L151/K151)</x:f>
        <x:v>0.2766160098209372</x:v>
      </x:c>
      <x:c r="Q151" s="3" t="str">
        <x:f>IF(L151&lt;0,"Yes","No")</x:f>
        <x:v>No</x:v>
      </x:c>
    </x:row>
    <x:row r="152" ht="21" customHeight="1">
      <x:c r="A152" s="3" t="str">
        <x:v>ORD-101814</x:v>
      </x:c>
      <x:c r="B152" s="5" t="n">
        <x:v>45345</x:v>
      </x:c>
      <x:c r="C152" s="3" t="str">
        <x:v>CUST-00393</x:v>
      </x:c>
      <x:c r="D152" s="3" t="str">
        <x:v>West</x:v>
      </x:c>
      <x:c r="E152" s="3" t="str">
        <x:v>Electronics</x:v>
      </x:c>
      <x:c r="F152" s="3" t="str">
        <x:v>Laptop</x:v>
      </x:c>
      <x:c r="G152" s="3" t="str">
        <x:v>AirBook Slim</x:v>
      </x:c>
      <x:c r="H152" s="3" t="n">
        <x:v>3</x:v>
      </x:c>
      <x:c r="I152" s="7" t="n">
        <x:v>78479.83</x:v>
      </x:c>
      <x:c r="J152" s="9" t="n">
        <x:v>0.25</x:v>
      </x:c>
      <x:c r="K152" s="7" t="n">
        <x:v>176579.62</x:v>
      </x:c>
      <x:c r="L152" s="7" t="n">
        <x:v>-21706.3</x:v>
      </x:c>
      <x:c r="M152" s="3" t="str">
        <x:v>UPI</x:v>
      </x:c>
      <x:c r="N152" s="3" t="str">
        <x:f>TEXT(B152,"yyyy-mm")</x:f>
        <x:v>2024-02</x:v>
      </x:c>
      <x:c r="O152" s="3" t="str">
        <x:f>IF(J152=0,"No discount",IF(J152&lt;=0.1,"1-10%",IF(J152&lt;=0.15,"11-15%",IF(J152&lt;=0.2,"16-20%","21%+"))))</x:f>
        <x:v>21%+</x:v>
      </x:c>
      <x:c r="P152" s="9" t="n">
        <x:f>IF(K152=0,0,L152/K152)</x:f>
        <x:v>-0.12292641698968432</x:v>
      </x:c>
      <x:c r="Q152" s="3" t="str">
        <x:f>IF(L152&lt;0,"Yes","No")</x:f>
        <x:v>Yes</x:v>
      </x:c>
    </x:row>
    <x:row r="153" ht="21" customHeight="1">
      <x:c r="A153" s="3" t="str">
        <x:v>ORD-101923</x:v>
      </x:c>
      <x:c r="B153" s="5" t="n">
        <x:v>45345</x:v>
      </x:c>
      <x:c r="C153" s="3" t="str">
        <x:v>CUST-00496</x:v>
      </x:c>
      <x:c r="D153" s="3" t="str">
        <x:v>East</x:v>
      </x:c>
      <x:c r="E153" s="3" t="str">
        <x:v>Fashion</x:v>
      </x:c>
      <x:c r="F153" s="3" t="str">
        <x:v>Men</x:v>
      </x:c>
      <x:c r="G153" s="3" t="str">
        <x:v>SlimFit Denim Jeans</x:v>
      </x:c>
      <x:c r="H153" s="3" t="n">
        <x:v>3</x:v>
      </x:c>
      <x:c r="I153" s="7" t="n">
        <x:v>1954.75</x:v>
      </x:c>
      <x:c r="J153" s="9" t="n">
        <x:v>0.15</x:v>
      </x:c>
      <x:c r="K153" s="7" t="n">
        <x:v>4984.61</x:v>
      </x:c>
      <x:c r="L153" s="7" t="n">
        <x:v>1111.45</x:v>
      </x:c>
      <x:c r="M153" s="3" t="str">
        <x:v>Credit Card</x:v>
      </x:c>
      <x:c r="N153" s="3" t="str">
        <x:f>TEXT(B153,"yyyy-mm")</x:f>
        <x:v>2024-02</x:v>
      </x:c>
      <x:c r="O153" s="3" t="str">
        <x:f>IF(J153=0,"No discount",IF(J153&lt;=0.1,"1-10%",IF(J153&lt;=0.15,"11-15%",IF(J153&lt;=0.2,"16-20%","21%+"))))</x:f>
        <x:v>11-15%</x:v>
      </x:c>
      <x:c r="P153" s="9" t="n">
        <x:f>IF(K153=0,0,L153/K153)</x:f>
        <x:v>0.2229763211163963</x:v>
      </x:c>
      <x:c r="Q153" s="3" t="str">
        <x:f>IF(L153&lt;0,"Yes","No")</x:f>
        <x:v>No</x:v>
      </x:c>
    </x:row>
    <x:row r="154" ht="21" customHeight="1">
      <x:c r="A154" s="3" t="str">
        <x:v>ORD-100993</x:v>
      </x:c>
      <x:c r="B154" s="5" t="n">
        <x:v>45346</x:v>
      </x:c>
      <x:c r="C154" s="3" t="str">
        <x:v>CUST-00449</x:v>
      </x:c>
      <x:c r="D154" s="3" t="str">
        <x:v>West</x:v>
      </x:c>
      <x:c r="E154" s="3" t="str">
        <x:v>Home &amp; Kitchen</x:v>
      </x:c>
      <x:c r="F154" s="3" t="str">
        <x:v>Furniture</x:v>
      </x:c>
      <x:c r="G154" s="3" t="str">
        <x:v>Oakwood Study Desk</x:v>
      </x:c>
      <x:c r="H154" s="3" t="n">
        <x:v>2</x:v>
      </x:c>
      <x:c r="I154" s="7" t="n">
        <x:v>13187.44</x:v>
      </x:c>
      <x:c r="J154" s="9" t="n">
        <x:v>0.15</x:v>
      </x:c>
      <x:c r="K154" s="7" t="n">
        <x:v>22418.65</x:v>
      </x:c>
      <x:c r="L154" s="7" t="n">
        <x:v>3627.92</x:v>
      </x:c>
      <x:c r="M154" s="3" t="str">
        <x:v>Credit Card</x:v>
      </x:c>
      <x:c r="N154" s="3" t="str">
        <x:f>TEXT(B154,"yyyy-mm")</x:f>
        <x:v>2024-02</x:v>
      </x:c>
      <x:c r="O154" s="3" t="str">
        <x:f>IF(J154=0,"No discount",IF(J154&lt;=0.1,"1-10%",IF(J154&lt;=0.15,"11-15%",IF(J154&lt;=0.2,"16-20%","21%+"))))</x:f>
        <x:v>11-15%</x:v>
      </x:c>
      <x:c r="P154" s="9" t="n">
        <x:f>IF(K154=0,0,L154/K154)</x:f>
        <x:v>0.16182597970885845</x:v>
      </x:c>
      <x:c r="Q154" s="3" t="str">
        <x:f>IF(L154&lt;0,"Yes","No")</x:f>
        <x:v>No</x:v>
      </x:c>
    </x:row>
    <x:row r="155" ht="21" customHeight="1">
      <x:c r="A155" s="3" t="str">
        <x:v>ORD-100284</x:v>
      </x:c>
      <x:c r="B155" s="5" t="n">
        <x:v>45347</x:v>
      </x:c>
      <x:c r="C155" s="3" t="str">
        <x:v>CUST-00161</x:v>
      </x:c>
      <x:c r="D155" s="3" t="str">
        <x:v>South</x:v>
      </x:c>
      <x:c r="E155" s="3" t="str">
        <x:v>Sports</x:v>
      </x:c>
      <x:c r="F155" s="3" t="str">
        <x:v>Fitness</x:v>
      </x:c>
      <x:c r="G155" s="3" t="str">
        <x:v>Adjustable Dumbbell 24kg</x:v>
      </x:c>
      <x:c r="H155" s="3" t="n">
        <x:v>1</x:v>
      </x:c>
      <x:c r="I155" s="7" t="n">
        <x:v>9883.89</x:v>
      </x:c>
      <x:c r="J155" s="9" t="n">
        <x:v>0.1</x:v>
      </x:c>
      <x:c r="K155" s="7" t="n">
        <x:v>8895.5</x:v>
      </x:c>
      <x:c r="L155" s="7" t="n">
        <x:v>2598.58</x:v>
      </x:c>
      <x:c r="M155" s="3" t="str">
        <x:v>Cash on Delivery</x:v>
      </x:c>
      <x:c r="N155" s="3" t="str">
        <x:f>TEXT(B155,"yyyy-mm")</x:f>
        <x:v>2024-02</x:v>
      </x:c>
      <x:c r="O155" s="3" t="str">
        <x:f>IF(J155=0,"No discount",IF(J155&lt;=0.1,"1-10%",IF(J155&lt;=0.15,"11-15%",IF(J155&lt;=0.2,"16-20%","21%+"))))</x:f>
        <x:v>1-10%</x:v>
      </x:c>
      <x:c r="P155" s="9" t="n">
        <x:f>IF(K155=0,0,L155/K155)</x:f>
        <x:v>0.2921229835309988</x:v>
      </x:c>
      <x:c r="Q155" s="3" t="str">
        <x:f>IF(L155&lt;0,"Yes","No")</x:f>
        <x:v>No</x:v>
      </x:c>
    </x:row>
    <x:row r="156" ht="21" customHeight="1">
      <x:c r="A156" s="3" t="str">
        <x:v>ORD-101281</x:v>
      </x:c>
      <x:c r="B156" s="5" t="n">
        <x:v>45347</x:v>
      </x:c>
      <x:c r="C156" s="3" t="str">
        <x:v>CUST-00178</x:v>
      </x:c>
      <x:c r="D156" s="3" t="str">
        <x:v>East</x:v>
      </x:c>
      <x:c r="E156" s="3" t="str">
        <x:v>Beauty</x:v>
      </x:c>
      <x:c r="F156" s="3" t="str">
        <x:v>Skincare</x:v>
      </x:c>
      <x:c r="G156" s="3" t="str">
        <x:v>Vitamin C Serum</x:v>
      </x:c>
      <x:c r="H156" s="3" t="n">
        <x:v>1</x:v>
      </x:c>
      <x:c r="I156" s="7" t="n">
        <x:v>921.72</x:v>
      </x:c>
      <x:c r="J156" s="9" t="n">
        <x:v>0.15</x:v>
      </x:c>
      <x:c r="K156" s="7" t="n">
        <x:v>783.46</x:v>
      </x:c>
      <x:c r="L156" s="7" t="n">
        <x:v>270.59</x:v>
      </x:c>
      <x:c r="M156" s="3" t="str">
        <x:v>UPI</x:v>
      </x:c>
      <x:c r="N156" s="3" t="str">
        <x:f>TEXT(B156,"yyyy-mm")</x:f>
        <x:v>2024-02</x:v>
      </x:c>
      <x:c r="O156" s="3" t="str">
        <x:f>IF(J156=0,"No discount",IF(J156&lt;=0.1,"1-10%",IF(J156&lt;=0.15,"11-15%",IF(J156&lt;=0.2,"16-20%","21%+"))))</x:f>
        <x:v>11-15%</x:v>
      </x:c>
      <x:c r="P156" s="9" t="n">
        <x:f>IF(K156=0,0,L156/K156)</x:f>
        <x:v>0.34537819416434784</x:v>
      </x:c>
      <x:c r="Q156" s="3" t="str">
        <x:f>IF(L156&lt;0,"Yes","No")</x:f>
        <x:v>No</x:v>
      </x:c>
    </x:row>
    <x:row r="157" ht="21" customHeight="1">
      <x:c r="A157" s="3" t="str">
        <x:v>ORD-100817</x:v>
      </x:c>
      <x:c r="B157" s="5" t="n">
        <x:v>45348</x:v>
      </x:c>
      <x:c r="C157" s="3" t="str">
        <x:v>CUST-00201</x:v>
      </x:c>
      <x:c r="D157" s="3" t="str">
        <x:v>West</x:v>
      </x:c>
      <x:c r="E157" s="3" t="str">
        <x:v>Electronics</x:v>
      </x:c>
      <x:c r="F157" s="3" t="str">
        <x:v>Laptop</x:v>
      </x:c>
      <x:c r="G157" s="3" t="str">
        <x:v>ThinkPro 14</x:v>
      </x:c>
      <x:c r="H157" s="3" t="n">
        <x:v>2</x:v>
      </x:c>
      <x:c r="I157" s="7" t="n">
        <x:v>53917.82</x:v>
      </x:c>
      <x:c r="J157" s="9" t="n">
        <x:v>0.05</x:v>
      </x:c>
      <x:c r="K157" s="7" t="n">
        <x:v>102443.86</x:v>
      </x:c>
      <x:c r="L157" s="7" t="n">
        <x:v>15416.44</x:v>
      </x:c>
      <x:c r="M157" s="3" t="str">
        <x:v>UPI</x:v>
      </x:c>
      <x:c r="N157" s="3" t="str">
        <x:f>TEXT(B157,"yyyy-mm")</x:f>
        <x:v>2024-02</x:v>
      </x:c>
      <x:c r="O157" s="3" t="str">
        <x:f>IF(J157=0,"No discount",IF(J157&lt;=0.1,"1-10%",IF(J157&lt;=0.15,"11-15%",IF(J157&lt;=0.2,"16-20%","21%+"))))</x:f>
        <x:v>1-10%</x:v>
      </x:c>
      <x:c r="P157" s="9" t="n">
        <x:f>IF(K157=0,0,L157/K157)</x:f>
        <x:v>0.15048671535805075</x:v>
      </x:c>
      <x:c r="Q157" s="3" t="str">
        <x:f>IF(L157&lt;0,"Yes","No")</x:f>
        <x:v>No</x:v>
      </x:c>
    </x:row>
    <x:row r="158" ht="21" customHeight="1">
      <x:c r="A158" s="3" t="str">
        <x:v>ORD-101006</x:v>
      </x:c>
      <x:c r="B158" s="5" t="n">
        <x:v>45348</x:v>
      </x:c>
      <x:c r="C158" s="3" t="str">
        <x:v>CUST-00043</x:v>
      </x:c>
      <x:c r="D158" s="3" t="str">
        <x:v>East</x:v>
      </x:c>
      <x:c r="E158" s="3" t="str">
        <x:v>Sports</x:v>
      </x:c>
      <x:c r="F158" s="3" t="str">
        <x:v>Fitness</x:v>
      </x:c>
      <x:c r="G158" s="3" t="str">
        <x:v>Adjustable Dumbbell 24kg</x:v>
      </x:c>
      <x:c r="H158" s="3" t="n">
        <x:v>2</x:v>
      </x:c>
      <x:c r="I158" s="7" t="n">
        <x:v>9804.92</x:v>
      </x:c>
      <x:c r="J158" s="9" t="n">
        <x:v>0.1</x:v>
      </x:c>
      <x:c r="K158" s="7" t="n">
        <x:v>17648.86</x:v>
      </x:c>
      <x:c r="L158" s="7" t="n">
        <x:v>5372.01</x:v>
      </x:c>
      <x:c r="M158" s="3" t="str">
        <x:v>Debit Card</x:v>
      </x:c>
      <x:c r="N158" s="3" t="str">
        <x:f>TEXT(B158,"yyyy-mm")</x:f>
        <x:v>2024-02</x:v>
      </x:c>
      <x:c r="O158" s="3" t="str">
        <x:f>IF(J158=0,"No discount",IF(J158&lt;=0.1,"1-10%",IF(J158&lt;=0.15,"11-15%",IF(J158&lt;=0.2,"16-20%","21%+"))))</x:f>
        <x:v>1-10%</x:v>
      </x:c>
      <x:c r="P158" s="9" t="n">
        <x:f>IF(K158=0,0,L158/K158)</x:f>
        <x:v>0.30438283265887994</x:v>
      </x:c>
      <x:c r="Q158" s="3" t="str">
        <x:f>IF(L158&lt;0,"Yes","No")</x:f>
        <x:v>No</x:v>
      </x:c>
    </x:row>
    <x:row r="159" ht="21" customHeight="1">
      <x:c r="A159" s="3" t="str">
        <x:v>ORD-101668</x:v>
      </x:c>
      <x:c r="B159" s="5" t="n">
        <x:v>45348</x:v>
      </x:c>
      <x:c r="C159" s="3" t="str">
        <x:v>CUST-00447</x:v>
      </x:c>
      <x:c r="D159" s="3" t="str">
        <x:v>South</x:v>
      </x:c>
      <x:c r="E159" s="3" t="str">
        <x:v>Electronics</x:v>
      </x:c>
      <x:c r="F159" s="3" t="str">
        <x:v>Laptop</x:v>
      </x:c>
      <x:c r="G159" s="3" t="str">
        <x:v>ThinkPro 14</x:v>
      </x:c>
      <x:c r="H159" s="3" t="n">
        <x:v>4</x:v>
      </x:c>
      <x:c r="I159" s="7" t="n">
        <x:v>54921.2</x:v>
      </x:c>
      <x:c r="J159" s="9" t="n">
        <x:v>0</x:v>
      </x:c>
      <x:c r="K159" s="7" t="n">
        <x:v>219684.8</x:v>
      </x:c>
      <x:c r="L159" s="7" t="n">
        <x:v>31410.92</x:v>
      </x:c>
      <x:c r="M159" s="3" t="str">
        <x:v>UPI</x:v>
      </x:c>
      <x:c r="N159" s="3" t="str">
        <x:f>TEXT(B159,"yyyy-mm")</x:f>
        <x:v>2024-02</x:v>
      </x:c>
      <x:c r="O159" s="3" t="str">
        <x:f>IF(J159=0,"No discount",IF(J159&lt;=0.1,"1-10%",IF(J159&lt;=0.15,"11-15%",IF(J159&lt;=0.2,"16-20%","21%+"))))</x:f>
        <x:v>No discount</x:v>
      </x:c>
      <x:c r="P159" s="9" t="n">
        <x:f>IF(K159=0,0,L159/K159)</x:f>
        <x:v>0.14298176296220766</x:v>
      </x:c>
      <x:c r="Q159" s="3" t="str">
        <x:f>IF(L159&lt;0,"Yes","No")</x:f>
        <x:v>No</x:v>
      </x:c>
    </x:row>
    <x:row r="160" ht="21" customHeight="1">
      <x:c r="A160" s="3" t="str">
        <x:v>ORD-100162</x:v>
      </x:c>
      <x:c r="B160" s="5" t="n">
        <x:v>45349</x:v>
      </x:c>
      <x:c r="C160" s="3" t="str">
        <x:v>CUST-00297</x:v>
      </x:c>
      <x:c r="D160" s="3" t="str">
        <x:v>North</x:v>
      </x:c>
      <x:c r="E160" s="3" t="str">
        <x:v>Electronics</x:v>
      </x:c>
      <x:c r="F160" s="3" t="str">
        <x:v>Audio</x:v>
      </x:c>
      <x:c r="G160" s="3" t="str">
        <x:v>SoundPods Pro</x:v>
      </x:c>
      <x:c r="H160" s="3" t="n">
        <x:v>1</x:v>
      </x:c>
      <x:c r="I160" s="7" t="n">
        <x:v>5185.07</x:v>
      </x:c>
      <x:c r="J160" s="9" t="n">
        <x:v>0.1</x:v>
      </x:c>
      <x:c r="K160" s="7" t="n">
        <x:v>4666.56</x:v>
      </x:c>
      <x:c r="L160" s="7" t="n">
        <x:v>208.03</x:v>
      </x:c>
      <x:c r="M160" s="3" t="str">
        <x:v>Credit Card</x:v>
      </x:c>
      <x:c r="N160" s="3" t="str">
        <x:f>TEXT(B160,"yyyy-mm")</x:f>
        <x:v>2024-02</x:v>
      </x:c>
      <x:c r="O160" s="3" t="str">
        <x:f>IF(J160=0,"No discount",IF(J160&lt;=0.1,"1-10%",IF(J160&lt;=0.15,"11-15%",IF(J160&lt;=0.2,"16-20%","21%+"))))</x:f>
        <x:v>1-10%</x:v>
      </x:c>
      <x:c r="P160" s="9" t="n">
        <x:f>IF(K160=0,0,L160/K160)</x:f>
        <x:v>0.04457887608859631</x:v>
      </x:c>
      <x:c r="Q160" s="3" t="str">
        <x:f>IF(L160&lt;0,"Yes","No")</x:f>
        <x:v>No</x:v>
      </x:c>
    </x:row>
    <x:row r="161" ht="21" customHeight="1">
      <x:c r="A161" s="3" t="str">
        <x:v>ORD-100258</x:v>
      </x:c>
      <x:c r="B161" s="5" t="n">
        <x:v>45349</x:v>
      </x:c>
      <x:c r="C161" s="3" t="str">
        <x:v>CUST-00163</x:v>
      </x:c>
      <x:c r="D161" s="3" t="str">
        <x:v>South</x:v>
      </x:c>
      <x:c r="E161" s="3" t="str">
        <x:v>Beauty</x:v>
      </x:c>
      <x:c r="F161" s="3" t="str">
        <x:v>Skincare</x:v>
      </x:c>
      <x:c r="G161" s="3" t="str">
        <x:v>Vitamin C Serum</x:v>
      </x:c>
      <x:c r="H161" s="3" t="n">
        <x:v>1</x:v>
      </x:c>
      <x:c r="I161" s="7" t="n">
        <x:v>890.65</x:v>
      </x:c>
      <x:c r="J161" s="9" t="n">
        <x:v>0.25</x:v>
      </x:c>
      <x:c r="K161" s="7" t="n">
        <x:v>667.99</x:v>
      </x:c>
      <x:c r="L161" s="7" t="n">
        <x:v>174.52</x:v>
      </x:c>
      <x:c r="M161" s="3" t="str">
        <x:v>UPI</x:v>
      </x:c>
      <x:c r="N161" s="3" t="str">
        <x:f>TEXT(B161,"yyyy-mm")</x:f>
        <x:v>2024-02</x:v>
      </x:c>
      <x:c r="O161" s="3" t="str">
        <x:f>IF(J161=0,"No discount",IF(J161&lt;=0.1,"1-10%",IF(J161&lt;=0.15,"11-15%",IF(J161&lt;=0.2,"16-20%","21%+"))))</x:f>
        <x:v>21%+</x:v>
      </x:c>
      <x:c r="P161" s="9" t="n">
        <x:f>IF(K161=0,0,L161/K161)</x:f>
        <x:v>0.2612613961286846</x:v>
      </x:c>
      <x:c r="Q161" s="3" t="str">
        <x:f>IF(L161&lt;0,"Yes","No")</x:f>
        <x:v>No</x:v>
      </x:c>
    </x:row>
    <x:row r="162" ht="21" customHeight="1">
      <x:c r="A162" s="3" t="str">
        <x:v>ORD-100716</x:v>
      </x:c>
      <x:c r="B162" s="5" t="n">
        <x:v>45349</x:v>
      </x:c>
      <x:c r="C162" s="3" t="str">
        <x:v>CUST-00274</x:v>
      </x:c>
      <x:c r="D162" s="3" t="str">
        <x:v>South</x:v>
      </x:c>
      <x:c r="E162" s="3" t="str">
        <x:v>Electronics</x:v>
      </x:c>
      <x:c r="F162" s="3" t="str">
        <x:v>Mobile</x:v>
      </x:c>
      <x:c r="G162" s="3" t="str">
        <x:v>Galaxy Nova X5</x:v>
      </x:c>
      <x:c r="H162" s="3" t="n">
        <x:v>1</x:v>
      </x:c>
      <x:c r="I162" s="7" t="n">
        <x:v>24859.82</x:v>
      </x:c>
      <x:c r="J162" s="9" t="n">
        <x:v>0.1</x:v>
      </x:c>
      <x:c r="K162" s="7" t="n">
        <x:v>22373.84</x:v>
      </x:c>
      <x:c r="L162" s="7" t="n">
        <x:v>851.36</x:v>
      </x:c>
      <x:c r="M162" s="3" t="str">
        <x:v>UPI</x:v>
      </x:c>
      <x:c r="N162" s="3" t="str">
        <x:f>TEXT(B162,"yyyy-mm")</x:f>
        <x:v>2024-02</x:v>
      </x:c>
      <x:c r="O162" s="3" t="str">
        <x:f>IF(J162=0,"No discount",IF(J162&lt;=0.1,"1-10%",IF(J162&lt;=0.15,"11-15%",IF(J162&lt;=0.2,"16-20%","21%+"))))</x:f>
        <x:v>1-10%</x:v>
      </x:c>
      <x:c r="P162" s="9" t="n">
        <x:f>IF(K162=0,0,L162/K162)</x:f>
        <x:v>0.03805158166859154</x:v>
      </x:c>
      <x:c r="Q162" s="3" t="str">
        <x:f>IF(L162&lt;0,"Yes","No")</x:f>
        <x:v>No</x:v>
      </x:c>
    </x:row>
    <x:row r="163" ht="21" customHeight="1">
      <x:c r="A163" s="3" t="str">
        <x:v>ORD-101473</x:v>
      </x:c>
      <x:c r="B163" s="5" t="n">
        <x:v>45349</x:v>
      </x:c>
      <x:c r="C163" s="3" t="str">
        <x:v>CUST-00178</x:v>
      </x:c>
      <x:c r="D163" s="3" t="str">
        <x:v>North</x:v>
      </x:c>
      <x:c r="E163" s="3" t="str">
        <x:v>Fashion</x:v>
      </x:c>
      <x:c r="F163" s="3" t="str">
        <x:v>Women</x:v>
      </x:c>
      <x:c r="G163" s="3" t="str">
        <x:v>Knit Winter Sweater</x:v>
      </x:c>
      <x:c r="H163" s="3" t="n">
        <x:v>2</x:v>
      </x:c>
      <x:c r="I163" s="7" t="n">
        <x:v>2286.66</x:v>
      </x:c>
      <x:c r="J163" s="9" t="n">
        <x:v>0.05</x:v>
      </x:c>
      <x:c r="K163" s="7" t="n">
        <x:v>4344.65</x:v>
      </x:c>
      <x:c r="L163" s="7" t="n">
        <x:v>1420.84</x:v>
      </x:c>
      <x:c r="M163" s="3" t="str">
        <x:v>UPI</x:v>
      </x:c>
      <x:c r="N163" s="3" t="str">
        <x:f>TEXT(B163,"yyyy-mm")</x:f>
        <x:v>2024-02</x:v>
      </x:c>
      <x:c r="O163" s="3" t="str">
        <x:f>IF(J163=0,"No discount",IF(J163&lt;=0.1,"1-10%",IF(J163&lt;=0.15,"11-15%",IF(J163&lt;=0.2,"16-20%","21%+"))))</x:f>
        <x:v>1-10%</x:v>
      </x:c>
      <x:c r="P163" s="9" t="n">
        <x:f>IF(K163=0,0,L163/K163)</x:f>
        <x:v>0.3270320969468197</x:v>
      </x:c>
      <x:c r="Q163" s="3" t="str">
        <x:f>IF(L163&lt;0,"Yes","No")</x:f>
        <x:v>No</x:v>
      </x:c>
    </x:row>
    <x:row r="164" ht="21" customHeight="1">
      <x:c r="A164" s="3" t="str">
        <x:v>ORD-100018</x:v>
      </x:c>
      <x:c r="B164" s="5" t="n">
        <x:v>45350</x:v>
      </x:c>
      <x:c r="C164" s="3" t="str">
        <x:v>CUST-00489</x:v>
      </x:c>
      <x:c r="D164" s="3" t="str">
        <x:v>South</x:v>
      </x:c>
      <x:c r="E164" s="3" t="str">
        <x:v>Home &amp; Kitchen</x:v>
      </x:c>
      <x:c r="F164" s="3" t="str">
        <x:v>Decor</x:v>
      </x:c>
      <x:c r="G164" s="3" t="str">
        <x:v>LED Wall Lamp</x:v>
      </x:c>
      <x:c r="H164" s="3" t="n">
        <x:v>1</x:v>
      </x:c>
      <x:c r="I164" s="7" t="n">
        <x:v>1045.82</x:v>
      </x:c>
      <x:c r="J164" s="9" t="n">
        <x:v>0</x:v>
      </x:c>
      <x:c r="K164" s="7" t="n">
        <x:v>1045.82</x:v>
      </x:c>
      <x:c r="L164" s="7" t="n">
        <x:v>351.75</x:v>
      </x:c>
      <x:c r="M164" s="3" t="str">
        <x:v>Debit Card</x:v>
      </x:c>
      <x:c r="N164" s="3" t="str">
        <x:f>TEXT(B164,"yyyy-mm")</x:f>
        <x:v>2024-02</x:v>
      </x:c>
      <x:c r="O164" s="3" t="str">
        <x:f>IF(J164=0,"No discount",IF(J164&lt;=0.1,"1-10%",IF(J164&lt;=0.15,"11-15%",IF(J164&lt;=0.2,"16-20%","21%+"))))</x:f>
        <x:v>No discount</x:v>
      </x:c>
      <x:c r="P164" s="9" t="n">
        <x:f>IF(K164=0,0,L164/K164)</x:f>
        <x:v>0.33633894934118685</x:v>
      </x:c>
      <x:c r="Q164" s="3" t="str">
        <x:f>IF(L164&lt;0,"Yes","No")</x:f>
        <x:v>No</x:v>
      </x:c>
    </x:row>
    <x:row r="165" ht="21" customHeight="1">
      <x:c r="A165" s="3" t="str">
        <x:v>ORD-100623</x:v>
      </x:c>
      <x:c r="B165" s="5" t="n">
        <x:v>45350</x:v>
      </x:c>
      <x:c r="C165" s="3" t="str">
        <x:v>CUST-00012</x:v>
      </x:c>
      <x:c r="D165" s="3" t="str">
        <x:v>East</x:v>
      </x:c>
      <x:c r="E165" s="3" t="str">
        <x:v>Electronics</x:v>
      </x:c>
      <x:c r="F165" s="3" t="str">
        <x:v>Mobile</x:v>
      </x:c>
      <x:c r="G165" s="3" t="str">
        <x:v>Galaxy Nova X5</x:v>
      </x:c>
      <x:c r="H165" s="3" t="n">
        <x:v>1</x:v>
      </x:c>
      <x:c r="I165" s="7" t="n">
        <x:v>24458.57</x:v>
      </x:c>
      <x:c r="J165" s="9" t="n">
        <x:v>0.3</x:v>
      </x:c>
      <x:c r="K165" s="7" t="n">
        <x:v>17121</x:v>
      </x:c>
      <x:c r="L165" s="7" t="n">
        <x:v>-3190.62</x:v>
      </x:c>
      <x:c r="M165" s="3" t="str">
        <x:v>UPI</x:v>
      </x:c>
      <x:c r="N165" s="3" t="str">
        <x:f>TEXT(B165,"yyyy-mm")</x:f>
        <x:v>2024-02</x:v>
      </x:c>
      <x:c r="O165" s="3" t="str">
        <x:f>IF(J165=0,"No discount",IF(J165&lt;=0.1,"1-10%",IF(J165&lt;=0.15,"11-15%",IF(J165&lt;=0.2,"16-20%","21%+"))))</x:f>
        <x:v>21%+</x:v>
      </x:c>
      <x:c r="P165" s="9" t="n">
        <x:f>IF(K165=0,0,L165/K165)</x:f>
        <x:v>-0.1863571053092693</x:v>
      </x:c>
      <x:c r="Q165" s="3" t="str">
        <x:f>IF(L165&lt;0,"Yes","No")</x:f>
        <x:v>Yes</x:v>
      </x:c>
    </x:row>
    <x:row r="166" ht="21" customHeight="1">
      <x:c r="A166" s="3" t="str">
        <x:v>ORD-100814</x:v>
      </x:c>
      <x:c r="B166" s="5" t="n">
        <x:v>45350</x:v>
      </x:c>
      <x:c r="C166" s="3" t="str">
        <x:v>CUST-00114</x:v>
      </x:c>
      <x:c r="D166" s="3" t="str">
        <x:v>South</x:v>
      </x:c>
      <x:c r="E166" s="3" t="str">
        <x:v>Electronics</x:v>
      </x:c>
      <x:c r="F166" s="3" t="str">
        <x:v>Mobile</x:v>
      </x:c>
      <x:c r="G166" s="3" t="str">
        <x:v>Pixel Aura 12</x:v>
      </x:c>
      <x:c r="H166" s="3" t="n">
        <x:v>1</x:v>
      </x:c>
      <x:c r="I166" s="7" t="n">
        <x:v>34164.51</x:v>
      </x:c>
      <x:c r="J166" s="9" t="n">
        <x:v>0.1</x:v>
      </x:c>
      <x:c r="K166" s="7" t="n">
        <x:v>30748.06</x:v>
      </x:c>
      <x:c r="L166" s="7" t="n">
        <x:v>3060.81</x:v>
      </x:c>
      <x:c r="M166" s="3" t="str">
        <x:v>UPI</x:v>
      </x:c>
      <x:c r="N166" s="3" t="str">
        <x:f>TEXT(B166,"yyyy-mm")</x:f>
        <x:v>2024-02</x:v>
      </x:c>
      <x:c r="O166" s="3" t="str">
        <x:f>IF(J166=0,"No discount",IF(J166&lt;=0.1,"1-10%",IF(J166&lt;=0.15,"11-15%",IF(J166&lt;=0.2,"16-20%","21%+"))))</x:f>
        <x:v>1-10%</x:v>
      </x:c>
      <x:c r="P166" s="9" t="n">
        <x:f>IF(K166=0,0,L166/K166)</x:f>
        <x:v>0.09954481681120694</x:v>
      </x:c>
      <x:c r="Q166" s="3" t="str">
        <x:f>IF(L166&lt;0,"Yes","No")</x:f>
        <x:v>No</x:v>
      </x:c>
    </x:row>
    <x:row r="167" ht="21" customHeight="1">
      <x:c r="A167" s="3" t="str">
        <x:v>ORD-101136</x:v>
      </x:c>
      <x:c r="B167" s="5" t="n">
        <x:v>45350</x:v>
      </x:c>
      <x:c r="C167" s="3" t="str">
        <x:v>CUST-00443</x:v>
      </x:c>
      <x:c r="D167" s="3" t="str">
        <x:v>North</x:v>
      </x:c>
      <x:c r="E167" s="3" t="str">
        <x:v>Electronics</x:v>
      </x:c>
      <x:c r="F167" s="3" t="str">
        <x:v>Audio</x:v>
      </x:c>
      <x:c r="G167" s="3" t="str">
        <x:v>BassBoom Speaker</x:v>
      </x:c>
      <x:c r="H167" s="3" t="n">
        <x:v>1</x:v>
      </x:c>
      <x:c r="I167" s="7" t="n">
        <x:v>9058.91</x:v>
      </x:c>
      <x:c r="J167" s="9" t="n">
        <x:v>0.05</x:v>
      </x:c>
      <x:c r="K167" s="7" t="n">
        <x:v>8605.96</x:v>
      </x:c>
      <x:c r="L167" s="7" t="n">
        <x:v>915.9</x:v>
      </x:c>
      <x:c r="M167" s="3" t="str">
        <x:v>Credit Card</x:v>
      </x:c>
      <x:c r="N167" s="3" t="str">
        <x:f>TEXT(B167,"yyyy-mm")</x:f>
        <x:v>2024-02</x:v>
      </x:c>
      <x:c r="O167" s="3" t="str">
        <x:f>IF(J167=0,"No discount",IF(J167&lt;=0.1,"1-10%",IF(J167&lt;=0.15,"11-15%",IF(J167&lt;=0.2,"16-20%","21%+"))))</x:f>
        <x:v>1-10%</x:v>
      </x:c>
      <x:c r="P167" s="9" t="n">
        <x:f>IF(K167=0,0,L167/K167)</x:f>
        <x:v>0.1064262441377836</x:v>
      </x:c>
      <x:c r="Q167" s="3" t="str">
        <x:f>IF(L167&lt;0,"Yes","No")</x:f>
        <x:v>No</x:v>
      </x:c>
    </x:row>
    <x:row r="168" ht="21" customHeight="1">
      <x:c r="A168" s="3" t="str">
        <x:v>ORD-100259</x:v>
      </x:c>
      <x:c r="B168" s="5" t="n">
        <x:v>45351</x:v>
      </x:c>
      <x:c r="C168" s="3" t="str">
        <x:v>CUST-00468</x:v>
      </x:c>
      <x:c r="D168" s="3" t="str">
        <x:v>North</x:v>
      </x:c>
      <x:c r="E168" s="3" t="str">
        <x:v>Electronics</x:v>
      </x:c>
      <x:c r="F168" s="3" t="str">
        <x:v>Laptop</x:v>
      </x:c>
      <x:c r="G168" s="3" t="str">
        <x:v>AirBook Slim</x:v>
      </x:c>
      <x:c r="H168" s="3" t="n">
        <x:v>1</x:v>
      </x:c>
      <x:c r="I168" s="7" t="n">
        <x:v>81995.69</x:v>
      </x:c>
      <x:c r="J168" s="9" t="n">
        <x:v>0.2</x:v>
      </x:c>
      <x:c r="K168" s="7" t="n">
        <x:v>65596.55</x:v>
      </x:c>
      <x:c r="L168" s="7" t="n">
        <x:v>-5751.78</x:v>
      </x:c>
      <x:c r="M168" s="3" t="str">
        <x:v>Debit Card</x:v>
      </x:c>
      <x:c r="N168" s="3" t="str">
        <x:f>TEXT(B168,"yyyy-mm")</x:f>
        <x:v>2024-02</x:v>
      </x:c>
      <x:c r="O168" s="3" t="str">
        <x:f>IF(J168=0,"No discount",IF(J168&lt;=0.1,"1-10%",IF(J168&lt;=0.15,"11-15%",IF(J168&lt;=0.2,"16-20%","21%+"))))</x:f>
        <x:v>16-20%</x:v>
      </x:c>
      <x:c r="P168" s="9" t="n">
        <x:f>IF(K168=0,0,L168/K168)</x:f>
        <x:v>-0.08768418461031867</x:v>
      </x:c>
      <x:c r="Q168" s="3" t="str">
        <x:f>IF(L168&lt;0,"Yes","No")</x:f>
        <x:v>Yes</x:v>
      </x:c>
    </x:row>
    <x:row r="169" ht="21" customHeight="1">
      <x:c r="A169" s="3" t="str">
        <x:v>ORD-101875</x:v>
      </x:c>
      <x:c r="B169" s="5" t="n">
        <x:v>45351</x:v>
      </x:c>
      <x:c r="C169" s="3" t="str">
        <x:v>CUST-00226</x:v>
      </x:c>
      <x:c r="D169" s="3" t="str">
        <x:v>South</x:v>
      </x:c>
      <x:c r="E169" s="3" t="str">
        <x:v>Electronics</x:v>
      </x:c>
      <x:c r="F169" s="3" t="str">
        <x:v>Laptop</x:v>
      </x:c>
      <x:c r="G169" s="3" t="str">
        <x:v>AirBook Slim</x:v>
      </x:c>
      <x:c r="H169" s="3" t="n">
        <x:v>1</x:v>
      </x:c>
      <x:c r="I169" s="7" t="n">
        <x:v>82367.86</x:v>
      </x:c>
      <x:c r="J169" s="9" t="n">
        <x:v>0.05</x:v>
      </x:c>
      <x:c r="K169" s="7" t="n">
        <x:v>78249.47</x:v>
      </x:c>
      <x:c r="L169" s="7" t="n">
        <x:v>9073.84</x:v>
      </x:c>
      <x:c r="M169" s="3" t="str">
        <x:v>UPI</x:v>
      </x:c>
      <x:c r="N169" s="3" t="str">
        <x:f>TEXT(B169,"yyyy-mm")</x:f>
        <x:v>2024-02</x:v>
      </x:c>
      <x:c r="O169" s="3" t="str">
        <x:f>IF(J169=0,"No discount",IF(J169&lt;=0.1,"1-10%",IF(J169&lt;=0.15,"11-15%",IF(J169&lt;=0.2,"16-20%","21%+"))))</x:f>
        <x:v>1-10%</x:v>
      </x:c>
      <x:c r="P169" s="9" t="n">
        <x:f>IF(K169=0,0,L169/K169)</x:f>
        <x:v>0.115960402032116</x:v>
      </x:c>
      <x:c r="Q169" s="3" t="str">
        <x:f>IF(L169&lt;0,"Yes","No")</x:f>
        <x:v>No</x:v>
      </x:c>
    </x:row>
    <x:row r="170" ht="21" customHeight="1">
      <x:c r="A170" s="3" t="str">
        <x:v>ORD-101389</x:v>
      </x:c>
      <x:c r="B170" s="5" t="n">
        <x:v>45352</x:v>
      </x:c>
      <x:c r="C170" s="3" t="str">
        <x:v>CUST-00397</x:v>
      </x:c>
      <x:c r="D170" s="3" t="str">
        <x:v>West</x:v>
      </x:c>
      <x:c r="E170" s="3" t="str">
        <x:v>Home &amp; Kitchen</x:v>
      </x:c>
      <x:c r="F170" s="3" t="str">
        <x:v>Appliances</x:v>
      </x:c>
      <x:c r="G170" s="3" t="str">
        <x:v>ColdBrew Coffee Maker</x:v>
      </x:c>
      <x:c r="H170" s="3" t="n">
        <x:v>1</x:v>
      </x:c>
      <x:c r="I170" s="7" t="n">
        <x:v>6219.97</x:v>
      </x:c>
      <x:c r="J170" s="9" t="n">
        <x:v>0.05</x:v>
      </x:c>
      <x:c r="K170" s="7" t="n">
        <x:v>5908.97</x:v>
      </x:c>
      <x:c r="L170" s="7" t="n">
        <x:v>1401.88</x:v>
      </x:c>
      <x:c r="M170" s="3" t="str">
        <x:v>Credit Card</x:v>
      </x:c>
      <x:c r="N170" s="3" t="str">
        <x:f>TEXT(B170,"yyyy-mm")</x:f>
        <x:v>2024-03</x:v>
      </x:c>
      <x:c r="O170" s="3" t="str">
        <x:f>IF(J170=0,"No discount",IF(J170&lt;=0.1,"1-10%",IF(J170&lt;=0.15,"11-15%",IF(J170&lt;=0.2,"16-20%","21%+"))))</x:f>
        <x:v>1-10%</x:v>
      </x:c>
      <x:c r="P170" s="9" t="n">
        <x:f>IF(K170=0,0,L170/K170)</x:f>
        <x:v>0.23724608518912774</x:v>
      </x:c>
      <x:c r="Q170" s="3" t="str">
        <x:f>IF(L170&lt;0,"Yes","No")</x:f>
        <x:v>No</x:v>
      </x:c>
    </x:row>
    <x:row r="171" ht="21" customHeight="1">
      <x:c r="A171" s="3" t="str">
        <x:v>ORD-101969</x:v>
      </x:c>
      <x:c r="B171" s="5" t="n">
        <x:v>45352</x:v>
      </x:c>
      <x:c r="C171" s="3" t="str">
        <x:v>CUST-00240</x:v>
      </x:c>
      <x:c r="D171" s="3" t="str">
        <x:v>South</x:v>
      </x:c>
      <x:c r="E171" s="3" t="str">
        <x:v>Fashion</x:v>
      </x:c>
      <x:c r="F171" s="3" t="str">
        <x:v>Women</x:v>
      </x:c>
      <x:c r="G171" s="3" t="str">
        <x:v>Floral Summer Dress</x:v>
      </x:c>
      <x:c r="H171" s="3" t="n">
        <x:v>1</x:v>
      </x:c>
      <x:c r="I171" s="7" t="n">
        <x:v>1801.01</x:v>
      </x:c>
      <x:c r="J171" s="9" t="n">
        <x:v>0.1</x:v>
      </x:c>
      <x:c r="K171" s="7" t="n">
        <x:v>1620.91</x:v>
      </x:c>
      <x:c r="L171" s="7" t="n">
        <x:v>531.14</x:v>
      </x:c>
      <x:c r="M171" s="3" t="str">
        <x:v>UPI</x:v>
      </x:c>
      <x:c r="N171" s="3" t="str">
        <x:f>TEXT(B171,"yyyy-mm")</x:f>
        <x:v>2024-03</x:v>
      </x:c>
      <x:c r="O171" s="3" t="str">
        <x:f>IF(J171=0,"No discount",IF(J171&lt;=0.1,"1-10%",IF(J171&lt;=0.15,"11-15%",IF(J171&lt;=0.2,"16-20%","21%+"))))</x:f>
        <x:v>1-10%</x:v>
      </x:c>
      <x:c r="P171" s="9" t="n">
        <x:f>IF(K171=0,0,L171/K171)</x:f>
        <x:v>0.32768013029717874</x:v>
      </x:c>
      <x:c r="Q171" s="3" t="str">
        <x:f>IF(L171&lt;0,"Yes","No")</x:f>
        <x:v>No</x:v>
      </x:c>
    </x:row>
    <x:row r="172" ht="21" customHeight="1">
      <x:c r="A172" s="3" t="str">
        <x:v>ORD-101049</x:v>
      </x:c>
      <x:c r="B172" s="5" t="n">
        <x:v>45353</x:v>
      </x:c>
      <x:c r="C172" s="3" t="str">
        <x:v>CUST-00109</x:v>
      </x:c>
      <x:c r="D172" s="3" t="str">
        <x:v>West</x:v>
      </x:c>
      <x:c r="E172" s="3" t="str">
        <x:v>Home &amp; Kitchen</x:v>
      </x:c>
      <x:c r="F172" s="3" t="str">
        <x:v>Appliances</x:v>
      </x:c>
      <x:c r="G172" s="3" t="str">
        <x:v>ColdBrew Coffee Maker</x:v>
      </x:c>
      <x:c r="H172" s="3" t="n">
        <x:v>1</x:v>
      </x:c>
      <x:c r="I172" s="7" t="n">
        <x:v>6644.4</x:v>
      </x:c>
      <x:c r="J172" s="9" t="n">
        <x:v>0.05</x:v>
      </x:c>
      <x:c r="K172" s="7" t="n">
        <x:v>6312.18</x:v>
      </x:c>
      <x:c r="L172" s="7" t="n">
        <x:v>1686.16</x:v>
      </x:c>
      <x:c r="M172" s="3" t="str">
        <x:v>UPI</x:v>
      </x:c>
      <x:c r="N172" s="3" t="str">
        <x:f>TEXT(B172,"yyyy-mm")</x:f>
        <x:v>2024-03</x:v>
      </x:c>
      <x:c r="O172" s="3" t="str">
        <x:f>IF(J172=0,"No discount",IF(J172&lt;=0.1,"1-10%",IF(J172&lt;=0.15,"11-15%",IF(J172&lt;=0.2,"16-20%","21%+"))))</x:f>
        <x:v>1-10%</x:v>
      </x:c>
      <x:c r="P172" s="9" t="n">
        <x:f>IF(K172=0,0,L172/K172)</x:f>
        <x:v>0.26712799698360945</x:v>
      </x:c>
      <x:c r="Q172" s="3" t="str">
        <x:f>IF(L172&lt;0,"Yes","No")</x:f>
        <x:v>No</x:v>
      </x:c>
    </x:row>
    <x:row r="173" ht="21" customHeight="1">
      <x:c r="A173" s="3" t="str">
        <x:v>ORD-100798</x:v>
      </x:c>
      <x:c r="B173" s="5" t="n">
        <x:v>45354</x:v>
      </x:c>
      <x:c r="C173" s="3" t="str">
        <x:v>CUST-00599</x:v>
      </x:c>
      <x:c r="D173" s="3" t="str">
        <x:v>North</x:v>
      </x:c>
      <x:c r="E173" s="3" t="str">
        <x:v>Sports</x:v>
      </x:c>
      <x:c r="F173" s="3" t="str">
        <x:v>Fitness</x:v>
      </x:c>
      <x:c r="G173" s="3" t="str">
        <x:v>ProYoga Mat</x:v>
      </x:c>
      <x:c r="H173" s="3" t="n">
        <x:v>1</x:v>
      </x:c>
      <x:c r="I173" s="7" t="n">
        <x:v>1318.47</x:v>
      </x:c>
      <x:c r="J173" s="9" t="n">
        <x:v>0.2</x:v>
      </x:c>
      <x:c r="K173" s="7" t="n">
        <x:v>1054.78</x:v>
      </x:c>
      <x:c r="L173" s="7" t="n">
        <x:v>144.17</x:v>
      </x:c>
      <x:c r="M173" s="3" t="str">
        <x:v>UPI</x:v>
      </x:c>
      <x:c r="N173" s="3" t="str">
        <x:f>TEXT(B173,"yyyy-mm")</x:f>
        <x:v>2024-03</x:v>
      </x:c>
      <x:c r="O173" s="3" t="str">
        <x:f>IF(J173=0,"No discount",IF(J173&lt;=0.1,"1-10%",IF(J173&lt;=0.15,"11-15%",IF(J173&lt;=0.2,"16-20%","21%+"))))</x:f>
        <x:v>16-20%</x:v>
      </x:c>
      <x:c r="P173" s="9" t="n">
        <x:f>IF(K173=0,0,L173/K173)</x:f>
        <x:v>0.13668253095432223</x:v>
      </x:c>
      <x:c r="Q173" s="3" t="str">
        <x:f>IF(L173&lt;0,"Yes","No")</x:f>
        <x:v>No</x:v>
      </x:c>
    </x:row>
    <x:row r="174" ht="21" customHeight="1">
      <x:c r="A174" s="3" t="str">
        <x:v>ORD-101041</x:v>
      </x:c>
      <x:c r="B174" s="5" t="n">
        <x:v>45354</x:v>
      </x:c>
      <x:c r="C174" s="3" t="str">
        <x:v>CUST-00520</x:v>
      </x:c>
      <x:c r="D174" s="3" t="str">
        <x:v>East</x:v>
      </x:c>
      <x:c r="E174" s="3" t="str">
        <x:v>Fashion</x:v>
      </x:c>
      <x:c r="F174" s="3" t="str">
        <x:v>Women</x:v>
      </x:c>
      <x:c r="G174" s="3" t="str">
        <x:v>Floral Summer Dress</x:v>
      </x:c>
      <x:c r="H174" s="3" t="n">
        <x:v>2</x:v>
      </x:c>
      <x:c r="I174" s="7" t="n">
        <x:v>1836.11</x:v>
      </x:c>
      <x:c r="J174" s="9" t="n">
        <x:v>0.05</x:v>
      </x:c>
      <x:c r="K174" s="7" t="n">
        <x:v>3488.61</x:v>
      </x:c>
      <x:c r="L174" s="7" t="n">
        <x:v>1256.03</x:v>
      </x:c>
      <x:c r="M174" s="3" t="str">
        <x:v>Credit Card</x:v>
      </x:c>
      <x:c r="N174" s="3" t="str">
        <x:f>TEXT(B174,"yyyy-mm")</x:f>
        <x:v>2024-03</x:v>
      </x:c>
      <x:c r="O174" s="3" t="str">
        <x:f>IF(J174=0,"No discount",IF(J174&lt;=0.1,"1-10%",IF(J174&lt;=0.15,"11-15%",IF(J174&lt;=0.2,"16-20%","21%+"))))</x:f>
        <x:v>1-10%</x:v>
      </x:c>
      <x:c r="P174" s="9" t="n">
        <x:f>IF(K174=0,0,L174/K174)</x:f>
        <x:v>0.36003737878410025</x:v>
      </x:c>
      <x:c r="Q174" s="3" t="str">
        <x:f>IF(L174&lt;0,"Yes","No")</x:f>
        <x:v>No</x:v>
      </x:c>
    </x:row>
    <x:row r="175" ht="21" customHeight="1">
      <x:c r="A175" s="3" t="str">
        <x:v>ORD-101833</x:v>
      </x:c>
      <x:c r="B175" s="5" t="n">
        <x:v>45354</x:v>
      </x:c>
      <x:c r="C175" s="3" t="str">
        <x:v>CUST-00427</x:v>
      </x:c>
      <x:c r="D175" s="3" t="str">
        <x:v>North</x:v>
      </x:c>
      <x:c r="E175" s="3" t="str">
        <x:v>Beauty</x:v>
      </x:c>
      <x:c r="F175" s="3" t="str">
        <x:v>Skincare</x:v>
      </x:c>
      <x:c r="G175" s="3" t="str">
        <x:v>HydraBoost Moisturizer</x:v>
      </x:c>
      <x:c r="H175" s="3" t="n">
        <x:v>1</x:v>
      </x:c>
      <x:c r="I175" s="7" t="n">
        <x:v>1254.21</x:v>
      </x:c>
      <x:c r="J175" s="9" t="n">
        <x:v>0.2</x:v>
      </x:c>
      <x:c r="K175" s="7" t="n">
        <x:v>1003.37</x:v>
      </x:c>
      <x:c r="L175" s="7" t="n">
        <x:v>310.62</x:v>
      </x:c>
      <x:c r="M175" s="3" t="str">
        <x:v>Credit Card</x:v>
      </x:c>
      <x:c r="N175" s="3" t="str">
        <x:f>TEXT(B175,"yyyy-mm")</x:f>
        <x:v>2024-03</x:v>
      </x:c>
      <x:c r="O175" s="3" t="str">
        <x:f>IF(J175=0,"No discount",IF(J175&lt;=0.1,"1-10%",IF(J175&lt;=0.15,"11-15%",IF(J175&lt;=0.2,"16-20%","21%+"))))</x:f>
        <x:v>16-20%</x:v>
      </x:c>
      <x:c r="P175" s="9" t="n">
        <x:f>IF(K175=0,0,L175/K175)</x:f>
        <x:v>0.3095767264319244</x:v>
      </x:c>
      <x:c r="Q175" s="3" t="str">
        <x:f>IF(L175&lt;0,"Yes","No")</x:f>
        <x:v>No</x:v>
      </x:c>
    </x:row>
    <x:row r="176" ht="21" customHeight="1">
      <x:c r="A176" s="3" t="str">
        <x:v>ORD-101922</x:v>
      </x:c>
      <x:c r="B176" s="5" t="n">
        <x:v>45354</x:v>
      </x:c>
      <x:c r="C176" s="3" t="str">
        <x:v>CUST-00085</x:v>
      </x:c>
      <x:c r="D176" s="3" t="str">
        <x:v>West</x:v>
      </x:c>
      <x:c r="E176" s="3" t="str">
        <x:v>Electronics</x:v>
      </x:c>
      <x:c r="F176" s="3" t="str">
        <x:v>Audio</x:v>
      </x:c>
      <x:c r="G176" s="3" t="str">
        <x:v>BassBoom Speaker</x:v>
      </x:c>
      <x:c r="H176" s="3" t="n">
        <x:v>1</x:v>
      </x:c>
      <x:c r="I176" s="7" t="n">
        <x:v>9208.22</x:v>
      </x:c>
      <x:c r="J176" s="9" t="n">
        <x:v>0</x:v>
      </x:c>
      <x:c r="K176" s="7" t="n">
        <x:v>9208.22</x:v>
      </x:c>
      <x:c r="L176" s="7" t="n">
        <x:v>1769.8</x:v>
      </x:c>
      <x:c r="M176" s="3" t="str">
        <x:v>UPI</x:v>
      </x:c>
      <x:c r="N176" s="3" t="str">
        <x:f>TEXT(B176,"yyyy-mm")</x:f>
        <x:v>2024-03</x:v>
      </x:c>
      <x:c r="O176" s="3" t="str">
        <x:f>IF(J176=0,"No discount",IF(J176&lt;=0.1,"1-10%",IF(J176&lt;=0.15,"11-15%",IF(J176&lt;=0.2,"16-20%","21%+"))))</x:f>
        <x:v>No discount</x:v>
      </x:c>
      <x:c r="P176" s="9" t="n">
        <x:f>IF(K176=0,0,L176/K176)</x:f>
        <x:v>0.1921978406250068</x:v>
      </x:c>
      <x:c r="Q176" s="3" t="str">
        <x:f>IF(L176&lt;0,"Yes","No")</x:f>
        <x:v>No</x:v>
      </x:c>
    </x:row>
    <x:row r="177" ht="21" customHeight="1">
      <x:c r="A177" s="3" t="str">
        <x:v>ORD-100103</x:v>
      </x:c>
      <x:c r="B177" s="5" t="n">
        <x:v>45355</x:v>
      </x:c>
      <x:c r="C177" s="3" t="str">
        <x:v>CUST-00352</x:v>
      </x:c>
      <x:c r="D177" s="3" t="str">
        <x:v>South</x:v>
      </x:c>
      <x:c r="E177" s="3" t="str">
        <x:v>Sports</x:v>
      </x:c>
      <x:c r="F177" s="3" t="str">
        <x:v>Outdoor</x:v>
      </x:c>
      <x:c r="G177" s="3" t="str">
        <x:v>TrailHike Backpack 60L</x:v>
      </x:c>
      <x:c r="H177" s="3" t="n">
        <x:v>1</x:v>
      </x:c>
      <x:c r="I177" s="7" t="n">
        <x:v>3552.13</x:v>
      </x:c>
      <x:c r="J177" s="9" t="n">
        <x:v>0.15</x:v>
      </x:c>
      <x:c r="K177" s="7" t="n">
        <x:v>3019.31</x:v>
      </x:c>
      <x:c r="L177" s="7" t="n">
        <x:v>583.4</x:v>
      </x:c>
      <x:c r="M177" s="3" t="str">
        <x:v>UPI</x:v>
      </x:c>
      <x:c r="N177" s="3" t="str">
        <x:f>TEXT(B177,"yyyy-mm")</x:f>
        <x:v>2024-03</x:v>
      </x:c>
      <x:c r="O177" s="3" t="str">
        <x:f>IF(J177=0,"No discount",IF(J177&lt;=0.1,"1-10%",IF(J177&lt;=0.15,"11-15%",IF(J177&lt;=0.2,"16-20%","21%+"))))</x:f>
        <x:v>11-15%</x:v>
      </x:c>
      <x:c r="P177" s="9" t="n">
        <x:f>IF(K177=0,0,L177/K177)</x:f>
        <x:v>0.19322295491353986</x:v>
      </x:c>
      <x:c r="Q177" s="3" t="str">
        <x:f>IF(L177&lt;0,"Yes","No")</x:f>
        <x:v>No</x:v>
      </x:c>
    </x:row>
    <x:row r="178" ht="21" customHeight="1">
      <x:c r="A178" s="3" t="str">
        <x:v>ORD-100882</x:v>
      </x:c>
      <x:c r="B178" s="5" t="n">
        <x:v>45355</x:v>
      </x:c>
      <x:c r="C178" s="3" t="str">
        <x:v>CUST-00558</x:v>
      </x:c>
      <x:c r="D178" s="3" t="str">
        <x:v>North</x:v>
      </x:c>
      <x:c r="E178" s="3" t="str">
        <x:v>Beauty</x:v>
      </x:c>
      <x:c r="F178" s="3" t="str">
        <x:v>Skincare</x:v>
      </x:c>
      <x:c r="G178" s="3" t="str">
        <x:v>Vitamin C Serum</x:v>
      </x:c>
      <x:c r="H178" s="3" t="n">
        <x:v>3</x:v>
      </x:c>
      <x:c r="I178" s="7" t="n">
        <x:v>891.77</x:v>
      </x:c>
      <x:c r="J178" s="9" t="n">
        <x:v>0</x:v>
      </x:c>
      <x:c r="K178" s="7" t="n">
        <x:v>2675.31</x:v>
      </x:c>
      <x:c r="L178" s="7" t="n">
        <x:v>1545.43</x:v>
      </x:c>
      <x:c r="M178" s="3" t="str">
        <x:v>Credit Card</x:v>
      </x:c>
      <x:c r="N178" s="3" t="str">
        <x:f>TEXT(B178,"yyyy-mm")</x:f>
        <x:v>2024-03</x:v>
      </x:c>
      <x:c r="O178" s="3" t="str">
        <x:f>IF(J178=0,"No discount",IF(J178&lt;=0.1,"1-10%",IF(J178&lt;=0.15,"11-15%",IF(J178&lt;=0.2,"16-20%","21%+"))))</x:f>
        <x:v>No discount</x:v>
      </x:c>
      <x:c r="P178" s="9" t="n">
        <x:f>IF(K178=0,0,L178/K178)</x:f>
        <x:v>0.5776638968941917</x:v>
      </x:c>
      <x:c r="Q178" s="3" t="str">
        <x:f>IF(L178&lt;0,"Yes","No")</x:f>
        <x:v>No</x:v>
      </x:c>
    </x:row>
    <x:row r="179" ht="21" customHeight="1">
      <x:c r="A179" s="3" t="str">
        <x:v>ORD-100558</x:v>
      </x:c>
      <x:c r="B179" s="5" t="n">
        <x:v>45357</x:v>
      </x:c>
      <x:c r="C179" s="3" t="str">
        <x:v>CUST-00117</x:v>
      </x:c>
      <x:c r="D179" s="3" t="str">
        <x:v>West</x:v>
      </x:c>
      <x:c r="E179" s="3" t="str">
        <x:v>Electronics</x:v>
      </x:c>
      <x:c r="F179" s="3" t="str">
        <x:v>Mobile</x:v>
      </x:c>
      <x:c r="G179" s="3" t="str">
        <x:v>Pixel Aura 12</x:v>
      </x:c>
      <x:c r="H179" s="3" t="n">
        <x:v>3</x:v>
      </x:c>
      <x:c r="I179" s="7" t="n">
        <x:v>31872.43</x:v>
      </x:c>
      <x:c r="J179" s="9" t="n">
        <x:v>0.05</x:v>
      </x:c>
      <x:c r="K179" s="7" t="n">
        <x:v>90836.43</x:v>
      </x:c>
      <x:c r="L179" s="7" t="n">
        <x:v>13510.64</x:v>
      </x:c>
      <x:c r="M179" s="3" t="str">
        <x:v>UPI</x:v>
      </x:c>
      <x:c r="N179" s="3" t="str">
        <x:f>TEXT(B179,"yyyy-mm")</x:f>
        <x:v>2024-03</x:v>
      </x:c>
      <x:c r="O179" s="3" t="str">
        <x:f>IF(J179=0,"No discount",IF(J179&lt;=0.1,"1-10%",IF(J179&lt;=0.15,"11-15%",IF(J179&lt;=0.2,"16-20%","21%+"))))</x:f>
        <x:v>1-10%</x:v>
      </x:c>
      <x:c r="P179" s="9" t="n">
        <x:f>IF(K179=0,0,L179/K179)</x:f>
        <x:v>0.1487359201589054</x:v>
      </x:c>
      <x:c r="Q179" s="3" t="str">
        <x:f>IF(L179&lt;0,"Yes","No")</x:f>
        <x:v>No</x:v>
      </x:c>
    </x:row>
    <x:row r="180" ht="21" customHeight="1">
      <x:c r="A180" s="3" t="str">
        <x:v>ORD-101201</x:v>
      </x:c>
      <x:c r="B180" s="5" t="n">
        <x:v>45357</x:v>
      </x:c>
      <x:c r="C180" s="3" t="str">
        <x:v>CUST-00249</x:v>
      </x:c>
      <x:c r="D180" s="3" t="str">
        <x:v>East</x:v>
      </x:c>
      <x:c r="E180" s="3" t="str">
        <x:v>Fashion</x:v>
      </x:c>
      <x:c r="F180" s="3" t="str">
        <x:v>Footwear</x:v>
      </x:c>
      <x:c r="G180" s="3" t="str">
        <x:v>UrbanLoafers</x:v>
      </x:c>
      <x:c r="H180" s="3" t="n">
        <x:v>1</x:v>
      </x:c>
      <x:c r="I180" s="7" t="n">
        <x:v>3504.48</x:v>
      </x:c>
      <x:c r="J180" s="9" t="n">
        <x:v>0.25</x:v>
      </x:c>
      <x:c r="K180" s="7" t="n">
        <x:v>2628.36</x:v>
      </x:c>
      <x:c r="L180" s="7" t="n">
        <x:v>322.62</x:v>
      </x:c>
      <x:c r="M180" s="3" t="str">
        <x:v>Credit Card</x:v>
      </x:c>
      <x:c r="N180" s="3" t="str">
        <x:f>TEXT(B180,"yyyy-mm")</x:f>
        <x:v>2024-03</x:v>
      </x:c>
      <x:c r="O180" s="3" t="str">
        <x:f>IF(J180=0,"No discount",IF(J180&lt;=0.1,"1-10%",IF(J180&lt;=0.15,"11-15%",IF(J180&lt;=0.2,"16-20%","21%+"))))</x:f>
        <x:v>21%+</x:v>
      </x:c>
      <x:c r="P180" s="9" t="n">
        <x:f>IF(K180=0,0,L180/K180)</x:f>
        <x:v>0.12274574259233895</x:v>
      </x:c>
      <x:c r="Q180" s="3" t="str">
        <x:f>IF(L180&lt;0,"Yes","No")</x:f>
        <x:v>No</x:v>
      </x:c>
    </x:row>
    <x:row r="181" ht="21" customHeight="1">
      <x:c r="A181" s="3" t="str">
        <x:v>ORD-100609</x:v>
      </x:c>
      <x:c r="B181" s="5" t="n">
        <x:v>45358</x:v>
      </x:c>
      <x:c r="C181" s="3" t="str">
        <x:v>CUST-00134</x:v>
      </x:c>
      <x:c r="D181" s="3" t="str">
        <x:v>East</x:v>
      </x:c>
      <x:c r="E181" s="3" t="str">
        <x:v>Home &amp; Kitchen</x:v>
      </x:c>
      <x:c r="F181" s="3" t="str">
        <x:v>Decor</x:v>
      </x:c>
      <x:c r="G181" s="3" t="str">
        <x:v>Ceramic Vase Set</x:v>
      </x:c>
      <x:c r="H181" s="3" t="n">
        <x:v>1</x:v>
      </x:c>
      <x:c r="I181" s="7" t="n">
        <x:v>1449.74</x:v>
      </x:c>
      <x:c r="J181" s="9" t="n">
        <x:v>0.05</x:v>
      </x:c>
      <x:c r="K181" s="7" t="n">
        <x:v>1377.25</x:v>
      </x:c>
      <x:c r="L181" s="7" t="n">
        <x:v>378.27</x:v>
      </x:c>
      <x:c r="M181" s="3" t="str">
        <x:v>Credit Card</x:v>
      </x:c>
      <x:c r="N181" s="3" t="str">
        <x:f>TEXT(B181,"yyyy-mm")</x:f>
        <x:v>2024-03</x:v>
      </x:c>
      <x:c r="O181" s="3" t="str">
        <x:f>IF(J181=0,"No discount",IF(J181&lt;=0.1,"1-10%",IF(J181&lt;=0.15,"11-15%",IF(J181&lt;=0.2,"16-20%","21%+"))))</x:f>
        <x:v>1-10%</x:v>
      </x:c>
      <x:c r="P181" s="9" t="n">
        <x:f>IF(K181=0,0,L181/K181)</x:f>
        <x:v>0.27465601742603013</x:v>
      </x:c>
      <x:c r="Q181" s="3" t="str">
        <x:f>IF(L181&lt;0,"Yes","No")</x:f>
        <x:v>No</x:v>
      </x:c>
    </x:row>
    <x:row r="182" ht="21" customHeight="1">
      <x:c r="A182" s="3" t="str">
        <x:v>ORD-100611</x:v>
      </x:c>
      <x:c r="B182" s="5" t="n">
        <x:v>45358</x:v>
      </x:c>
      <x:c r="C182" s="3" t="str">
        <x:v>CUST-00398</x:v>
      </x:c>
      <x:c r="D182" s="3" t="str">
        <x:v>North</x:v>
      </x:c>
      <x:c r="E182" s="3" t="str">
        <x:v>Fashion</x:v>
      </x:c>
      <x:c r="F182" s="3" t="str">
        <x:v>Men</x:v>
      </x:c>
      <x:c r="G182" s="3" t="str">
        <x:v>Oxford Casual Shirt</x:v>
      </x:c>
      <x:c r="H182" s="3" t="n">
        <x:v>3</x:v>
      </x:c>
      <x:c r="I182" s="7" t="n">
        <x:v>1359.84</x:v>
      </x:c>
      <x:c r="J182" s="9" t="n">
        <x:v>0.2</x:v>
      </x:c>
      <x:c r="K182" s="7" t="n">
        <x:v>3263.62</x:v>
      </x:c>
      <x:c r="L182" s="7" t="n">
        <x:v>720.83</x:v>
      </x:c>
      <x:c r="M182" s="3" t="str">
        <x:v>UPI</x:v>
      </x:c>
      <x:c r="N182" s="3" t="str">
        <x:f>TEXT(B182,"yyyy-mm")</x:f>
        <x:v>2024-03</x:v>
      </x:c>
      <x:c r="O182" s="3" t="str">
        <x:f>IF(J182=0,"No discount",IF(J182&lt;=0.1,"1-10%",IF(J182&lt;=0.15,"11-15%",IF(J182&lt;=0.2,"16-20%","21%+"))))</x:f>
        <x:v>16-20%</x:v>
      </x:c>
      <x:c r="P182" s="9" t="n">
        <x:f>IF(K182=0,0,L182/K182)</x:f>
        <x:v>0.22086823833657107</x:v>
      </x:c>
      <x:c r="Q182" s="3" t="str">
        <x:f>IF(L182&lt;0,"Yes","No")</x:f>
        <x:v>No</x:v>
      </x:c>
    </x:row>
    <x:row r="183" ht="21" customHeight="1">
      <x:c r="A183" s="3" t="str">
        <x:v>ORD-101091</x:v>
      </x:c>
      <x:c r="B183" s="5" t="n">
        <x:v>45358</x:v>
      </x:c>
      <x:c r="C183" s="3" t="str">
        <x:v>CUST-00367</x:v>
      </x:c>
      <x:c r="D183" s="3" t="str">
        <x:v>South</x:v>
      </x:c>
      <x:c r="E183" s="3" t="str">
        <x:v>Sports</x:v>
      </x:c>
      <x:c r="F183" s="3" t="str">
        <x:v>Fitness</x:v>
      </x:c>
      <x:c r="G183" s="3" t="str">
        <x:v>Adjustable Dumbbell 24kg</x:v>
      </x:c>
      <x:c r="H183" s="3" t="n">
        <x:v>2</x:v>
      </x:c>
      <x:c r="I183" s="7" t="n">
        <x:v>9972.66</x:v>
      </x:c>
      <x:c r="J183" s="9" t="n">
        <x:v>0</x:v>
      </x:c>
      <x:c r="K183" s="7" t="n">
        <x:v>19945.32</x:v>
      </x:c>
      <x:c r="L183" s="7" t="n">
        <x:v>7226.43</x:v>
      </x:c>
      <x:c r="M183" s="3" t="str">
        <x:v>Credit Card</x:v>
      </x:c>
      <x:c r="N183" s="3" t="str">
        <x:f>TEXT(B183,"yyyy-mm")</x:f>
        <x:v>2024-03</x:v>
      </x:c>
      <x:c r="O183" s="3" t="str">
        <x:f>IF(J183=0,"No discount",IF(J183&lt;=0.1,"1-10%",IF(J183&lt;=0.15,"11-15%",IF(J183&lt;=0.2,"16-20%","21%+"))))</x:f>
        <x:v>No discount</x:v>
      </x:c>
      <x:c r="P183" s="9" t="n">
        <x:f>IF(K183=0,0,L183/K183)</x:f>
        <x:v>0.36231206117525316</x:v>
      </x:c>
      <x:c r="Q183" s="3" t="str">
        <x:f>IF(L183&lt;0,"Yes","No")</x:f>
        <x:v>No</x:v>
      </x:c>
    </x:row>
    <x:row r="184" ht="21" customHeight="1">
      <x:c r="A184" s="3" t="str">
        <x:v>ORD-100217</x:v>
      </x:c>
      <x:c r="B184" s="5" t="n">
        <x:v>45359</x:v>
      </x:c>
      <x:c r="C184" s="3" t="str">
        <x:v>CUST-00448</x:v>
      </x:c>
      <x:c r="D184" s="3" t="str">
        <x:v>West</x:v>
      </x:c>
      <x:c r="E184" s="3" t="str">
        <x:v>Electronics</x:v>
      </x:c>
      <x:c r="F184" s="3" t="str">
        <x:v>Audio</x:v>
      </x:c>
      <x:c r="G184" s="3" t="str">
        <x:v>SoundPods Pro</x:v>
      </x:c>
      <x:c r="H184" s="3" t="n">
        <x:v>1</x:v>
      </x:c>
      <x:c r="I184" s="7" t="n">
        <x:v>5004.65</x:v>
      </x:c>
      <x:c r="J184" s="9" t="n">
        <x:v>0.05</x:v>
      </x:c>
      <x:c r="K184" s="7" t="n">
        <x:v>4754.42</x:v>
      </x:c>
      <x:c r="L184" s="7" t="n">
        <x:v>469.53</x:v>
      </x:c>
      <x:c r="M184" s="3" t="str">
        <x:v>Credit Card</x:v>
      </x:c>
      <x:c r="N184" s="3" t="str">
        <x:f>TEXT(B184,"yyyy-mm")</x:f>
        <x:v>2024-03</x:v>
      </x:c>
      <x:c r="O184" s="3" t="str">
        <x:f>IF(J184=0,"No discount",IF(J184&lt;=0.1,"1-10%",IF(J184&lt;=0.15,"11-15%",IF(J184&lt;=0.2,"16-20%","21%+"))))</x:f>
        <x:v>1-10%</x:v>
      </x:c>
      <x:c r="P184" s="9" t="n">
        <x:f>IF(K184=0,0,L184/K184)</x:f>
        <x:v>0.09875652550679156</x:v>
      </x:c>
      <x:c r="Q184" s="3" t="str">
        <x:f>IF(L184&lt;0,"Yes","No")</x:f>
        <x:v>No</x:v>
      </x:c>
    </x:row>
    <x:row r="185" ht="21" customHeight="1">
      <x:c r="A185" s="3" t="str">
        <x:v>ORD-100396</x:v>
      </x:c>
      <x:c r="B185" s="5" t="n">
        <x:v>45359</x:v>
      </x:c>
      <x:c r="C185" s="3" t="str">
        <x:v>CUST-00450</x:v>
      </x:c>
      <x:c r="D185" s="3" t="str">
        <x:v>West</x:v>
      </x:c>
      <x:c r="E185" s="3" t="str">
        <x:v>Sports</x:v>
      </x:c>
      <x:c r="F185" s="3" t="str">
        <x:v>Outdoor</x:v>
      </x:c>
      <x:c r="G185" s="3" t="str">
        <x:v>TrailHike Backpack 60L</x:v>
      </x:c>
      <x:c r="H185" s="3" t="n">
        <x:v>1</x:v>
      </x:c>
      <x:c r="I185" s="7" t="n">
        <x:v>3467.02</x:v>
      </x:c>
      <x:c r="J185" s="9" t="n">
        <x:v>0</x:v>
      </x:c>
      <x:c r="K185" s="7" t="n">
        <x:v>3467.02</x:v>
      </x:c>
      <x:c r="L185" s="7" t="n">
        <x:v>1447.5</x:v>
      </x:c>
      <x:c r="M185" s="3" t="str">
        <x:v>Cash on Delivery</x:v>
      </x:c>
      <x:c r="N185" s="3" t="str">
        <x:f>TEXT(B185,"yyyy-mm")</x:f>
        <x:v>2024-03</x:v>
      </x:c>
      <x:c r="O185" s="3" t="str">
        <x:f>IF(J185=0,"No discount",IF(J185&lt;=0.1,"1-10%",IF(J185&lt;=0.15,"11-15%",IF(J185&lt;=0.2,"16-20%","21%+"))))</x:f>
        <x:v>No discount</x:v>
      </x:c>
      <x:c r="P185" s="9" t="n">
        <x:f>IF(K185=0,0,L185/K185)</x:f>
        <x:v>0.4175055234754919</x:v>
      </x:c>
      <x:c r="Q185" s="3" t="str">
        <x:f>IF(L185&lt;0,"Yes","No")</x:f>
        <x:v>No</x:v>
      </x:c>
    </x:row>
    <x:row r="186" ht="21" customHeight="1">
      <x:c r="A186" s="3" t="str">
        <x:v>ORD-100583</x:v>
      </x:c>
      <x:c r="B186" s="5" t="n">
        <x:v>45359</x:v>
      </x:c>
      <x:c r="C186" s="3" t="str">
        <x:v>CUST-00418</x:v>
      </x:c>
      <x:c r="D186" s="3" t="str">
        <x:v>South</x:v>
      </x:c>
      <x:c r="E186" s="3" t="str">
        <x:v>Beauty</x:v>
      </x:c>
      <x:c r="F186" s="3" t="str">
        <x:v>Skincare</x:v>
      </x:c>
      <x:c r="G186" s="3" t="str">
        <x:v>HydraBoost Moisturizer</x:v>
      </x:c>
      <x:c r="H186" s="3" t="n">
        <x:v>1</x:v>
      </x:c>
      <x:c r="I186" s="7" t="n">
        <x:v>1252.88</x:v>
      </x:c>
      <x:c r="J186" s="9" t="n">
        <x:v>0.05</x:v>
      </x:c>
      <x:c r="K186" s="7" t="n">
        <x:v>1190.24</x:v>
      </x:c>
      <x:c r="L186" s="7" t="n">
        <x:v>564.22</x:v>
      </x:c>
      <x:c r="M186" s="3" t="str">
        <x:v>Credit Card</x:v>
      </x:c>
      <x:c r="N186" s="3" t="str">
        <x:f>TEXT(B186,"yyyy-mm")</x:f>
        <x:v>2024-03</x:v>
      </x:c>
      <x:c r="O186" s="3" t="str">
        <x:f>IF(J186=0,"No discount",IF(J186&lt;=0.1,"1-10%",IF(J186&lt;=0.15,"11-15%",IF(J186&lt;=0.2,"16-20%","21%+"))))</x:f>
        <x:v>1-10%</x:v>
      </x:c>
      <x:c r="P186" s="9" t="n">
        <x:f>IF(K186=0,0,L186/K186)</x:f>
        <x:v>0.4740388493077027</x:v>
      </x:c>
      <x:c r="Q186" s="3" t="str">
        <x:f>IF(L186&lt;0,"Yes","No")</x:f>
        <x:v>No</x:v>
      </x:c>
    </x:row>
    <x:row r="187" ht="21" customHeight="1">
      <x:c r="A187" s="3" t="str">
        <x:v>ORD-101003</x:v>
      </x:c>
      <x:c r="B187" s="5" t="n">
        <x:v>45359</x:v>
      </x:c>
      <x:c r="C187" s="3" t="str">
        <x:v>CUST-00375</x:v>
      </x:c>
      <x:c r="D187" s="3" t="str">
        <x:v>West</x:v>
      </x:c>
      <x:c r="E187" s="3" t="str">
        <x:v>Beauty</x:v>
      </x:c>
      <x:c r="F187" s="3" t="str">
        <x:v>Skincare</x:v>
      </x:c>
      <x:c r="G187" s="3" t="str">
        <x:v>Vitamin C Serum</x:v>
      </x:c>
      <x:c r="H187" s="3" t="n">
        <x:v>1</x:v>
      </x:c>
      <x:c r="I187" s="7" t="n">
        <x:v>943.71</x:v>
      </x:c>
      <x:c r="J187" s="9" t="n">
        <x:v>0.1</x:v>
      </x:c>
      <x:c r="K187" s="7" t="n">
        <x:v>849.34</x:v>
      </x:c>
      <x:c r="L187" s="7" t="n">
        <x:v>398</x:v>
      </x:c>
      <x:c r="M187" s="3" t="str">
        <x:v>Net Banking</x:v>
      </x:c>
      <x:c r="N187" s="3" t="str">
        <x:f>TEXT(B187,"yyyy-mm")</x:f>
        <x:v>2024-03</x:v>
      </x:c>
      <x:c r="O187" s="3" t="str">
        <x:f>IF(J187=0,"No discount",IF(J187&lt;=0.1,"1-10%",IF(J187&lt;=0.15,"11-15%",IF(J187&lt;=0.2,"16-20%","21%+"))))</x:f>
        <x:v>1-10%</x:v>
      </x:c>
      <x:c r="P187" s="9" t="n">
        <x:f>IF(K187=0,0,L187/K187)</x:f>
        <x:v>0.4685991475734099</x:v>
      </x:c>
      <x:c r="Q187" s="3" t="str">
        <x:f>IF(L187&lt;0,"Yes","No")</x:f>
        <x:v>No</x:v>
      </x:c>
    </x:row>
    <x:row r="188" ht="21" customHeight="1">
      <x:c r="A188" s="3" t="str">
        <x:v>ORD-101370</x:v>
      </x:c>
      <x:c r="B188" s="5" t="n">
        <x:v>45359</x:v>
      </x:c>
      <x:c r="C188" s="3" t="str">
        <x:v>CUST-00360</x:v>
      </x:c>
      <x:c r="D188" s="3" t="str">
        <x:v>East</x:v>
      </x:c>
      <x:c r="E188" s="3" t="str">
        <x:v>Electronics</x:v>
      </x:c>
      <x:c r="F188" s="3" t="str">
        <x:v>Mobile</x:v>
      </x:c>
      <x:c r="G188" s="3" t="str">
        <x:v>Pixel Aura 12</x:v>
      </x:c>
      <x:c r="H188" s="3" t="n">
        <x:v>1</x:v>
      </x:c>
      <x:c r="I188" s="7" t="n">
        <x:v>33138.4</x:v>
      </x:c>
      <x:c r="J188" s="9" t="n">
        <x:v>0.25</x:v>
      </x:c>
      <x:c r="K188" s="7" t="n">
        <x:v>24853.8</x:v>
      </x:c>
      <x:c r="L188" s="7" t="n">
        <x:v>-1814.36</x:v>
      </x:c>
      <x:c r="M188" s="3" t="str">
        <x:v>UPI</x:v>
      </x:c>
      <x:c r="N188" s="3" t="str">
        <x:f>TEXT(B188,"yyyy-mm")</x:f>
        <x:v>2024-03</x:v>
      </x:c>
      <x:c r="O188" s="3" t="str">
        <x:f>IF(J188=0,"No discount",IF(J188&lt;=0.1,"1-10%",IF(J188&lt;=0.15,"11-15%",IF(J188&lt;=0.2,"16-20%","21%+"))))</x:f>
        <x:v>21%+</x:v>
      </x:c>
      <x:c r="P188" s="9" t="n">
        <x:f>IF(K188=0,0,L188/K188)</x:f>
        <x:v>-0.07300131167064997</x:v>
      </x:c>
      <x:c r="Q188" s="3" t="str">
        <x:f>IF(L188&lt;0,"Yes","No")</x:f>
        <x:v>Yes</x:v>
      </x:c>
    </x:row>
    <x:row r="189" ht="21" customHeight="1">
      <x:c r="A189" s="3" t="str">
        <x:v>ORD-101405</x:v>
      </x:c>
      <x:c r="B189" s="5" t="n">
        <x:v>45359</x:v>
      </x:c>
      <x:c r="C189" s="3" t="str">
        <x:v>CUST-00369</x:v>
      </x:c>
      <x:c r="D189" s="3" t="str">
        <x:v>North</x:v>
      </x:c>
      <x:c r="E189" s="3" t="str">
        <x:v>Electronics</x:v>
      </x:c>
      <x:c r="F189" s="3" t="str">
        <x:v>Laptop</x:v>
      </x:c>
      <x:c r="G189" s="3" t="str">
        <x:v>ThinkPro 14</x:v>
      </x:c>
      <x:c r="H189" s="3" t="n">
        <x:v>1</x:v>
      </x:c>
      <x:c r="I189" s="7" t="n">
        <x:v>53782.21</x:v>
      </x:c>
      <x:c r="J189" s="9" t="n">
        <x:v>0.05</x:v>
      </x:c>
      <x:c r="K189" s="7" t="n">
        <x:v>51093.1</x:v>
      </x:c>
      <x:c r="L189" s="7" t="n">
        <x:v>5079.36</x:v>
      </x:c>
      <x:c r="M189" s="3" t="str">
        <x:v>Debit Card</x:v>
      </x:c>
      <x:c r="N189" s="3" t="str">
        <x:f>TEXT(B189,"yyyy-mm")</x:f>
        <x:v>2024-03</x:v>
      </x:c>
      <x:c r="O189" s="3" t="str">
        <x:f>IF(J189=0,"No discount",IF(J189&lt;=0.1,"1-10%",IF(J189&lt;=0.15,"11-15%",IF(J189&lt;=0.2,"16-20%","21%+"))))</x:f>
        <x:v>1-10%</x:v>
      </x:c>
      <x:c r="P189" s="9" t="n">
        <x:f>IF(K189=0,0,L189/K189)</x:f>
        <x:v>0.09941381517269454</x:v>
      </x:c>
      <x:c r="Q189" s="3" t="str">
        <x:f>IF(L189&lt;0,"Yes","No")</x:f>
        <x:v>No</x:v>
      </x:c>
    </x:row>
    <x:row r="190" ht="21" customHeight="1">
      <x:c r="A190" s="3" t="str">
        <x:v>ORD-101697</x:v>
      </x:c>
      <x:c r="B190" s="5" t="n">
        <x:v>45359</x:v>
      </x:c>
      <x:c r="C190" s="3" t="str">
        <x:v>CUST-00412</x:v>
      </x:c>
      <x:c r="D190" s="3" t="str">
        <x:v>West</x:v>
      </x:c>
      <x:c r="E190" s="3" t="str">
        <x:v>Electronics</x:v>
      </x:c>
      <x:c r="F190" s="3" t="str">
        <x:v>Laptop</x:v>
      </x:c>
      <x:c r="G190" s="3" t="str">
        <x:v>ThinkPro 14</x:v>
      </x:c>
      <x:c r="H190" s="3" t="n">
        <x:v>1</x:v>
      </x:c>
      <x:c r="I190" s="7" t="n">
        <x:v>55215.81</x:v>
      </x:c>
      <x:c r="J190" s="9" t="n">
        <x:v>0.05</x:v>
      </x:c>
      <x:c r="K190" s="7" t="n">
        <x:v>52455.02</x:v>
      </x:c>
      <x:c r="L190" s="7" t="n">
        <x:v>6499.52</x:v>
      </x:c>
      <x:c r="M190" s="3" t="str">
        <x:v>Cash on Delivery</x:v>
      </x:c>
      <x:c r="N190" s="3" t="str">
        <x:f>TEXT(B190,"yyyy-mm")</x:f>
        <x:v>2024-03</x:v>
      </x:c>
      <x:c r="O190" s="3" t="str">
        <x:f>IF(J190=0,"No discount",IF(J190&lt;=0.1,"1-10%",IF(J190&lt;=0.15,"11-15%",IF(J190&lt;=0.2,"16-20%","21%+"))))</x:f>
        <x:v>1-10%</x:v>
      </x:c>
      <x:c r="P190" s="9" t="n">
        <x:f>IF(K190=0,0,L190/K190)</x:f>
        <x:v>0.12390653935505126</x:v>
      </x:c>
      <x:c r="Q190" s="3" t="str">
        <x:f>IF(L190&lt;0,"Yes","No")</x:f>
        <x:v>No</x:v>
      </x:c>
    </x:row>
    <x:row r="191" ht="21" customHeight="1">
      <x:c r="A191" s="3" t="str">
        <x:v>ORD-100472</x:v>
      </x:c>
      <x:c r="B191" s="5" t="n">
        <x:v>45360</x:v>
      </x:c>
      <x:c r="C191" s="3" t="str">
        <x:v>CUST-00210</x:v>
      </x:c>
      <x:c r="D191" s="3" t="str">
        <x:v>South</x:v>
      </x:c>
      <x:c r="E191" s="3" t="str">
        <x:v>Electronics</x:v>
      </x:c>
      <x:c r="F191" s="3" t="str">
        <x:v>Audio</x:v>
      </x:c>
      <x:c r="G191" s="3" t="str">
        <x:v>BassBoom Speaker</x:v>
      </x:c>
      <x:c r="H191" s="3" t="n">
        <x:v>3</x:v>
      </x:c>
      <x:c r="I191" s="7" t="n">
        <x:v>8878.05</x:v>
      </x:c>
      <x:c r="J191" s="9" t="n">
        <x:v>0</x:v>
      </x:c>
      <x:c r="K191" s="7" t="n">
        <x:v>26634.15</x:v>
      </x:c>
      <x:c r="L191" s="7" t="n">
        <x:v>5047.99</x:v>
      </x:c>
      <x:c r="M191" s="3" t="str">
        <x:v>UPI</x:v>
      </x:c>
      <x:c r="N191" s="3" t="str">
        <x:f>TEXT(B191,"yyyy-mm")</x:f>
        <x:v>2024-03</x:v>
      </x:c>
      <x:c r="O191" s="3" t="str">
        <x:f>IF(J191=0,"No discount",IF(J191&lt;=0.1,"1-10%",IF(J191&lt;=0.15,"11-15%",IF(J191&lt;=0.2,"16-20%","21%+"))))</x:f>
        <x:v>No discount</x:v>
      </x:c>
      <x:c r="P191" s="9" t="n">
        <x:f>IF(K191=0,0,L191/K191)</x:f>
        <x:v>0.18953073403881857</x:v>
      </x:c>
      <x:c r="Q191" s="3" t="str">
        <x:f>IF(L191&lt;0,"Yes","No")</x:f>
        <x:v>No</x:v>
      </x:c>
    </x:row>
    <x:row r="192" ht="21" customHeight="1">
      <x:c r="A192" s="3" t="str">
        <x:v>ORD-101345</x:v>
      </x:c>
      <x:c r="B192" s="5" t="n">
        <x:v>45360</x:v>
      </x:c>
      <x:c r="C192" s="3" t="str">
        <x:v>CUST-00397</x:v>
      </x:c>
      <x:c r="D192" s="3" t="str">
        <x:v>North</x:v>
      </x:c>
      <x:c r="E192" s="3" t="str">
        <x:v>Fashion</x:v>
      </x:c>
      <x:c r="F192" s="3" t="str">
        <x:v>Footwear</x:v>
      </x:c>
      <x:c r="G192" s="3" t="str">
        <x:v>UrbanLoafers</x:v>
      </x:c>
      <x:c r="H192" s="3" t="n">
        <x:v>2</x:v>
      </x:c>
      <x:c r="I192" s="7" t="n">
        <x:v>3638.17</x:v>
      </x:c>
      <x:c r="J192" s="9" t="n">
        <x:v>0.15</x:v>
      </x:c>
      <x:c r="K192" s="7" t="n">
        <x:v>6184.89</x:v>
      </x:c>
      <x:c r="L192" s="7" t="n">
        <x:v>1458.34</x:v>
      </x:c>
      <x:c r="M192" s="3" t="str">
        <x:v>Credit Card</x:v>
      </x:c>
      <x:c r="N192" s="3" t="str">
        <x:f>TEXT(B192,"yyyy-mm")</x:f>
        <x:v>2024-03</x:v>
      </x:c>
      <x:c r="O192" s="3" t="str">
        <x:f>IF(J192=0,"No discount",IF(J192&lt;=0.1,"1-10%",IF(J192&lt;=0.15,"11-15%",IF(J192&lt;=0.2,"16-20%","21%+"))))</x:f>
        <x:v>11-15%</x:v>
      </x:c>
      <x:c r="P192" s="9" t="n">
        <x:f>IF(K192=0,0,L192/K192)</x:f>
        <x:v>0.2357907739668773</x:v>
      </x:c>
      <x:c r="Q192" s="3" t="str">
        <x:f>IF(L192&lt;0,"Yes","No")</x:f>
        <x:v>No</x:v>
      </x:c>
    </x:row>
    <x:row r="193" ht="21" customHeight="1">
      <x:c r="A193" s="3" t="str">
        <x:v>ORD-101443</x:v>
      </x:c>
      <x:c r="B193" s="5" t="n">
        <x:v>45360</x:v>
      </x:c>
      <x:c r="C193" s="3" t="str">
        <x:v>CUST-00439</x:v>
      </x:c>
      <x:c r="D193" s="3" t="str">
        <x:v>South</x:v>
      </x:c>
      <x:c r="E193" s="3" t="str">
        <x:v>Beauty</x:v>
      </x:c>
      <x:c r="F193" s="3" t="str">
        <x:v>Makeup</x:v>
      </x:c>
      <x:c r="G193" s="3" t="str">
        <x:v>HD Foundation Kit</x:v>
      </x:c>
      <x:c r="H193" s="3" t="n">
        <x:v>1</x:v>
      </x:c>
      <x:c r="I193" s="7" t="n">
        <x:v>1465.55</x:v>
      </x:c>
      <x:c r="J193" s="9" t="n">
        <x:v>0.05</x:v>
      </x:c>
      <x:c r="K193" s="7" t="n">
        <x:v>1392.27</x:v>
      </x:c>
      <x:c r="L193" s="7" t="n">
        <x:v>683.04</x:v>
      </x:c>
      <x:c r="M193" s="3" t="str">
        <x:v>UPI</x:v>
      </x:c>
      <x:c r="N193" s="3" t="str">
        <x:f>TEXT(B193,"yyyy-mm")</x:f>
        <x:v>2024-03</x:v>
      </x:c>
      <x:c r="O193" s="3" t="str">
        <x:f>IF(J193=0,"No discount",IF(J193&lt;=0.1,"1-10%",IF(J193&lt;=0.15,"11-15%",IF(J193&lt;=0.2,"16-20%","21%+"))))</x:f>
        <x:v>1-10%</x:v>
      </x:c>
      <x:c r="P193" s="9" t="n">
        <x:f>IF(K193=0,0,L193/K193)</x:f>
        <x:v>0.4905944967570945</x:v>
      </x:c>
      <x:c r="Q193" s="3" t="str">
        <x:f>IF(L193&lt;0,"Yes","No")</x:f>
        <x:v>No</x:v>
      </x:c>
    </x:row>
    <x:row r="194" ht="21" customHeight="1">
      <x:c r="A194" s="3" t="str">
        <x:v>ORD-100117</x:v>
      </x:c>
      <x:c r="B194" s="5" t="n">
        <x:v>45361</x:v>
      </x:c>
      <x:c r="C194" s="3" t="str">
        <x:v>CUST-00107</x:v>
      </x:c>
      <x:c r="D194" s="3" t="str">
        <x:v>East</x:v>
      </x:c>
      <x:c r="E194" s="3" t="str">
        <x:v>Beauty</x:v>
      </x:c>
      <x:c r="F194" s="3" t="str">
        <x:v>Skincare</x:v>
      </x:c>
      <x:c r="G194" s="3" t="str">
        <x:v>HydraBoost Moisturizer</x:v>
      </x:c>
      <x:c r="H194" s="3" t="n">
        <x:v>3</x:v>
      </x:c>
      <x:c r="I194" s="7" t="n">
        <x:v>1185.44</x:v>
      </x:c>
      <x:c r="J194" s="9" t="n">
        <x:v>0</x:v>
      </x:c>
      <x:c r="K194" s="7" t="n">
        <x:v>3556.32</x:v>
      </x:c>
      <x:c r="L194" s="7" t="n">
        <x:v>1919.93</x:v>
      </x:c>
      <x:c r="M194" s="3" t="str">
        <x:v>UPI</x:v>
      </x:c>
      <x:c r="N194" s="3" t="str">
        <x:f>TEXT(B194,"yyyy-mm")</x:f>
        <x:v>2024-03</x:v>
      </x:c>
      <x:c r="O194" s="3" t="str">
        <x:f>IF(J194=0,"No discount",IF(J194&lt;=0.1,"1-10%",IF(J194&lt;=0.15,"11-15%",IF(J194&lt;=0.2,"16-20%","21%+"))))</x:f>
        <x:v>No discount</x:v>
      </x:c>
      <x:c r="P194" s="9" t="n">
        <x:f>IF(K194=0,0,L194/K194)</x:f>
        <x:v>0.539864241688037</x:v>
      </x:c>
      <x:c r="Q194" s="3" t="str">
        <x:f>IF(L194&lt;0,"Yes","No")</x:f>
        <x:v>No</x:v>
      </x:c>
    </x:row>
    <x:row r="195" ht="21" customHeight="1">
      <x:c r="A195" s="3" t="str">
        <x:v>ORD-100444</x:v>
      </x:c>
      <x:c r="B195" s="5" t="n">
        <x:v>45361</x:v>
      </x:c>
      <x:c r="C195" s="3" t="str">
        <x:v>CUST-00101</x:v>
      </x:c>
      <x:c r="D195" s="3" t="str">
        <x:v>East</x:v>
      </x:c>
      <x:c r="E195" s="3" t="str">
        <x:v>Sports</x:v>
      </x:c>
      <x:c r="F195" s="3" t="str">
        <x:v>Outdoor</x:v>
      </x:c>
      <x:c r="G195" s="3" t="str">
        <x:v>TrailHike Backpack 60L</x:v>
      </x:c>
      <x:c r="H195" s="3" t="n">
        <x:v>2</x:v>
      </x:c>
      <x:c r="I195" s="7" t="n">
        <x:v>3392.25</x:v>
      </x:c>
      <x:c r="J195" s="9" t="n">
        <x:v>0.1</x:v>
      </x:c>
      <x:c r="K195" s="7" t="n">
        <x:v>6106.05</x:v>
      </x:c>
      <x:c r="L195" s="7" t="n">
        <x:v>1538.68</x:v>
      </x:c>
      <x:c r="M195" s="3" t="str">
        <x:v>UPI</x:v>
      </x:c>
      <x:c r="N195" s="3" t="str">
        <x:f>TEXT(B195,"yyyy-mm")</x:f>
        <x:v>2024-03</x:v>
      </x:c>
      <x:c r="O195" s="3" t="str">
        <x:f>IF(J195=0,"No discount",IF(J195&lt;=0.1,"1-10%",IF(J195&lt;=0.15,"11-15%",IF(J195&lt;=0.2,"16-20%","21%+"))))</x:f>
        <x:v>1-10%</x:v>
      </x:c>
      <x:c r="P195" s="9" t="n">
        <x:f>IF(K195=0,0,L195/K195)</x:f>
        <x:v>0.25199269576895045</x:v>
      </x:c>
      <x:c r="Q195" s="3" t="str">
        <x:f>IF(L195&lt;0,"Yes","No")</x:f>
        <x:v>No</x:v>
      </x:c>
    </x:row>
    <x:row r="196" ht="21" customHeight="1">
      <x:c r="A196" s="3" t="str">
        <x:v>ORD-100601</x:v>
      </x:c>
      <x:c r="B196" s="5" t="n">
        <x:v>45361</x:v>
      </x:c>
      <x:c r="C196" s="3" t="str">
        <x:v>CUST-00199</x:v>
      </x:c>
      <x:c r="D196" s="3" t="str">
        <x:v>East</x:v>
      </x:c>
      <x:c r="E196" s="3" t="str">
        <x:v>Sports</x:v>
      </x:c>
      <x:c r="F196" s="3" t="str">
        <x:v>Fitness</x:v>
      </x:c>
      <x:c r="G196" s="3" t="str">
        <x:v>Adjustable Dumbbell 24kg</x:v>
      </x:c>
      <x:c r="H196" s="3" t="n">
        <x:v>2</x:v>
      </x:c>
      <x:c r="I196" s="7" t="n">
        <x:v>9525.02</x:v>
      </x:c>
      <x:c r="J196" s="9" t="n">
        <x:v>0.1</x:v>
      </x:c>
      <x:c r="K196" s="7" t="n">
        <x:v>17145.04</x:v>
      </x:c>
      <x:c r="L196" s="7" t="n">
        <x:v>4567.04</x:v>
      </x:c>
      <x:c r="M196" s="3" t="str">
        <x:v>UPI</x:v>
      </x:c>
      <x:c r="N196" s="3" t="str">
        <x:f>TEXT(B196,"yyyy-mm")</x:f>
        <x:v>2024-03</x:v>
      </x:c>
      <x:c r="O196" s="3" t="str">
        <x:f>IF(J196=0,"No discount",IF(J196&lt;=0.1,"1-10%",IF(J196&lt;=0.15,"11-15%",IF(J196&lt;=0.2,"16-20%","21%+"))))</x:f>
        <x:v>1-10%</x:v>
      </x:c>
      <x:c r="P196" s="9" t="n">
        <x:f>IF(K196=0,0,L196/K196)</x:f>
        <x:v>0.26637674802741784</x:v>
      </x:c>
      <x:c r="Q196" s="3" t="str">
        <x:f>IF(L196&lt;0,"Yes","No")</x:f>
        <x:v>No</x:v>
      </x:c>
    </x:row>
    <x:row r="197" ht="21" customHeight="1">
      <x:c r="A197" s="3" t="str">
        <x:v>ORD-101095</x:v>
      </x:c>
      <x:c r="B197" s="5" t="n">
        <x:v>45361</x:v>
      </x:c>
      <x:c r="C197" s="3" t="str">
        <x:v>CUST-00075</x:v>
      </x:c>
      <x:c r="D197" s="3" t="str">
        <x:v>West</x:v>
      </x:c>
      <x:c r="E197" s="3" t="str">
        <x:v>Sports</x:v>
      </x:c>
      <x:c r="F197" s="3" t="str">
        <x:v>Outdoor</x:v>
      </x:c>
      <x:c r="G197" s="3" t="str">
        <x:v>TrailHike Backpack 60L</x:v>
      </x:c>
      <x:c r="H197" s="3" t="n">
        <x:v>1</x:v>
      </x:c>
      <x:c r="I197" s="7" t="n">
        <x:v>3545.68</x:v>
      </x:c>
      <x:c r="J197" s="9" t="n">
        <x:v>0.05</x:v>
      </x:c>
      <x:c r="K197" s="7" t="n">
        <x:v>3368.4</x:v>
      </x:c>
      <x:c r="L197" s="7" t="n">
        <x:v>1097.47</x:v>
      </x:c>
      <x:c r="M197" s="3" t="str">
        <x:v>UPI</x:v>
      </x:c>
      <x:c r="N197" s="3" t="str">
        <x:f>TEXT(B197,"yyyy-mm")</x:f>
        <x:v>2024-03</x:v>
      </x:c>
      <x:c r="O197" s="3" t="str">
        <x:f>IF(J197=0,"No discount",IF(J197&lt;=0.1,"1-10%",IF(J197&lt;=0.15,"11-15%",IF(J197&lt;=0.2,"16-20%","21%+"))))</x:f>
        <x:v>1-10%</x:v>
      </x:c>
      <x:c r="P197" s="9" t="n">
        <x:f>IF(K197=0,0,L197/K197)</x:f>
        <x:v>0.3258134425840161</x:v>
      </x:c>
      <x:c r="Q197" s="3" t="str">
        <x:f>IF(L197&lt;0,"Yes","No")</x:f>
        <x:v>No</x:v>
      </x:c>
    </x:row>
    <x:row r="198" ht="21" customHeight="1">
      <x:c r="A198" s="3" t="str">
        <x:v>ORD-101155</x:v>
      </x:c>
      <x:c r="B198" s="5" t="n">
        <x:v>45362</x:v>
      </x:c>
      <x:c r="C198" s="3" t="str">
        <x:v>CUST-00160</x:v>
      </x:c>
      <x:c r="D198" s="3" t="str">
        <x:v>West</x:v>
      </x:c>
      <x:c r="E198" s="3" t="str">
        <x:v>Home &amp; Kitchen</x:v>
      </x:c>
      <x:c r="F198" s="3" t="str">
        <x:v>Decor</x:v>
      </x:c>
      <x:c r="G198" s="3" t="str">
        <x:v>Ceramic Vase Set</x:v>
      </x:c>
      <x:c r="H198" s="3" t="n">
        <x:v>4</x:v>
      </x:c>
      <x:c r="I198" s="7" t="n">
        <x:v>1448.62</x:v>
      </x:c>
      <x:c r="J198" s="9" t="n">
        <x:v>0</x:v>
      </x:c>
      <x:c r="K198" s="7" t="n">
        <x:v>5794.48</x:v>
      </x:c>
      <x:c r="L198" s="7" t="n">
        <x:v>1725.64</x:v>
      </x:c>
      <x:c r="M198" s="3" t="str">
        <x:v>UPI</x:v>
      </x:c>
      <x:c r="N198" s="3" t="str">
        <x:f>TEXT(B198,"yyyy-mm")</x:f>
        <x:v>2024-03</x:v>
      </x:c>
      <x:c r="O198" s="3" t="str">
        <x:f>IF(J198=0,"No discount",IF(J198&lt;=0.1,"1-10%",IF(J198&lt;=0.15,"11-15%",IF(J198&lt;=0.2,"16-20%","21%+"))))</x:f>
        <x:v>No discount</x:v>
      </x:c>
      <x:c r="P198" s="9" t="n">
        <x:f>IF(K198=0,0,L198/K198)</x:f>
        <x:v>0.29780756858251306</x:v>
      </x:c>
      <x:c r="Q198" s="3" t="str">
        <x:f>IF(L198&lt;0,"Yes","No")</x:f>
        <x:v>No</x:v>
      </x:c>
    </x:row>
    <x:row r="199" ht="21" customHeight="1">
      <x:c r="A199" s="3" t="str">
        <x:v>ORD-101569</x:v>
      </x:c>
      <x:c r="B199" s="5" t="n">
        <x:v>45363</x:v>
      </x:c>
      <x:c r="C199" s="3" t="str">
        <x:v>CUST-00202</x:v>
      </x:c>
      <x:c r="D199" s="3" t="str">
        <x:v>West</x:v>
      </x:c>
      <x:c r="E199" s="3" t="str">
        <x:v>Electronics</x:v>
      </x:c>
      <x:c r="F199" s="3" t="str">
        <x:v>Mobile</x:v>
      </x:c>
      <x:c r="G199" s="3" t="str">
        <x:v>Galaxy Nova X5</x:v>
      </x:c>
      <x:c r="H199" s="3" t="n">
        <x:v>1</x:v>
      </x:c>
      <x:c r="I199" s="7" t="n">
        <x:v>25730.03</x:v>
      </x:c>
      <x:c r="J199" s="9" t="n">
        <x:v>0.05</x:v>
      </x:c>
      <x:c r="K199" s="7" t="n">
        <x:v>24443.53</x:v>
      </x:c>
      <x:c r="L199" s="7" t="n">
        <x:v>2781.04</x:v>
      </x:c>
      <x:c r="M199" s="3" t="str">
        <x:v>Debit Card</x:v>
      </x:c>
      <x:c r="N199" s="3" t="str">
        <x:f>TEXT(B199,"yyyy-mm")</x:f>
        <x:v>2024-03</x:v>
      </x:c>
      <x:c r="O199" s="3" t="str">
        <x:f>IF(J199=0,"No discount",IF(J199&lt;=0.1,"1-10%",IF(J199&lt;=0.15,"11-15%",IF(J199&lt;=0.2,"16-20%","21%+"))))</x:f>
        <x:v>1-10%</x:v>
      </x:c>
      <x:c r="P199" s="9" t="n">
        <x:f>IF(K199=0,0,L199/K199)</x:f>
        <x:v>0.11377407436650926</x:v>
      </x:c>
      <x:c r="Q199" s="3" t="str">
        <x:f>IF(L199&lt;0,"Yes","No")</x:f>
        <x:v>No</x:v>
      </x:c>
    </x:row>
    <x:row r="200" ht="21" customHeight="1">
      <x:c r="A200" s="3" t="str">
        <x:v>ORD-101756</x:v>
      </x:c>
      <x:c r="B200" s="5" t="n">
        <x:v>45363</x:v>
      </x:c>
      <x:c r="C200" s="3" t="str">
        <x:v>CUST-00227</x:v>
      </x:c>
      <x:c r="D200" s="3" t="str">
        <x:v>South</x:v>
      </x:c>
      <x:c r="E200" s="3" t="str">
        <x:v>Home &amp; Kitchen</x:v>
      </x:c>
      <x:c r="F200" s="3" t="str">
        <x:v>Decor</x:v>
      </x:c>
      <x:c r="G200" s="3" t="str">
        <x:v>LED Wall Lamp</x:v>
      </x:c>
      <x:c r="H200" s="3" t="n">
        <x:v>1</x:v>
      </x:c>
      <x:c r="I200" s="7" t="n">
        <x:v>1040.44</x:v>
      </x:c>
      <x:c r="J200" s="9" t="n">
        <x:v>0.05</x:v>
      </x:c>
      <x:c r="K200" s="7" t="n">
        <x:v>988.42</x:v>
      </x:c>
      <x:c r="L200" s="7" t="n">
        <x:v>264.8</x:v>
      </x:c>
      <x:c r="M200" s="3" t="str">
        <x:v>Credit Card</x:v>
      </x:c>
      <x:c r="N200" s="3" t="str">
        <x:f>TEXT(B200,"yyyy-mm")</x:f>
        <x:v>2024-03</x:v>
      </x:c>
      <x:c r="O200" s="3" t="str">
        <x:f>IF(J200=0,"No discount",IF(J200&lt;=0.1,"1-10%",IF(J200&lt;=0.15,"11-15%",IF(J200&lt;=0.2,"16-20%","21%+"))))</x:f>
        <x:v>1-10%</x:v>
      </x:c>
      <x:c r="P200" s="9" t="n">
        <x:f>IF(K200=0,0,L200/K200)</x:f>
        <x:v>0.2679023087351531</x:v>
      </x:c>
      <x:c r="Q200" s="3" t="str">
        <x:f>IF(L200&lt;0,"Yes","No")</x:f>
        <x:v>No</x:v>
      </x:c>
    </x:row>
    <x:row r="201" ht="21" customHeight="1">
      <x:c r="A201" s="3" t="str">
        <x:v>ORD-100269</x:v>
      </x:c>
      <x:c r="B201" s="5" t="n">
        <x:v>45364</x:v>
      </x:c>
      <x:c r="C201" s="3" t="str">
        <x:v>CUST-00200</x:v>
      </x:c>
      <x:c r="D201" s="3" t="str">
        <x:v>South</x:v>
      </x:c>
      <x:c r="E201" s="3" t="str">
        <x:v>Home &amp; Kitchen</x:v>
      </x:c>
      <x:c r="F201" s="3" t="str">
        <x:v>Furniture</x:v>
      </x:c>
      <x:c r="G201" s="3" t="str">
        <x:v>ErgoComfort Chair</x:v>
      </x:c>
      <x:c r="H201" s="3" t="n">
        <x:v>1</x:v>
      </x:c>
      <x:c r="I201" s="7" t="n">
        <x:v>8883.53</x:v>
      </x:c>
      <x:c r="J201" s="9" t="n">
        <x:v>0.2</x:v>
      </x:c>
      <x:c r="K201" s="7" t="n">
        <x:v>7106.82</x:v>
      </x:c>
      <x:c r="L201" s="7" t="n">
        <x:v>759.33</x:v>
      </x:c>
      <x:c r="M201" s="3" t="str">
        <x:v>UPI</x:v>
      </x:c>
      <x:c r="N201" s="3" t="str">
        <x:f>TEXT(B201,"yyyy-mm")</x:f>
        <x:v>2024-03</x:v>
      </x:c>
      <x:c r="O201" s="3" t="str">
        <x:f>IF(J201=0,"No discount",IF(J201&lt;=0.1,"1-10%",IF(J201&lt;=0.15,"11-15%",IF(J201&lt;=0.2,"16-20%","21%+"))))</x:f>
        <x:v>16-20%</x:v>
      </x:c>
      <x:c r="P201" s="9" t="n">
        <x:f>IF(K201=0,0,L201/K201)</x:f>
        <x:v>0.1068452556839768</x:v>
      </x:c>
      <x:c r="Q201" s="3" t="str">
        <x:f>IF(L201&lt;0,"Yes","No")</x:f>
        <x:v>No</x:v>
      </x:c>
    </x:row>
    <x:row r="202" ht="21" customHeight="1">
      <x:c r="A202" s="3" t="str">
        <x:v>ORD-100305</x:v>
      </x:c>
      <x:c r="B202" s="5" t="n">
        <x:v>45364</x:v>
      </x:c>
      <x:c r="C202" s="3" t="str">
        <x:v>CUST-00234</x:v>
      </x:c>
      <x:c r="D202" s="3" t="str">
        <x:v>North</x:v>
      </x:c>
      <x:c r="E202" s="3" t="str">
        <x:v>Electronics</x:v>
      </x:c>
      <x:c r="F202" s="3" t="str">
        <x:v>Audio</x:v>
      </x:c>
      <x:c r="G202" s="3" t="str">
        <x:v>SoundPods Pro</x:v>
      </x:c>
      <x:c r="H202" s="3" t="n">
        <x:v>1</x:v>
      </x:c>
      <x:c r="I202" s="7" t="n">
        <x:v>4767.99</x:v>
      </x:c>
      <x:c r="J202" s="9" t="n">
        <x:v>0.15</x:v>
      </x:c>
      <x:c r="K202" s="7" t="n">
        <x:v>4052.79</x:v>
      </x:c>
      <x:c r="L202" s="7" t="n">
        <x:v>-107.97</x:v>
      </x:c>
      <x:c r="M202" s="3" t="str">
        <x:v>UPI</x:v>
      </x:c>
      <x:c r="N202" s="3" t="str">
        <x:f>TEXT(B202,"yyyy-mm")</x:f>
        <x:v>2024-03</x:v>
      </x:c>
      <x:c r="O202" s="3" t="str">
        <x:f>IF(J202=0,"No discount",IF(J202&lt;=0.1,"1-10%",IF(J202&lt;=0.15,"11-15%",IF(J202&lt;=0.2,"16-20%","21%+"))))</x:f>
        <x:v>11-15%</x:v>
      </x:c>
      <x:c r="P202" s="9" t="n">
        <x:f>IF(K202=0,0,L202/K202)</x:f>
        <x:v>-0.026640906634688696</x:v>
      </x:c>
      <x:c r="Q202" s="3" t="str">
        <x:f>IF(L202&lt;0,"Yes","No")</x:f>
        <x:v>Yes</x:v>
      </x:c>
    </x:row>
    <x:row r="203" ht="21" customHeight="1">
      <x:c r="A203" s="3" t="str">
        <x:v>ORD-100812</x:v>
      </x:c>
      <x:c r="B203" s="5" t="n">
        <x:v>45364</x:v>
      </x:c>
      <x:c r="C203" s="3" t="str">
        <x:v>CUST-00131</x:v>
      </x:c>
      <x:c r="D203" s="3" t="str">
        <x:v>South</x:v>
      </x:c>
      <x:c r="E203" s="3" t="str">
        <x:v>Beauty</x:v>
      </x:c>
      <x:c r="F203" s="3" t="str">
        <x:v>Makeup</x:v>
      </x:c>
      <x:c r="G203" s="3" t="str">
        <x:v>HD Foundation Kit</x:v>
      </x:c>
      <x:c r="H203" s="3" t="n">
        <x:v>1</x:v>
      </x:c>
      <x:c r="I203" s="7" t="n">
        <x:v>1551.98</x:v>
      </x:c>
      <x:c r="J203" s="9" t="n">
        <x:v>0.2</x:v>
      </x:c>
      <x:c r="K203" s="7" t="n">
        <x:v>1241.58</x:v>
      </x:c>
      <x:c r="L203" s="7" t="n">
        <x:v>427.26</x:v>
      </x:c>
      <x:c r="M203" s="3" t="str">
        <x:v>Credit Card</x:v>
      </x:c>
      <x:c r="N203" s="3" t="str">
        <x:f>TEXT(B203,"yyyy-mm")</x:f>
        <x:v>2024-03</x:v>
      </x:c>
      <x:c r="O203" s="3" t="str">
        <x:f>IF(J203=0,"No discount",IF(J203&lt;=0.1,"1-10%",IF(J203&lt;=0.15,"11-15%",IF(J203&lt;=0.2,"16-20%","21%+"))))</x:f>
        <x:v>16-20%</x:v>
      </x:c>
      <x:c r="P203" s="9" t="n">
        <x:f>IF(K203=0,0,L203/K203)</x:f>
        <x:v>0.34412603295800515</x:v>
      </x:c>
      <x:c r="Q203" s="3" t="str">
        <x:f>IF(L203&lt;0,"Yes","No")</x:f>
        <x:v>No</x:v>
      </x:c>
    </x:row>
    <x:row r="204" ht="21" customHeight="1">
      <x:c r="A204" s="3" t="str">
        <x:v>ORD-101719</x:v>
      </x:c>
      <x:c r="B204" s="5" t="n">
        <x:v>45364</x:v>
      </x:c>
      <x:c r="C204" s="3" t="str">
        <x:v>CUST-00529</x:v>
      </x:c>
      <x:c r="D204" s="3" t="str">
        <x:v>North</x:v>
      </x:c>
      <x:c r="E204" s="3" t="str">
        <x:v>Sports</x:v>
      </x:c>
      <x:c r="F204" s="3" t="str">
        <x:v>Outdoor</x:v>
      </x:c>
      <x:c r="G204" s="3" t="str">
        <x:v>AllWeather Tent 4P</x:v>
      </x:c>
      <x:c r="H204" s="3" t="n">
        <x:v>1</x:v>
      </x:c>
      <x:c r="I204" s="7" t="n">
        <x:v>11994.6</x:v>
      </x:c>
      <x:c r="J204" s="9" t="n">
        <x:v>0</x:v>
      </x:c>
      <x:c r="K204" s="7" t="n">
        <x:v>11994.6</x:v>
      </x:c>
      <x:c r="L204" s="7" t="n">
        <x:v>5009.6</x:v>
      </x:c>
      <x:c r="M204" s="3" t="str">
        <x:v>UPI</x:v>
      </x:c>
      <x:c r="N204" s="3" t="str">
        <x:f>TEXT(B204,"yyyy-mm")</x:f>
        <x:v>2024-03</x:v>
      </x:c>
      <x:c r="O204" s="3" t="str">
        <x:f>IF(J204=0,"No discount",IF(J204&lt;=0.1,"1-10%",IF(J204&lt;=0.15,"11-15%",IF(J204&lt;=0.2,"16-20%","21%+"))))</x:f>
        <x:v>No discount</x:v>
      </x:c>
      <x:c r="P204" s="9" t="n">
        <x:f>IF(K204=0,0,L204/K204)</x:f>
        <x:v>0.4176546112417255</x:v>
      </x:c>
      <x:c r="Q204" s="3" t="str">
        <x:f>IF(L204&lt;0,"Yes","No")</x:f>
        <x:v>No</x:v>
      </x:c>
    </x:row>
    <x:row r="205" ht="21" customHeight="1">
      <x:c r="A205" s="3" t="str">
        <x:v>ORD-100096</x:v>
      </x:c>
      <x:c r="B205" s="5" t="n">
        <x:v>45365</x:v>
      </x:c>
      <x:c r="C205" s="3" t="str">
        <x:v>CUST-00044</x:v>
      </x:c>
      <x:c r="D205" s="3" t="str">
        <x:v>West</x:v>
      </x:c>
      <x:c r="E205" s="3" t="str">
        <x:v>Electronics</x:v>
      </x:c>
      <x:c r="F205" s="3" t="str">
        <x:v>Laptop</x:v>
      </x:c>
      <x:c r="G205" s="3" t="str">
        <x:v>AirBook Slim</x:v>
      </x:c>
      <x:c r="H205" s="3" t="n">
        <x:v>1</x:v>
      </x:c>
      <x:c r="I205" s="7" t="n">
        <x:v>80607.98</x:v>
      </x:c>
      <x:c r="J205" s="9" t="n">
        <x:v>0.05</x:v>
      </x:c>
      <x:c r="K205" s="7" t="n">
        <x:v>76577.58</x:v>
      </x:c>
      <x:c r="L205" s="7" t="n">
        <x:v>9382.36</x:v>
      </x:c>
      <x:c r="M205" s="3" t="str">
        <x:v>Debit Card</x:v>
      </x:c>
      <x:c r="N205" s="3" t="str">
        <x:f>TEXT(B205,"yyyy-mm")</x:f>
        <x:v>2024-03</x:v>
      </x:c>
      <x:c r="O205" s="3" t="str">
        <x:f>IF(J205=0,"No discount",IF(J205&lt;=0.1,"1-10%",IF(J205&lt;=0.15,"11-15%",IF(J205&lt;=0.2,"16-20%","21%+"))))</x:f>
        <x:v>1-10%</x:v>
      </x:c>
      <x:c r="P205" s="9" t="n">
        <x:f>IF(K205=0,0,L205/K205)</x:f>
        <x:v>0.12252097807217205</x:v>
      </x:c>
      <x:c r="Q205" s="3" t="str">
        <x:f>IF(L205&lt;0,"Yes","No")</x:f>
        <x:v>No</x:v>
      </x:c>
    </x:row>
    <x:row r="206" ht="21" customHeight="1">
      <x:c r="A206" s="3" t="str">
        <x:v>ORD-100382</x:v>
      </x:c>
      <x:c r="B206" s="5" t="n">
        <x:v>45365</x:v>
      </x:c>
      <x:c r="C206" s="3" t="str">
        <x:v>CUST-00441</x:v>
      </x:c>
      <x:c r="D206" s="3" t="str">
        <x:v>East</x:v>
      </x:c>
      <x:c r="E206" s="3" t="str">
        <x:v>Fashion</x:v>
      </x:c>
      <x:c r="F206" s="3" t="str">
        <x:v>Women</x:v>
      </x:c>
      <x:c r="G206" s="3" t="str">
        <x:v>Floral Summer Dress</x:v>
      </x:c>
      <x:c r="H206" s="3" t="n">
        <x:v>1</x:v>
      </x:c>
      <x:c r="I206" s="7" t="n">
        <x:v>1744.33</x:v>
      </x:c>
      <x:c r="J206" s="9" t="n">
        <x:v>0.1</x:v>
      </x:c>
      <x:c r="K206" s="7" t="n">
        <x:v>1569.9</x:v>
      </x:c>
      <x:c r="L206" s="7" t="n">
        <x:v>493.39</x:v>
      </x:c>
      <x:c r="M206" s="3" t="str">
        <x:v>UPI</x:v>
      </x:c>
      <x:c r="N206" s="3" t="str">
        <x:f>TEXT(B206,"yyyy-mm")</x:f>
        <x:v>2024-03</x:v>
      </x:c>
      <x:c r="O206" s="3" t="str">
        <x:f>IF(J206=0,"No discount",IF(J206&lt;=0.1,"1-10%",IF(J206&lt;=0.15,"11-15%",IF(J206&lt;=0.2,"16-20%","21%+"))))</x:f>
        <x:v>1-10%</x:v>
      </x:c>
      <x:c r="P206" s="9" t="n">
        <x:f>IF(K206=0,0,L206/K206)</x:f>
        <x:v>0.3142811644053761</x:v>
      </x:c>
      <x:c r="Q206" s="3" t="str">
        <x:f>IF(L206&lt;0,"Yes","No")</x:f>
        <x:v>No</x:v>
      </x:c>
    </x:row>
    <x:row r="207" ht="21" customHeight="1">
      <x:c r="A207" s="3" t="str">
        <x:v>ORD-101540</x:v>
      </x:c>
      <x:c r="B207" s="5" t="n">
        <x:v>45365</x:v>
      </x:c>
      <x:c r="C207" s="3" t="str">
        <x:v>CUST-00598</x:v>
      </x:c>
      <x:c r="D207" s="3" t="str">
        <x:v>East</x:v>
      </x:c>
      <x:c r="E207" s="3" t="str">
        <x:v>Sports</x:v>
      </x:c>
      <x:c r="F207" s="3" t="str">
        <x:v>Outdoor</x:v>
      </x:c>
      <x:c r="G207" s="3" t="str">
        <x:v>AllWeather Tent 4P</x:v>
      </x:c>
      <x:c r="H207" s="3" t="n">
        <x:v>2</x:v>
      </x:c>
      <x:c r="I207" s="7" t="n">
        <x:v>12020.97</x:v>
      </x:c>
      <x:c r="J207" s="9" t="n">
        <x:v>0</x:v>
      </x:c>
      <x:c r="K207" s="7" t="n">
        <x:v>24041.94</x:v>
      </x:c>
      <x:c r="L207" s="7" t="n">
        <x:v>8388.06</x:v>
      </x:c>
      <x:c r="M207" s="3" t="str">
        <x:v>UPI</x:v>
      </x:c>
      <x:c r="N207" s="3" t="str">
        <x:f>TEXT(B207,"yyyy-mm")</x:f>
        <x:v>2024-03</x:v>
      </x:c>
      <x:c r="O207" s="3" t="str">
        <x:f>IF(J207=0,"No discount",IF(J207&lt;=0.1,"1-10%",IF(J207&lt;=0.15,"11-15%",IF(J207&lt;=0.2,"16-20%","21%+"))))</x:f>
        <x:v>No discount</x:v>
      </x:c>
      <x:c r="P207" s="9" t="n">
        <x:f>IF(K207=0,0,L207/K207)</x:f>
        <x:v>0.34889280981484855</x:v>
      </x:c>
      <x:c r="Q207" s="3" t="str">
        <x:f>IF(L207&lt;0,"Yes","No")</x:f>
        <x:v>No</x:v>
      </x:c>
    </x:row>
    <x:row r="208" ht="21" customHeight="1">
      <x:c r="A208" s="3" t="str">
        <x:v>ORD-100215</x:v>
      </x:c>
      <x:c r="B208" s="5" t="n">
        <x:v>45366</x:v>
      </x:c>
      <x:c r="C208" s="3" t="str">
        <x:v>CUST-00070</x:v>
      </x:c>
      <x:c r="D208" s="3" t="str">
        <x:v>South</x:v>
      </x:c>
      <x:c r="E208" s="3" t="str">
        <x:v>Beauty</x:v>
      </x:c>
      <x:c r="F208" s="3" t="str">
        <x:v>Skincare</x:v>
      </x:c>
      <x:c r="G208" s="3" t="str">
        <x:v>HydraBoost Moisturizer</x:v>
      </x:c>
      <x:c r="H208" s="3" t="n">
        <x:v>4</x:v>
      </x:c>
      <x:c r="I208" s="7" t="n">
        <x:v>1242.26</x:v>
      </x:c>
      <x:c r="J208" s="9" t="n">
        <x:v>0</x:v>
      </x:c>
      <x:c r="K208" s="7" t="n">
        <x:v>4969.04</x:v>
      </x:c>
      <x:c r="L208" s="7" t="n">
        <x:v>2760.15</x:v>
      </x:c>
      <x:c r="M208" s="3" t="str">
        <x:v>Credit Card</x:v>
      </x:c>
      <x:c r="N208" s="3" t="str">
        <x:f>TEXT(B208,"yyyy-mm")</x:f>
        <x:v>2024-03</x:v>
      </x:c>
      <x:c r="O208" s="3" t="str">
        <x:f>IF(J208=0,"No discount",IF(J208&lt;=0.1,"1-10%",IF(J208&lt;=0.15,"11-15%",IF(J208&lt;=0.2,"16-20%","21%+"))))</x:f>
        <x:v>No discount</x:v>
      </x:c>
      <x:c r="P208" s="9" t="n">
        <x:f>IF(K208=0,0,L208/K208)</x:f>
        <x:v>0.5554694669392881</x:v>
      </x:c>
      <x:c r="Q208" s="3" t="str">
        <x:f>IF(L208&lt;0,"Yes","No")</x:f>
        <x:v>No</x:v>
      </x:c>
    </x:row>
    <x:row r="209" ht="21" customHeight="1">
      <x:c r="A209" s="3" t="str">
        <x:v>ORD-100240</x:v>
      </x:c>
      <x:c r="B209" s="5" t="n">
        <x:v>45366</x:v>
      </x:c>
      <x:c r="C209" s="3" t="str">
        <x:v>CUST-00406</x:v>
      </x:c>
      <x:c r="D209" s="3" t="str">
        <x:v>South</x:v>
      </x:c>
      <x:c r="E209" s="3" t="str">
        <x:v>Home &amp; Kitchen</x:v>
      </x:c>
      <x:c r="F209" s="3" t="str">
        <x:v>Furniture</x:v>
      </x:c>
      <x:c r="G209" s="3" t="str">
        <x:v>Oakwood Study Desk</x:v>
      </x:c>
      <x:c r="H209" s="3" t="n">
        <x:v>1</x:v>
      </x:c>
      <x:c r="I209" s="7" t="n">
        <x:v>12533.18</x:v>
      </x:c>
      <x:c r="J209" s="9" t="n">
        <x:v>0.15</x:v>
      </x:c>
      <x:c r="K209" s="7" t="n">
        <x:v>10653.2</x:v>
      </x:c>
      <x:c r="L209" s="7" t="n">
        <x:v>1346.28</x:v>
      </x:c>
      <x:c r="M209" s="3" t="str">
        <x:v>UPI</x:v>
      </x:c>
      <x:c r="N209" s="3" t="str">
        <x:f>TEXT(B209,"yyyy-mm")</x:f>
        <x:v>2024-03</x:v>
      </x:c>
      <x:c r="O209" s="3" t="str">
        <x:f>IF(J209=0,"No discount",IF(J209&lt;=0.1,"1-10%",IF(J209&lt;=0.15,"11-15%",IF(J209&lt;=0.2,"16-20%","21%+"))))</x:f>
        <x:v>11-15%</x:v>
      </x:c>
      <x:c r="P209" s="9" t="n">
        <x:f>IF(K209=0,0,L209/K209)</x:f>
        <x:v>0.12637329628656177</x:v>
      </x:c>
      <x:c r="Q209" s="3" t="str">
        <x:f>IF(L209&lt;0,"Yes","No")</x:f>
        <x:v>No</x:v>
      </x:c>
    </x:row>
    <x:row r="210" ht="21" customHeight="1">
      <x:c r="A210" s="3" t="str">
        <x:v>ORD-100306</x:v>
      </x:c>
      <x:c r="B210" s="5" t="n">
        <x:v>45366</x:v>
      </x:c>
      <x:c r="C210" s="3" t="str">
        <x:v>CUST-00515</x:v>
      </x:c>
      <x:c r="D210" s="3" t="str">
        <x:v>North</x:v>
      </x:c>
      <x:c r="E210" s="3" t="str">
        <x:v>Home &amp; Kitchen</x:v>
      </x:c>
      <x:c r="F210" s="3" t="str">
        <x:v>Decor</x:v>
      </x:c>
      <x:c r="G210" s="3" t="str">
        <x:v>LED Wall Lamp</x:v>
      </x:c>
      <x:c r="H210" s="3" t="n">
        <x:v>1</x:v>
      </x:c>
      <x:c r="I210" s="7" t="n">
        <x:v>980.66</x:v>
      </x:c>
      <x:c r="J210" s="9" t="n">
        <x:v>0.05</x:v>
      </x:c>
      <x:c r="K210" s="7" t="n">
        <x:v>931.63</x:v>
      </x:c>
      <x:c r="L210" s="7" t="n">
        <x:v>245.63</x:v>
      </x:c>
      <x:c r="M210" s="3" t="str">
        <x:v>UPI</x:v>
      </x:c>
      <x:c r="N210" s="3" t="str">
        <x:f>TEXT(B210,"yyyy-mm")</x:f>
        <x:v>2024-03</x:v>
      </x:c>
      <x:c r="O210" s="3" t="str">
        <x:f>IF(J210=0,"No discount",IF(J210&lt;=0.1,"1-10%",IF(J210&lt;=0.15,"11-15%",IF(J210&lt;=0.2,"16-20%","21%+"))))</x:f>
        <x:v>1-10%</x:v>
      </x:c>
      <x:c r="P210" s="9" t="n">
        <x:f>IF(K210=0,0,L210/K210)</x:f>
        <x:v>0.2636561725148396</x:v>
      </x:c>
      <x:c r="Q210" s="3" t="str">
        <x:f>IF(L210&lt;0,"Yes","No")</x:f>
        <x:v>No</x:v>
      </x:c>
    </x:row>
    <x:row r="211" ht="21" customHeight="1">
      <x:c r="A211" s="3" t="str">
        <x:v>ORD-100739</x:v>
      </x:c>
      <x:c r="B211" s="5" t="n">
        <x:v>45366</x:v>
      </x:c>
      <x:c r="C211" s="3" t="str">
        <x:v>CUST-00474</x:v>
      </x:c>
      <x:c r="D211" s="3" t="str">
        <x:v>South</x:v>
      </x:c>
      <x:c r="E211" s="3" t="str">
        <x:v>Beauty</x:v>
      </x:c>
      <x:c r="F211" s="3" t="str">
        <x:v>Skincare</x:v>
      </x:c>
      <x:c r="G211" s="3" t="str">
        <x:v>Vitamin C Serum</x:v>
      </x:c>
      <x:c r="H211" s="3" t="n">
        <x:v>2</x:v>
      </x:c>
      <x:c r="I211" s="7" t="n">
        <x:v>867.95</x:v>
      </x:c>
      <x:c r="J211" s="9" t="n">
        <x:v>0.1</x:v>
      </x:c>
      <x:c r="K211" s="7" t="n">
        <x:v>1562.31</x:v>
      </x:c>
      <x:c r="L211" s="7" t="n">
        <x:v>630.27</x:v>
      </x:c>
      <x:c r="M211" s="3" t="str">
        <x:v>Credit Card</x:v>
      </x:c>
      <x:c r="N211" s="3" t="str">
        <x:f>TEXT(B211,"yyyy-mm")</x:f>
        <x:v>2024-03</x:v>
      </x:c>
      <x:c r="O211" s="3" t="str">
        <x:f>IF(J211=0,"No discount",IF(J211&lt;=0.1,"1-10%",IF(J211&lt;=0.15,"11-15%",IF(J211&lt;=0.2,"16-20%","21%+"))))</x:f>
        <x:v>1-10%</x:v>
      </x:c>
      <x:c r="P211" s="9" t="n">
        <x:f>IF(K211=0,0,L211/K211)</x:f>
        <x:v>0.4034218560977015</x:v>
      </x:c>
      <x:c r="Q211" s="3" t="str">
        <x:f>IF(L211&lt;0,"Yes","No")</x:f>
        <x:v>No</x:v>
      </x:c>
    </x:row>
    <x:row r="212" ht="21" customHeight="1">
      <x:c r="A212" s="3" t="str">
        <x:v>ORD-100808</x:v>
      </x:c>
      <x:c r="B212" s="5" t="n">
        <x:v>45366</x:v>
      </x:c>
      <x:c r="C212" s="3" t="str">
        <x:v>CUST-00384</x:v>
      </x:c>
      <x:c r="D212" s="3" t="str">
        <x:v>North</x:v>
      </x:c>
      <x:c r="E212" s="3" t="str">
        <x:v>Fashion</x:v>
      </x:c>
      <x:c r="F212" s="3" t="str">
        <x:v>Men</x:v>
      </x:c>
      <x:c r="G212" s="3" t="str">
        <x:v>SlimFit Denim Jeans</x:v>
      </x:c>
      <x:c r="H212" s="3" t="n">
        <x:v>2</x:v>
      </x:c>
      <x:c r="I212" s="7" t="n">
        <x:v>2093.62</x:v>
      </x:c>
      <x:c r="J212" s="9" t="n">
        <x:v>0.05</x:v>
      </x:c>
      <x:c r="K212" s="7" t="n">
        <x:v>3977.88</x:v>
      </x:c>
      <x:c r="L212" s="7" t="n">
        <x:v>1576.39</x:v>
      </x:c>
      <x:c r="M212" s="3" t="str">
        <x:v>UPI</x:v>
      </x:c>
      <x:c r="N212" s="3" t="str">
        <x:f>TEXT(B212,"yyyy-mm")</x:f>
        <x:v>2024-03</x:v>
      </x:c>
      <x:c r="O212" s="3" t="str">
        <x:f>IF(J212=0,"No discount",IF(J212&lt;=0.1,"1-10%",IF(J212&lt;=0.15,"11-15%",IF(J212&lt;=0.2,"16-20%","21%+"))))</x:f>
        <x:v>1-10%</x:v>
      </x:c>
      <x:c r="P212" s="9" t="n">
        <x:f>IF(K212=0,0,L212/K212)</x:f>
        <x:v>0.3962889780486088</x:v>
      </x:c>
      <x:c r="Q212" s="3" t="str">
        <x:f>IF(L212&lt;0,"Yes","No")</x:f>
        <x:v>No</x:v>
      </x:c>
    </x:row>
    <x:row r="213" ht="21" customHeight="1">
      <x:c r="A213" s="3" t="str">
        <x:v>ORD-101361</x:v>
      </x:c>
      <x:c r="B213" s="5" t="n">
        <x:v>45366</x:v>
      </x:c>
      <x:c r="C213" s="3" t="str">
        <x:v>CUST-00380</x:v>
      </x:c>
      <x:c r="D213" s="3" t="str">
        <x:v>North</x:v>
      </x:c>
      <x:c r="E213" s="3" t="str">
        <x:v>Electronics</x:v>
      </x:c>
      <x:c r="F213" s="3" t="str">
        <x:v>Audio</x:v>
      </x:c>
      <x:c r="G213" s="3" t="str">
        <x:v>SoundPods Pro</x:v>
      </x:c>
      <x:c r="H213" s="3" t="n">
        <x:v>1</x:v>
      </x:c>
      <x:c r="I213" s="7" t="n">
        <x:v>5009.02</x:v>
      </x:c>
      <x:c r="J213" s="9" t="n">
        <x:v>0.1</x:v>
      </x:c>
      <x:c r="K213" s="7" t="n">
        <x:v>4508.12</x:v>
      </x:c>
      <x:c r="L213" s="7" t="n">
        <x:v>341.82</x:v>
      </x:c>
      <x:c r="M213" s="3" t="str">
        <x:v>Credit Card</x:v>
      </x:c>
      <x:c r="N213" s="3" t="str">
        <x:f>TEXT(B213,"yyyy-mm")</x:f>
        <x:v>2024-03</x:v>
      </x:c>
      <x:c r="O213" s="3" t="str">
        <x:f>IF(J213=0,"No discount",IF(J213&lt;=0.1,"1-10%",IF(J213&lt;=0.15,"11-15%",IF(J213&lt;=0.2,"16-20%","21%+"))))</x:f>
        <x:v>1-10%</x:v>
      </x:c>
      <x:c r="P213" s="9" t="n">
        <x:f>IF(K213=0,0,L213/K213)</x:f>
        <x:v>0.075823181281776</x:v>
      </x:c>
      <x:c r="Q213" s="3" t="str">
        <x:f>IF(L213&lt;0,"Yes","No")</x:f>
        <x:v>No</x:v>
      </x:c>
    </x:row>
    <x:row r="214" ht="21" customHeight="1">
      <x:c r="A214" s="3" t="str">
        <x:v>ORD-100181</x:v>
      </x:c>
      <x:c r="B214" s="5" t="n">
        <x:v>45367</x:v>
      </x:c>
      <x:c r="C214" s="3" t="str">
        <x:v>CUST-00158</x:v>
      </x:c>
      <x:c r="D214" s="3" t="str">
        <x:v>North</x:v>
      </x:c>
      <x:c r="E214" s="3" t="str">
        <x:v>Beauty</x:v>
      </x:c>
      <x:c r="F214" s="3" t="str">
        <x:v>Makeup</x:v>
      </x:c>
      <x:c r="G214" s="3" t="str">
        <x:v>HD Foundation Kit</x:v>
      </x:c>
      <x:c r="H214" s="3" t="n">
        <x:v>1</x:v>
      </x:c>
      <x:c r="I214" s="7" t="n">
        <x:v>1481.02</x:v>
      </x:c>
      <x:c r="J214" s="9" t="n">
        <x:v>0.1</x:v>
      </x:c>
      <x:c r="K214" s="7" t="n">
        <x:v>1332.92</x:v>
      </x:c>
      <x:c r="L214" s="7" t="n">
        <x:v>608.84</x:v>
      </x:c>
      <x:c r="M214" s="3" t="str">
        <x:v>UPI</x:v>
      </x:c>
      <x:c r="N214" s="3" t="str">
        <x:f>TEXT(B214,"yyyy-mm")</x:f>
        <x:v>2024-03</x:v>
      </x:c>
      <x:c r="O214" s="3" t="str">
        <x:f>IF(J214=0,"No discount",IF(J214&lt;=0.1,"1-10%",IF(J214&lt;=0.15,"11-15%",IF(J214&lt;=0.2,"16-20%","21%+"))))</x:f>
        <x:v>1-10%</x:v>
      </x:c>
      <x:c r="P214" s="9" t="n">
        <x:f>IF(K214=0,0,L214/K214)</x:f>
        <x:v>0.45677159919575067</x:v>
      </x:c>
      <x:c r="Q214" s="3" t="str">
        <x:f>IF(L214&lt;0,"Yes","No")</x:f>
        <x:v>No</x:v>
      </x:c>
    </x:row>
    <x:row r="215" ht="21" customHeight="1">
      <x:c r="A215" s="3" t="str">
        <x:v>ORD-100464</x:v>
      </x:c>
      <x:c r="B215" s="5" t="n">
        <x:v>45367</x:v>
      </x:c>
      <x:c r="C215" s="3" t="str">
        <x:v>CUST-00497</x:v>
      </x:c>
      <x:c r="D215" s="3" t="str">
        <x:v>South</x:v>
      </x:c>
      <x:c r="E215" s="3" t="str">
        <x:v>Sports</x:v>
      </x:c>
      <x:c r="F215" s="3" t="str">
        <x:v>Outdoor</x:v>
      </x:c>
      <x:c r="G215" s="3" t="str">
        <x:v>AllWeather Tent 4P</x:v>
      </x:c>
      <x:c r="H215" s="3" t="n">
        <x:v>1</x:v>
      </x:c>
      <x:c r="I215" s="7" t="n">
        <x:v>11789.84</x:v>
      </x:c>
      <x:c r="J215" s="9" t="n">
        <x:v>0.1</x:v>
      </x:c>
      <x:c r="K215" s="7" t="n">
        <x:v>10610.86</x:v>
      </x:c>
      <x:c r="L215" s="7" t="n">
        <x:v>3048.69</x:v>
      </x:c>
      <x:c r="M215" s="3" t="str">
        <x:v>UPI</x:v>
      </x:c>
      <x:c r="N215" s="3" t="str">
        <x:f>TEXT(B215,"yyyy-mm")</x:f>
        <x:v>2024-03</x:v>
      </x:c>
      <x:c r="O215" s="3" t="str">
        <x:f>IF(J215=0,"No discount",IF(J215&lt;=0.1,"1-10%",IF(J215&lt;=0.15,"11-15%",IF(J215&lt;=0.2,"16-20%","21%+"))))</x:f>
        <x:v>1-10%</x:v>
      </x:c>
      <x:c r="P215" s="9" t="n">
        <x:f>IF(K215=0,0,L215/K215)</x:f>
        <x:v>0.2873178988319514</x:v>
      </x:c>
      <x:c r="Q215" s="3" t="str">
        <x:f>IF(L215&lt;0,"Yes","No")</x:f>
        <x:v>No</x:v>
      </x:c>
    </x:row>
    <x:row r="216" ht="21" customHeight="1">
      <x:c r="A216" s="3" t="str">
        <x:v>ORD-100945</x:v>
      </x:c>
      <x:c r="B216" s="5" t="n">
        <x:v>45367</x:v>
      </x:c>
      <x:c r="C216" s="3" t="str">
        <x:v>CUST-00424</x:v>
      </x:c>
      <x:c r="D216" s="3" t="str">
        <x:v>North</x:v>
      </x:c>
      <x:c r="E216" s="3" t="str">
        <x:v>Electronics</x:v>
      </x:c>
      <x:c r="F216" s="3" t="str">
        <x:v>Mobile</x:v>
      </x:c>
      <x:c r="G216" s="3" t="str">
        <x:v>Galaxy Nova X5</x:v>
      </x:c>
      <x:c r="H216" s="3" t="n">
        <x:v>2</x:v>
      </x:c>
      <x:c r="I216" s="7" t="n">
        <x:v>24672.64</x:v>
      </x:c>
      <x:c r="J216" s="9" t="n">
        <x:v>0</x:v>
      </x:c>
      <x:c r="K216" s="7" t="n">
        <x:v>49345.28</x:v>
      </x:c>
      <x:c r="L216" s="7" t="n">
        <x:v>10554.39</x:v>
      </x:c>
      <x:c r="M216" s="3" t="str">
        <x:v>UPI</x:v>
      </x:c>
      <x:c r="N216" s="3" t="str">
        <x:f>TEXT(B216,"yyyy-mm")</x:f>
        <x:v>2024-03</x:v>
      </x:c>
      <x:c r="O216" s="3" t="str">
        <x:f>IF(J216=0,"No discount",IF(J216&lt;=0.1,"1-10%",IF(J216&lt;=0.15,"11-15%",IF(J216&lt;=0.2,"16-20%","21%+"))))</x:f>
        <x:v>No discount</x:v>
      </x:c>
      <x:c r="P216" s="9" t="n">
        <x:f>IF(K216=0,0,L216/K216)</x:f>
        <x:v>0.21388854212601488</x:v>
      </x:c>
      <x:c r="Q216" s="3" t="str">
        <x:f>IF(L216&lt;0,"Yes","No")</x:f>
        <x:v>No</x:v>
      </x:c>
    </x:row>
    <x:row r="217" ht="21" customHeight="1">
      <x:c r="A217" s="3" t="str">
        <x:v>ORD-101020</x:v>
      </x:c>
      <x:c r="B217" s="5" t="n">
        <x:v>45367</x:v>
      </x:c>
      <x:c r="C217" s="3" t="str">
        <x:v>CUST-00488</x:v>
      </x:c>
      <x:c r="D217" s="3" t="str">
        <x:v>South</x:v>
      </x:c>
      <x:c r="E217" s="3" t="str">
        <x:v>Electronics</x:v>
      </x:c>
      <x:c r="F217" s="3" t="str">
        <x:v>Audio</x:v>
      </x:c>
      <x:c r="G217" s="3" t="str">
        <x:v>SoundPods Pro</x:v>
      </x:c>
      <x:c r="H217" s="3" t="n">
        <x:v>1</x:v>
      </x:c>
      <x:c r="I217" s="7" t="n">
        <x:v>4778.25</x:v>
      </x:c>
      <x:c r="J217" s="9" t="n">
        <x:v>0</x:v>
      </x:c>
      <x:c r="K217" s="7" t="n">
        <x:v>4778.25</x:v>
      </x:c>
      <x:c r="L217" s="7" t="n">
        <x:v>817.09</x:v>
      </x:c>
      <x:c r="M217" s="3" t="str">
        <x:v>Net Banking</x:v>
      </x:c>
      <x:c r="N217" s="3" t="str">
        <x:f>TEXT(B217,"yyyy-mm")</x:f>
        <x:v>2024-03</x:v>
      </x:c>
      <x:c r="O217" s="3" t="str">
        <x:f>IF(J217=0,"No discount",IF(J217&lt;=0.1,"1-10%",IF(J217&lt;=0.15,"11-15%",IF(J217&lt;=0.2,"16-20%","21%+"))))</x:f>
        <x:v>No discount</x:v>
      </x:c>
      <x:c r="P217" s="9" t="n">
        <x:f>IF(K217=0,0,L217/K217)</x:f>
        <x:v>0.17100193585517712</x:v>
      </x:c>
      <x:c r="Q217" s="3" t="str">
        <x:f>IF(L217&lt;0,"Yes","No")</x:f>
        <x:v>No</x:v>
      </x:c>
    </x:row>
    <x:row r="218" ht="21" customHeight="1">
      <x:c r="A218" s="3" t="str">
        <x:v>ORD-101191</x:v>
      </x:c>
      <x:c r="B218" s="5" t="n">
        <x:v>45367</x:v>
      </x:c>
      <x:c r="C218" s="3" t="str">
        <x:v>CUST-00566</x:v>
      </x:c>
      <x:c r="D218" s="3" t="str">
        <x:v>West</x:v>
      </x:c>
      <x:c r="E218" s="3" t="str">
        <x:v>Beauty</x:v>
      </x:c>
      <x:c r="F218" s="3" t="str">
        <x:v>Skincare</x:v>
      </x:c>
      <x:c r="G218" s="3" t="str">
        <x:v>Vitamin C Serum</x:v>
      </x:c>
      <x:c r="H218" s="3" t="n">
        <x:v>1</x:v>
      </x:c>
      <x:c r="I218" s="7" t="n">
        <x:v>874.89</x:v>
      </x:c>
      <x:c r="J218" s="9" t="n">
        <x:v>0.1</x:v>
      </x:c>
      <x:c r="K218" s="7" t="n">
        <x:v>787.4</x:v>
      </x:c>
      <x:c r="L218" s="7" t="n">
        <x:v>318.99</x:v>
      </x:c>
      <x:c r="M218" s="3" t="str">
        <x:v>Credit Card</x:v>
      </x:c>
      <x:c r="N218" s="3" t="str">
        <x:f>TEXT(B218,"yyyy-mm")</x:f>
        <x:v>2024-03</x:v>
      </x:c>
      <x:c r="O218" s="3" t="str">
        <x:f>IF(J218=0,"No discount",IF(J218&lt;=0.1,"1-10%",IF(J218&lt;=0.15,"11-15%",IF(J218&lt;=0.2,"16-20%","21%+"))))</x:f>
        <x:v>1-10%</x:v>
      </x:c>
      <x:c r="P218" s="9" t="n">
        <x:f>IF(K218=0,0,L218/K218)</x:f>
        <x:v>0.4051181102362205</x:v>
      </x:c>
      <x:c r="Q218" s="3" t="str">
        <x:f>IF(L218&lt;0,"Yes","No")</x:f>
        <x:v>No</x:v>
      </x:c>
    </x:row>
    <x:row r="219" ht="21" customHeight="1">
      <x:c r="A219" s="3" t="str">
        <x:v>ORD-101409</x:v>
      </x:c>
      <x:c r="B219" s="5" t="n">
        <x:v>45367</x:v>
      </x:c>
      <x:c r="C219" s="3" t="str">
        <x:v>CUST-00388</x:v>
      </x:c>
      <x:c r="D219" s="3" t="str">
        <x:v>East</x:v>
      </x:c>
      <x:c r="E219" s="3" t="str">
        <x:v>Sports</x:v>
      </x:c>
      <x:c r="F219" s="3" t="str">
        <x:v>Fitness</x:v>
      </x:c>
      <x:c r="G219" s="3" t="str">
        <x:v>ProYoga Mat</x:v>
      </x:c>
      <x:c r="H219" s="3" t="n">
        <x:v>1</x:v>
      </x:c>
      <x:c r="I219" s="7" t="n">
        <x:v>1237.03</x:v>
      </x:c>
      <x:c r="J219" s="9" t="n">
        <x:v>0</x:v>
      </x:c>
      <x:c r="K219" s="7" t="n">
        <x:v>1237.03</x:v>
      </x:c>
      <x:c r="L219" s="7" t="n">
        <x:v>436.61</x:v>
      </x:c>
      <x:c r="M219" s="3" t="str">
        <x:v>UPI</x:v>
      </x:c>
      <x:c r="N219" s="3" t="str">
        <x:f>TEXT(B219,"yyyy-mm")</x:f>
        <x:v>2024-03</x:v>
      </x:c>
      <x:c r="O219" s="3" t="str">
        <x:f>IF(J219=0,"No discount",IF(J219&lt;=0.1,"1-10%",IF(J219&lt;=0.15,"11-15%",IF(J219&lt;=0.2,"16-20%","21%+"))))</x:f>
        <x:v>No discount</x:v>
      </x:c>
      <x:c r="P219" s="9" t="n">
        <x:f>IF(K219=0,0,L219/K219)</x:f>
        <x:v>0.35295021139341815</x:v>
      </x:c>
      <x:c r="Q219" s="3" t="str">
        <x:f>IF(L219&lt;0,"Yes","No")</x:f>
        <x:v>No</x:v>
      </x:c>
    </x:row>
    <x:row r="220" ht="21" customHeight="1">
      <x:c r="A220" s="3" t="str">
        <x:v>ORD-101480</x:v>
      </x:c>
      <x:c r="B220" s="5" t="n">
        <x:v>45367</x:v>
      </x:c>
      <x:c r="C220" s="3" t="str">
        <x:v>CUST-00051</x:v>
      </x:c>
      <x:c r="D220" s="3" t="str">
        <x:v>South</x:v>
      </x:c>
      <x:c r="E220" s="3" t="str">
        <x:v>Electronics</x:v>
      </x:c>
      <x:c r="F220" s="3" t="str">
        <x:v>Audio</x:v>
      </x:c>
      <x:c r="G220" s="3" t="str">
        <x:v>BassBoom Speaker</x:v>
      </x:c>
      <x:c r="H220" s="3" t="n">
        <x:v>5</x:v>
      </x:c>
      <x:c r="I220" s="7" t="n">
        <x:v>9176.18</x:v>
      </x:c>
      <x:c r="J220" s="9" t="n">
        <x:v>0</x:v>
      </x:c>
      <x:c r="K220" s="7" t="n">
        <x:v>45880.9</x:v>
      </x:c>
      <x:c r="L220" s="7" t="n">
        <x:v>10029.64</x:v>
      </x:c>
      <x:c r="M220" s="3" t="str">
        <x:v>Debit Card</x:v>
      </x:c>
      <x:c r="N220" s="3" t="str">
        <x:f>TEXT(B220,"yyyy-mm")</x:f>
        <x:v>2024-03</x:v>
      </x:c>
      <x:c r="O220" s="3" t="str">
        <x:f>IF(J220=0,"No discount",IF(J220&lt;=0.1,"1-10%",IF(J220&lt;=0.15,"11-15%",IF(J220&lt;=0.2,"16-20%","21%+"))))</x:f>
        <x:v>No discount</x:v>
      </x:c>
      <x:c r="P220" s="9" t="n">
        <x:f>IF(K220=0,0,L220/K220)</x:f>
        <x:v>0.21860164033399518</x:v>
      </x:c>
      <x:c r="Q220" s="3" t="str">
        <x:f>IF(L220&lt;0,"Yes","No")</x:f>
        <x:v>No</x:v>
      </x:c>
    </x:row>
    <x:row r="221" ht="21" customHeight="1">
      <x:c r="A221" s="3" t="str">
        <x:v>ORD-100298</x:v>
      </x:c>
      <x:c r="B221" s="5" t="n">
        <x:v>45368</x:v>
      </x:c>
      <x:c r="C221" s="3" t="str">
        <x:v>CUST-00178</x:v>
      </x:c>
      <x:c r="D221" s="3" t="str">
        <x:v>West</x:v>
      </x:c>
      <x:c r="E221" s="3" t="str">
        <x:v>Fashion</x:v>
      </x:c>
      <x:c r="F221" s="3" t="str">
        <x:v>Footwear</x:v>
      </x:c>
      <x:c r="G221" s="3" t="str">
        <x:v>UrbanLoafers</x:v>
      </x:c>
      <x:c r="H221" s="3" t="n">
        <x:v>2</x:v>
      </x:c>
      <x:c r="I221" s="7" t="n">
        <x:v>3535.18</x:v>
      </x:c>
      <x:c r="J221" s="9" t="n">
        <x:v>0.1</x:v>
      </x:c>
      <x:c r="K221" s="7" t="n">
        <x:v>6363.32</x:v>
      </x:c>
      <x:c r="L221" s="7" t="n">
        <x:v>2081.39</x:v>
      </x:c>
      <x:c r="M221" s="3" t="str">
        <x:v>UPI</x:v>
      </x:c>
      <x:c r="N221" s="3" t="str">
        <x:f>TEXT(B221,"yyyy-mm")</x:f>
        <x:v>2024-03</x:v>
      </x:c>
      <x:c r="O221" s="3" t="str">
        <x:f>IF(J221=0,"No discount",IF(J221&lt;=0.1,"1-10%",IF(J221&lt;=0.15,"11-15%",IF(J221&lt;=0.2,"16-20%","21%+"))))</x:f>
        <x:v>1-10%</x:v>
      </x:c>
      <x:c r="P221" s="9" t="n">
        <x:f>IF(K221=0,0,L221/K221)</x:f>
        <x:v>0.3270918325653904</x:v>
      </x:c>
      <x:c r="Q221" s="3" t="str">
        <x:f>IF(L221&lt;0,"Yes","No")</x:f>
        <x:v>No</x:v>
      </x:c>
    </x:row>
    <x:row r="222" ht="21" customHeight="1">
      <x:c r="A222" s="3" t="str">
        <x:v>ORD-100679</x:v>
      </x:c>
      <x:c r="B222" s="5" t="n">
        <x:v>45368</x:v>
      </x:c>
      <x:c r="C222" s="3" t="str">
        <x:v>CUST-00267</x:v>
      </x:c>
      <x:c r="D222" s="3" t="str">
        <x:v>North</x:v>
      </x:c>
      <x:c r="E222" s="3" t="str">
        <x:v>Fashion</x:v>
      </x:c>
      <x:c r="F222" s="3" t="str">
        <x:v>Women</x:v>
      </x:c>
      <x:c r="G222" s="3" t="str">
        <x:v>Floral Summer Dress</x:v>
      </x:c>
      <x:c r="H222" s="3" t="n">
        <x:v>4</x:v>
      </x:c>
      <x:c r="I222" s="7" t="n">
        <x:v>1747.92</x:v>
      </x:c>
      <x:c r="J222" s="9" t="n">
        <x:v>0.1</x:v>
      </x:c>
      <x:c r="K222" s="7" t="n">
        <x:v>6292.51</x:v>
      </x:c>
      <x:c r="L222" s="7" t="n">
        <x:v>1848.27</x:v>
      </x:c>
      <x:c r="M222" s="3" t="str">
        <x:v>Credit Card</x:v>
      </x:c>
      <x:c r="N222" s="3" t="str">
        <x:f>TEXT(B222,"yyyy-mm")</x:f>
        <x:v>2024-03</x:v>
      </x:c>
      <x:c r="O222" s="3" t="str">
        <x:f>IF(J222=0,"No discount",IF(J222&lt;=0.1,"1-10%",IF(J222&lt;=0.15,"11-15%",IF(J222&lt;=0.2,"16-20%","21%+"))))</x:f>
        <x:v>1-10%</x:v>
      </x:c>
      <x:c r="P222" s="9" t="n">
        <x:f>IF(K222=0,0,L222/K222)</x:f>
        <x:v>0.29372539733746944</x:v>
      </x:c>
      <x:c r="Q222" s="3" t="str">
        <x:f>IF(L222&lt;0,"Yes","No")</x:f>
        <x:v>No</x:v>
      </x:c>
    </x:row>
    <x:row r="223" ht="21" customHeight="1">
      <x:c r="A223" s="3" t="str">
        <x:v>ORD-100707</x:v>
      </x:c>
      <x:c r="B223" s="5" t="n">
        <x:v>45368</x:v>
      </x:c>
      <x:c r="C223" s="3" t="str">
        <x:v>CUST-00522</x:v>
      </x:c>
      <x:c r="D223" s="3" t="str">
        <x:v>East</x:v>
      </x:c>
      <x:c r="E223" s="3" t="str">
        <x:v>Home &amp; Kitchen</x:v>
      </x:c>
      <x:c r="F223" s="3" t="str">
        <x:v>Furniture</x:v>
      </x:c>
      <x:c r="G223" s="3" t="str">
        <x:v>Oakwood Study Desk</x:v>
      </x:c>
      <x:c r="H223" s="3" t="n">
        <x:v>3</x:v>
      </x:c>
      <x:c r="I223" s="7" t="n">
        <x:v>13311.91</x:v>
      </x:c>
      <x:c r="J223" s="9" t="n">
        <x:v>0.1</x:v>
      </x:c>
      <x:c r="K223" s="7" t="n">
        <x:v>35942.16</x:v>
      </x:c>
      <x:c r="L223" s="7" t="n">
        <x:v>7432.82</x:v>
      </x:c>
      <x:c r="M223" s="3" t="str">
        <x:v>Net Banking</x:v>
      </x:c>
      <x:c r="N223" s="3" t="str">
        <x:f>TEXT(B223,"yyyy-mm")</x:f>
        <x:v>2024-03</x:v>
      </x:c>
      <x:c r="O223" s="3" t="str">
        <x:f>IF(J223=0,"No discount",IF(J223&lt;=0.1,"1-10%",IF(J223&lt;=0.15,"11-15%",IF(J223&lt;=0.2,"16-20%","21%+"))))</x:f>
        <x:v>1-10%</x:v>
      </x:c>
      <x:c r="P223" s="9" t="n">
        <x:f>IF(K223=0,0,L223/K223)</x:f>
        <x:v>0.20679948005350815</x:v>
      </x:c>
      <x:c r="Q223" s="3" t="str">
        <x:f>IF(L223&lt;0,"Yes","No")</x:f>
        <x:v>No</x:v>
      </x:c>
    </x:row>
    <x:row r="224" ht="21" customHeight="1">
      <x:c r="A224" s="3" t="str">
        <x:v>ORD-100766</x:v>
      </x:c>
      <x:c r="B224" s="5" t="n">
        <x:v>45368</x:v>
      </x:c>
      <x:c r="C224" s="3" t="str">
        <x:v>CUST-00432</x:v>
      </x:c>
      <x:c r="D224" s="3" t="str">
        <x:v>West</x:v>
      </x:c>
      <x:c r="E224" s="3" t="str">
        <x:v>Home &amp; Kitchen</x:v>
      </x:c>
      <x:c r="F224" s="3" t="str">
        <x:v>Appliances</x:v>
      </x:c>
      <x:c r="G224" s="3" t="str">
        <x:v>AirFryer Deluxe</x:v>
      </x:c>
      <x:c r="H224" s="3" t="n">
        <x:v>1</x:v>
      </x:c>
      <x:c r="I224" s="7" t="n">
        <x:v>7821.46</x:v>
      </x:c>
      <x:c r="J224" s="9" t="n">
        <x:v>0</x:v>
      </x:c>
      <x:c r="K224" s="7" t="n">
        <x:v>7821.46</x:v>
      </x:c>
      <x:c r="L224" s="7" t="n">
        <x:v>2648.6</x:v>
      </x:c>
      <x:c r="M224" s="3" t="str">
        <x:v>Net Banking</x:v>
      </x:c>
      <x:c r="N224" s="3" t="str">
        <x:f>TEXT(B224,"yyyy-mm")</x:f>
        <x:v>2024-03</x:v>
      </x:c>
      <x:c r="O224" s="3" t="str">
        <x:f>IF(J224=0,"No discount",IF(J224&lt;=0.1,"1-10%",IF(J224&lt;=0.15,"11-15%",IF(J224&lt;=0.2,"16-20%","21%+"))))</x:f>
        <x:v>No discount</x:v>
      </x:c>
      <x:c r="P224" s="9" t="n">
        <x:f>IF(K224=0,0,L224/K224)</x:f>
        <x:v>0.3386324292395537</x:v>
      </x:c>
      <x:c r="Q224" s="3" t="str">
        <x:f>IF(L224&lt;0,"Yes","No")</x:f>
        <x:v>No</x:v>
      </x:c>
    </x:row>
    <x:row r="225" ht="21" customHeight="1">
      <x:c r="A225" s="3" t="str">
        <x:v>ORD-101364</x:v>
      </x:c>
      <x:c r="B225" s="5" t="n">
        <x:v>45368</x:v>
      </x:c>
      <x:c r="C225" s="3" t="str">
        <x:v>CUST-00565</x:v>
      </x:c>
      <x:c r="D225" s="3" t="str">
        <x:v>North</x:v>
      </x:c>
      <x:c r="E225" s="3" t="str">
        <x:v>Electronics</x:v>
      </x:c>
      <x:c r="F225" s="3" t="str">
        <x:v>Laptop</x:v>
      </x:c>
      <x:c r="G225" s="3" t="str">
        <x:v>AirBook Slim</x:v>
      </x:c>
      <x:c r="H225" s="3" t="n">
        <x:v>1</x:v>
      </x:c>
      <x:c r="I225" s="7" t="n">
        <x:v>80349.6</x:v>
      </x:c>
      <x:c r="J225" s="9" t="n">
        <x:v>0.15</x:v>
      </x:c>
      <x:c r="K225" s="7" t="n">
        <x:v>68297.16</x:v>
      </x:c>
      <x:c r="L225" s="7" t="n">
        <x:v>-1465.82</x:v>
      </x:c>
      <x:c r="M225" s="3" t="str">
        <x:v>Credit Card</x:v>
      </x:c>
      <x:c r="N225" s="3" t="str">
        <x:f>TEXT(B225,"yyyy-mm")</x:f>
        <x:v>2024-03</x:v>
      </x:c>
      <x:c r="O225" s="3" t="str">
        <x:f>IF(J225=0,"No discount",IF(J225&lt;=0.1,"1-10%",IF(J225&lt;=0.15,"11-15%",IF(J225&lt;=0.2,"16-20%","21%+"))))</x:f>
        <x:v>11-15%</x:v>
      </x:c>
      <x:c r="P225" s="9" t="n">
        <x:f>IF(K225=0,0,L225/K225)</x:f>
        <x:v>-0.021462385844447995</x:v>
      </x:c>
      <x:c r="Q225" s="3" t="str">
        <x:f>IF(L225&lt;0,"Yes","No")</x:f>
        <x:v>Yes</x:v>
      </x:c>
    </x:row>
    <x:row r="226" ht="21" customHeight="1">
      <x:c r="A226" s="3" t="str">
        <x:v>ORD-101503</x:v>
      </x:c>
      <x:c r="B226" s="5" t="n">
        <x:v>45368</x:v>
      </x:c>
      <x:c r="C226" s="3" t="str">
        <x:v>CUST-00518</x:v>
      </x:c>
      <x:c r="D226" s="3" t="str">
        <x:v>East</x:v>
      </x:c>
      <x:c r="E226" s="3" t="str">
        <x:v>Beauty</x:v>
      </x:c>
      <x:c r="F226" s="3" t="str">
        <x:v>Makeup</x:v>
      </x:c>
      <x:c r="G226" s="3" t="str">
        <x:v>Matte Lipstick Set</x:v>
      </x:c>
      <x:c r="H226" s="3" t="n">
        <x:v>1</x:v>
      </x:c>
      <x:c r="I226" s="7" t="n">
        <x:v>992.41</x:v>
      </x:c>
      <x:c r="J226" s="9" t="n">
        <x:v>0</x:v>
      </x:c>
      <x:c r="K226" s="7" t="n">
        <x:v>992.41</x:v>
      </x:c>
      <x:c r="L226" s="7" t="n">
        <x:v>530.32</x:v>
      </x:c>
      <x:c r="M226" s="3" t="str">
        <x:v>UPI</x:v>
      </x:c>
      <x:c r="N226" s="3" t="str">
        <x:f>TEXT(B226,"yyyy-mm")</x:f>
        <x:v>2024-03</x:v>
      </x:c>
      <x:c r="O226" s="3" t="str">
        <x:f>IF(J226=0,"No discount",IF(J226&lt;=0.1,"1-10%",IF(J226&lt;=0.15,"11-15%",IF(J226&lt;=0.2,"16-20%","21%+"))))</x:f>
        <x:v>No discount</x:v>
      </x:c>
      <x:c r="P226" s="9" t="n">
        <x:f>IF(K226=0,0,L226/K226)</x:f>
        <x:v>0.5343759131810442</x:v>
      </x:c>
      <x:c r="Q226" s="3" t="str">
        <x:f>IF(L226&lt;0,"Yes","No")</x:f>
        <x:v>No</x:v>
      </x:c>
    </x:row>
    <x:row r="227" ht="21" customHeight="1">
      <x:c r="A227" s="3" t="str">
        <x:v>ORD-101666</x:v>
      </x:c>
      <x:c r="B227" s="5" t="n">
        <x:v>45368</x:v>
      </x:c>
      <x:c r="C227" s="3" t="str">
        <x:v>CUST-00087</x:v>
      </x:c>
      <x:c r="D227" s="3" t="str">
        <x:v>West</x:v>
      </x:c>
      <x:c r="E227" s="3" t="str">
        <x:v>Home &amp; Kitchen</x:v>
      </x:c>
      <x:c r="F227" s="3" t="str">
        <x:v>Decor</x:v>
      </x:c>
      <x:c r="G227" s="3" t="str">
        <x:v>Ceramic Vase Set</x:v>
      </x:c>
      <x:c r="H227" s="3" t="n">
        <x:v>5</x:v>
      </x:c>
      <x:c r="I227" s="7" t="n">
        <x:v>1453.16</x:v>
      </x:c>
      <x:c r="J227" s="9" t="n">
        <x:v>0.05</x:v>
      </x:c>
      <x:c r="K227" s="7" t="n">
        <x:v>6902.51</x:v>
      </x:c>
      <x:c r="L227" s="7" t="n">
        <x:v>1641.69</x:v>
      </x:c>
      <x:c r="M227" s="3" t="str">
        <x:v>Credit Card</x:v>
      </x:c>
      <x:c r="N227" s="3" t="str">
        <x:f>TEXT(B227,"yyyy-mm")</x:f>
        <x:v>2024-03</x:v>
      </x:c>
      <x:c r="O227" s="3" t="str">
        <x:f>IF(J227=0,"No discount",IF(J227&lt;=0.1,"1-10%",IF(J227&lt;=0.15,"11-15%",IF(J227&lt;=0.2,"16-20%","21%+"))))</x:f>
        <x:v>1-10%</x:v>
      </x:c>
      <x:c r="P227" s="9" t="n">
        <x:f>IF(K227=0,0,L227/K227)</x:f>
        <x:v>0.2378395685047903</x:v>
      </x:c>
      <x:c r="Q227" s="3" t="str">
        <x:f>IF(L227&lt;0,"Yes","No")</x:f>
        <x:v>No</x:v>
      </x:c>
    </x:row>
    <x:row r="228" ht="21" customHeight="1">
      <x:c r="A228" s="3" t="str">
        <x:v>ORD-101857</x:v>
      </x:c>
      <x:c r="B228" s="5" t="n">
        <x:v>45368</x:v>
      </x:c>
      <x:c r="C228" s="3" t="str">
        <x:v>CUST-00373</x:v>
      </x:c>
      <x:c r="D228" s="3" t="str">
        <x:v>North</x:v>
      </x:c>
      <x:c r="E228" s="3" t="str">
        <x:v>Sports</x:v>
      </x:c>
      <x:c r="F228" s="3" t="str">
        <x:v>Outdoor</x:v>
      </x:c>
      <x:c r="G228" s="3" t="str">
        <x:v>TrailHike Backpack 60L</x:v>
      </x:c>
      <x:c r="H228" s="3" t="n">
        <x:v>1</x:v>
      </x:c>
      <x:c r="I228" s="7" t="n">
        <x:v>3412.67</x:v>
      </x:c>
      <x:c r="J228" s="9" t="n">
        <x:v>0.05</x:v>
      </x:c>
      <x:c r="K228" s="7" t="n">
        <x:v>3242.04</x:v>
      </x:c>
      <x:c r="L228" s="7" t="n">
        <x:v>1005.2</x:v>
      </x:c>
      <x:c r="M228" s="3" t="str">
        <x:v>UPI</x:v>
      </x:c>
      <x:c r="N228" s="3" t="str">
        <x:f>TEXT(B228,"yyyy-mm")</x:f>
        <x:v>2024-03</x:v>
      </x:c>
      <x:c r="O228" s="3" t="str">
        <x:f>IF(J228=0,"No discount",IF(J228&lt;=0.1,"1-10%",IF(J228&lt;=0.15,"11-15%",IF(J228&lt;=0.2,"16-20%","21%+"))))</x:f>
        <x:v>1-10%</x:v>
      </x:c>
      <x:c r="P228" s="9" t="n">
        <x:f>IF(K228=0,0,L228/K228)</x:f>
        <x:v>0.3100516958458255</x:v>
      </x:c>
      <x:c r="Q228" s="3" t="str">
        <x:f>IF(L228&lt;0,"Yes","No")</x:f>
        <x:v>No</x:v>
      </x:c>
    </x:row>
    <x:row r="229" ht="21" customHeight="1">
      <x:c r="A229" s="3" t="str">
        <x:v>ORD-100987</x:v>
      </x:c>
      <x:c r="B229" s="5" t="n">
        <x:v>45369</x:v>
      </x:c>
      <x:c r="C229" s="3" t="str">
        <x:v>CUST-00093</x:v>
      </x:c>
      <x:c r="D229" s="3" t="str">
        <x:v>South</x:v>
      </x:c>
      <x:c r="E229" s="3" t="str">
        <x:v>Fashion</x:v>
      </x:c>
      <x:c r="F229" s="3" t="str">
        <x:v>Footwear</x:v>
      </x:c>
      <x:c r="G229" s="3" t="str">
        <x:v>UrbanLoafers</x:v>
      </x:c>
      <x:c r="H229" s="3" t="n">
        <x:v>4</x:v>
      </x:c>
      <x:c r="I229" s="7" t="n">
        <x:v>3520.16</x:v>
      </x:c>
      <x:c r="J229" s="9" t="n">
        <x:v>0.15</x:v>
      </x:c>
      <x:c r="K229" s="7" t="n">
        <x:v>11968.54</x:v>
      </x:c>
      <x:c r="L229" s="7" t="n">
        <x:v>3208.07</x:v>
      </x:c>
      <x:c r="M229" s="3" t="str">
        <x:v>UPI</x:v>
      </x:c>
      <x:c r="N229" s="3" t="str">
        <x:f>TEXT(B229,"yyyy-mm")</x:f>
        <x:v>2024-03</x:v>
      </x:c>
      <x:c r="O229" s="3" t="str">
        <x:f>IF(J229=0,"No discount",IF(J229&lt;=0.1,"1-10%",IF(J229&lt;=0.15,"11-15%",IF(J229&lt;=0.2,"16-20%","21%+"))))</x:f>
        <x:v>11-15%</x:v>
      </x:c>
      <x:c r="P229" s="9" t="n">
        <x:f>IF(K229=0,0,L229/K229)</x:f>
        <x:v>0.26804188313695737</x:v>
      </x:c>
      <x:c r="Q229" s="3" t="str">
        <x:f>IF(L229&lt;0,"Yes","No")</x:f>
        <x:v>No</x:v>
      </x:c>
    </x:row>
    <x:row r="230" ht="21" customHeight="1">
      <x:c r="A230" s="3" t="str">
        <x:v>ORD-101038</x:v>
      </x:c>
      <x:c r="B230" s="5" t="n">
        <x:v>45369</x:v>
      </x:c>
      <x:c r="C230" s="3" t="str">
        <x:v>CUST-00014</x:v>
      </x:c>
      <x:c r="D230" s="3" t="str">
        <x:v>North</x:v>
      </x:c>
      <x:c r="E230" s="3" t="str">
        <x:v>Electronics</x:v>
      </x:c>
      <x:c r="F230" s="3" t="str">
        <x:v>Mobile</x:v>
      </x:c>
      <x:c r="G230" s="3" t="str">
        <x:v>Galaxy Nova X5</x:v>
      </x:c>
      <x:c r="H230" s="3" t="n">
        <x:v>1</x:v>
      </x:c>
      <x:c r="I230" s="7" t="n">
        <x:v>23911.44</x:v>
      </x:c>
      <x:c r="J230" s="9" t="n">
        <x:v>0</x:v>
      </x:c>
      <x:c r="K230" s="7" t="n">
        <x:v>23911.44</x:v>
      </x:c>
      <x:c r="L230" s="7" t="n">
        <x:v>4441.61</x:v>
      </x:c>
      <x:c r="M230" s="3" t="str">
        <x:v>UPI</x:v>
      </x:c>
      <x:c r="N230" s="3" t="str">
        <x:f>TEXT(B230,"yyyy-mm")</x:f>
        <x:v>2024-03</x:v>
      </x:c>
      <x:c r="O230" s="3" t="str">
        <x:f>IF(J230=0,"No discount",IF(J230&lt;=0.1,"1-10%",IF(J230&lt;=0.15,"11-15%",IF(J230&lt;=0.2,"16-20%","21%+"))))</x:f>
        <x:v>No discount</x:v>
      </x:c>
      <x:c r="P230" s="9" t="n">
        <x:f>IF(K230=0,0,L230/K230)</x:f>
        <x:v>0.18575251009558605</x:v>
      </x:c>
      <x:c r="Q230" s="3" t="str">
        <x:f>IF(L230&lt;0,"Yes","No")</x:f>
        <x:v>No</x:v>
      </x:c>
    </x:row>
    <x:row r="231" ht="21" customHeight="1">
      <x:c r="A231" s="3" t="str">
        <x:v>ORD-101042</x:v>
      </x:c>
      <x:c r="B231" s="5" t="n">
        <x:v>45369</x:v>
      </x:c>
      <x:c r="C231" s="3" t="str">
        <x:v>CUST-00330</x:v>
      </x:c>
      <x:c r="D231" s="3" t="str">
        <x:v>North</x:v>
      </x:c>
      <x:c r="E231" s="3" t="str">
        <x:v>Electronics</x:v>
      </x:c>
      <x:c r="F231" s="3" t="str">
        <x:v>Mobile</x:v>
      </x:c>
      <x:c r="G231" s="3" t="str">
        <x:v>Galaxy Nova X5</x:v>
      </x:c>
      <x:c r="H231" s="3" t="n">
        <x:v>5</x:v>
      </x:c>
      <x:c r="I231" s="7" t="n">
        <x:v>25944.4</x:v>
      </x:c>
      <x:c r="J231" s="9" t="n">
        <x:v>0</x:v>
      </x:c>
      <x:c r="K231" s="7" t="n">
        <x:v>129722</x:v>
      </x:c>
      <x:c r="L231" s="7" t="n">
        <x:v>24132.8</x:v>
      </x:c>
      <x:c r="M231" s="3" t="str">
        <x:v>UPI</x:v>
      </x:c>
      <x:c r="N231" s="3" t="str">
        <x:f>TEXT(B231,"yyyy-mm")</x:f>
        <x:v>2024-03</x:v>
      </x:c>
      <x:c r="O231" s="3" t="str">
        <x:f>IF(J231=0,"No discount",IF(J231&lt;=0.1,"1-10%",IF(J231&lt;=0.15,"11-15%",IF(J231&lt;=0.2,"16-20%","21%+"))))</x:f>
        <x:v>No discount</x:v>
      </x:c>
      <x:c r="P231" s="9" t="n">
        <x:f>IF(K231=0,0,L231/K231)</x:f>
        <x:v>0.1860347512372612</x:v>
      </x:c>
      <x:c r="Q231" s="3" t="str">
        <x:f>IF(L231&lt;0,"Yes","No")</x:f>
        <x:v>No</x:v>
      </x:c>
    </x:row>
    <x:row r="232" ht="21" customHeight="1">
      <x:c r="A232" s="3" t="str">
        <x:v>ORD-100819</x:v>
      </x:c>
      <x:c r="B232" s="5" t="n">
        <x:v>45370</x:v>
      </x:c>
      <x:c r="C232" s="3" t="str">
        <x:v>CUST-00450</x:v>
      </x:c>
      <x:c r="D232" s="3" t="str">
        <x:v>East</x:v>
      </x:c>
      <x:c r="E232" s="3" t="str">
        <x:v>Beauty</x:v>
      </x:c>
      <x:c r="F232" s="3" t="str">
        <x:v>Makeup</x:v>
      </x:c>
      <x:c r="G232" s="3" t="str">
        <x:v>HD Foundation Kit</x:v>
      </x:c>
      <x:c r="H232" s="3" t="n">
        <x:v>1</x:v>
      </x:c>
      <x:c r="I232" s="7" t="n">
        <x:v>1432.73</x:v>
      </x:c>
      <x:c r="J232" s="9" t="n">
        <x:v>0.05</x:v>
      </x:c>
      <x:c r="K232" s="7" t="n">
        <x:v>1361.09</x:v>
      </x:c>
      <x:c r="L232" s="7" t="n">
        <x:v>641.16</x:v>
      </x:c>
      <x:c r="M232" s="3" t="str">
        <x:v>UPI</x:v>
      </x:c>
      <x:c r="N232" s="3" t="str">
        <x:f>TEXT(B232,"yyyy-mm")</x:f>
        <x:v>2024-03</x:v>
      </x:c>
      <x:c r="O232" s="3" t="str">
        <x:f>IF(J232=0,"No discount",IF(J232&lt;=0.1,"1-10%",IF(J232&lt;=0.15,"11-15%",IF(J232&lt;=0.2,"16-20%","21%+"))))</x:f>
        <x:v>1-10%</x:v>
      </x:c>
      <x:c r="P232" s="9" t="n">
        <x:f>IF(K232=0,0,L232/K232)</x:f>
        <x:v>0.4710636328236928</x:v>
      </x:c>
      <x:c r="Q232" s="3" t="str">
        <x:f>IF(L232&lt;0,"Yes","No")</x:f>
        <x:v>No</x:v>
      </x:c>
    </x:row>
    <x:row r="233" ht="21" customHeight="1">
      <x:c r="A233" s="3" t="str">
        <x:v>ORD-100860</x:v>
      </x:c>
      <x:c r="B233" s="5" t="n">
        <x:v>45370</x:v>
      </x:c>
      <x:c r="C233" s="3" t="str">
        <x:v>CUST-00426</x:v>
      </x:c>
      <x:c r="D233" s="3" t="str">
        <x:v>North</x:v>
      </x:c>
      <x:c r="E233" s="3" t="str">
        <x:v>Electronics</x:v>
      </x:c>
      <x:c r="F233" s="3" t="str">
        <x:v>Mobile</x:v>
      </x:c>
      <x:c r="G233" s="3" t="str">
        <x:v>Pixel Aura 12</x:v>
      </x:c>
      <x:c r="H233" s="3" t="n">
        <x:v>1</x:v>
      </x:c>
      <x:c r="I233" s="7" t="n">
        <x:v>33897.93</x:v>
      </x:c>
      <x:c r="J233" s="9" t="n">
        <x:v>0</x:v>
      </x:c>
      <x:c r="K233" s="7" t="n">
        <x:v>33897.93</x:v>
      </x:c>
      <x:c r="L233" s="7" t="n">
        <x:v>5416.37</x:v>
      </x:c>
      <x:c r="M233" s="3" t="str">
        <x:v>UPI</x:v>
      </x:c>
      <x:c r="N233" s="3" t="str">
        <x:f>TEXT(B233,"yyyy-mm")</x:f>
        <x:v>2024-03</x:v>
      </x:c>
      <x:c r="O233" s="3" t="str">
        <x:f>IF(J233=0,"No discount",IF(J233&lt;=0.1,"1-10%",IF(J233&lt;=0.15,"11-15%",IF(J233&lt;=0.2,"16-20%","21%+"))))</x:f>
        <x:v>No discount</x:v>
      </x:c>
      <x:c r="P233" s="9" t="n">
        <x:f>IF(K233=0,0,L233/K233)</x:f>
        <x:v>0.15978468301751758</x:v>
      </x:c>
      <x:c r="Q233" s="3" t="str">
        <x:f>IF(L233&lt;0,"Yes","No")</x:f>
        <x:v>No</x:v>
      </x:c>
    </x:row>
    <x:row r="234" ht="21" customHeight="1">
      <x:c r="A234" s="3" t="str">
        <x:v>ORD-101611</x:v>
      </x:c>
      <x:c r="B234" s="5" t="n">
        <x:v>45370</x:v>
      </x:c>
      <x:c r="C234" s="3" t="str">
        <x:v>CUST-00449</x:v>
      </x:c>
      <x:c r="D234" s="3" t="str">
        <x:v>South</x:v>
      </x:c>
      <x:c r="E234" s="3" t="str">
        <x:v>Beauty</x:v>
      </x:c>
      <x:c r="F234" s="3" t="str">
        <x:v>Makeup</x:v>
      </x:c>
      <x:c r="G234" s="3" t="str">
        <x:v>Matte Lipstick Set</x:v>
      </x:c>
      <x:c r="H234" s="3" t="n">
        <x:v>2</x:v>
      </x:c>
      <x:c r="I234" s="7" t="n">
        <x:v>1046.77</x:v>
      </x:c>
      <x:c r="J234" s="9" t="n">
        <x:v>0</x:v>
      </x:c>
      <x:c r="K234" s="7" t="n">
        <x:v>2093.54</x:v>
      </x:c>
      <x:c r="L234" s="7" t="n">
        <x:v>1145.86</x:v>
      </x:c>
      <x:c r="M234" s="3" t="str">
        <x:v>Net Banking</x:v>
      </x:c>
      <x:c r="N234" s="3" t="str">
        <x:f>TEXT(B234,"yyyy-mm")</x:f>
        <x:v>2024-03</x:v>
      </x:c>
      <x:c r="O234" s="3" t="str">
        <x:f>IF(J234=0,"No discount",IF(J234&lt;=0.1,"1-10%",IF(J234&lt;=0.15,"11-15%",IF(J234&lt;=0.2,"16-20%","21%+"))))</x:f>
        <x:v>No discount</x:v>
      </x:c>
      <x:c r="P234" s="9" t="n">
        <x:f>IF(K234=0,0,L234/K234)</x:f>
        <x:v>0.5473313144243721</x:v>
      </x:c>
      <x:c r="Q234" s="3" t="str">
        <x:f>IF(L234&lt;0,"Yes","No")</x:f>
        <x:v>No</x:v>
      </x:c>
    </x:row>
    <x:row r="235" ht="21" customHeight="1">
      <x:c r="A235" s="3" t="str">
        <x:v>ORD-100832</x:v>
      </x:c>
      <x:c r="B235" s="5" t="n">
        <x:v>45371</x:v>
      </x:c>
      <x:c r="C235" s="3" t="str">
        <x:v>CUST-00334</x:v>
      </x:c>
      <x:c r="D235" s="3" t="str">
        <x:v>South</x:v>
      </x:c>
      <x:c r="E235" s="3" t="str">
        <x:v>Home &amp; Kitchen</x:v>
      </x:c>
      <x:c r="F235" s="3" t="str">
        <x:v>Furniture</x:v>
      </x:c>
      <x:c r="G235" s="3" t="str">
        <x:v>ErgoComfort Chair</x:v>
      </x:c>
      <x:c r="H235" s="3" t="n">
        <x:v>1</x:v>
      </x:c>
      <x:c r="I235" s="7" t="n">
        <x:v>8760.25</x:v>
      </x:c>
      <x:c r="J235" s="9" t="n">
        <x:v>0</x:v>
      </x:c>
      <x:c r="K235" s="7" t="n">
        <x:v>8760.25</x:v>
      </x:c>
      <x:c r="L235" s="7" t="n">
        <x:v>2616.98</x:v>
      </x:c>
      <x:c r="M235" s="3" t="str">
        <x:v>UPI</x:v>
      </x:c>
      <x:c r="N235" s="3" t="str">
        <x:f>TEXT(B235,"yyyy-mm")</x:f>
        <x:v>2024-03</x:v>
      </x:c>
      <x:c r="O235" s="3" t="str">
        <x:f>IF(J235=0,"No discount",IF(J235&lt;=0.1,"1-10%",IF(J235&lt;=0.15,"11-15%",IF(J235&lt;=0.2,"16-20%","21%+"))))</x:f>
        <x:v>No discount</x:v>
      </x:c>
      <x:c r="P235" s="9" t="n">
        <x:f>IF(K235=0,0,L235/K235)</x:f>
        <x:v>0.298733483633458</x:v>
      </x:c>
      <x:c r="Q235" s="3" t="str">
        <x:f>IF(L235&lt;0,"Yes","No")</x:f>
        <x:v>No</x:v>
      </x:c>
    </x:row>
    <x:row r="236" ht="21" customHeight="1">
      <x:c r="A236" s="3" t="str">
        <x:v>ORD-100867</x:v>
      </x:c>
      <x:c r="B236" s="5" t="n">
        <x:v>45371</x:v>
      </x:c>
      <x:c r="C236" s="3" t="str">
        <x:v>CUST-00014</x:v>
      </x:c>
      <x:c r="D236" s="3" t="str">
        <x:v>North</x:v>
      </x:c>
      <x:c r="E236" s="3" t="str">
        <x:v>Fashion</x:v>
      </x:c>
      <x:c r="F236" s="3" t="str">
        <x:v>Women</x:v>
      </x:c>
      <x:c r="G236" s="3" t="str">
        <x:v>Knit Winter Sweater</x:v>
      </x:c>
      <x:c r="H236" s="3" t="n">
        <x:v>2</x:v>
      </x:c>
      <x:c r="I236" s="7" t="n">
        <x:v>2277.87</x:v>
      </x:c>
      <x:c r="J236" s="9" t="n">
        <x:v>0.05</x:v>
      </x:c>
      <x:c r="K236" s="7" t="n">
        <x:v>4327.95</x:v>
      </x:c>
      <x:c r="L236" s="7" t="n">
        <x:v>1739.49</x:v>
      </x:c>
      <x:c r="M236" s="3" t="str">
        <x:v>UPI</x:v>
      </x:c>
      <x:c r="N236" s="3" t="str">
        <x:f>TEXT(B236,"yyyy-mm")</x:f>
        <x:v>2024-03</x:v>
      </x:c>
      <x:c r="O236" s="3" t="str">
        <x:f>IF(J236=0,"No discount",IF(J236&lt;=0.1,"1-10%",IF(J236&lt;=0.15,"11-15%",IF(J236&lt;=0.2,"16-20%","21%+"))))</x:f>
        <x:v>1-10%</x:v>
      </x:c>
      <x:c r="P236" s="9" t="n">
        <x:f>IF(K236=0,0,L236/K236)</x:f>
        <x:v>0.401920077634908</x:v>
      </x:c>
      <x:c r="Q236" s="3" t="str">
        <x:f>IF(L236&lt;0,"Yes","No")</x:f>
        <x:v>No</x:v>
      </x:c>
    </x:row>
    <x:row r="237" ht="21" customHeight="1">
      <x:c r="A237" s="3" t="str">
        <x:v>ORD-101763</x:v>
      </x:c>
      <x:c r="B237" s="5" t="n">
        <x:v>45371</x:v>
      </x:c>
      <x:c r="C237" s="3" t="str">
        <x:v>CUST-00519</x:v>
      </x:c>
      <x:c r="D237" s="3" t="str">
        <x:v>East</x:v>
      </x:c>
      <x:c r="E237" s="3" t="str">
        <x:v>Electronics</x:v>
      </x:c>
      <x:c r="F237" s="3" t="str">
        <x:v>Audio</x:v>
      </x:c>
      <x:c r="G237" s="3" t="str">
        <x:v>SoundPods Pro</x:v>
      </x:c>
      <x:c r="H237" s="3" t="n">
        <x:v>5</x:v>
      </x:c>
      <x:c r="I237" s="7" t="n">
        <x:v>5034.36</x:v>
      </x:c>
      <x:c r="J237" s="9" t="n">
        <x:v>0.1</x:v>
      </x:c>
      <x:c r="K237" s="7" t="n">
        <x:v>22654.62</x:v>
      </x:c>
      <x:c r="L237" s="7" t="n">
        <x:v>1444.29</x:v>
      </x:c>
      <x:c r="M237" s="3" t="str">
        <x:v>Credit Card</x:v>
      </x:c>
      <x:c r="N237" s="3" t="str">
        <x:f>TEXT(B237,"yyyy-mm")</x:f>
        <x:v>2024-03</x:v>
      </x:c>
      <x:c r="O237" s="3" t="str">
        <x:f>IF(J237=0,"No discount",IF(J237&lt;=0.1,"1-10%",IF(J237&lt;=0.15,"11-15%",IF(J237&lt;=0.2,"16-20%","21%+"))))</x:f>
        <x:v>1-10%</x:v>
      </x:c>
      <x:c r="P237" s="9" t="n">
        <x:f>IF(K237=0,0,L237/K237)</x:f>
        <x:v>0.06375255908066434</x:v>
      </x:c>
      <x:c r="Q237" s="3" t="str">
        <x:f>IF(L237&lt;0,"Yes","No")</x:f>
        <x:v>No</x:v>
      </x:c>
    </x:row>
    <x:row r="238" ht="21" customHeight="1">
      <x:c r="A238" s="3" t="str">
        <x:v>ORD-100496</x:v>
      </x:c>
      <x:c r="B238" s="5" t="n">
        <x:v>45372</x:v>
      </x:c>
      <x:c r="C238" s="3" t="str">
        <x:v>CUST-00115</x:v>
      </x:c>
      <x:c r="D238" s="3" t="str">
        <x:v>North</x:v>
      </x:c>
      <x:c r="E238" s="3" t="str">
        <x:v>Electronics</x:v>
      </x:c>
      <x:c r="F238" s="3" t="str">
        <x:v>Audio</x:v>
      </x:c>
      <x:c r="G238" s="3" t="str">
        <x:v>SoundPods Pro</x:v>
      </x:c>
      <x:c r="H238" s="3" t="n">
        <x:v>1</x:v>
      </x:c>
      <x:c r="I238" s="7" t="n">
        <x:v>4820.22</x:v>
      </x:c>
      <x:c r="J238" s="9" t="n">
        <x:v>0.2</x:v>
      </x:c>
      <x:c r="K238" s="7" t="n">
        <x:v>3856.18</x:v>
      </x:c>
      <x:c r="L238" s="7" t="n">
        <x:v>-277.16</x:v>
      </x:c>
      <x:c r="M238" s="3" t="str">
        <x:v>UPI</x:v>
      </x:c>
      <x:c r="N238" s="3" t="str">
        <x:f>TEXT(B238,"yyyy-mm")</x:f>
        <x:v>2024-03</x:v>
      </x:c>
      <x:c r="O238" s="3" t="str">
        <x:f>IF(J238=0,"No discount",IF(J238&lt;=0.1,"1-10%",IF(J238&lt;=0.15,"11-15%",IF(J238&lt;=0.2,"16-20%","21%+"))))</x:f>
        <x:v>16-20%</x:v>
      </x:c>
      <x:c r="P238" s="9" t="n">
        <x:f>IF(K238=0,0,L238/K238)</x:f>
        <x:v>-0.07187423823576701</x:v>
      </x:c>
      <x:c r="Q238" s="3" t="str">
        <x:f>IF(L238&lt;0,"Yes","No")</x:f>
        <x:v>Yes</x:v>
      </x:c>
    </x:row>
    <x:row r="239" ht="21" customHeight="1">
      <x:c r="A239" s="3" t="str">
        <x:v>ORD-100908</x:v>
      </x:c>
      <x:c r="B239" s="5" t="n">
        <x:v>45372</x:v>
      </x:c>
      <x:c r="C239" s="3" t="str">
        <x:v>CUST-00310</x:v>
      </x:c>
      <x:c r="D239" s="3" t="str">
        <x:v>North</x:v>
      </x:c>
      <x:c r="E239" s="3" t="str">
        <x:v>Electronics</x:v>
      </x:c>
      <x:c r="F239" s="3" t="str">
        <x:v>Laptop</x:v>
      </x:c>
      <x:c r="G239" s="3" t="str">
        <x:v>AirBook Slim</x:v>
      </x:c>
      <x:c r="H239" s="3" t="n">
        <x:v>1</x:v>
      </x:c>
      <x:c r="I239" s="7" t="n">
        <x:v>80767.08</x:v>
      </x:c>
      <x:c r="J239" s="9" t="n">
        <x:v>0.1</x:v>
      </x:c>
      <x:c r="K239" s="7" t="n">
        <x:v>72690.37</x:v>
      </x:c>
      <x:c r="L239" s="7" t="n">
        <x:v>6542</x:v>
      </x:c>
      <x:c r="M239" s="3" t="str">
        <x:v>Credit Card</x:v>
      </x:c>
      <x:c r="N239" s="3" t="str">
        <x:f>TEXT(B239,"yyyy-mm")</x:f>
        <x:v>2024-03</x:v>
      </x:c>
      <x:c r="O239" s="3" t="str">
        <x:f>IF(J239=0,"No discount",IF(J239&lt;=0.1,"1-10%",IF(J239&lt;=0.15,"11-15%",IF(J239&lt;=0.2,"16-20%","21%+"))))</x:f>
        <x:v>1-10%</x:v>
      </x:c>
      <x:c r="P239" s="9" t="n">
        <x:f>IF(K239=0,0,L239/K239)</x:f>
        <x:v>0.08999816619450418</x:v>
      </x:c>
      <x:c r="Q239" s="3" t="str">
        <x:f>IF(L239&lt;0,"Yes","No")</x:f>
        <x:v>No</x:v>
      </x:c>
    </x:row>
    <x:row r="240" ht="21" customHeight="1">
      <x:c r="A240" s="3" t="str">
        <x:v>ORD-101164</x:v>
      </x:c>
      <x:c r="B240" s="5" t="n">
        <x:v>45372</x:v>
      </x:c>
      <x:c r="C240" s="3" t="str">
        <x:v>CUST-00284</x:v>
      </x:c>
      <x:c r="D240" s="3" t="str">
        <x:v>East</x:v>
      </x:c>
      <x:c r="E240" s="3" t="str">
        <x:v>Home &amp; Kitchen</x:v>
      </x:c>
      <x:c r="F240" s="3" t="str">
        <x:v>Furniture</x:v>
      </x:c>
      <x:c r="G240" s="3" t="str">
        <x:v>Oakwood Study Desk</x:v>
      </x:c>
      <x:c r="H240" s="3" t="n">
        <x:v>5</x:v>
      </x:c>
      <x:c r="I240" s="7" t="n">
        <x:v>12762.82</x:v>
      </x:c>
      <x:c r="J240" s="9" t="n">
        <x:v>0.15</x:v>
      </x:c>
      <x:c r="K240" s="7" t="n">
        <x:v>54241.99</x:v>
      </x:c>
      <x:c r="L240" s="7" t="n">
        <x:v>6910.33</x:v>
      </x:c>
      <x:c r="M240" s="3" t="str">
        <x:v>Credit Card</x:v>
      </x:c>
      <x:c r="N240" s="3" t="str">
        <x:f>TEXT(B240,"yyyy-mm")</x:f>
        <x:v>2024-03</x:v>
      </x:c>
      <x:c r="O240" s="3" t="str">
        <x:f>IF(J240=0,"No discount",IF(J240&lt;=0.1,"1-10%",IF(J240&lt;=0.15,"11-15%",IF(J240&lt;=0.2,"16-20%","21%+"))))</x:f>
        <x:v>11-15%</x:v>
      </x:c>
      <x:c r="P240" s="9" t="n">
        <x:f>IF(K240=0,0,L240/K240)</x:f>
        <x:v>0.12739816514843944</x:v>
      </x:c>
      <x:c r="Q240" s="3" t="str">
        <x:f>IF(L240&lt;0,"Yes","No")</x:f>
        <x:v>No</x:v>
      </x:c>
    </x:row>
    <x:row r="241" ht="21" customHeight="1">
      <x:c r="A241" s="3" t="str">
        <x:v>ORD-101549</x:v>
      </x:c>
      <x:c r="B241" s="5" t="n">
        <x:v>45372</x:v>
      </x:c>
      <x:c r="C241" s="3" t="str">
        <x:v>CUST-00358</x:v>
      </x:c>
      <x:c r="D241" s="3" t="str">
        <x:v>East</x:v>
      </x:c>
      <x:c r="E241" s="3" t="str">
        <x:v>Home &amp; Kitchen</x:v>
      </x:c>
      <x:c r="F241" s="3" t="str">
        <x:v>Furniture</x:v>
      </x:c>
      <x:c r="G241" s="3" t="str">
        <x:v>ErgoComfort Chair</x:v>
      </x:c>
      <x:c r="H241" s="3" t="n">
        <x:v>1</x:v>
      </x:c>
      <x:c r="I241" s="7" t="n">
        <x:v>8857.94</x:v>
      </x:c>
      <x:c r="J241" s="9" t="n">
        <x:v>0</x:v>
      </x:c>
      <x:c r="K241" s="7" t="n">
        <x:v>8857.94</x:v>
      </x:c>
      <x:c r="L241" s="7" t="n">
        <x:v>3062.83</x:v>
      </x:c>
      <x:c r="M241" s="3" t="str">
        <x:v>Credit Card</x:v>
      </x:c>
      <x:c r="N241" s="3" t="str">
        <x:f>TEXT(B241,"yyyy-mm")</x:f>
        <x:v>2024-03</x:v>
      </x:c>
      <x:c r="O241" s="3" t="str">
        <x:f>IF(J241=0,"No discount",IF(J241&lt;=0.1,"1-10%",IF(J241&lt;=0.15,"11-15%",IF(J241&lt;=0.2,"16-20%","21%+"))))</x:f>
        <x:v>No discount</x:v>
      </x:c>
      <x:c r="P241" s="9" t="n">
        <x:f>IF(K241=0,0,L241/K241)</x:f>
        <x:v>0.3457722675926908</x:v>
      </x:c>
      <x:c r="Q241" s="3" t="str">
        <x:f>IF(L241&lt;0,"Yes","No")</x:f>
        <x:v>No</x:v>
      </x:c>
    </x:row>
    <x:row r="242" ht="21" customHeight="1">
      <x:c r="A242" s="3" t="str">
        <x:v>ORD-101730</x:v>
      </x:c>
      <x:c r="B242" s="5" t="n">
        <x:v>45372</x:v>
      </x:c>
      <x:c r="C242" s="3" t="str">
        <x:v>CUST-00149</x:v>
      </x:c>
      <x:c r="D242" s="3" t="str">
        <x:v>North</x:v>
      </x:c>
      <x:c r="E242" s="3" t="str">
        <x:v>Sports</x:v>
      </x:c>
      <x:c r="F242" s="3" t="str">
        <x:v>Fitness</x:v>
      </x:c>
      <x:c r="G242" s="3" t="str">
        <x:v>ProYoga Mat</x:v>
      </x:c>
      <x:c r="H242" s="3" t="n">
        <x:v>1</x:v>
      </x:c>
      <x:c r="I242" s="7" t="n">
        <x:v>1249.31</x:v>
      </x:c>
      <x:c r="J242" s="9" t="n">
        <x:v>0.1</x:v>
      </x:c>
      <x:c r="K242" s="7" t="n">
        <x:v>1124.38</x:v>
      </x:c>
      <x:c r="L242" s="7" t="n">
        <x:v>315.89</x:v>
      </x:c>
      <x:c r="M242" s="3" t="str">
        <x:v>Debit Card</x:v>
      </x:c>
      <x:c r="N242" s="3" t="str">
        <x:f>TEXT(B242,"yyyy-mm")</x:f>
        <x:v>2024-03</x:v>
      </x:c>
      <x:c r="O242" s="3" t="str">
        <x:f>IF(J242=0,"No discount",IF(J242&lt;=0.1,"1-10%",IF(J242&lt;=0.15,"11-15%",IF(J242&lt;=0.2,"16-20%","21%+"))))</x:f>
        <x:v>1-10%</x:v>
      </x:c>
      <x:c r="P242" s="9" t="n">
        <x:f>IF(K242=0,0,L242/K242)</x:f>
        <x:v>0.2809459435422188</x:v>
      </x:c>
      <x:c r="Q242" s="3" t="str">
        <x:f>IF(L242&lt;0,"Yes","No")</x:f>
        <x:v>No</x:v>
      </x:c>
    </x:row>
    <x:row r="243" ht="21" customHeight="1">
      <x:c r="A243" s="3" t="str">
        <x:v>ORD-100370</x:v>
      </x:c>
      <x:c r="B243" s="5" t="n">
        <x:v>45373</x:v>
      </x:c>
      <x:c r="C243" s="3" t="str">
        <x:v>CUST-00063</x:v>
      </x:c>
      <x:c r="D243" s="3" t="str">
        <x:v>South</x:v>
      </x:c>
      <x:c r="E243" s="3" t="str">
        <x:v>Electronics</x:v>
      </x:c>
      <x:c r="F243" s="3" t="str">
        <x:v>Laptop</x:v>
      </x:c>
      <x:c r="G243" s="3" t="str">
        <x:v>ThinkPro 14</x:v>
      </x:c>
      <x:c r="H243" s="3" t="n">
        <x:v>2</x:v>
      </x:c>
      <x:c r="I243" s="7" t="n">
        <x:v>57365.12</x:v>
      </x:c>
      <x:c r="J243" s="9" t="n">
        <x:v>0</x:v>
      </x:c>
      <x:c r="K243" s="7" t="n">
        <x:v>114730.24</x:v>
      </x:c>
      <x:c r="L243" s="7" t="n">
        <x:v>17978.12</x:v>
      </x:c>
      <x:c r="M243" s="3" t="str">
        <x:v>Net Banking</x:v>
      </x:c>
      <x:c r="N243" s="3" t="str">
        <x:f>TEXT(B243,"yyyy-mm")</x:f>
        <x:v>2024-03</x:v>
      </x:c>
      <x:c r="O243" s="3" t="str">
        <x:f>IF(J243=0,"No discount",IF(J243&lt;=0.1,"1-10%",IF(J243&lt;=0.15,"11-15%",IF(J243&lt;=0.2,"16-20%","21%+"))))</x:f>
        <x:v>No discount</x:v>
      </x:c>
      <x:c r="P243" s="9" t="n">
        <x:f>IF(K243=0,0,L243/K243)</x:f>
        <x:v>0.15669905336204298</x:v>
      </x:c>
      <x:c r="Q243" s="3" t="str">
        <x:f>IF(L243&lt;0,"Yes","No")</x:f>
        <x:v>No</x:v>
      </x:c>
    </x:row>
    <x:row r="244" ht="21" customHeight="1">
      <x:c r="A244" s="3" t="str">
        <x:v>ORD-100903</x:v>
      </x:c>
      <x:c r="B244" s="5" t="n">
        <x:v>45373</x:v>
      </x:c>
      <x:c r="C244" s="3" t="str">
        <x:v>CUST-00346</x:v>
      </x:c>
      <x:c r="D244" s="3" t="str">
        <x:v>North</x:v>
      </x:c>
      <x:c r="E244" s="3" t="str">
        <x:v>Beauty</x:v>
      </x:c>
      <x:c r="F244" s="3" t="str">
        <x:v>Makeup</x:v>
      </x:c>
      <x:c r="G244" s="3" t="str">
        <x:v>HD Foundation Kit</x:v>
      </x:c>
      <x:c r="H244" s="3" t="n">
        <x:v>2</x:v>
      </x:c>
      <x:c r="I244" s="7" t="n">
        <x:v>1569.72</x:v>
      </x:c>
      <x:c r="J244" s="9" t="n">
        <x:v>0.2</x:v>
      </x:c>
      <x:c r="K244" s="7" t="n">
        <x:v>2511.55</x:v>
      </x:c>
      <x:c r="L244" s="7" t="n">
        <x:v>725.67</x:v>
      </x:c>
      <x:c r="M244" s="3" t="str">
        <x:v>Credit Card</x:v>
      </x:c>
      <x:c r="N244" s="3" t="str">
        <x:f>TEXT(B244,"yyyy-mm")</x:f>
        <x:v>2024-03</x:v>
      </x:c>
      <x:c r="O244" s="3" t="str">
        <x:f>IF(J244=0,"No discount",IF(J244&lt;=0.1,"1-10%",IF(J244&lt;=0.15,"11-15%",IF(J244&lt;=0.2,"16-20%","21%+"))))</x:f>
        <x:v>16-20%</x:v>
      </x:c>
      <x:c r="P244" s="9" t="n">
        <x:f>IF(K244=0,0,L244/K244)</x:f>
        <x:v>0.2889331289442774</x:v>
      </x:c>
      <x:c r="Q244" s="3" t="str">
        <x:f>IF(L244&lt;0,"Yes","No")</x:f>
        <x:v>No</x:v>
      </x:c>
    </x:row>
    <x:row r="245" ht="21" customHeight="1">
      <x:c r="A245" s="3" t="str">
        <x:v>ORD-101040</x:v>
      </x:c>
      <x:c r="B245" s="5" t="n">
        <x:v>45373</x:v>
      </x:c>
      <x:c r="C245" s="3" t="str">
        <x:v>CUST-00543</x:v>
      </x:c>
      <x:c r="D245" s="3" t="str">
        <x:v>East</x:v>
      </x:c>
      <x:c r="E245" s="3" t="str">
        <x:v>Fashion</x:v>
      </x:c>
      <x:c r="F245" s="3" t="str">
        <x:v>Men</x:v>
      </x:c>
      <x:c r="G245" s="3" t="str">
        <x:v>SlimFit Denim Jeans</x:v>
      </x:c>
      <x:c r="H245" s="3" t="n">
        <x:v>1</x:v>
      </x:c>
      <x:c r="I245" s="7" t="n">
        <x:v>1917.36</x:v>
      </x:c>
      <x:c r="J245" s="9" t="n">
        <x:v>0.15</x:v>
      </x:c>
      <x:c r="K245" s="7" t="n">
        <x:v>1629.76</x:v>
      </x:c>
      <x:c r="L245" s="7" t="n">
        <x:v>394.63</x:v>
      </x:c>
      <x:c r="M245" s="3" t="str">
        <x:v>UPI</x:v>
      </x:c>
      <x:c r="N245" s="3" t="str">
        <x:f>TEXT(B245,"yyyy-mm")</x:f>
        <x:v>2024-03</x:v>
      </x:c>
      <x:c r="O245" s="3" t="str">
        <x:f>IF(J245=0,"No discount",IF(J245&lt;=0.1,"1-10%",IF(J245&lt;=0.15,"11-15%",IF(J245&lt;=0.2,"16-20%","21%+"))))</x:f>
        <x:v>11-15%</x:v>
      </x:c>
      <x:c r="P245" s="9" t="n">
        <x:f>IF(K245=0,0,L245/K245)</x:f>
        <x:v>0.24213994698605928</x:v>
      </x:c>
      <x:c r="Q245" s="3" t="str">
        <x:f>IF(L245&lt;0,"Yes","No")</x:f>
        <x:v>No</x:v>
      </x:c>
    </x:row>
    <x:row r="246" ht="21" customHeight="1">
      <x:c r="A246" s="3" t="str">
        <x:v>ORD-100458</x:v>
      </x:c>
      <x:c r="B246" s="5" t="n">
        <x:v>45374</x:v>
      </x:c>
      <x:c r="C246" s="3" t="str">
        <x:v>CUST-00184</x:v>
      </x:c>
      <x:c r="D246" s="3" t="str">
        <x:v>East</x:v>
      </x:c>
      <x:c r="E246" s="3" t="str">
        <x:v>Fashion</x:v>
      </x:c>
      <x:c r="F246" s="3" t="str">
        <x:v>Women</x:v>
      </x:c>
      <x:c r="G246" s="3" t="str">
        <x:v>Floral Summer Dress</x:v>
      </x:c>
      <x:c r="H246" s="3" t="n">
        <x:v>4</x:v>
      </x:c>
      <x:c r="I246" s="7" t="n">
        <x:v>1727.03</x:v>
      </x:c>
      <x:c r="J246" s="9" t="n">
        <x:v>0</x:v>
      </x:c>
      <x:c r="K246" s="7" t="n">
        <x:v>6908.12</x:v>
      </x:c>
      <x:c r="L246" s="7" t="n">
        <x:v>3093.38</x:v>
      </x:c>
      <x:c r="M246" s="3" t="str">
        <x:v>Debit Card</x:v>
      </x:c>
      <x:c r="N246" s="3" t="str">
        <x:f>TEXT(B246,"yyyy-mm")</x:f>
        <x:v>2024-03</x:v>
      </x:c>
      <x:c r="O246" s="3" t="str">
        <x:f>IF(J246=0,"No discount",IF(J246&lt;=0.1,"1-10%",IF(J246&lt;=0.15,"11-15%",IF(J246&lt;=0.2,"16-20%","21%+"))))</x:f>
        <x:v>No discount</x:v>
      </x:c>
      <x:c r="P246" s="9" t="n">
        <x:f>IF(K246=0,0,L246/K246)</x:f>
        <x:v>0.44778897876701623</x:v>
      </x:c>
      <x:c r="Q246" s="3" t="str">
        <x:f>IF(L246&lt;0,"Yes","No")</x:f>
        <x:v>No</x:v>
      </x:c>
    </x:row>
    <x:row r="247" ht="21" customHeight="1">
      <x:c r="A247" s="3" t="str">
        <x:v>ORD-100471</x:v>
      </x:c>
      <x:c r="B247" s="5" t="n">
        <x:v>45374</x:v>
      </x:c>
      <x:c r="C247" s="3" t="str">
        <x:v>CUST-00344</x:v>
      </x:c>
      <x:c r="D247" s="3" t="str">
        <x:v>East</x:v>
      </x:c>
      <x:c r="E247" s="3" t="str">
        <x:v>Sports</x:v>
      </x:c>
      <x:c r="F247" s="3" t="str">
        <x:v>Fitness</x:v>
      </x:c>
      <x:c r="G247" s="3" t="str">
        <x:v>ProYoga Mat</x:v>
      </x:c>
      <x:c r="H247" s="3" t="n">
        <x:v>1</x:v>
      </x:c>
      <x:c r="I247" s="7" t="n">
        <x:v>1303.02</x:v>
      </x:c>
      <x:c r="J247" s="9" t="n">
        <x:v>0.1</x:v>
      </x:c>
      <x:c r="K247" s="7" t="n">
        <x:v>1172.72</x:v>
      </x:c>
      <x:c r="L247" s="7" t="n">
        <x:v>291.69</x:v>
      </x:c>
      <x:c r="M247" s="3" t="str">
        <x:v>Credit Card</x:v>
      </x:c>
      <x:c r="N247" s="3" t="str">
        <x:f>TEXT(B247,"yyyy-mm")</x:f>
        <x:v>2024-03</x:v>
      </x:c>
      <x:c r="O247" s="3" t="str">
        <x:f>IF(J247=0,"No discount",IF(J247&lt;=0.1,"1-10%",IF(J247&lt;=0.15,"11-15%",IF(J247&lt;=0.2,"16-20%","21%+"))))</x:f>
        <x:v>1-10%</x:v>
      </x:c>
      <x:c r="P247" s="9" t="n">
        <x:f>IF(K247=0,0,L247/K247)</x:f>
        <x:v>0.24872944948495804</x:v>
      </x:c>
      <x:c r="Q247" s="3" t="str">
        <x:f>IF(L247&lt;0,"Yes","No")</x:f>
        <x:v>No</x:v>
      </x:c>
    </x:row>
    <x:row r="248" ht="21" customHeight="1">
      <x:c r="A248" s="3" t="str">
        <x:v>ORD-101604</x:v>
      </x:c>
      <x:c r="B248" s="5" t="n">
        <x:v>45374</x:v>
      </x:c>
      <x:c r="C248" s="3" t="str">
        <x:v>CUST-00475</x:v>
      </x:c>
      <x:c r="D248" s="3" t="str">
        <x:v>West</x:v>
      </x:c>
      <x:c r="E248" s="3" t="str">
        <x:v>Beauty</x:v>
      </x:c>
      <x:c r="F248" s="3" t="str">
        <x:v>Skincare</x:v>
      </x:c>
      <x:c r="G248" s="3" t="str">
        <x:v>Vitamin C Serum</x:v>
      </x:c>
      <x:c r="H248" s="3" t="n">
        <x:v>5</x:v>
      </x:c>
      <x:c r="I248" s="7" t="n">
        <x:v>878.9</x:v>
      </x:c>
      <x:c r="J248" s="9" t="n">
        <x:v>0.1</x:v>
      </x:c>
      <x:c r="K248" s="7" t="n">
        <x:v>3955.05</x:v>
      </x:c>
      <x:c r="L248" s="7" t="n">
        <x:v>1651.8</x:v>
      </x:c>
      <x:c r="M248" s="3" t="str">
        <x:v>Debit Card</x:v>
      </x:c>
      <x:c r="N248" s="3" t="str">
        <x:f>TEXT(B248,"yyyy-mm")</x:f>
        <x:v>2024-03</x:v>
      </x:c>
      <x:c r="O248" s="3" t="str">
        <x:f>IF(J248=0,"No discount",IF(J248&lt;=0.1,"1-10%",IF(J248&lt;=0.15,"11-15%",IF(J248&lt;=0.2,"16-20%","21%+"))))</x:f>
        <x:v>1-10%</x:v>
      </x:c>
      <x:c r="P248" s="9" t="n">
        <x:f>IF(K248=0,0,L248/K248)</x:f>
        <x:v>0.417643266203967</x:v>
      </x:c>
      <x:c r="Q248" s="3" t="str">
        <x:f>IF(L248&lt;0,"Yes","No")</x:f>
        <x:v>No</x:v>
      </x:c>
    </x:row>
    <x:row r="249" ht="21" customHeight="1">
      <x:c r="A249" s="3" t="str">
        <x:v>ORD-101638</x:v>
      </x:c>
      <x:c r="B249" s="5" t="n">
        <x:v>45374</x:v>
      </x:c>
      <x:c r="C249" s="3" t="str">
        <x:v>CUST-00199</x:v>
      </x:c>
      <x:c r="D249" s="3" t="str">
        <x:v>West</x:v>
      </x:c>
      <x:c r="E249" s="3" t="str">
        <x:v>Fashion</x:v>
      </x:c>
      <x:c r="F249" s="3" t="str">
        <x:v>Footwear</x:v>
      </x:c>
      <x:c r="G249" s="3" t="str">
        <x:v>UrbanLoafers</x:v>
      </x:c>
      <x:c r="H249" s="3" t="n">
        <x:v>1</x:v>
      </x:c>
      <x:c r="I249" s="7" t="n">
        <x:v>3345.24</x:v>
      </x:c>
      <x:c r="J249" s="9" t="n">
        <x:v>0.2</x:v>
      </x:c>
      <x:c r="K249" s="7" t="n">
        <x:v>2676.19</x:v>
      </x:c>
      <x:c r="L249" s="7" t="n">
        <x:v>518.4</x:v>
      </x:c>
      <x:c r="M249" s="3" t="str">
        <x:v>Credit Card</x:v>
      </x:c>
      <x:c r="N249" s="3" t="str">
        <x:f>TEXT(B249,"yyyy-mm")</x:f>
        <x:v>2024-03</x:v>
      </x:c>
      <x:c r="O249" s="3" t="str">
        <x:f>IF(J249=0,"No discount",IF(J249&lt;=0.1,"1-10%",IF(J249&lt;=0.15,"11-15%",IF(J249&lt;=0.2,"16-20%","21%+"))))</x:f>
        <x:v>16-20%</x:v>
      </x:c>
      <x:c r="P249" s="9" t="n">
        <x:f>IF(K249=0,0,L249/K249)</x:f>
        <x:v>0.19370821952103548</x:v>
      </x:c>
      <x:c r="Q249" s="3" t="str">
        <x:f>IF(L249&lt;0,"Yes","No")</x:f>
        <x:v>No</x:v>
      </x:c>
    </x:row>
    <x:row r="250" ht="21" customHeight="1">
      <x:c r="A250" s="3" t="str">
        <x:v>ORD-101979</x:v>
      </x:c>
      <x:c r="B250" s="5" t="n">
        <x:v>45374</x:v>
      </x:c>
      <x:c r="C250" s="3" t="str">
        <x:v>CUST-00202</x:v>
      </x:c>
      <x:c r="D250" s="3" t="str">
        <x:v>East</x:v>
      </x:c>
      <x:c r="E250" s="3" t="str">
        <x:v>Home &amp; Kitchen</x:v>
      </x:c>
      <x:c r="F250" s="3" t="str">
        <x:v>Furniture</x:v>
      </x:c>
      <x:c r="G250" s="3" t="str">
        <x:v>ErgoComfort Chair</x:v>
      </x:c>
      <x:c r="H250" s="3" t="n">
        <x:v>1</x:v>
      </x:c>
      <x:c r="I250" s="7" t="n">
        <x:v>8811.84</x:v>
      </x:c>
      <x:c r="J250" s="9" t="n">
        <x:v>0.05</x:v>
      </x:c>
      <x:c r="K250" s="7" t="n">
        <x:v>8371.25</x:v>
      </x:c>
      <x:c r="L250" s="7" t="n">
        <x:v>2515.86</x:v>
      </x:c>
      <x:c r="M250" s="3" t="str">
        <x:v>Debit Card</x:v>
      </x:c>
      <x:c r="N250" s="3" t="str">
        <x:f>TEXT(B250,"yyyy-mm")</x:f>
        <x:v>2024-03</x:v>
      </x:c>
      <x:c r="O250" s="3" t="str">
        <x:f>IF(J250=0,"No discount",IF(J250&lt;=0.1,"1-10%",IF(J250&lt;=0.15,"11-15%",IF(J250&lt;=0.2,"16-20%","21%+"))))</x:f>
        <x:v>1-10%</x:v>
      </x:c>
      <x:c r="P250" s="9" t="n">
        <x:f>IF(K250=0,0,L250/K250)</x:f>
        <x:v>0.30053576228161866</x:v>
      </x:c>
      <x:c r="Q250" s="3" t="str">
        <x:f>IF(L250&lt;0,"Yes","No")</x:f>
        <x:v>No</x:v>
      </x:c>
    </x:row>
    <x:row r="251" ht="21" customHeight="1">
      <x:c r="A251" s="3" t="str">
        <x:v>ORD-100041</x:v>
      </x:c>
      <x:c r="B251" s="5" t="n">
        <x:v>45375</x:v>
      </x:c>
      <x:c r="C251" s="3" t="str">
        <x:v>CUST-00553</x:v>
      </x:c>
      <x:c r="D251" s="3" t="str">
        <x:v>West</x:v>
      </x:c>
      <x:c r="E251" s="3" t="str">
        <x:v>Home &amp; Kitchen</x:v>
      </x:c>
      <x:c r="F251" s="3" t="str">
        <x:v>Furniture</x:v>
      </x:c>
      <x:c r="G251" s="3" t="str">
        <x:v>ErgoComfort Chair</x:v>
      </x:c>
      <x:c r="H251" s="3" t="n">
        <x:v>1</x:v>
      </x:c>
      <x:c r="I251" s="7" t="n">
        <x:v>8890.23</x:v>
      </x:c>
      <x:c r="J251" s="9" t="n">
        <x:v>0.15</x:v>
      </x:c>
      <x:c r="K251" s="7" t="n">
        <x:v>7556.7</x:v>
      </x:c>
      <x:c r="L251" s="7" t="n">
        <x:v>1342.53</x:v>
      </x:c>
      <x:c r="M251" s="3" t="str">
        <x:v>UPI</x:v>
      </x:c>
      <x:c r="N251" s="3" t="str">
        <x:f>TEXT(B251,"yyyy-mm")</x:f>
        <x:v>2024-03</x:v>
      </x:c>
      <x:c r="O251" s="3" t="str">
        <x:f>IF(J251=0,"No discount",IF(J251&lt;=0.1,"1-10%",IF(J251&lt;=0.15,"11-15%",IF(J251&lt;=0.2,"16-20%","21%+"))))</x:f>
        <x:v>11-15%</x:v>
      </x:c>
      <x:c r="P251" s="9" t="n">
        <x:f>IF(K251=0,0,L251/K251)</x:f>
        <x:v>0.17766088371908373</x:v>
      </x:c>
      <x:c r="Q251" s="3" t="str">
        <x:f>IF(L251&lt;0,"Yes","No")</x:f>
        <x:v>No</x:v>
      </x:c>
    </x:row>
    <x:row r="252" ht="21" customHeight="1">
      <x:c r="A252" s="3" t="str">
        <x:v>ORD-100155</x:v>
      </x:c>
      <x:c r="B252" s="5" t="n">
        <x:v>45375</x:v>
      </x:c>
      <x:c r="C252" s="3" t="str">
        <x:v>CUST-00541</x:v>
      </x:c>
      <x:c r="D252" s="3" t="str">
        <x:v>East</x:v>
      </x:c>
      <x:c r="E252" s="3" t="str">
        <x:v>Home &amp; Kitchen</x:v>
      </x:c>
      <x:c r="F252" s="3" t="str">
        <x:v>Appliances</x:v>
      </x:c>
      <x:c r="G252" s="3" t="str">
        <x:v>AirFryer Deluxe</x:v>
      </x:c>
      <x:c r="H252" s="3" t="n">
        <x:v>1</x:v>
      </x:c>
      <x:c r="I252" s="7" t="n">
        <x:v>7721.58</x:v>
      </x:c>
      <x:c r="J252" s="9" t="n">
        <x:v>0</x:v>
      </x:c>
      <x:c r="K252" s="7" t="n">
        <x:v>7721.58</x:v>
      </x:c>
      <x:c r="L252" s="7" t="n">
        <x:v>2701.15</x:v>
      </x:c>
      <x:c r="M252" s="3" t="str">
        <x:v>UPI</x:v>
      </x:c>
      <x:c r="N252" s="3" t="str">
        <x:f>TEXT(B252,"yyyy-mm")</x:f>
        <x:v>2024-03</x:v>
      </x:c>
      <x:c r="O252" s="3" t="str">
        <x:f>IF(J252=0,"No discount",IF(J252&lt;=0.1,"1-10%",IF(J252&lt;=0.15,"11-15%",IF(J252&lt;=0.2,"16-20%","21%+"))))</x:f>
        <x:v>No discount</x:v>
      </x:c>
      <x:c r="P252" s="9" t="n">
        <x:f>IF(K252=0,0,L252/K252)</x:f>
        <x:v>0.3498183014357165</x:v>
      </x:c>
      <x:c r="Q252" s="3" t="str">
        <x:f>IF(L252&lt;0,"Yes","No")</x:f>
        <x:v>No</x:v>
      </x:c>
    </x:row>
    <x:row r="253" ht="21" customHeight="1">
      <x:c r="A253" s="3" t="str">
        <x:v>ORD-101194</x:v>
      </x:c>
      <x:c r="B253" s="5" t="n">
        <x:v>45375</x:v>
      </x:c>
      <x:c r="C253" s="3" t="str">
        <x:v>CUST-00195</x:v>
      </x:c>
      <x:c r="D253" s="3" t="str">
        <x:v>East</x:v>
      </x:c>
      <x:c r="E253" s="3" t="str">
        <x:v>Electronics</x:v>
      </x:c>
      <x:c r="F253" s="3" t="str">
        <x:v>Mobile</x:v>
      </x:c>
      <x:c r="G253" s="3" t="str">
        <x:v>Galaxy Nova X5</x:v>
      </x:c>
      <x:c r="H253" s="3" t="n">
        <x:v>3</x:v>
      </x:c>
      <x:c r="I253" s="7" t="n">
        <x:v>25476.19</x:v>
      </x:c>
      <x:c r="J253" s="9" t="n">
        <x:v>0.15</x:v>
      </x:c>
      <x:c r="K253" s="7" t="n">
        <x:v>64964.28</x:v>
      </x:c>
      <x:c r="L253" s="7" t="n">
        <x:v>2373.2</x:v>
      </x:c>
      <x:c r="M253" s="3" t="str">
        <x:v>UPI</x:v>
      </x:c>
      <x:c r="N253" s="3" t="str">
        <x:f>TEXT(B253,"yyyy-mm")</x:f>
        <x:v>2024-03</x:v>
      </x:c>
      <x:c r="O253" s="3" t="str">
        <x:f>IF(J253=0,"No discount",IF(J253&lt;=0.1,"1-10%",IF(J253&lt;=0.15,"11-15%",IF(J253&lt;=0.2,"16-20%","21%+"))))</x:f>
        <x:v>11-15%</x:v>
      </x:c>
      <x:c r="P253" s="9" t="n">
        <x:f>IF(K253=0,0,L253/K253)</x:f>
        <x:v>0.036530844334763654</x:v>
      </x:c>
      <x:c r="Q253" s="3" t="str">
        <x:f>IF(L253&lt;0,"Yes","No")</x:f>
        <x:v>No</x:v>
      </x:c>
    </x:row>
    <x:row r="254" ht="21" customHeight="1">
      <x:c r="A254" s="3" t="str">
        <x:v>ORD-101702</x:v>
      </x:c>
      <x:c r="B254" s="5" t="n">
        <x:v>45375</x:v>
      </x:c>
      <x:c r="C254" s="3" t="str">
        <x:v>CUST-00303</x:v>
      </x:c>
      <x:c r="D254" s="3" t="str">
        <x:v>North</x:v>
      </x:c>
      <x:c r="E254" s="3" t="str">
        <x:v>Home &amp; Kitchen</x:v>
      </x:c>
      <x:c r="F254" s="3" t="str">
        <x:v>Decor</x:v>
      </x:c>
      <x:c r="G254" s="3" t="str">
        <x:v>Ceramic Vase Set</x:v>
      </x:c>
      <x:c r="H254" s="3" t="n">
        <x:v>1</x:v>
      </x:c>
      <x:c r="I254" s="7" t="n">
        <x:v>1518.52</x:v>
      </x:c>
      <x:c r="J254" s="9" t="n">
        <x:v>0.1</x:v>
      </x:c>
      <x:c r="K254" s="7" t="n">
        <x:v>1366.67</x:v>
      </x:c>
      <x:c r="L254" s="7" t="n">
        <x:v>259.27</x:v>
      </x:c>
      <x:c r="M254" s="3" t="str">
        <x:v>Cash on Delivery</x:v>
      </x:c>
      <x:c r="N254" s="3" t="str">
        <x:f>TEXT(B254,"yyyy-mm")</x:f>
        <x:v>2024-03</x:v>
      </x:c>
      <x:c r="O254" s="3" t="str">
        <x:f>IF(J254=0,"No discount",IF(J254&lt;=0.1,"1-10%",IF(J254&lt;=0.15,"11-15%",IF(J254&lt;=0.2,"16-20%","21%+"))))</x:f>
        <x:v>1-10%</x:v>
      </x:c>
      <x:c r="P254" s="9" t="n">
        <x:f>IF(K254=0,0,L254/K254)</x:f>
        <x:v>0.18970929339196732</x:v>
      </x:c>
      <x:c r="Q254" s="3" t="str">
        <x:f>IF(L254&lt;0,"Yes","No")</x:f>
        <x:v>No</x:v>
      </x:c>
    </x:row>
    <x:row r="255" ht="21" customHeight="1">
      <x:c r="A255" s="3" t="str">
        <x:v>ORD-101846</x:v>
      </x:c>
      <x:c r="B255" s="5" t="n">
        <x:v>45375</x:v>
      </x:c>
      <x:c r="C255" s="3" t="str">
        <x:v>CUST-00238</x:v>
      </x:c>
      <x:c r="D255" s="3" t="str">
        <x:v>East</x:v>
      </x:c>
      <x:c r="E255" s="3" t="str">
        <x:v>Beauty</x:v>
      </x:c>
      <x:c r="F255" s="3" t="str">
        <x:v>Skincare</x:v>
      </x:c>
      <x:c r="G255" s="3" t="str">
        <x:v>Vitamin C Serum</x:v>
      </x:c>
      <x:c r="H255" s="3" t="n">
        <x:v>1</x:v>
      </x:c>
      <x:c r="I255" s="7" t="n">
        <x:v>905.09</x:v>
      </x:c>
      <x:c r="J255" s="9" t="n">
        <x:v>0.15</x:v>
      </x:c>
      <x:c r="K255" s="7" t="n">
        <x:v>769.33</x:v>
      </x:c>
      <x:c r="L255" s="7" t="n">
        <x:v>276.4</x:v>
      </x:c>
      <x:c r="M255" s="3" t="str">
        <x:v>Debit Card</x:v>
      </x:c>
      <x:c r="N255" s="3" t="str">
        <x:f>TEXT(B255,"yyyy-mm")</x:f>
        <x:v>2024-03</x:v>
      </x:c>
      <x:c r="O255" s="3" t="str">
        <x:f>IF(J255=0,"No discount",IF(J255&lt;=0.1,"1-10%",IF(J255&lt;=0.15,"11-15%",IF(J255&lt;=0.2,"16-20%","21%+"))))</x:f>
        <x:v>11-15%</x:v>
      </x:c>
      <x:c r="P255" s="9" t="n">
        <x:f>IF(K255=0,0,L255/K255)</x:f>
        <x:v>0.3592736536986728</x:v>
      </x:c>
      <x:c r="Q255" s="3" t="str">
        <x:f>IF(L255&lt;0,"Yes","No")</x:f>
        <x:v>No</x:v>
      </x:c>
    </x:row>
    <x:row r="256" ht="21" customHeight="1">
      <x:c r="A256" s="3" t="str">
        <x:v>ORD-101285</x:v>
      </x:c>
      <x:c r="B256" s="5" t="n">
        <x:v>45376</x:v>
      </x:c>
      <x:c r="C256" s="3" t="str">
        <x:v>CUST-00512</x:v>
      </x:c>
      <x:c r="D256" s="3" t="str">
        <x:v>West</x:v>
      </x:c>
      <x:c r="E256" s="3" t="str">
        <x:v>Beauty</x:v>
      </x:c>
      <x:c r="F256" s="3" t="str">
        <x:v>Skincare</x:v>
      </x:c>
      <x:c r="G256" s="3" t="str">
        <x:v>HydraBoost Moisturizer</x:v>
      </x:c>
      <x:c r="H256" s="3" t="n">
        <x:v>2</x:v>
      </x:c>
      <x:c r="I256" s="7" t="n">
        <x:v>1162.89</x:v>
      </x:c>
      <x:c r="J256" s="9" t="n">
        <x:v>0</x:v>
      </x:c>
      <x:c r="K256" s="7" t="n">
        <x:v>2325.78</x:v>
      </x:c>
      <x:c r="L256" s="7" t="n">
        <x:v>1237.72</x:v>
      </x:c>
      <x:c r="M256" s="3" t="str">
        <x:v>Credit Card</x:v>
      </x:c>
      <x:c r="N256" s="3" t="str">
        <x:f>TEXT(B256,"yyyy-mm")</x:f>
        <x:v>2024-03</x:v>
      </x:c>
      <x:c r="O256" s="3" t="str">
        <x:f>IF(J256=0,"No discount",IF(J256&lt;=0.1,"1-10%",IF(J256&lt;=0.15,"11-15%",IF(J256&lt;=0.2,"16-20%","21%+"))))</x:f>
        <x:v>No discount</x:v>
      </x:c>
      <x:c r="P256" s="9" t="n">
        <x:f>IF(K256=0,0,L256/K256)</x:f>
        <x:v>0.5321741523273912</x:v>
      </x:c>
      <x:c r="Q256" s="3" t="str">
        <x:f>IF(L256&lt;0,"Yes","No")</x:f>
        <x:v>No</x:v>
      </x:c>
    </x:row>
    <x:row r="257" ht="21" customHeight="1">
      <x:c r="A257" s="3" t="str">
        <x:v>ORD-100864</x:v>
      </x:c>
      <x:c r="B257" s="5" t="n">
        <x:v>45377</x:v>
      </x:c>
      <x:c r="C257" s="3" t="str">
        <x:v>CUST-00174</x:v>
      </x:c>
      <x:c r="D257" s="3" t="str">
        <x:v>North</x:v>
      </x:c>
      <x:c r="E257" s="3" t="str">
        <x:v>Electronics</x:v>
      </x:c>
      <x:c r="F257" s="3" t="str">
        <x:v>Laptop</x:v>
      </x:c>
      <x:c r="G257" s="3" t="str">
        <x:v>ThinkPro 14</x:v>
      </x:c>
      <x:c r="H257" s="3" t="n">
        <x:v>1</x:v>
      </x:c>
      <x:c r="I257" s="7" t="n">
        <x:v>52848.26</x:v>
      </x:c>
      <x:c r="J257" s="9" t="n">
        <x:v>0.05</x:v>
      </x:c>
      <x:c r="K257" s="7" t="n">
        <x:v>50205.85</x:v>
      </x:c>
      <x:c r="L257" s="7" t="n">
        <x:v>5389.54</x:v>
      </x:c>
      <x:c r="M257" s="3" t="str">
        <x:v>Credit Card</x:v>
      </x:c>
      <x:c r="N257" s="3" t="str">
        <x:f>TEXT(B257,"yyyy-mm")</x:f>
        <x:v>2024-03</x:v>
      </x:c>
      <x:c r="O257" s="3" t="str">
        <x:f>IF(J257=0,"No discount",IF(J257&lt;=0.1,"1-10%",IF(J257&lt;=0.15,"11-15%",IF(J257&lt;=0.2,"16-20%","21%+"))))</x:f>
        <x:v>1-10%</x:v>
      </x:c>
      <x:c r="P257" s="9" t="n">
        <x:f>IF(K257=0,0,L257/K257)</x:f>
        <x:v>0.10734884480593397</x:v>
      </x:c>
      <x:c r="Q257" s="3" t="str">
        <x:f>IF(L257&lt;0,"Yes","No")</x:f>
        <x:v>No</x:v>
      </x:c>
    </x:row>
    <x:row r="258" ht="21" customHeight="1">
      <x:c r="A258" s="3" t="str">
        <x:v>ORD-101818</x:v>
      </x:c>
      <x:c r="B258" s="5" t="n">
        <x:v>45377</x:v>
      </x:c>
      <x:c r="C258" s="3" t="str">
        <x:v>CUST-00494</x:v>
      </x:c>
      <x:c r="D258" s="3" t="str">
        <x:v>West</x:v>
      </x:c>
      <x:c r="E258" s="3" t="str">
        <x:v>Beauty</x:v>
      </x:c>
      <x:c r="F258" s="3" t="str">
        <x:v>Skincare</x:v>
      </x:c>
      <x:c r="G258" s="3" t="str">
        <x:v>Vitamin C Serum</x:v>
      </x:c>
      <x:c r="H258" s="3" t="n">
        <x:v>1</x:v>
      </x:c>
      <x:c r="I258" s="7" t="n">
        <x:v>940.06</x:v>
      </x:c>
      <x:c r="J258" s="9" t="n">
        <x:v>0.15</x:v>
      </x:c>
      <x:c r="K258" s="7" t="n">
        <x:v>799.05</x:v>
      </x:c>
      <x:c r="L258" s="7" t="n">
        <x:v>273.91</x:v>
      </x:c>
      <x:c r="M258" s="3" t="str">
        <x:v>UPI</x:v>
      </x:c>
      <x:c r="N258" s="3" t="str">
        <x:f>TEXT(B258,"yyyy-mm")</x:f>
        <x:v>2024-03</x:v>
      </x:c>
      <x:c r="O258" s="3" t="str">
        <x:f>IF(J258=0,"No discount",IF(J258&lt;=0.1,"1-10%",IF(J258&lt;=0.15,"11-15%",IF(J258&lt;=0.2,"16-20%","21%+"))))</x:f>
        <x:v>11-15%</x:v>
      </x:c>
      <x:c r="P258" s="9" t="n">
        <x:f>IF(K258=0,0,L258/K258)</x:f>
        <x:v>0.34279456855015333</x:v>
      </x:c>
      <x:c r="Q258" s="3" t="str">
        <x:f>IF(L258&lt;0,"Yes","No")</x:f>
        <x:v>No</x:v>
      </x:c>
    </x:row>
    <x:row r="259" ht="21" customHeight="1">
      <x:c r="A259" s="3" t="str">
        <x:v>ORD-101479</x:v>
      </x:c>
      <x:c r="B259" s="5" t="n">
        <x:v>45378</x:v>
      </x:c>
      <x:c r="C259" s="3" t="str">
        <x:v>CUST-00049</x:v>
      </x:c>
      <x:c r="D259" s="3" t="str">
        <x:v>East</x:v>
      </x:c>
      <x:c r="E259" s="3" t="str">
        <x:v>Fashion</x:v>
      </x:c>
      <x:c r="F259" s="3" t="str">
        <x:v>Men</x:v>
      </x:c>
      <x:c r="G259" s="3" t="str">
        <x:v>Oxford Casual Shirt</x:v>
      </x:c>
      <x:c r="H259" s="3" t="n">
        <x:v>1</x:v>
      </x:c>
      <x:c r="I259" s="7" t="n">
        <x:v>1308.54</x:v>
      </x:c>
      <x:c r="J259" s="9" t="n">
        <x:v>0</x:v>
      </x:c>
      <x:c r="K259" s="7" t="n">
        <x:v>1308.54</x:v>
      </x:c>
      <x:c r="L259" s="7" t="n">
        <x:v>595.7</x:v>
      </x:c>
      <x:c r="M259" s="3" t="str">
        <x:v>UPI</x:v>
      </x:c>
      <x:c r="N259" s="3" t="str">
        <x:f>TEXT(B259,"yyyy-mm")</x:f>
        <x:v>2024-03</x:v>
      </x:c>
      <x:c r="O259" s="3" t="str">
        <x:f>IF(J259=0,"No discount",IF(J259&lt;=0.1,"1-10%",IF(J259&lt;=0.15,"11-15%",IF(J259&lt;=0.2,"16-20%","21%+"))))</x:f>
        <x:v>No discount</x:v>
      </x:c>
      <x:c r="P259" s="9" t="n">
        <x:f>IF(K259=0,0,L259/K259)</x:f>
        <x:v>0.4552401913583078</x:v>
      </x:c>
      <x:c r="Q259" s="3" t="str">
        <x:f>IF(L259&lt;0,"Yes","No")</x:f>
        <x:v>No</x:v>
      </x:c>
    </x:row>
    <x:row r="260" ht="21" customHeight="1">
      <x:c r="A260" s="3" t="str">
        <x:v>ORD-100384</x:v>
      </x:c>
      <x:c r="B260" s="5" t="n">
        <x:v>45379</x:v>
      </x:c>
      <x:c r="C260" s="3" t="str">
        <x:v>CUST-00056</x:v>
      </x:c>
      <x:c r="D260" s="3" t="str">
        <x:v>North</x:v>
      </x:c>
      <x:c r="E260" s="3" t="str">
        <x:v>Beauty</x:v>
      </x:c>
      <x:c r="F260" s="3" t="str">
        <x:v>Makeup</x:v>
      </x:c>
      <x:c r="G260" s="3" t="str">
        <x:v>Matte Lipstick Set</x:v>
      </x:c>
      <x:c r="H260" s="3" t="n">
        <x:v>1</x:v>
      </x:c>
      <x:c r="I260" s="7" t="n">
        <x:v>972.38</x:v>
      </x:c>
      <x:c r="J260" s="9" t="n">
        <x:v>0.25</x:v>
      </x:c>
      <x:c r="K260" s="7" t="n">
        <x:v>729.28</x:v>
      </x:c>
      <x:c r="L260" s="7" t="n">
        <x:v>202.25</x:v>
      </x:c>
      <x:c r="M260" s="3" t="str">
        <x:v>Debit Card</x:v>
      </x:c>
      <x:c r="N260" s="3" t="str">
        <x:f>TEXT(B260,"yyyy-mm")</x:f>
        <x:v>2024-03</x:v>
      </x:c>
      <x:c r="O260" s="3" t="str">
        <x:f>IF(J260=0,"No discount",IF(J260&lt;=0.1,"1-10%",IF(J260&lt;=0.15,"11-15%",IF(J260&lt;=0.2,"16-20%","21%+"))))</x:f>
        <x:v>21%+</x:v>
      </x:c>
      <x:c r="P260" s="9" t="n">
        <x:f>IF(K260=0,0,L260/K260)</x:f>
        <x:v>0.27732832382623956</x:v>
      </x:c>
      <x:c r="Q260" s="3" t="str">
        <x:f>IF(L260&lt;0,"Yes","No")</x:f>
        <x:v>No</x:v>
      </x:c>
    </x:row>
    <x:row r="261" ht="21" customHeight="1">
      <x:c r="A261" s="3" t="str">
        <x:v>ORD-101974</x:v>
      </x:c>
      <x:c r="B261" s="5" t="n">
        <x:v>45379</x:v>
      </x:c>
      <x:c r="C261" s="3" t="str">
        <x:v>CUST-00208</x:v>
      </x:c>
      <x:c r="D261" s="3" t="str">
        <x:v>East</x:v>
      </x:c>
      <x:c r="E261" s="3" t="str">
        <x:v>Fashion</x:v>
      </x:c>
      <x:c r="F261" s="3" t="str">
        <x:v>Footwear</x:v>
      </x:c>
      <x:c r="G261" s="3" t="str">
        <x:v>RunFlex Sneakers</x:v>
      </x:c>
      <x:c r="H261" s="3" t="n">
        <x:v>1</x:v>
      </x:c>
      <x:c r="I261" s="7" t="n">
        <x:v>3026.13</x:v>
      </x:c>
      <x:c r="J261" s="9" t="n">
        <x:v>0.05</x:v>
      </x:c>
      <x:c r="K261" s="7" t="n">
        <x:v>2874.82</x:v>
      </x:c>
      <x:c r="L261" s="7" t="n">
        <x:v>1099.27</x:v>
      </x:c>
      <x:c r="M261" s="3" t="str">
        <x:v>UPI</x:v>
      </x:c>
      <x:c r="N261" s="3" t="str">
        <x:f>TEXT(B261,"yyyy-mm")</x:f>
        <x:v>2024-03</x:v>
      </x:c>
      <x:c r="O261" s="3" t="str">
        <x:f>IF(J261=0,"No discount",IF(J261&lt;=0.1,"1-10%",IF(J261&lt;=0.15,"11-15%",IF(J261&lt;=0.2,"16-20%","21%+"))))</x:f>
        <x:v>1-10%</x:v>
      </x:c>
      <x:c r="P261" s="9" t="n">
        <x:f>IF(K261=0,0,L261/K261)</x:f>
        <x:v>0.3823787228417779</x:v>
      </x:c>
      <x:c r="Q261" s="3" t="str">
        <x:f>IF(L261&lt;0,"Yes","No")</x:f>
        <x:v>No</x:v>
      </x:c>
    </x:row>
    <x:row r="262" ht="21" customHeight="1">
      <x:c r="A262" s="3" t="str">
        <x:v>ORD-100486</x:v>
      </x:c>
      <x:c r="B262" s="5" t="n">
        <x:v>45380</x:v>
      </x:c>
      <x:c r="C262" s="3" t="str">
        <x:v>CUST-00311</x:v>
      </x:c>
      <x:c r="D262" s="3" t="str">
        <x:v>South</x:v>
      </x:c>
      <x:c r="E262" s="3" t="str">
        <x:v>Sports</x:v>
      </x:c>
      <x:c r="F262" s="3" t="str">
        <x:v>Outdoor</x:v>
      </x:c>
      <x:c r="G262" s="3" t="str">
        <x:v>AllWeather Tent 4P</x:v>
      </x:c>
      <x:c r="H262" s="3" t="n">
        <x:v>1</x:v>
      </x:c>
      <x:c r="I262" s="7" t="n">
        <x:v>12476.23</x:v>
      </x:c>
      <x:c r="J262" s="9" t="n">
        <x:v>0.15</x:v>
      </x:c>
      <x:c r="K262" s="7" t="n">
        <x:v>10604.8</x:v>
      </x:c>
      <x:c r="L262" s="7" t="n">
        <x:v>2394.44</x:v>
      </x:c>
      <x:c r="M262" s="3" t="str">
        <x:v>Debit Card</x:v>
      </x:c>
      <x:c r="N262" s="3" t="str">
        <x:f>TEXT(B262,"yyyy-mm")</x:f>
        <x:v>2024-03</x:v>
      </x:c>
      <x:c r="O262" s="3" t="str">
        <x:f>IF(J262=0,"No discount",IF(J262&lt;=0.1,"1-10%",IF(J262&lt;=0.15,"11-15%",IF(J262&lt;=0.2,"16-20%","21%+"))))</x:f>
        <x:v>11-15%</x:v>
      </x:c>
      <x:c r="P262" s="9" t="n">
        <x:f>IF(K262=0,0,L262/K262)</x:f>
        <x:v>0.22578832226916115</x:v>
      </x:c>
      <x:c r="Q262" s="3" t="str">
        <x:f>IF(L262&lt;0,"Yes","No")</x:f>
        <x:v>No</x:v>
      </x:c>
    </x:row>
    <x:row r="263" ht="21" customHeight="1">
      <x:c r="A263" s="3" t="str">
        <x:v>ORD-101371</x:v>
      </x:c>
      <x:c r="B263" s="5" t="n">
        <x:v>45380</x:v>
      </x:c>
      <x:c r="C263" s="3" t="str">
        <x:v>CUST-00438</x:v>
      </x:c>
      <x:c r="D263" s="3" t="str">
        <x:v>South</x:v>
      </x:c>
      <x:c r="E263" s="3" t="str">
        <x:v>Beauty</x:v>
      </x:c>
      <x:c r="F263" s="3" t="str">
        <x:v>Skincare</x:v>
      </x:c>
      <x:c r="G263" s="3" t="str">
        <x:v>Vitamin C Serum</x:v>
      </x:c>
      <x:c r="H263" s="3" t="n">
        <x:v>1</x:v>
      </x:c>
      <x:c r="I263" s="7" t="n">
        <x:v>854.14</x:v>
      </x:c>
      <x:c r="J263" s="9" t="n">
        <x:v>0.05</x:v>
      </x:c>
      <x:c r="K263" s="7" t="n">
        <x:v>811.43</x:v>
      </x:c>
      <x:c r="L263" s="7" t="n">
        <x:v>378.73</x:v>
      </x:c>
      <x:c r="M263" s="3" t="str">
        <x:v>Debit Card</x:v>
      </x:c>
      <x:c r="N263" s="3" t="str">
        <x:f>TEXT(B263,"yyyy-mm")</x:f>
        <x:v>2024-03</x:v>
      </x:c>
      <x:c r="O263" s="3" t="str">
        <x:f>IF(J263=0,"No discount",IF(J263&lt;=0.1,"1-10%",IF(J263&lt;=0.15,"11-15%",IF(J263&lt;=0.2,"16-20%","21%+"))))</x:f>
        <x:v>1-10%</x:v>
      </x:c>
      <x:c r="P263" s="9" t="n">
        <x:f>IF(K263=0,0,L263/K263)</x:f>
        <x:v>0.4667438965776469</x:v>
      </x:c>
      <x:c r="Q263" s="3" t="str">
        <x:f>IF(L263&lt;0,"Yes","No")</x:f>
        <x:v>No</x:v>
      </x:c>
    </x:row>
    <x:row r="264" ht="21" customHeight="1">
      <x:c r="A264" s="3" t="str">
        <x:v>ORD-101431</x:v>
      </x:c>
      <x:c r="B264" s="5" t="n">
        <x:v>45380</x:v>
      </x:c>
      <x:c r="C264" s="3" t="str">
        <x:v>CUST-00169</x:v>
      </x:c>
      <x:c r="D264" s="3" t="str">
        <x:v>South</x:v>
      </x:c>
      <x:c r="E264" s="3" t="str">
        <x:v>Fashion</x:v>
      </x:c>
      <x:c r="F264" s="3" t="str">
        <x:v>Men</x:v>
      </x:c>
      <x:c r="G264" s="3" t="str">
        <x:v>Oxford Casual Shirt</x:v>
      </x:c>
      <x:c r="H264" s="3" t="n">
        <x:v>1</x:v>
      </x:c>
      <x:c r="I264" s="7" t="n">
        <x:v>1344.03</x:v>
      </x:c>
      <x:c r="J264" s="9" t="n">
        <x:v>0.05</x:v>
      </x:c>
      <x:c r="K264" s="7" t="n">
        <x:v>1276.83</x:v>
      </x:c>
      <x:c r="L264" s="7" t="n">
        <x:v>431.68</x:v>
      </x:c>
      <x:c r="M264" s="3" t="str">
        <x:v>Credit Card</x:v>
      </x:c>
      <x:c r="N264" s="3" t="str">
        <x:f>TEXT(B264,"yyyy-mm")</x:f>
        <x:v>2024-03</x:v>
      </x:c>
      <x:c r="O264" s="3" t="str">
        <x:f>IF(J264=0,"No discount",IF(J264&lt;=0.1,"1-10%",IF(J264&lt;=0.15,"11-15%",IF(J264&lt;=0.2,"16-20%","21%+"))))</x:f>
        <x:v>1-10%</x:v>
      </x:c>
      <x:c r="P264" s="9" t="n">
        <x:f>IF(K264=0,0,L264/K264)</x:f>
        <x:v>0.3380872943148266</x:v>
      </x:c>
      <x:c r="Q264" s="3" t="str">
        <x:f>IF(L264&lt;0,"Yes","No")</x:f>
        <x:v>No</x:v>
      </x:c>
    </x:row>
    <x:row r="265" ht="21" customHeight="1">
      <x:c r="A265" s="3" t="str">
        <x:v>ORD-100417</x:v>
      </x:c>
      <x:c r="B265" s="5" t="n">
        <x:v>45381</x:v>
      </x:c>
      <x:c r="C265" s="3" t="str">
        <x:v>CUST-00048</x:v>
      </x:c>
      <x:c r="D265" s="3" t="str">
        <x:v>West</x:v>
      </x:c>
      <x:c r="E265" s="3" t="str">
        <x:v>Fashion</x:v>
      </x:c>
      <x:c r="F265" s="3" t="str">
        <x:v>Footwear</x:v>
      </x:c>
      <x:c r="G265" s="3" t="str">
        <x:v>RunFlex Sneakers</x:v>
      </x:c>
      <x:c r="H265" s="3" t="n">
        <x:v>1</x:v>
      </x:c>
      <x:c r="I265" s="7" t="n">
        <x:v>3005.7</x:v>
      </x:c>
      <x:c r="J265" s="9" t="n">
        <x:v>0.15</x:v>
      </x:c>
      <x:c r="K265" s="7" t="n">
        <x:v>2554.84</x:v>
      </x:c>
      <x:c r="L265" s="7" t="n">
        <x:v>530.97</x:v>
      </x:c>
      <x:c r="M265" s="3" t="str">
        <x:v>Credit Card</x:v>
      </x:c>
      <x:c r="N265" s="3" t="str">
        <x:f>TEXT(B265,"yyyy-mm")</x:f>
        <x:v>2024-03</x:v>
      </x:c>
      <x:c r="O265" s="3" t="str">
        <x:f>IF(J265=0,"No discount",IF(J265&lt;=0.1,"1-10%",IF(J265&lt;=0.15,"11-15%",IF(J265&lt;=0.2,"16-20%","21%+"))))</x:f>
        <x:v>11-15%</x:v>
      </x:c>
      <x:c r="P265" s="9" t="n">
        <x:f>IF(K265=0,0,L265/K265)</x:f>
        <x:v>0.2078290617024941</x:v>
      </x:c>
      <x:c r="Q265" s="3" t="str">
        <x:f>IF(L265&lt;0,"Yes","No")</x:f>
        <x:v>No</x:v>
      </x:c>
    </x:row>
    <x:row r="266" ht="21" customHeight="1">
      <x:c r="A266" s="3" t="str">
        <x:v>ORD-100485</x:v>
      </x:c>
      <x:c r="B266" s="5" t="n">
        <x:v>45381</x:v>
      </x:c>
      <x:c r="C266" s="3" t="str">
        <x:v>CUST-00455</x:v>
      </x:c>
      <x:c r="D266" s="3" t="str">
        <x:v>North</x:v>
      </x:c>
      <x:c r="E266" s="3" t="str">
        <x:v>Beauty</x:v>
      </x:c>
      <x:c r="F266" s="3" t="str">
        <x:v>Skincare</x:v>
      </x:c>
      <x:c r="G266" s="3" t="str">
        <x:v>HydraBoost Moisturizer</x:v>
      </x:c>
      <x:c r="H266" s="3" t="n">
        <x:v>1</x:v>
      </x:c>
      <x:c r="I266" s="7" t="n">
        <x:v>1190.32</x:v>
      </x:c>
      <x:c r="J266" s="9" t="n">
        <x:v>0.15</x:v>
      </x:c>
      <x:c r="K266" s="7" t="n">
        <x:v>1011.77</x:v>
      </x:c>
      <x:c r="L266" s="7" t="n">
        <x:v>372.72</x:v>
      </x:c>
      <x:c r="M266" s="3" t="str">
        <x:v>UPI</x:v>
      </x:c>
      <x:c r="N266" s="3" t="str">
        <x:f>TEXT(B266,"yyyy-mm")</x:f>
        <x:v>2024-03</x:v>
      </x:c>
      <x:c r="O266" s="3" t="str">
        <x:f>IF(J266=0,"No discount",IF(J266&lt;=0.1,"1-10%",IF(J266&lt;=0.15,"11-15%",IF(J266&lt;=0.2,"16-20%","21%+"))))</x:f>
        <x:v>11-15%</x:v>
      </x:c>
      <x:c r="P266" s="9" t="n">
        <x:f>IF(K266=0,0,L266/K266)</x:f>
        <x:v>0.36838411892030803</x:v>
      </x:c>
      <x:c r="Q266" s="3" t="str">
        <x:f>IF(L266&lt;0,"Yes","No")</x:f>
        <x:v>No</x:v>
      </x:c>
    </x:row>
    <x:row r="267" ht="21" customHeight="1">
      <x:c r="A267" s="3" t="str">
        <x:v>ORD-100736</x:v>
      </x:c>
      <x:c r="B267" s="5" t="n">
        <x:v>45381</x:v>
      </x:c>
      <x:c r="C267" s="3" t="str">
        <x:v>CUST-00466</x:v>
      </x:c>
      <x:c r="D267" s="3" t="str">
        <x:v>West</x:v>
      </x:c>
      <x:c r="E267" s="3" t="str">
        <x:v>Fashion</x:v>
      </x:c>
      <x:c r="F267" s="3" t="str">
        <x:v>Footwear</x:v>
      </x:c>
      <x:c r="G267" s="3" t="str">
        <x:v>UrbanLoafers</x:v>
      </x:c>
      <x:c r="H267" s="3" t="n">
        <x:v>1</x:v>
      </x:c>
      <x:c r="I267" s="7" t="n">
        <x:v>3592.18</x:v>
      </x:c>
      <x:c r="J267" s="9" t="n">
        <x:v>0</x:v>
      </x:c>
      <x:c r="K267" s="7" t="n">
        <x:v>3592.18</x:v>
      </x:c>
      <x:c r="L267" s="7" t="n">
        <x:v>1453.98</x:v>
      </x:c>
      <x:c r="M267" s="3" t="str">
        <x:v>Debit Card</x:v>
      </x:c>
      <x:c r="N267" s="3" t="str">
        <x:f>TEXT(B267,"yyyy-mm")</x:f>
        <x:v>2024-03</x:v>
      </x:c>
      <x:c r="O267" s="3" t="str">
        <x:f>IF(J267=0,"No discount",IF(J267&lt;=0.1,"1-10%",IF(J267&lt;=0.15,"11-15%",IF(J267&lt;=0.2,"16-20%","21%+"))))</x:f>
        <x:v>No discount</x:v>
      </x:c>
      <x:c r="P267" s="9" t="n">
        <x:f>IF(K267=0,0,L267/K267)</x:f>
        <x:v>0.4047625675773486</x:v>
      </x:c>
      <x:c r="Q267" s="3" t="str">
        <x:f>IF(L267&lt;0,"Yes","No")</x:f>
        <x:v>No</x:v>
      </x:c>
    </x:row>
    <x:row r="268" ht="21" customHeight="1">
      <x:c r="A268" s="3" t="str">
        <x:v>ORD-101262</x:v>
      </x:c>
      <x:c r="B268" s="5" t="n">
        <x:v>45381</x:v>
      </x:c>
      <x:c r="C268" s="3" t="str">
        <x:v>CUST-00363</x:v>
      </x:c>
      <x:c r="D268" s="3" t="str">
        <x:v>West</x:v>
      </x:c>
      <x:c r="E268" s="3" t="str">
        <x:v>Sports</x:v>
      </x:c>
      <x:c r="F268" s="3" t="str">
        <x:v>Outdoor</x:v>
      </x:c>
      <x:c r="G268" s="3" t="str">
        <x:v>TrailHike Backpack 60L</x:v>
      </x:c>
      <x:c r="H268" s="3" t="n">
        <x:v>1</x:v>
      </x:c>
      <x:c r="I268" s="7" t="n">
        <x:v>3657.41</x:v>
      </x:c>
      <x:c r="J268" s="9" t="n">
        <x:v>0.1</x:v>
      </x:c>
      <x:c r="K268" s="7" t="n">
        <x:v>3291.67</x:v>
      </x:c>
      <x:c r="L268" s="7" t="n">
        <x:v>780.04</x:v>
      </x:c>
      <x:c r="M268" s="3" t="str">
        <x:v>Debit Card</x:v>
      </x:c>
      <x:c r="N268" s="3" t="str">
        <x:f>TEXT(B268,"yyyy-mm")</x:f>
        <x:v>2024-03</x:v>
      </x:c>
      <x:c r="O268" s="3" t="str">
        <x:f>IF(J268=0,"No discount",IF(J268&lt;=0.1,"1-10%",IF(J268&lt;=0.15,"11-15%",IF(J268&lt;=0.2,"16-20%","21%+"))))</x:f>
        <x:v>1-10%</x:v>
      </x:c>
      <x:c r="P268" s="9" t="n">
        <x:f>IF(K268=0,0,L268/K268)</x:f>
        <x:v>0.23697393724158253</x:v>
      </x:c>
      <x:c r="Q268" s="3" t="str">
        <x:f>IF(L268&lt;0,"Yes","No")</x:f>
        <x:v>No</x:v>
      </x:c>
    </x:row>
    <x:row r="269" ht="21" customHeight="1">
      <x:c r="A269" s="3" t="str">
        <x:v>ORD-101681</x:v>
      </x:c>
      <x:c r="B269" s="5" t="n">
        <x:v>45381</x:v>
      </x:c>
      <x:c r="C269" s="3" t="str">
        <x:v>CUST-00530</x:v>
      </x:c>
      <x:c r="D269" s="3" t="str">
        <x:v>East</x:v>
      </x:c>
      <x:c r="E269" s="3" t="str">
        <x:v>Sports</x:v>
      </x:c>
      <x:c r="F269" s="3" t="str">
        <x:v>Fitness</x:v>
      </x:c>
      <x:c r="G269" s="3" t="str">
        <x:v>Adjustable Dumbbell 24kg</x:v>
      </x:c>
      <x:c r="H269" s="3" t="n">
        <x:v>2</x:v>
      </x:c>
      <x:c r="I269" s="7" t="n">
        <x:v>10423.57</x:v>
      </x:c>
      <x:c r="J269" s="9" t="n">
        <x:v>0.05</x:v>
      </x:c>
      <x:c r="K269" s="7" t="n">
        <x:v>19804.78</x:v>
      </x:c>
      <x:c r="L269" s="7" t="n">
        <x:v>7022.9</x:v>
      </x:c>
      <x:c r="M269" s="3" t="str">
        <x:v>UPI</x:v>
      </x:c>
      <x:c r="N269" s="3" t="str">
        <x:f>TEXT(B269,"yyyy-mm")</x:f>
        <x:v>2024-03</x:v>
      </x:c>
      <x:c r="O269" s="3" t="str">
        <x:f>IF(J269=0,"No discount",IF(J269&lt;=0.1,"1-10%",IF(J269&lt;=0.15,"11-15%",IF(J269&lt;=0.2,"16-20%","21%+"))))</x:f>
        <x:v>1-10%</x:v>
      </x:c>
      <x:c r="P269" s="9" t="n">
        <x:f>IF(K269=0,0,L269/K269)</x:f>
        <x:v>0.35460631221351613</x:v>
      </x:c>
      <x:c r="Q269" s="3" t="str">
        <x:f>IF(L269&lt;0,"Yes","No")</x:f>
        <x:v>No</x:v>
      </x:c>
    </x:row>
    <x:row r="270" ht="21" customHeight="1">
      <x:c r="A270" s="3" t="str">
        <x:v>ORD-101750</x:v>
      </x:c>
      <x:c r="B270" s="5" t="n">
        <x:v>45382</x:v>
      </x:c>
      <x:c r="C270" s="3" t="str">
        <x:v>CUST-00251</x:v>
      </x:c>
      <x:c r="D270" s="3" t="str">
        <x:v>West</x:v>
      </x:c>
      <x:c r="E270" s="3" t="str">
        <x:v>Sports</x:v>
      </x:c>
      <x:c r="F270" s="3" t="str">
        <x:v>Outdoor</x:v>
      </x:c>
      <x:c r="G270" s="3" t="str">
        <x:v>TrailHike Backpack 60L</x:v>
      </x:c>
      <x:c r="H270" s="3" t="n">
        <x:v>1</x:v>
      </x:c>
      <x:c r="I270" s="7" t="n">
        <x:v>3594.17</x:v>
      </x:c>
      <x:c r="J270" s="9" t="n">
        <x:v>0.05</x:v>
      </x:c>
      <x:c r="K270" s="7" t="n">
        <x:v>3414.46</x:v>
      </x:c>
      <x:c r="L270" s="7" t="n">
        <x:v>1229.7</x:v>
      </x:c>
      <x:c r="M270" s="3" t="str">
        <x:v>Credit Card</x:v>
      </x:c>
      <x:c r="N270" s="3" t="str">
        <x:f>TEXT(B270,"yyyy-mm")</x:f>
        <x:v>2024-03</x:v>
      </x:c>
      <x:c r="O270" s="3" t="str">
        <x:f>IF(J270=0,"No discount",IF(J270&lt;=0.1,"1-10%",IF(J270&lt;=0.15,"11-15%",IF(J270&lt;=0.2,"16-20%","21%+"))))</x:f>
        <x:v>1-10%</x:v>
      </x:c>
      <x:c r="P270" s="9" t="n">
        <x:f>IF(K270=0,0,L270/K270)</x:f>
        <x:v>0.36014479595602233</x:v>
      </x:c>
      <x:c r="Q270" s="3" t="str">
        <x:f>IF(L270&lt;0,"Yes","No")</x:f>
        <x:v>No</x:v>
      </x:c>
    </x:row>
    <x:row r="271" ht="21" customHeight="1">
      <x:c r="A271" s="3" t="str">
        <x:v>ORD-101793</x:v>
      </x:c>
      <x:c r="B271" s="5" t="n">
        <x:v>45382</x:v>
      </x:c>
      <x:c r="C271" s="3" t="str">
        <x:v>CUST-00560</x:v>
      </x:c>
      <x:c r="D271" s="3" t="str">
        <x:v>East</x:v>
      </x:c>
      <x:c r="E271" s="3" t="str">
        <x:v>Beauty</x:v>
      </x:c>
      <x:c r="F271" s="3" t="str">
        <x:v>Makeup</x:v>
      </x:c>
      <x:c r="G271" s="3" t="str">
        <x:v>Matte Lipstick Set</x:v>
      </x:c>
      <x:c r="H271" s="3" t="n">
        <x:v>1</x:v>
      </x:c>
      <x:c r="I271" s="7" t="n">
        <x:v>1027.61</x:v>
      </x:c>
      <x:c r="J271" s="9" t="n">
        <x:v>0.25</x:v>
      </x:c>
      <x:c r="K271" s="7" t="n">
        <x:v>770.71</x:v>
      </x:c>
      <x:c r="L271" s="7" t="n">
        <x:v>208.64</x:v>
      </x:c>
      <x:c r="M271" s="3" t="str">
        <x:v>UPI</x:v>
      </x:c>
      <x:c r="N271" s="3" t="str">
        <x:f>TEXT(B271,"yyyy-mm")</x:f>
        <x:v>2024-03</x:v>
      </x:c>
      <x:c r="O271" s="3" t="str">
        <x:f>IF(J271=0,"No discount",IF(J271&lt;=0.1,"1-10%",IF(J271&lt;=0.15,"11-15%",IF(J271&lt;=0.2,"16-20%","21%+"))))</x:f>
        <x:v>21%+</x:v>
      </x:c>
      <x:c r="P271" s="9" t="n">
        <x:f>IF(K271=0,0,L271/K271)</x:f>
        <x:v>0.27071142193561776</x:v>
      </x:c>
      <x:c r="Q271" s="3" t="str">
        <x:f>IF(L271&lt;0,"Yes","No")</x:f>
        <x:v>No</x:v>
      </x:c>
    </x:row>
    <x:row r="272" ht="21" customHeight="1">
      <x:c r="A272" s="3" t="str">
        <x:v>ORD-100069</x:v>
      </x:c>
      <x:c r="B272" s="5" t="n">
        <x:v>45384</x:v>
      </x:c>
      <x:c r="C272" s="3" t="str">
        <x:v>CUST-00101</x:v>
      </x:c>
      <x:c r="D272" s="3" t="str">
        <x:v>West</x:v>
      </x:c>
      <x:c r="E272" s="3" t="str">
        <x:v>Sports</x:v>
      </x:c>
      <x:c r="F272" s="3" t="str">
        <x:v>Outdoor</x:v>
      </x:c>
      <x:c r="G272" s="3" t="str">
        <x:v>AllWeather Tent 4P</x:v>
      </x:c>
      <x:c r="H272" s="3" t="n">
        <x:v>3</x:v>
      </x:c>
      <x:c r="I272" s="7" t="n">
        <x:v>11481.15</x:v>
      </x:c>
      <x:c r="J272" s="9" t="n">
        <x:v>0</x:v>
      </x:c>
      <x:c r="K272" s="7" t="n">
        <x:v>34443.45</x:v>
      </x:c>
      <x:c r="L272" s="7" t="n">
        <x:v>13449.92</x:v>
      </x:c>
      <x:c r="M272" s="3" t="str">
        <x:v>Cash on Delivery</x:v>
      </x:c>
      <x:c r="N272" s="3" t="str">
        <x:f>TEXT(B272,"yyyy-mm")</x:f>
        <x:v>2024-04</x:v>
      </x:c>
      <x:c r="O272" s="3" t="str">
        <x:f>IF(J272=0,"No discount",IF(J272&lt;=0.1,"1-10%",IF(J272&lt;=0.15,"11-15%",IF(J272&lt;=0.2,"16-20%","21%+"))))</x:f>
        <x:v>No discount</x:v>
      </x:c>
      <x:c r="P272" s="9" t="n">
        <x:f>IF(K272=0,0,L272/K272)</x:f>
        <x:v>0.39049282229277266</x:v>
      </x:c>
      <x:c r="Q272" s="3" t="str">
        <x:f>IF(L272&lt;0,"Yes","No")</x:f>
        <x:v>No</x:v>
      </x:c>
    </x:row>
    <x:row r="273" ht="21" customHeight="1">
      <x:c r="A273" s="3" t="str">
        <x:v>ORD-100102</x:v>
      </x:c>
      <x:c r="B273" s="5" t="n">
        <x:v>45384</x:v>
      </x:c>
      <x:c r="C273" s="3" t="str">
        <x:v>CUST-00520</x:v>
      </x:c>
      <x:c r="D273" s="3" t="str">
        <x:v>East</x:v>
      </x:c>
      <x:c r="E273" s="3" t="str">
        <x:v>Beauty</x:v>
      </x:c>
      <x:c r="F273" s="3" t="str">
        <x:v>Skincare</x:v>
      </x:c>
      <x:c r="G273" s="3" t="str">
        <x:v>HydraBoost Moisturizer</x:v>
      </x:c>
      <x:c r="H273" s="3" t="n">
        <x:v>1</x:v>
      </x:c>
      <x:c r="I273" s="7" t="n">
        <x:v>1183.26</x:v>
      </x:c>
      <x:c r="J273" s="9" t="n">
        <x:v>0</x:v>
      </x:c>
      <x:c r="K273" s="7" t="n">
        <x:v>1183.26</x:v>
      </x:c>
      <x:c r="L273" s="7" t="n">
        <x:v>630.64</x:v>
      </x:c>
      <x:c r="M273" s="3" t="str">
        <x:v>Cash on Delivery</x:v>
      </x:c>
      <x:c r="N273" s="3" t="str">
        <x:f>TEXT(B273,"yyyy-mm")</x:f>
        <x:v>2024-04</x:v>
      </x:c>
      <x:c r="O273" s="3" t="str">
        <x:f>IF(J273=0,"No discount",IF(J273&lt;=0.1,"1-10%",IF(J273&lt;=0.15,"11-15%",IF(J273&lt;=0.2,"16-20%","21%+"))))</x:f>
        <x:v>No discount</x:v>
      </x:c>
      <x:c r="P273" s="9" t="n">
        <x:f>IF(K273=0,0,L273/K273)</x:f>
        <x:v>0.5329682402853134</x:v>
      </x:c>
      <x:c r="Q273" s="3" t="str">
        <x:f>IF(L273&lt;0,"Yes","No")</x:f>
        <x:v>No</x:v>
      </x:c>
    </x:row>
    <x:row r="274" ht="21" customHeight="1">
      <x:c r="A274" s="3" t="str">
        <x:v>ORD-100229</x:v>
      </x:c>
      <x:c r="B274" s="5" t="n">
        <x:v>45384</x:v>
      </x:c>
      <x:c r="C274" s="3" t="str">
        <x:v>CUST-00312</x:v>
      </x:c>
      <x:c r="D274" s="3" t="str">
        <x:v>South</x:v>
      </x:c>
      <x:c r="E274" s="3" t="str">
        <x:v>Sports</x:v>
      </x:c>
      <x:c r="F274" s="3" t="str">
        <x:v>Outdoor</x:v>
      </x:c>
      <x:c r="G274" s="3" t="str">
        <x:v>AllWeather Tent 4P</x:v>
      </x:c>
      <x:c r="H274" s="3" t="n">
        <x:v>1</x:v>
      </x:c>
      <x:c r="I274" s="7" t="n">
        <x:v>12323.38</x:v>
      </x:c>
      <x:c r="J274" s="9" t="n">
        <x:v>0.05</x:v>
      </x:c>
      <x:c r="K274" s="7" t="n">
        <x:v>11707.21</x:v>
      </x:c>
      <x:c r="L274" s="7" t="n">
        <x:v>3730.54</x:v>
      </x:c>
      <x:c r="M274" s="3" t="str">
        <x:v>Net Banking</x:v>
      </x:c>
      <x:c r="N274" s="3" t="str">
        <x:f>TEXT(B274,"yyyy-mm")</x:f>
        <x:v>2024-04</x:v>
      </x:c>
      <x:c r="O274" s="3" t="str">
        <x:f>IF(J274=0,"No discount",IF(J274&lt;=0.1,"1-10%",IF(J274&lt;=0.15,"11-15%",IF(J274&lt;=0.2,"16-20%","21%+"))))</x:f>
        <x:v>1-10%</x:v>
      </x:c>
      <x:c r="P274" s="9" t="n">
        <x:f>IF(K274=0,0,L274/K274)</x:f>
        <x:v>0.31865320601578007</x:v>
      </x:c>
      <x:c r="Q274" s="3" t="str">
        <x:f>IF(L274&lt;0,"Yes","No")</x:f>
        <x:v>No</x:v>
      </x:c>
    </x:row>
    <x:row r="275" ht="21" customHeight="1">
      <x:c r="A275" s="3" t="str">
        <x:v>ORD-100315</x:v>
      </x:c>
      <x:c r="B275" s="5" t="n">
        <x:v>45384</x:v>
      </x:c>
      <x:c r="C275" s="3" t="str">
        <x:v>CUST-00515</x:v>
      </x:c>
      <x:c r="D275" s="3" t="str">
        <x:v>North</x:v>
      </x:c>
      <x:c r="E275" s="3" t="str">
        <x:v>Sports</x:v>
      </x:c>
      <x:c r="F275" s="3" t="str">
        <x:v>Fitness</x:v>
      </x:c>
      <x:c r="G275" s="3" t="str">
        <x:v>Adjustable Dumbbell 24kg</x:v>
      </x:c>
      <x:c r="H275" s="3" t="n">
        <x:v>1</x:v>
      </x:c>
      <x:c r="I275" s="7" t="n">
        <x:v>10088.59</x:v>
      </x:c>
      <x:c r="J275" s="9" t="n">
        <x:v>0.2</x:v>
      </x:c>
      <x:c r="K275" s="7" t="n">
        <x:v>8070.87</x:v>
      </x:c>
      <x:c r="L275" s="7" t="n">
        <x:v>1441.24</x:v>
      </x:c>
      <x:c r="M275" s="3" t="str">
        <x:v>Credit Card</x:v>
      </x:c>
      <x:c r="N275" s="3" t="str">
        <x:f>TEXT(B275,"yyyy-mm")</x:f>
        <x:v>2024-04</x:v>
      </x:c>
      <x:c r="O275" s="3" t="str">
        <x:f>IF(J275=0,"No discount",IF(J275&lt;=0.1,"1-10%",IF(J275&lt;=0.15,"11-15%",IF(J275&lt;=0.2,"16-20%","21%+"))))</x:f>
        <x:v>16-20%</x:v>
      </x:c>
      <x:c r="P275" s="9" t="n">
        <x:f>IF(K275=0,0,L275/K275)</x:f>
        <x:v>0.17857306585287583</x:v>
      </x:c>
      <x:c r="Q275" s="3" t="str">
        <x:f>IF(L275&lt;0,"Yes","No")</x:f>
        <x:v>No</x:v>
      </x:c>
    </x:row>
    <x:row r="276" ht="21" customHeight="1">
      <x:c r="A276" s="3" t="str">
        <x:v>ORD-100400</x:v>
      </x:c>
      <x:c r="B276" s="5" t="n">
        <x:v>45384</x:v>
      </x:c>
      <x:c r="C276" s="3" t="str">
        <x:v>CUST-00168</x:v>
      </x:c>
      <x:c r="D276" s="3" t="str">
        <x:v>South</x:v>
      </x:c>
      <x:c r="E276" s="3" t="str">
        <x:v>Electronics</x:v>
      </x:c>
      <x:c r="F276" s="3" t="str">
        <x:v>Mobile</x:v>
      </x:c>
      <x:c r="G276" s="3" t="str">
        <x:v>iPhone Zeta</x:v>
      </x:c>
      <x:c r="H276" s="3" t="n">
        <x:v>4</x:v>
      </x:c>
      <x:c r="I276" s="7" t="n">
        <x:v>67446.18</x:v>
      </x:c>
      <x:c r="J276" s="9" t="n">
        <x:v>0.1</x:v>
      </x:c>
      <x:c r="K276" s="7" t="n">
        <x:v>242806.25</x:v>
      </x:c>
      <x:c r="L276" s="7" t="n">
        <x:v>14103.34</x:v>
      </x:c>
      <x:c r="M276" s="3" t="str">
        <x:v>UPI</x:v>
      </x:c>
      <x:c r="N276" s="3" t="str">
        <x:f>TEXT(B276,"yyyy-mm")</x:f>
        <x:v>2024-04</x:v>
      </x:c>
      <x:c r="O276" s="3" t="str">
        <x:f>IF(J276=0,"No discount",IF(J276&lt;=0.1,"1-10%",IF(J276&lt;=0.15,"11-15%",IF(J276&lt;=0.2,"16-20%","21%+"))))</x:f>
        <x:v>1-10%</x:v>
      </x:c>
      <x:c r="P276" s="9" t="n">
        <x:f>IF(K276=0,0,L276/K276)</x:f>
        <x:v>0.05808474864217869</x:v>
      </x:c>
      <x:c r="Q276" s="3" t="str">
        <x:f>IF(L276&lt;0,"Yes","No")</x:f>
        <x:v>No</x:v>
      </x:c>
    </x:row>
    <x:row r="277" ht="21" customHeight="1">
      <x:c r="A277" s="3" t="str">
        <x:v>ORD-100520</x:v>
      </x:c>
      <x:c r="B277" s="5" t="n">
        <x:v>45384</x:v>
      </x:c>
      <x:c r="C277" s="3" t="str">
        <x:v>CUST-00144</x:v>
      </x:c>
      <x:c r="D277" s="3" t="str">
        <x:v>North</x:v>
      </x:c>
      <x:c r="E277" s="3" t="str">
        <x:v>Beauty</x:v>
      </x:c>
      <x:c r="F277" s="3" t="str">
        <x:v>Skincare</x:v>
      </x:c>
      <x:c r="G277" s="3" t="str">
        <x:v>Vitamin C Serum</x:v>
      </x:c>
      <x:c r="H277" s="3" t="n">
        <x:v>5</x:v>
      </x:c>
      <x:c r="I277" s="7" t="n">
        <x:v>855.84</x:v>
      </x:c>
      <x:c r="J277" s="9" t="n">
        <x:v>0.05</x:v>
      </x:c>
      <x:c r="K277" s="7" t="n">
        <x:v>4065.24</x:v>
      </x:c>
      <x:c r="L277" s="7" t="n">
        <x:v>2119.07</x:v>
      </x:c>
      <x:c r="M277" s="3" t="str">
        <x:v>Credit Card</x:v>
      </x:c>
      <x:c r="N277" s="3" t="str">
        <x:f>TEXT(B277,"yyyy-mm")</x:f>
        <x:v>2024-04</x:v>
      </x:c>
      <x:c r="O277" s="3" t="str">
        <x:f>IF(J277=0,"No discount",IF(J277&lt;=0.1,"1-10%",IF(J277&lt;=0.15,"11-15%",IF(J277&lt;=0.2,"16-20%","21%+"))))</x:f>
        <x:v>1-10%</x:v>
      </x:c>
      <x:c r="P277" s="9" t="n">
        <x:f>IF(K277=0,0,L277/K277)</x:f>
        <x:v>0.5212656571321743</x:v>
      </x:c>
      <x:c r="Q277" s="3" t="str">
        <x:f>IF(L277&lt;0,"Yes","No")</x:f>
        <x:v>No</x:v>
      </x:c>
    </x:row>
    <x:row r="278" ht="21" customHeight="1">
      <x:c r="A278" s="3" t="str">
        <x:v>ORD-100985</x:v>
      </x:c>
      <x:c r="B278" s="5" t="n">
        <x:v>45384</x:v>
      </x:c>
      <x:c r="C278" s="3" t="str">
        <x:v>CUST-00321</x:v>
      </x:c>
      <x:c r="D278" s="3" t="str">
        <x:v>North</x:v>
      </x:c>
      <x:c r="E278" s="3" t="str">
        <x:v>Fashion</x:v>
      </x:c>
      <x:c r="F278" s="3" t="str">
        <x:v>Women</x:v>
      </x:c>
      <x:c r="G278" s="3" t="str">
        <x:v>Floral Summer Dress</x:v>
      </x:c>
      <x:c r="H278" s="3" t="n">
        <x:v>1</x:v>
      </x:c>
      <x:c r="I278" s="7" t="n">
        <x:v>1842.15</x:v>
      </x:c>
      <x:c r="J278" s="9" t="n">
        <x:v>0.1</x:v>
      </x:c>
      <x:c r="K278" s="7" t="n">
        <x:v>1657.94</x:v>
      </x:c>
      <x:c r="L278" s="7" t="n">
        <x:v>550.27</x:v>
      </x:c>
      <x:c r="M278" s="3" t="str">
        <x:v>Debit Card</x:v>
      </x:c>
      <x:c r="N278" s="3" t="str">
        <x:f>TEXT(B278,"yyyy-mm")</x:f>
        <x:v>2024-04</x:v>
      </x:c>
      <x:c r="O278" s="3" t="str">
        <x:f>IF(J278=0,"No discount",IF(J278&lt;=0.1,"1-10%",IF(J278&lt;=0.15,"11-15%",IF(J278&lt;=0.2,"16-20%","21%+"))))</x:f>
        <x:v>1-10%</x:v>
      </x:c>
      <x:c r="P278" s="9" t="n">
        <x:f>IF(K278=0,0,L278/K278)</x:f>
        <x:v>0.3318998274967731</x:v>
      </x:c>
      <x:c r="Q278" s="3" t="str">
        <x:f>IF(L278&lt;0,"Yes","No")</x:f>
        <x:v>No</x:v>
      </x:c>
    </x:row>
    <x:row r="279" ht="21" customHeight="1">
      <x:c r="A279" s="3" t="str">
        <x:v>ORD-101745</x:v>
      </x:c>
      <x:c r="B279" s="5" t="n">
        <x:v>45384</x:v>
      </x:c>
      <x:c r="C279" s="3" t="str">
        <x:v>CUST-00097</x:v>
      </x:c>
      <x:c r="D279" s="3" t="str">
        <x:v>South</x:v>
      </x:c>
      <x:c r="E279" s="3" t="str">
        <x:v>Home &amp; Kitchen</x:v>
      </x:c>
      <x:c r="F279" s="3" t="str">
        <x:v>Appliances</x:v>
      </x:c>
      <x:c r="G279" s="3" t="str">
        <x:v>ColdBrew Coffee Maker</x:v>
      </x:c>
      <x:c r="H279" s="3" t="n">
        <x:v>1</x:v>
      </x:c>
      <x:c r="I279" s="7" t="n">
        <x:v>6303.41</x:v>
      </x:c>
      <x:c r="J279" s="9" t="n">
        <x:v>0.05</x:v>
      </x:c>
      <x:c r="K279" s="7" t="n">
        <x:v>5988.24</x:v>
      </x:c>
      <x:c r="L279" s="7" t="n">
        <x:v>1394.36</x:v>
      </x:c>
      <x:c r="M279" s="3" t="str">
        <x:v>Credit Card</x:v>
      </x:c>
      <x:c r="N279" s="3" t="str">
        <x:f>TEXT(B279,"yyyy-mm")</x:f>
        <x:v>2024-04</x:v>
      </x:c>
      <x:c r="O279" s="3" t="str">
        <x:f>IF(J279=0,"No discount",IF(J279&lt;=0.1,"1-10%",IF(J279&lt;=0.15,"11-15%",IF(J279&lt;=0.2,"16-20%","21%+"))))</x:f>
        <x:v>1-10%</x:v>
      </x:c>
      <x:c r="P279" s="9" t="n">
        <x:f>IF(K279=0,0,L279/K279)</x:f>
        <x:v>0.23284971878214633</x:v>
      </x:c>
      <x:c r="Q279" s="3" t="str">
        <x:f>IF(L279&lt;0,"Yes","No")</x:f>
        <x:v>No</x:v>
      </x:c>
    </x:row>
    <x:row r="280" ht="21" customHeight="1">
      <x:c r="A280" s="3" t="str">
        <x:v>ORD-101781</x:v>
      </x:c>
      <x:c r="B280" s="5" t="n">
        <x:v>45384</x:v>
      </x:c>
      <x:c r="C280" s="3" t="str">
        <x:v>CUST-00544</x:v>
      </x:c>
      <x:c r="D280" s="3" t="str">
        <x:v>North</x:v>
      </x:c>
      <x:c r="E280" s="3" t="str">
        <x:v>Electronics</x:v>
      </x:c>
      <x:c r="F280" s="3" t="str">
        <x:v>Mobile</x:v>
      </x:c>
      <x:c r="G280" s="3" t="str">
        <x:v>iPhone Zeta</x:v>
      </x:c>
      <x:c r="H280" s="3" t="n">
        <x:v>5</x:v>
      </x:c>
      <x:c r="I280" s="7" t="n">
        <x:v>71519.57</x:v>
      </x:c>
      <x:c r="J280" s="9" t="n">
        <x:v>0</x:v>
      </x:c>
      <x:c r="K280" s="7" t="n">
        <x:v>357597.85</x:v>
      </x:c>
      <x:c r="L280" s="7" t="n">
        <x:v>57243.54</x:v>
      </x:c>
      <x:c r="M280" s="3" t="str">
        <x:v>Net Banking</x:v>
      </x:c>
      <x:c r="N280" s="3" t="str">
        <x:f>TEXT(B280,"yyyy-mm")</x:f>
        <x:v>2024-04</x:v>
      </x:c>
      <x:c r="O280" s="3" t="str">
        <x:f>IF(J280=0,"No discount",IF(J280&lt;=0.1,"1-10%",IF(J280&lt;=0.15,"11-15%",IF(J280&lt;=0.2,"16-20%","21%+"))))</x:f>
        <x:v>No discount</x:v>
      </x:c>
      <x:c r="P280" s="9" t="n">
        <x:f>IF(K280=0,0,L280/K280)</x:f>
        <x:v>0.1600779758603135</x:v>
      </x:c>
      <x:c r="Q280" s="3" t="str">
        <x:f>IF(L280&lt;0,"Yes","No")</x:f>
        <x:v>No</x:v>
      </x:c>
    </x:row>
    <x:row r="281" ht="21" customHeight="1">
      <x:c r="A281" s="3" t="str">
        <x:v>ORD-101881</x:v>
      </x:c>
      <x:c r="B281" s="5" t="n">
        <x:v>45384</x:v>
      </x:c>
      <x:c r="C281" s="3" t="str">
        <x:v>CUST-00102</x:v>
      </x:c>
      <x:c r="D281" s="3" t="str">
        <x:v>North</x:v>
      </x:c>
      <x:c r="E281" s="3" t="str">
        <x:v>Electronics</x:v>
      </x:c>
      <x:c r="F281" s="3" t="str">
        <x:v>Laptop</x:v>
      </x:c>
      <x:c r="G281" s="3" t="str">
        <x:v>ThinkPro 14</x:v>
      </x:c>
      <x:c r="H281" s="3" t="n">
        <x:v>1</x:v>
      </x:c>
      <x:c r="I281" s="7" t="n">
        <x:v>53786.46</x:v>
      </x:c>
      <x:c r="J281" s="9" t="n">
        <x:v>0</x:v>
      </x:c>
      <x:c r="K281" s="7" t="n">
        <x:v>53786.46</x:v>
      </x:c>
      <x:c r="L281" s="7" t="n">
        <x:v>11452.85</x:v>
      </x:c>
      <x:c r="M281" s="3" t="str">
        <x:v>Credit Card</x:v>
      </x:c>
      <x:c r="N281" s="3" t="str">
        <x:f>TEXT(B281,"yyyy-mm")</x:f>
        <x:v>2024-04</x:v>
      </x:c>
      <x:c r="O281" s="3" t="str">
        <x:f>IF(J281=0,"No discount",IF(J281&lt;=0.1,"1-10%",IF(J281&lt;=0.15,"11-15%",IF(J281&lt;=0.2,"16-20%","21%+"))))</x:f>
        <x:v>No discount</x:v>
      </x:c>
      <x:c r="P281" s="9" t="n">
        <x:f>IF(K281=0,0,L281/K281)</x:f>
        <x:v>0.21293184195427622</x:v>
      </x:c>
      <x:c r="Q281" s="3" t="str">
        <x:f>IF(L281&lt;0,"Yes","No")</x:f>
        <x:v>No</x:v>
      </x:c>
    </x:row>
    <x:row r="282" ht="21" customHeight="1">
      <x:c r="A282" s="3" t="str">
        <x:v>ORD-101444</x:v>
      </x:c>
      <x:c r="B282" s="5" t="n">
        <x:v>45385</x:v>
      </x:c>
      <x:c r="C282" s="3" t="str">
        <x:v>CUST-00385</x:v>
      </x:c>
      <x:c r="D282" s="3" t="str">
        <x:v>North</x:v>
      </x:c>
      <x:c r="E282" s="3" t="str">
        <x:v>Home &amp; Kitchen</x:v>
      </x:c>
      <x:c r="F282" s="3" t="str">
        <x:v>Furniture</x:v>
      </x:c>
      <x:c r="G282" s="3" t="str">
        <x:v>Oakwood Study Desk</x:v>
      </x:c>
      <x:c r="H282" s="3" t="n">
        <x:v>2</x:v>
      </x:c>
      <x:c r="I282" s="7" t="n">
        <x:v>12793.9</x:v>
      </x:c>
      <x:c r="J282" s="9" t="n">
        <x:v>0.25</x:v>
      </x:c>
      <x:c r="K282" s="7" t="n">
        <x:v>19190.85</x:v>
      </x:c>
      <x:c r="L282" s="7" t="n">
        <x:v>705.48</x:v>
      </x:c>
      <x:c r="M282" s="3" t="str">
        <x:v>Cash on Delivery</x:v>
      </x:c>
      <x:c r="N282" s="3" t="str">
        <x:f>TEXT(B282,"yyyy-mm")</x:f>
        <x:v>2024-04</x:v>
      </x:c>
      <x:c r="O282" s="3" t="str">
        <x:f>IF(J282=0,"No discount",IF(J282&lt;=0.1,"1-10%",IF(J282&lt;=0.15,"11-15%",IF(J282&lt;=0.2,"16-20%","21%+"))))</x:f>
        <x:v>21%+</x:v>
      </x:c>
      <x:c r="P282" s="9" t="n">
        <x:f>IF(K282=0,0,L282/K282)</x:f>
        <x:v>0.036761269042277965</x:v>
      </x:c>
      <x:c r="Q282" s="3" t="str">
        <x:f>IF(L282&lt;0,"Yes","No")</x:f>
        <x:v>No</x:v>
      </x:c>
    </x:row>
    <x:row r="283" ht="21" customHeight="1">
      <x:c r="A283" s="3" t="str">
        <x:v>ORD-101577</x:v>
      </x:c>
      <x:c r="B283" s="5" t="n">
        <x:v>45385</x:v>
      </x:c>
      <x:c r="C283" s="3" t="str">
        <x:v>CUST-00441</x:v>
      </x:c>
      <x:c r="D283" s="3" t="str">
        <x:v>North</x:v>
      </x:c>
      <x:c r="E283" s="3" t="str">
        <x:v>Home &amp; Kitchen</x:v>
      </x:c>
      <x:c r="F283" s="3" t="str">
        <x:v>Appliances</x:v>
      </x:c>
      <x:c r="G283" s="3" t="str">
        <x:v>ColdBrew Coffee Maker</x:v>
      </x:c>
      <x:c r="H283" s="3" t="n">
        <x:v>1</x:v>
      </x:c>
      <x:c r="I283" s="7" t="n">
        <x:v>6242.79</x:v>
      </x:c>
      <x:c r="J283" s="9" t="n">
        <x:v>0</x:v>
      </x:c>
      <x:c r="K283" s="7" t="n">
        <x:v>6242.79</x:v>
      </x:c>
      <x:c r="L283" s="7" t="n">
        <x:v>2097.56</x:v>
      </x:c>
      <x:c r="M283" s="3" t="str">
        <x:v>Cash on Delivery</x:v>
      </x:c>
      <x:c r="N283" s="3" t="str">
        <x:f>TEXT(B283,"yyyy-mm")</x:f>
        <x:v>2024-04</x:v>
      </x:c>
      <x:c r="O283" s="3" t="str">
        <x:f>IF(J283=0,"No discount",IF(J283&lt;=0.1,"1-10%",IF(J283&lt;=0.15,"11-15%",IF(J283&lt;=0.2,"16-20%","21%+"))))</x:f>
        <x:v>No discount</x:v>
      </x:c>
      <x:c r="P283" s="9" t="n">
        <x:f>IF(K283=0,0,L283/K283)</x:f>
        <x:v>0.3359972063772768</x:v>
      </x:c>
      <x:c r="Q283" s="3" t="str">
        <x:f>IF(L283&lt;0,"Yes","No")</x:f>
        <x:v>No</x:v>
      </x:c>
    </x:row>
    <x:row r="284" ht="21" customHeight="1">
      <x:c r="A284" s="3" t="str">
        <x:v>ORD-101848</x:v>
      </x:c>
      <x:c r="B284" s="5" t="n">
        <x:v>45385</x:v>
      </x:c>
      <x:c r="C284" s="3" t="str">
        <x:v>CUST-00011</x:v>
      </x:c>
      <x:c r="D284" s="3" t="str">
        <x:v>North</x:v>
      </x:c>
      <x:c r="E284" s="3" t="str">
        <x:v>Beauty</x:v>
      </x:c>
      <x:c r="F284" s="3" t="str">
        <x:v>Makeup</x:v>
      </x:c>
      <x:c r="G284" s="3" t="str">
        <x:v>Matte Lipstick Set</x:v>
      </x:c>
      <x:c r="H284" s="3" t="n">
        <x:v>2</x:v>
      </x:c>
      <x:c r="I284" s="7" t="n">
        <x:v>1035.46</x:v>
      </x:c>
      <x:c r="J284" s="9" t="n">
        <x:v>0.3</x:v>
      </x:c>
      <x:c r="K284" s="7" t="n">
        <x:v>1449.64</x:v>
      </x:c>
      <x:c r="L284" s="7" t="n">
        <x:v>296.44</x:v>
      </x:c>
      <x:c r="M284" s="3" t="str">
        <x:v>UPI</x:v>
      </x:c>
      <x:c r="N284" s="3" t="str">
        <x:f>TEXT(B284,"yyyy-mm")</x:f>
        <x:v>2024-04</x:v>
      </x:c>
      <x:c r="O284" s="3" t="str">
        <x:f>IF(J284=0,"No discount",IF(J284&lt;=0.1,"1-10%",IF(J284&lt;=0.15,"11-15%",IF(J284&lt;=0.2,"16-20%","21%+"))))</x:f>
        <x:v>21%+</x:v>
      </x:c>
      <x:c r="P284" s="9" t="n">
        <x:f>IF(K284=0,0,L284/K284)</x:f>
        <x:v>0.20449214977511657</x:v>
      </x:c>
      <x:c r="Q284" s="3" t="str">
        <x:f>IF(L284&lt;0,"Yes","No")</x:f>
        <x:v>No</x:v>
      </x:c>
    </x:row>
    <x:row r="285" ht="21" customHeight="1">
      <x:c r="A285" s="3" t="str">
        <x:v>ORD-101115</x:v>
      </x:c>
      <x:c r="B285" s="5" t="n">
        <x:v>45386</x:v>
      </x:c>
      <x:c r="C285" s="3" t="str">
        <x:v>CUST-00567</x:v>
      </x:c>
      <x:c r="D285" s="3" t="str">
        <x:v>North</x:v>
      </x:c>
      <x:c r="E285" s="3" t="str">
        <x:v>Fashion</x:v>
      </x:c>
      <x:c r="F285" s="3" t="str">
        <x:v>Footwear</x:v>
      </x:c>
      <x:c r="G285" s="3" t="str">
        <x:v>RunFlex Sneakers</x:v>
      </x:c>
      <x:c r="H285" s="3" t="n">
        <x:v>3</x:v>
      </x:c>
      <x:c r="I285" s="7" t="n">
        <x:v>2958.39</x:v>
      </x:c>
      <x:c r="J285" s="9" t="n">
        <x:v>0.3</x:v>
      </x:c>
      <x:c r="K285" s="7" t="n">
        <x:v>6212.62</x:v>
      </x:c>
      <x:c r="L285" s="7" t="n">
        <x:v>595.52</x:v>
      </x:c>
      <x:c r="M285" s="3" t="str">
        <x:v>Net Banking</x:v>
      </x:c>
      <x:c r="N285" s="3" t="str">
        <x:f>TEXT(B285,"yyyy-mm")</x:f>
        <x:v>2024-04</x:v>
      </x:c>
      <x:c r="O285" s="3" t="str">
        <x:f>IF(J285=0,"No discount",IF(J285&lt;=0.1,"1-10%",IF(J285&lt;=0.15,"11-15%",IF(J285&lt;=0.2,"16-20%","21%+"))))</x:f>
        <x:v>21%+</x:v>
      </x:c>
      <x:c r="P285" s="9" t="n">
        <x:f>IF(K285=0,0,L285/K285)</x:f>
        <x:v>0.09585649854650695</x:v>
      </x:c>
      <x:c r="Q285" s="3" t="str">
        <x:f>IF(L285&lt;0,"Yes","No")</x:f>
        <x:v>No</x:v>
      </x:c>
    </x:row>
    <x:row r="286" ht="21" customHeight="1">
      <x:c r="A286" s="3" t="str">
        <x:v>ORD-101271</x:v>
      </x:c>
      <x:c r="B286" s="5" t="n">
        <x:v>45386</x:v>
      </x:c>
      <x:c r="C286" s="3" t="str">
        <x:v>CUST-00009</x:v>
      </x:c>
      <x:c r="D286" s="3" t="str">
        <x:v>West</x:v>
      </x:c>
      <x:c r="E286" s="3" t="str">
        <x:v>Beauty</x:v>
      </x:c>
      <x:c r="F286" s="3" t="str">
        <x:v>Skincare</x:v>
      </x:c>
      <x:c r="G286" s="3" t="str">
        <x:v>Vitamin C Serum</x:v>
      </x:c>
      <x:c r="H286" s="3" t="n">
        <x:v>2</x:v>
      </x:c>
      <x:c r="I286" s="7" t="n">
        <x:v>863.57</x:v>
      </x:c>
      <x:c r="J286" s="9" t="n">
        <x:v>0.15</x:v>
      </x:c>
      <x:c r="K286" s="7" t="n">
        <x:v>1468.07</x:v>
      </x:c>
      <x:c r="L286" s="7" t="n">
        <x:v>511.18</x:v>
      </x:c>
      <x:c r="M286" s="3" t="str">
        <x:v>UPI</x:v>
      </x:c>
      <x:c r="N286" s="3" t="str">
        <x:f>TEXT(B286,"yyyy-mm")</x:f>
        <x:v>2024-04</x:v>
      </x:c>
      <x:c r="O286" s="3" t="str">
        <x:f>IF(J286=0,"No discount",IF(J286&lt;=0.1,"1-10%",IF(J286&lt;=0.15,"11-15%",IF(J286&lt;=0.2,"16-20%","21%+"))))</x:f>
        <x:v>11-15%</x:v>
      </x:c>
      <x:c r="P286" s="9" t="n">
        <x:f>IF(K286=0,0,L286/K286)</x:f>
        <x:v>0.3481986553774684</x:v>
      </x:c>
      <x:c r="Q286" s="3" t="str">
        <x:f>IF(L286&lt;0,"Yes","No")</x:f>
        <x:v>No</x:v>
      </x:c>
    </x:row>
    <x:row r="287" ht="21" customHeight="1">
      <x:c r="A287" s="3" t="str">
        <x:v>ORD-101529</x:v>
      </x:c>
      <x:c r="B287" s="5" t="n">
        <x:v>45386</x:v>
      </x:c>
      <x:c r="C287" s="3" t="str">
        <x:v>CUST-00466</x:v>
      </x:c>
      <x:c r="D287" s="3" t="str">
        <x:v>North</x:v>
      </x:c>
      <x:c r="E287" s="3" t="str">
        <x:v>Beauty</x:v>
      </x:c>
      <x:c r="F287" s="3" t="str">
        <x:v>Skincare</x:v>
      </x:c>
      <x:c r="G287" s="3" t="str">
        <x:v>HydraBoost Moisturizer</x:v>
      </x:c>
      <x:c r="H287" s="3" t="n">
        <x:v>1</x:v>
      </x:c>
      <x:c r="I287" s="7" t="n">
        <x:v>1145.31</x:v>
      </x:c>
      <x:c r="J287" s="9" t="n">
        <x:v>0.05</x:v>
      </x:c>
      <x:c r="K287" s="7" t="n">
        <x:v>1088.04</x:v>
      </x:c>
      <x:c r="L287" s="7" t="n">
        <x:v>566.47</x:v>
      </x:c>
      <x:c r="M287" s="3" t="str">
        <x:v>UPI</x:v>
      </x:c>
      <x:c r="N287" s="3" t="str">
        <x:f>TEXT(B287,"yyyy-mm")</x:f>
        <x:v>2024-04</x:v>
      </x:c>
      <x:c r="O287" s="3" t="str">
        <x:f>IF(J287=0,"No discount",IF(J287&lt;=0.1,"1-10%",IF(J287&lt;=0.15,"11-15%",IF(J287&lt;=0.2,"16-20%","21%+"))))</x:f>
        <x:v>1-10%</x:v>
      </x:c>
      <x:c r="P287" s="9" t="n">
        <x:f>IF(K287=0,0,L287/K287)</x:f>
        <x:v>0.52063343259439</x:v>
      </x:c>
      <x:c r="Q287" s="3" t="str">
        <x:f>IF(L287&lt;0,"Yes","No")</x:f>
        <x:v>No</x:v>
      </x:c>
    </x:row>
    <x:row r="288" ht="21" customHeight="1">
      <x:c r="A288" s="3" t="str">
        <x:v>ORD-100205</x:v>
      </x:c>
      <x:c r="B288" s="5" t="n">
        <x:v>45387</x:v>
      </x:c>
      <x:c r="C288" s="3" t="str">
        <x:v>CUST-00285</x:v>
      </x:c>
      <x:c r="D288" s="3" t="str">
        <x:v>South</x:v>
      </x:c>
      <x:c r="E288" s="3" t="str">
        <x:v>Fashion</x:v>
      </x:c>
      <x:c r="F288" s="3" t="str">
        <x:v>Footwear</x:v>
      </x:c>
      <x:c r="G288" s="3" t="str">
        <x:v>UrbanLoafers</x:v>
      </x:c>
      <x:c r="H288" s="3" t="n">
        <x:v>1</x:v>
      </x:c>
      <x:c r="I288" s="7" t="n">
        <x:v>3418.07</x:v>
      </x:c>
      <x:c r="J288" s="9" t="n">
        <x:v>0.1</x:v>
      </x:c>
      <x:c r="K288" s="7" t="n">
        <x:v>3076.26</x:v>
      </x:c>
      <x:c r="L288" s="7" t="n">
        <x:v>917.15</x:v>
      </x:c>
      <x:c r="M288" s="3" t="str">
        <x:v>Credit Card</x:v>
      </x:c>
      <x:c r="N288" s="3" t="str">
        <x:f>TEXT(B288,"yyyy-mm")</x:f>
        <x:v>2024-04</x:v>
      </x:c>
      <x:c r="O288" s="3" t="str">
        <x:f>IF(J288=0,"No discount",IF(J288&lt;=0.1,"1-10%",IF(J288&lt;=0.15,"11-15%",IF(J288&lt;=0.2,"16-20%","21%+"))))</x:f>
        <x:v>1-10%</x:v>
      </x:c>
      <x:c r="P288" s="9" t="n">
        <x:f>IF(K288=0,0,L288/K288)</x:f>
        <x:v>0.29813799873872815</x:v>
      </x:c>
      <x:c r="Q288" s="3" t="str">
        <x:f>IF(L288&lt;0,"Yes","No")</x:f>
        <x:v>No</x:v>
      </x:c>
    </x:row>
    <x:row r="289" ht="21" customHeight="1">
      <x:c r="A289" s="3" t="str">
        <x:v>ORD-100280</x:v>
      </x:c>
      <x:c r="B289" s="5" t="n">
        <x:v>45387</x:v>
      </x:c>
      <x:c r="C289" s="3" t="str">
        <x:v>CUST-00351</x:v>
      </x:c>
      <x:c r="D289" s="3" t="str">
        <x:v>East</x:v>
      </x:c>
      <x:c r="E289" s="3" t="str">
        <x:v>Sports</x:v>
      </x:c>
      <x:c r="F289" s="3" t="str">
        <x:v>Fitness</x:v>
      </x:c>
      <x:c r="G289" s="3" t="str">
        <x:v>ProYoga Mat</x:v>
      </x:c>
      <x:c r="H289" s="3" t="n">
        <x:v>3</x:v>
      </x:c>
      <x:c r="I289" s="7" t="n">
        <x:v>1235.31</x:v>
      </x:c>
      <x:c r="J289" s="9" t="n">
        <x:v>0.2</x:v>
      </x:c>
      <x:c r="K289" s="7" t="n">
        <x:v>2964.74</x:v>
      </x:c>
      <x:c r="L289" s="7" t="n">
        <x:v>358.95</x:v>
      </x:c>
      <x:c r="M289" s="3" t="str">
        <x:v>UPI</x:v>
      </x:c>
      <x:c r="N289" s="3" t="str">
        <x:f>TEXT(B289,"yyyy-mm")</x:f>
        <x:v>2024-04</x:v>
      </x:c>
      <x:c r="O289" s="3" t="str">
        <x:f>IF(J289=0,"No discount",IF(J289&lt;=0.1,"1-10%",IF(J289&lt;=0.15,"11-15%",IF(J289&lt;=0.2,"16-20%","21%+"))))</x:f>
        <x:v>16-20%</x:v>
      </x:c>
      <x:c r="P289" s="9" t="n">
        <x:f>IF(K289=0,0,L289/K289)</x:f>
        <x:v>0.12107301146137604</x:v>
      </x:c>
      <x:c r="Q289" s="3" t="str">
        <x:f>IF(L289&lt;0,"Yes","No")</x:f>
        <x:v>No</x:v>
      </x:c>
    </x:row>
    <x:row r="290" ht="21" customHeight="1">
      <x:c r="A290" s="3" t="str">
        <x:v>ORD-100545</x:v>
      </x:c>
      <x:c r="B290" s="5" t="n">
        <x:v>45387</x:v>
      </x:c>
      <x:c r="C290" s="3" t="str">
        <x:v>CUST-00350</x:v>
      </x:c>
      <x:c r="D290" s="3" t="str">
        <x:v>South</x:v>
      </x:c>
      <x:c r="E290" s="3" t="str">
        <x:v>Home &amp; Kitchen</x:v>
      </x:c>
      <x:c r="F290" s="3" t="str">
        <x:v>Appliances</x:v>
      </x:c>
      <x:c r="G290" s="3" t="str">
        <x:v>AirFryer Deluxe</x:v>
      </x:c>
      <x:c r="H290" s="3" t="n">
        <x:v>1</x:v>
      </x:c>
      <x:c r="I290" s="7" t="n">
        <x:v>7980.15</x:v>
      </x:c>
      <x:c r="J290" s="9" t="n">
        <x:v>0.2</x:v>
      </x:c>
      <x:c r="K290" s="7" t="n">
        <x:v>6384.12</x:v>
      </x:c>
      <x:c r="L290" s="7" t="n">
        <x:v>670.62</x:v>
      </x:c>
      <x:c r="M290" s="3" t="str">
        <x:v>Debit Card</x:v>
      </x:c>
      <x:c r="N290" s="3" t="str">
        <x:f>TEXT(B290,"yyyy-mm")</x:f>
        <x:v>2024-04</x:v>
      </x:c>
      <x:c r="O290" s="3" t="str">
        <x:f>IF(J290=0,"No discount",IF(J290&lt;=0.1,"1-10%",IF(J290&lt;=0.15,"11-15%",IF(J290&lt;=0.2,"16-20%","21%+"))))</x:f>
        <x:v>16-20%</x:v>
      </x:c>
      <x:c r="P290" s="9" t="n">
        <x:f>IF(K290=0,0,L290/K290)</x:f>
        <x:v>0.1050450179507904</x:v>
      </x:c>
      <x:c r="Q290" s="3" t="str">
        <x:f>IF(L290&lt;0,"Yes","No")</x:f>
        <x:v>No</x:v>
      </x:c>
    </x:row>
    <x:row r="291" ht="21" customHeight="1">
      <x:c r="A291" s="3" t="str">
        <x:v>ORD-100686</x:v>
      </x:c>
      <x:c r="B291" s="5" t="n">
        <x:v>45387</x:v>
      </x:c>
      <x:c r="C291" s="3" t="str">
        <x:v>CUST-00059</x:v>
      </x:c>
      <x:c r="D291" s="3" t="str">
        <x:v>West</x:v>
      </x:c>
      <x:c r="E291" s="3" t="str">
        <x:v>Sports</x:v>
      </x:c>
      <x:c r="F291" s="3" t="str">
        <x:v>Fitness</x:v>
      </x:c>
      <x:c r="G291" s="3" t="str">
        <x:v>Adjustable Dumbbell 24kg</x:v>
      </x:c>
      <x:c r="H291" s="3" t="n">
        <x:v>2</x:v>
      </x:c>
      <x:c r="I291" s="7" t="n">
        <x:v>9804.68</x:v>
      </x:c>
      <x:c r="J291" s="9" t="n">
        <x:v>0</x:v>
      </x:c>
      <x:c r="K291" s="7" t="n">
        <x:v>19609.36</x:v>
      </x:c>
      <x:c r="L291" s="7" t="n">
        <x:v>7876.03</x:v>
      </x:c>
      <x:c r="M291" s="3" t="str">
        <x:v>Credit Card</x:v>
      </x:c>
      <x:c r="N291" s="3" t="str">
        <x:f>TEXT(B291,"yyyy-mm")</x:f>
        <x:v>2024-04</x:v>
      </x:c>
      <x:c r="O291" s="3" t="str">
        <x:f>IF(J291=0,"No discount",IF(J291&lt;=0.1,"1-10%",IF(J291&lt;=0.15,"11-15%",IF(J291&lt;=0.2,"16-20%","21%+"))))</x:f>
        <x:v>No discount</x:v>
      </x:c>
      <x:c r="P291" s="9" t="n">
        <x:f>IF(K291=0,0,L291/K291)</x:f>
        <x:v>0.40164645862996035</x:v>
      </x:c>
      <x:c r="Q291" s="3" t="str">
        <x:f>IF(L291&lt;0,"Yes","No")</x:f>
        <x:v>No</x:v>
      </x:c>
    </x:row>
    <x:row r="292" ht="21" customHeight="1">
      <x:c r="A292" s="3" t="str">
        <x:v>ORD-100862</x:v>
      </x:c>
      <x:c r="B292" s="5" t="n">
        <x:v>45387</x:v>
      </x:c>
      <x:c r="C292" s="3" t="str">
        <x:v>CUST-00417</x:v>
      </x:c>
      <x:c r="D292" s="3" t="str">
        <x:v>South</x:v>
      </x:c>
      <x:c r="E292" s="3" t="str">
        <x:v>Beauty</x:v>
      </x:c>
      <x:c r="F292" s="3" t="str">
        <x:v>Skincare</x:v>
      </x:c>
      <x:c r="G292" s="3" t="str">
        <x:v>HydraBoost Moisturizer</x:v>
      </x:c>
      <x:c r="H292" s="3" t="n">
        <x:v>1</x:v>
      </x:c>
      <x:c r="I292" s="7" t="n">
        <x:v>1170.74</x:v>
      </x:c>
      <x:c r="J292" s="9" t="n">
        <x:v>0</x:v>
      </x:c>
      <x:c r="K292" s="7" t="n">
        <x:v>1170.74</x:v>
      </x:c>
      <x:c r="L292" s="7" t="n">
        <x:v>658.52</x:v>
      </x:c>
      <x:c r="M292" s="3" t="str">
        <x:v>UPI</x:v>
      </x:c>
      <x:c r="N292" s="3" t="str">
        <x:f>TEXT(B292,"yyyy-mm")</x:f>
        <x:v>2024-04</x:v>
      </x:c>
      <x:c r="O292" s="3" t="str">
        <x:f>IF(J292=0,"No discount",IF(J292&lt;=0.1,"1-10%",IF(J292&lt;=0.15,"11-15%",IF(J292&lt;=0.2,"16-20%","21%+"))))</x:f>
        <x:v>No discount</x:v>
      </x:c>
      <x:c r="P292" s="9" t="n">
        <x:f>IF(K292=0,0,L292/K292)</x:f>
        <x:v>0.5624818490869022</x:v>
      </x:c>
      <x:c r="Q292" s="3" t="str">
        <x:f>IF(L292&lt;0,"Yes","No")</x:f>
        <x:v>No</x:v>
      </x:c>
    </x:row>
    <x:row r="293" ht="21" customHeight="1">
      <x:c r="A293" s="3" t="str">
        <x:v>ORD-101284</x:v>
      </x:c>
      <x:c r="B293" s="5" t="n">
        <x:v>45387</x:v>
      </x:c>
      <x:c r="C293" s="3" t="str">
        <x:v>CUST-00153</x:v>
      </x:c>
      <x:c r="D293" s="3" t="str">
        <x:v>North</x:v>
      </x:c>
      <x:c r="E293" s="3" t="str">
        <x:v>Home &amp; Kitchen</x:v>
      </x:c>
      <x:c r="F293" s="3" t="str">
        <x:v>Furniture</x:v>
      </x:c>
      <x:c r="G293" s="3" t="str">
        <x:v>ErgoComfort Chair</x:v>
      </x:c>
      <x:c r="H293" s="3" t="n">
        <x:v>2</x:v>
      </x:c>
      <x:c r="I293" s="7" t="n">
        <x:v>9318.63</x:v>
      </x:c>
      <x:c r="J293" s="9" t="n">
        <x:v>0.15</x:v>
      </x:c>
      <x:c r="K293" s="7" t="n">
        <x:v>15841.67</x:v>
      </x:c>
      <x:c r="L293" s="7" t="n">
        <x:v>2588.66</x:v>
      </x:c>
      <x:c r="M293" s="3" t="str">
        <x:v>UPI</x:v>
      </x:c>
      <x:c r="N293" s="3" t="str">
        <x:f>TEXT(B293,"yyyy-mm")</x:f>
        <x:v>2024-04</x:v>
      </x:c>
      <x:c r="O293" s="3" t="str">
        <x:f>IF(J293=0,"No discount",IF(J293&lt;=0.1,"1-10%",IF(J293&lt;=0.15,"11-15%",IF(J293&lt;=0.2,"16-20%","21%+"))))</x:f>
        <x:v>11-15%</x:v>
      </x:c>
      <x:c r="P293" s="9" t="n">
        <x:f>IF(K293=0,0,L293/K293)</x:f>
        <x:v>0.16340827703139882</x:v>
      </x:c>
      <x:c r="Q293" s="3" t="str">
        <x:f>IF(L293&lt;0,"Yes","No")</x:f>
        <x:v>No</x:v>
      </x:c>
    </x:row>
    <x:row r="294" ht="21" customHeight="1">
      <x:c r="A294" s="3" t="str">
        <x:v>ORD-100547</x:v>
      </x:c>
      <x:c r="B294" s="5" t="n">
        <x:v>45388</x:v>
      </x:c>
      <x:c r="C294" s="3" t="str">
        <x:v>CUST-00583</x:v>
      </x:c>
      <x:c r="D294" s="3" t="str">
        <x:v>North</x:v>
      </x:c>
      <x:c r="E294" s="3" t="str">
        <x:v>Home &amp; Kitchen</x:v>
      </x:c>
      <x:c r="F294" s="3" t="str">
        <x:v>Furniture</x:v>
      </x:c>
      <x:c r="G294" s="3" t="str">
        <x:v>ErgoComfort Chair</x:v>
      </x:c>
      <x:c r="H294" s="3" t="n">
        <x:v>1</x:v>
      </x:c>
      <x:c r="I294" s="7" t="n">
        <x:v>8617.92</x:v>
      </x:c>
      <x:c r="J294" s="9" t="n">
        <x:v>0</x:v>
      </x:c>
      <x:c r="K294" s="7" t="n">
        <x:v>8617.92</x:v>
      </x:c>
      <x:c r="L294" s="7" t="n">
        <x:v>2530.29</x:v>
      </x:c>
      <x:c r="M294" s="3" t="str">
        <x:v>Credit Card</x:v>
      </x:c>
      <x:c r="N294" s="3" t="str">
        <x:f>TEXT(B294,"yyyy-mm")</x:f>
        <x:v>2024-04</x:v>
      </x:c>
      <x:c r="O294" s="3" t="str">
        <x:f>IF(J294=0,"No discount",IF(J294&lt;=0.1,"1-10%",IF(J294&lt;=0.15,"11-15%",IF(J294&lt;=0.2,"16-20%","21%+"))))</x:f>
        <x:v>No discount</x:v>
      </x:c>
      <x:c r="P294" s="9" t="n">
        <x:f>IF(K294=0,0,L294/K294)</x:f>
        <x:v>0.29360797036872005</x:v>
      </x:c>
      <x:c r="Q294" s="3" t="str">
        <x:f>IF(L294&lt;0,"Yes","No")</x:f>
        <x:v>No</x:v>
      </x:c>
    </x:row>
    <x:row r="295" ht="21" customHeight="1">
      <x:c r="A295" s="3" t="str">
        <x:v>ORD-100906</x:v>
      </x:c>
      <x:c r="B295" s="5" t="n">
        <x:v>45388</x:v>
      </x:c>
      <x:c r="C295" s="3" t="str">
        <x:v>CUST-00149</x:v>
      </x:c>
      <x:c r="D295" s="3" t="str">
        <x:v>North</x:v>
      </x:c>
      <x:c r="E295" s="3" t="str">
        <x:v>Home &amp; Kitchen</x:v>
      </x:c>
      <x:c r="F295" s="3" t="str">
        <x:v>Appliances</x:v>
      </x:c>
      <x:c r="G295" s="3" t="str">
        <x:v>AirFryer Deluxe</x:v>
      </x:c>
      <x:c r="H295" s="3" t="n">
        <x:v>2</x:v>
      </x:c>
      <x:c r="I295" s="7" t="n">
        <x:v>7628.34</x:v>
      </x:c>
      <x:c r="J295" s="9" t="n">
        <x:v>0.05</x:v>
      </x:c>
      <x:c r="K295" s="7" t="n">
        <x:v>14493.85</x:v>
      </x:c>
      <x:c r="L295" s="7" t="n">
        <x:v>4226.33</x:v>
      </x:c>
      <x:c r="M295" s="3" t="str">
        <x:v>UPI</x:v>
      </x:c>
      <x:c r="N295" s="3" t="str">
        <x:f>TEXT(B295,"yyyy-mm")</x:f>
        <x:v>2024-04</x:v>
      </x:c>
      <x:c r="O295" s="3" t="str">
        <x:f>IF(J295=0,"No discount",IF(J295&lt;=0.1,"1-10%",IF(J295&lt;=0.15,"11-15%",IF(J295&lt;=0.2,"16-20%","21%+"))))</x:f>
        <x:v>1-10%</x:v>
      </x:c>
      <x:c r="P295" s="9" t="n">
        <x:f>IF(K295=0,0,L295/K295)</x:f>
        <x:v>0.2915947108601234</x:v>
      </x:c>
      <x:c r="Q295" s="3" t="str">
        <x:f>IF(L295&lt;0,"Yes","No")</x:f>
        <x:v>No</x:v>
      </x:c>
    </x:row>
    <x:row r="296" ht="21" customHeight="1">
      <x:c r="A296" s="3" t="str">
        <x:v>ORD-101086</x:v>
      </x:c>
      <x:c r="B296" s="5" t="n">
        <x:v>45388</x:v>
      </x:c>
      <x:c r="C296" s="3" t="str">
        <x:v>CUST-00346</x:v>
      </x:c>
      <x:c r="D296" s="3" t="str">
        <x:v>North</x:v>
      </x:c>
      <x:c r="E296" s="3" t="str">
        <x:v>Electronics</x:v>
      </x:c>
      <x:c r="F296" s="3" t="str">
        <x:v>Laptop</x:v>
      </x:c>
      <x:c r="G296" s="3" t="str">
        <x:v>ThinkPro 14</x:v>
      </x:c>
      <x:c r="H296" s="3" t="n">
        <x:v>5</x:v>
      </x:c>
      <x:c r="I296" s="7" t="n">
        <x:v>52726.6</x:v>
      </x:c>
      <x:c r="J296" s="9" t="n">
        <x:v>0.15</x:v>
      </x:c>
      <x:c r="K296" s="7" t="n">
        <x:v>224088.05</x:v>
      </x:c>
      <x:c r="L296" s="7" t="n">
        <x:v>-2762.44</x:v>
      </x:c>
      <x:c r="M296" s="3" t="str">
        <x:v>UPI</x:v>
      </x:c>
      <x:c r="N296" s="3" t="str">
        <x:f>TEXT(B296,"yyyy-mm")</x:f>
        <x:v>2024-04</x:v>
      </x:c>
      <x:c r="O296" s="3" t="str">
        <x:f>IF(J296=0,"No discount",IF(J296&lt;=0.1,"1-10%",IF(J296&lt;=0.15,"11-15%",IF(J296&lt;=0.2,"16-20%","21%+"))))</x:f>
        <x:v>11-15%</x:v>
      </x:c>
      <x:c r="P296" s="9" t="n">
        <x:f>IF(K296=0,0,L296/K296)</x:f>
        <x:v>-0.012327475740004878</x:v>
      </x:c>
      <x:c r="Q296" s="3" t="str">
        <x:f>IF(L296&lt;0,"Yes","No")</x:f>
        <x:v>Yes</x:v>
      </x:c>
    </x:row>
    <x:row r="297" ht="21" customHeight="1">
      <x:c r="A297" s="3" t="str">
        <x:v>ORD-101998</x:v>
      </x:c>
      <x:c r="B297" s="5" t="n">
        <x:v>45388</x:v>
      </x:c>
      <x:c r="C297" s="3" t="str">
        <x:v>CUST-00463</x:v>
      </x:c>
      <x:c r="D297" s="3" t="str">
        <x:v>West</x:v>
      </x:c>
      <x:c r="E297" s="3" t="str">
        <x:v>Sports</x:v>
      </x:c>
      <x:c r="F297" s="3" t="str">
        <x:v>Outdoor</x:v>
      </x:c>
      <x:c r="G297" s="3" t="str">
        <x:v>TrailHike Backpack 60L</x:v>
      </x:c>
      <x:c r="H297" s="3" t="n">
        <x:v>1</x:v>
      </x:c>
      <x:c r="I297" s="7" t="n">
        <x:v>3416.5</x:v>
      </x:c>
      <x:c r="J297" s="9" t="n">
        <x:v>0</x:v>
      </x:c>
      <x:c r="K297" s="7" t="n">
        <x:v>3416.5</x:v>
      </x:c>
      <x:c r="L297" s="7" t="n">
        <x:v>1264.68</x:v>
      </x:c>
      <x:c r="M297" s="3" t="str">
        <x:v>UPI</x:v>
      </x:c>
      <x:c r="N297" s="3" t="str">
        <x:f>TEXT(B297,"yyyy-mm")</x:f>
        <x:v>2024-04</x:v>
      </x:c>
      <x:c r="O297" s="3" t="str">
        <x:f>IF(J297=0,"No discount",IF(J297&lt;=0.1,"1-10%",IF(J297&lt;=0.15,"11-15%",IF(J297&lt;=0.2,"16-20%","21%+"))))</x:f>
        <x:v>No discount</x:v>
      </x:c>
      <x:c r="P297" s="9" t="n">
        <x:f>IF(K297=0,0,L297/K297)</x:f>
        <x:v>0.3701683008927265</x:v>
      </x:c>
      <x:c r="Q297" s="3" t="str">
        <x:f>IF(L297&lt;0,"Yes","No")</x:f>
        <x:v>No</x:v>
      </x:c>
    </x:row>
    <x:row r="298" ht="21" customHeight="1">
      <x:c r="A298" s="3" t="str">
        <x:v>ORD-100152</x:v>
      </x:c>
      <x:c r="B298" s="5" t="n">
        <x:v>45389</x:v>
      </x:c>
      <x:c r="C298" s="3" t="str">
        <x:v>CUST-00144</x:v>
      </x:c>
      <x:c r="D298" s="3" t="str">
        <x:v>South</x:v>
      </x:c>
      <x:c r="E298" s="3" t="str">
        <x:v>Home &amp; Kitchen</x:v>
      </x:c>
      <x:c r="F298" s="3" t="str">
        <x:v>Decor</x:v>
      </x:c>
      <x:c r="G298" s="3" t="str">
        <x:v>Ceramic Vase Set</x:v>
      </x:c>
      <x:c r="H298" s="3" t="n">
        <x:v>1</x:v>
      </x:c>
      <x:c r="I298" s="7" t="n">
        <x:v>1558.52</x:v>
      </x:c>
      <x:c r="J298" s="9" t="n">
        <x:v>0.2</x:v>
      </x:c>
      <x:c r="K298" s="7" t="n">
        <x:v>1246.82</x:v>
      </x:c>
      <x:c r="L298" s="7" t="n">
        <x:v>157.3</x:v>
      </x:c>
      <x:c r="M298" s="3" t="str">
        <x:v>UPI</x:v>
      </x:c>
      <x:c r="N298" s="3" t="str">
        <x:f>TEXT(B298,"yyyy-mm")</x:f>
        <x:v>2024-04</x:v>
      </x:c>
      <x:c r="O298" s="3" t="str">
        <x:f>IF(J298=0,"No discount",IF(J298&lt;=0.1,"1-10%",IF(J298&lt;=0.15,"11-15%",IF(J298&lt;=0.2,"16-20%","21%+"))))</x:f>
        <x:v>16-20%</x:v>
      </x:c>
      <x:c r="P298" s="9" t="n">
        <x:f>IF(K298=0,0,L298/K298)</x:f>
        <x:v>0.12616095346561654</x:v>
      </x:c>
      <x:c r="Q298" s="3" t="str">
        <x:f>IF(L298&lt;0,"Yes","No")</x:f>
        <x:v>No</x:v>
      </x:c>
    </x:row>
    <x:row r="299" ht="21" customHeight="1">
      <x:c r="A299" s="3" t="str">
        <x:v>ORD-100378</x:v>
      </x:c>
      <x:c r="B299" s="5" t="n">
        <x:v>45389</x:v>
      </x:c>
      <x:c r="C299" s="3" t="str">
        <x:v>CUST-00308</x:v>
      </x:c>
      <x:c r="D299" s="3" t="str">
        <x:v>East</x:v>
      </x:c>
      <x:c r="E299" s="3" t="str">
        <x:v>Beauty</x:v>
      </x:c>
      <x:c r="F299" s="3" t="str">
        <x:v>Skincare</x:v>
      </x:c>
      <x:c r="G299" s="3" t="str">
        <x:v>Vitamin C Serum</x:v>
      </x:c>
      <x:c r="H299" s="3" t="n">
        <x:v>2</x:v>
      </x:c>
      <x:c r="I299" s="7" t="n">
        <x:v>869.59</x:v>
      </x:c>
      <x:c r="J299" s="9" t="n">
        <x:v>0.15</x:v>
      </x:c>
      <x:c r="K299" s="7" t="n">
        <x:v>1478.3</x:v>
      </x:c>
      <x:c r="L299" s="7" t="n">
        <x:v>596.58</x:v>
      </x:c>
      <x:c r="M299" s="3" t="str">
        <x:v>Credit Card</x:v>
      </x:c>
      <x:c r="N299" s="3" t="str">
        <x:f>TEXT(B299,"yyyy-mm")</x:f>
        <x:v>2024-04</x:v>
      </x:c>
      <x:c r="O299" s="3" t="str">
        <x:f>IF(J299=0,"No discount",IF(J299&lt;=0.1,"1-10%",IF(J299&lt;=0.15,"11-15%",IF(J299&lt;=0.2,"16-20%","21%+"))))</x:f>
        <x:v>11-15%</x:v>
      </x:c>
      <x:c r="P299" s="9" t="n">
        <x:f>IF(K299=0,0,L299/K299)</x:f>
        <x:v>0.4035581411080295</x:v>
      </x:c>
      <x:c r="Q299" s="3" t="str">
        <x:f>IF(L299&lt;0,"Yes","No")</x:f>
        <x:v>No</x:v>
      </x:c>
    </x:row>
    <x:row r="300" ht="21" customHeight="1">
      <x:c r="A300" s="3" t="str">
        <x:v>ORD-100999</x:v>
      </x:c>
      <x:c r="B300" s="5" t="n">
        <x:v>45389</x:v>
      </x:c>
      <x:c r="C300" s="3" t="str">
        <x:v>CUST-00542</x:v>
      </x:c>
      <x:c r="D300" s="3" t="str">
        <x:v>North</x:v>
      </x:c>
      <x:c r="E300" s="3" t="str">
        <x:v>Sports</x:v>
      </x:c>
      <x:c r="F300" s="3" t="str">
        <x:v>Fitness</x:v>
      </x:c>
      <x:c r="G300" s="3" t="str">
        <x:v>ProYoga Mat</x:v>
      </x:c>
      <x:c r="H300" s="3" t="n">
        <x:v>1</x:v>
      </x:c>
      <x:c r="I300" s="7" t="n">
        <x:v>1244.65</x:v>
      </x:c>
      <x:c r="J300" s="9" t="n">
        <x:v>0.1</x:v>
      </x:c>
      <x:c r="K300" s="7" t="n">
        <x:v>1120.19</x:v>
      </x:c>
      <x:c r="L300" s="7" t="n">
        <x:v>292.52</x:v>
      </x:c>
      <x:c r="M300" s="3" t="str">
        <x:v>UPI</x:v>
      </x:c>
      <x:c r="N300" s="3" t="str">
        <x:f>TEXT(B300,"yyyy-mm")</x:f>
        <x:v>2024-04</x:v>
      </x:c>
      <x:c r="O300" s="3" t="str">
        <x:f>IF(J300=0,"No discount",IF(J300&lt;=0.1,"1-10%",IF(J300&lt;=0.15,"11-15%",IF(J300&lt;=0.2,"16-20%","21%+"))))</x:f>
        <x:v>1-10%</x:v>
      </x:c>
      <x:c r="P300" s="9" t="n">
        <x:f>IF(K300=0,0,L300/K300)</x:f>
        <x:v>0.26113427186459437</x:v>
      </x:c>
      <x:c r="Q300" s="3" t="str">
        <x:f>IF(L300&lt;0,"Yes","No")</x:f>
        <x:v>No</x:v>
      </x:c>
    </x:row>
    <x:row r="301" ht="21" customHeight="1">
      <x:c r="A301" s="3" t="str">
        <x:v>ORD-101723</x:v>
      </x:c>
      <x:c r="B301" s="5" t="n">
        <x:v>45389</x:v>
      </x:c>
      <x:c r="C301" s="3" t="str">
        <x:v>CUST-00463</x:v>
      </x:c>
      <x:c r="D301" s="3" t="str">
        <x:v>North</x:v>
      </x:c>
      <x:c r="E301" s="3" t="str">
        <x:v>Sports</x:v>
      </x:c>
      <x:c r="F301" s="3" t="str">
        <x:v>Fitness</x:v>
      </x:c>
      <x:c r="G301" s="3" t="str">
        <x:v>Adjustable Dumbbell 24kg</x:v>
      </x:c>
      <x:c r="H301" s="3" t="n">
        <x:v>1</x:v>
      </x:c>
      <x:c r="I301" s="7" t="n">
        <x:v>10057.34</x:v>
      </x:c>
      <x:c r="J301" s="9" t="n">
        <x:v>0.15</x:v>
      </x:c>
      <x:c r="K301" s="7" t="n">
        <x:v>8548.74</x:v>
      </x:c>
      <x:c r="L301" s="7" t="n">
        <x:v>1674.03</x:v>
      </x:c>
      <x:c r="M301" s="3" t="str">
        <x:v>UPI</x:v>
      </x:c>
      <x:c r="N301" s="3" t="str">
        <x:f>TEXT(B301,"yyyy-mm")</x:f>
        <x:v>2024-04</x:v>
      </x:c>
      <x:c r="O301" s="3" t="str">
        <x:f>IF(J301=0,"No discount",IF(J301&lt;=0.1,"1-10%",IF(J301&lt;=0.15,"11-15%",IF(J301&lt;=0.2,"16-20%","21%+"))))</x:f>
        <x:v>11-15%</x:v>
      </x:c>
      <x:c r="P301" s="9" t="n">
        <x:f>IF(K301=0,0,L301/K301)</x:f>
        <x:v>0.19582184041156941</x:v>
      </x:c>
      <x:c r="Q301" s="3" t="str">
        <x:f>IF(L301&lt;0,"Yes","No")</x:f>
        <x:v>No</x:v>
      </x:c>
    </x:row>
    <x:row r="302" ht="21" customHeight="1">
      <x:c r="A302" s="3" t="str">
        <x:v>ORD-100810</x:v>
      </x:c>
      <x:c r="B302" s="5" t="n">
        <x:v>45390</x:v>
      </x:c>
      <x:c r="C302" s="3" t="str">
        <x:v>CUST-00144</x:v>
      </x:c>
      <x:c r="D302" s="3" t="str">
        <x:v>North</x:v>
      </x:c>
      <x:c r="E302" s="3" t="str">
        <x:v>Fashion</x:v>
      </x:c>
      <x:c r="F302" s="3" t="str">
        <x:v>Men</x:v>
      </x:c>
      <x:c r="G302" s="3" t="str">
        <x:v>SlimFit Denim Jeans</x:v>
      </x:c>
      <x:c r="H302" s="3" t="n">
        <x:v>1</x:v>
      </x:c>
      <x:c r="I302" s="7" t="n">
        <x:v>2056.97</x:v>
      </x:c>
      <x:c r="J302" s="9" t="n">
        <x:v>0.1</x:v>
      </x:c>
      <x:c r="K302" s="7" t="n">
        <x:v>1851.27</x:v>
      </x:c>
      <x:c r="L302" s="7" t="n">
        <x:v>503.33</x:v>
      </x:c>
      <x:c r="M302" s="3" t="str">
        <x:v>Cash on Delivery</x:v>
      </x:c>
      <x:c r="N302" s="3" t="str">
        <x:f>TEXT(B302,"yyyy-mm")</x:f>
        <x:v>2024-04</x:v>
      </x:c>
      <x:c r="O302" s="3" t="str">
        <x:f>IF(J302=0,"No discount",IF(J302&lt;=0.1,"1-10%",IF(J302&lt;=0.15,"11-15%",IF(J302&lt;=0.2,"16-20%","21%+"))))</x:f>
        <x:v>1-10%</x:v>
      </x:c>
      <x:c r="P302" s="9" t="n">
        <x:f>IF(K302=0,0,L302/K302)</x:f>
        <x:v>0.27188362583523745</x:v>
      </x:c>
      <x:c r="Q302" s="3" t="str">
        <x:f>IF(L302&lt;0,"Yes","No")</x:f>
        <x:v>No</x:v>
      </x:c>
    </x:row>
    <x:row r="303" ht="21" customHeight="1">
      <x:c r="A303" s="3" t="str">
        <x:v>ORD-100897</x:v>
      </x:c>
      <x:c r="B303" s="5" t="n">
        <x:v>45390</x:v>
      </x:c>
      <x:c r="C303" s="3" t="str">
        <x:v>CUST-00326</x:v>
      </x:c>
      <x:c r="D303" s="3" t="str">
        <x:v>South</x:v>
      </x:c>
      <x:c r="E303" s="3" t="str">
        <x:v>Home &amp; Kitchen</x:v>
      </x:c>
      <x:c r="F303" s="3" t="str">
        <x:v>Furniture</x:v>
      </x:c>
      <x:c r="G303" s="3" t="str">
        <x:v>ErgoComfort Chair</x:v>
      </x:c>
      <x:c r="H303" s="3" t="n">
        <x:v>1</x:v>
      </x:c>
      <x:c r="I303" s="7" t="n">
        <x:v>8740.27</x:v>
      </x:c>
      <x:c r="J303" s="9" t="n">
        <x:v>0.05</x:v>
      </x:c>
      <x:c r="K303" s="7" t="n">
        <x:v>8303.26</x:v>
      </x:c>
      <x:c r="L303" s="7" t="n">
        <x:v>2244.24</x:v>
      </x:c>
      <x:c r="M303" s="3" t="str">
        <x:v>Credit Card</x:v>
      </x:c>
      <x:c r="N303" s="3" t="str">
        <x:f>TEXT(B303,"yyyy-mm")</x:f>
        <x:v>2024-04</x:v>
      </x:c>
      <x:c r="O303" s="3" t="str">
        <x:f>IF(J303=0,"No discount",IF(J303&lt;=0.1,"1-10%",IF(J303&lt;=0.15,"11-15%",IF(J303&lt;=0.2,"16-20%","21%+"))))</x:f>
        <x:v>1-10%</x:v>
      </x:c>
      <x:c r="P303" s="9" t="n">
        <x:f>IF(K303=0,0,L303/K303)</x:f>
        <x:v>0.27028420162683087</x:v>
      </x:c>
      <x:c r="Q303" s="3" t="str">
        <x:f>IF(L303&lt;0,"Yes","No")</x:f>
        <x:v>No</x:v>
      </x:c>
    </x:row>
    <x:row r="304" ht="21" customHeight="1">
      <x:c r="A304" s="3" t="str">
        <x:v>ORD-100963</x:v>
      </x:c>
      <x:c r="B304" s="5" t="n">
        <x:v>45390</x:v>
      </x:c>
      <x:c r="C304" s="3" t="str">
        <x:v>CUST-00585</x:v>
      </x:c>
      <x:c r="D304" s="3" t="str">
        <x:v>West</x:v>
      </x:c>
      <x:c r="E304" s="3" t="str">
        <x:v>Home &amp; Kitchen</x:v>
      </x:c>
      <x:c r="F304" s="3" t="str">
        <x:v>Decor</x:v>
      </x:c>
      <x:c r="G304" s="3" t="str">
        <x:v>LED Wall Lamp</x:v>
      </x:c>
      <x:c r="H304" s="3" t="n">
        <x:v>4</x:v>
      </x:c>
      <x:c r="I304" s="7" t="n">
        <x:v>981.31</x:v>
      </x:c>
      <x:c r="J304" s="9" t="n">
        <x:v>0</x:v>
      </x:c>
      <x:c r="K304" s="7" t="n">
        <x:v>3925.24</x:v>
      </x:c>
      <x:c r="L304" s="7" t="n">
        <x:v>1307.89</x:v>
      </x:c>
      <x:c r="M304" s="3" t="str">
        <x:v>Credit Card</x:v>
      </x:c>
      <x:c r="N304" s="3" t="str">
        <x:f>TEXT(B304,"yyyy-mm")</x:f>
        <x:v>2024-04</x:v>
      </x:c>
      <x:c r="O304" s="3" t="str">
        <x:f>IF(J304=0,"No discount",IF(J304&lt;=0.1,"1-10%",IF(J304&lt;=0.15,"11-15%",IF(J304&lt;=0.2,"16-20%","21%+"))))</x:f>
        <x:v>No discount</x:v>
      </x:c>
      <x:c r="P304" s="9" t="n">
        <x:f>IF(K304=0,0,L304/K304)</x:f>
        <x:v>0.3332000081523678</x:v>
      </x:c>
      <x:c r="Q304" s="3" t="str">
        <x:f>IF(L304&lt;0,"Yes","No")</x:f>
        <x:v>No</x:v>
      </x:c>
    </x:row>
    <x:row r="305" ht="21" customHeight="1">
      <x:c r="A305" s="3" t="str">
        <x:v>ORD-101587</x:v>
      </x:c>
      <x:c r="B305" s="5" t="n">
        <x:v>45390</x:v>
      </x:c>
      <x:c r="C305" s="3" t="str">
        <x:v>CUST-00088</x:v>
      </x:c>
      <x:c r="D305" s="3" t="str">
        <x:v>West</x:v>
      </x:c>
      <x:c r="E305" s="3" t="str">
        <x:v>Home &amp; Kitchen</x:v>
      </x:c>
      <x:c r="F305" s="3" t="str">
        <x:v>Appliances</x:v>
      </x:c>
      <x:c r="G305" s="3" t="str">
        <x:v>AirFryer Deluxe</x:v>
      </x:c>
      <x:c r="H305" s="3" t="n">
        <x:v>1</x:v>
      </x:c>
      <x:c r="I305" s="7" t="n">
        <x:v>7676.47</x:v>
      </x:c>
      <x:c r="J305" s="9" t="n">
        <x:v>0</x:v>
      </x:c>
      <x:c r="K305" s="7" t="n">
        <x:v>7676.47</x:v>
      </x:c>
      <x:c r="L305" s="7" t="n">
        <x:v>2738.98</x:v>
      </x:c>
      <x:c r="M305" s="3" t="str">
        <x:v>UPI</x:v>
      </x:c>
      <x:c r="N305" s="3" t="str">
        <x:f>TEXT(B305,"yyyy-mm")</x:f>
        <x:v>2024-04</x:v>
      </x:c>
      <x:c r="O305" s="3" t="str">
        <x:f>IF(J305=0,"No discount",IF(J305&lt;=0.1,"1-10%",IF(J305&lt;=0.15,"11-15%",IF(J305&lt;=0.2,"16-20%","21%+"))))</x:f>
        <x:v>No discount</x:v>
      </x:c>
      <x:c r="P305" s="9" t="n">
        <x:f>IF(K305=0,0,L305/K305)</x:f>
        <x:v>0.35680201967831565</x:v>
      </x:c>
      <x:c r="Q305" s="3" t="str">
        <x:f>IF(L305&lt;0,"Yes","No")</x:f>
        <x:v>No</x:v>
      </x:c>
    </x:row>
    <x:row r="306" ht="21" customHeight="1">
      <x:c r="A306" s="3" t="str">
        <x:v>ORD-101851</x:v>
      </x:c>
      <x:c r="B306" s="5" t="n">
        <x:v>45390</x:v>
      </x:c>
      <x:c r="C306" s="3" t="str">
        <x:v>CUST-00103</x:v>
      </x:c>
      <x:c r="D306" s="3" t="str">
        <x:v>South</x:v>
      </x:c>
      <x:c r="E306" s="3" t="str">
        <x:v>Home &amp; Kitchen</x:v>
      </x:c>
      <x:c r="F306" s="3" t="str">
        <x:v>Appliances</x:v>
      </x:c>
      <x:c r="G306" s="3" t="str">
        <x:v>ColdBrew Coffee Maker</x:v>
      </x:c>
      <x:c r="H306" s="3" t="n">
        <x:v>1</x:v>
      </x:c>
      <x:c r="I306" s="7" t="n">
        <x:v>6275.39</x:v>
      </x:c>
      <x:c r="J306" s="9" t="n">
        <x:v>0</x:v>
      </x:c>
      <x:c r="K306" s="7" t="n">
        <x:v>6275.39</x:v>
      </x:c>
      <x:c r="L306" s="7" t="n">
        <x:v>1849.94</x:v>
      </x:c>
      <x:c r="M306" s="3" t="str">
        <x:v>UPI</x:v>
      </x:c>
      <x:c r="N306" s="3" t="str">
        <x:f>TEXT(B306,"yyyy-mm")</x:f>
        <x:v>2024-04</x:v>
      </x:c>
      <x:c r="O306" s="3" t="str">
        <x:f>IF(J306=0,"No discount",IF(J306&lt;=0.1,"1-10%",IF(J306&lt;=0.15,"11-15%",IF(J306&lt;=0.2,"16-20%","21%+"))))</x:f>
        <x:v>No discount</x:v>
      </x:c>
      <x:c r="P306" s="9" t="n">
        <x:f>IF(K306=0,0,L306/K306)</x:f>
        <x:v>0.29479283359281255</x:v>
      </x:c>
      <x:c r="Q306" s="3" t="str">
        <x:f>IF(L306&lt;0,"Yes","No")</x:f>
        <x:v>No</x:v>
      </x:c>
    </x:row>
    <x:row r="307" ht="21" customHeight="1">
      <x:c r="A307" s="3" t="str">
        <x:v>ORD-101292</x:v>
      </x:c>
      <x:c r="B307" s="5" t="n">
        <x:v>45391</x:v>
      </x:c>
      <x:c r="C307" s="3" t="str">
        <x:v>CUST-00465</x:v>
      </x:c>
      <x:c r="D307" s="3" t="str">
        <x:v>South</x:v>
      </x:c>
      <x:c r="E307" s="3" t="str">
        <x:v>Electronics</x:v>
      </x:c>
      <x:c r="F307" s="3" t="str">
        <x:v>Mobile</x:v>
      </x:c>
      <x:c r="G307" s="3" t="str">
        <x:v>iPhone Zeta</x:v>
      </x:c>
      <x:c r="H307" s="3" t="n">
        <x:v>2</x:v>
      </x:c>
      <x:c r="I307" s="7" t="n">
        <x:v>67396.46</x:v>
      </x:c>
      <x:c r="J307" s="9" t="n">
        <x:v>0.1</x:v>
      </x:c>
      <x:c r="K307" s="7" t="n">
        <x:v>121313.63</x:v>
      </x:c>
      <x:c r="L307" s="7" t="n">
        <x:v>9773.61</x:v>
      </x:c>
      <x:c r="M307" s="3" t="str">
        <x:v>UPI</x:v>
      </x:c>
      <x:c r="N307" s="3" t="str">
        <x:f>TEXT(B307,"yyyy-mm")</x:f>
        <x:v>2024-04</x:v>
      </x:c>
      <x:c r="O307" s="3" t="str">
        <x:f>IF(J307=0,"No discount",IF(J307&lt;=0.1,"1-10%",IF(J307&lt;=0.15,"11-15%",IF(J307&lt;=0.2,"16-20%","21%+"))))</x:f>
        <x:v>1-10%</x:v>
      </x:c>
      <x:c r="P307" s="9" t="n">
        <x:f>IF(K307=0,0,L307/K307)</x:f>
        <x:v>0.0805648136981805</x:v>
      </x:c>
      <x:c r="Q307" s="3" t="str">
        <x:f>IF(L307&lt;0,"Yes","No")</x:f>
        <x:v>No</x:v>
      </x:c>
    </x:row>
    <x:row r="308" ht="21" customHeight="1">
      <x:c r="A308" s="3" t="str">
        <x:v>ORD-101325</x:v>
      </x:c>
      <x:c r="B308" s="5" t="n">
        <x:v>45391</x:v>
      </x:c>
      <x:c r="C308" s="3" t="str">
        <x:v>CUST-00033</x:v>
      </x:c>
      <x:c r="D308" s="3" t="str">
        <x:v>South</x:v>
      </x:c>
      <x:c r="E308" s="3" t="str">
        <x:v>Sports</x:v>
      </x:c>
      <x:c r="F308" s="3" t="str">
        <x:v>Outdoor</x:v>
      </x:c>
      <x:c r="G308" s="3" t="str">
        <x:v>TrailHike Backpack 60L</x:v>
      </x:c>
      <x:c r="H308" s="3" t="n">
        <x:v>4</x:v>
      </x:c>
      <x:c r="I308" s="7" t="n">
        <x:v>3658.61</x:v>
      </x:c>
      <x:c r="J308" s="9" t="n">
        <x:v>0.05</x:v>
      </x:c>
      <x:c r="K308" s="7" t="n">
        <x:v>13902.72</x:v>
      </x:c>
      <x:c r="L308" s="7" t="n">
        <x:v>4762.21</x:v>
      </x:c>
      <x:c r="M308" s="3" t="str">
        <x:v>UPI</x:v>
      </x:c>
      <x:c r="N308" s="3" t="str">
        <x:f>TEXT(B308,"yyyy-mm")</x:f>
        <x:v>2024-04</x:v>
      </x:c>
      <x:c r="O308" s="3" t="str">
        <x:f>IF(J308=0,"No discount",IF(J308&lt;=0.1,"1-10%",IF(J308&lt;=0.15,"11-15%",IF(J308&lt;=0.2,"16-20%","21%+"))))</x:f>
        <x:v>1-10%</x:v>
      </x:c>
      <x:c r="P308" s="9" t="n">
        <x:f>IF(K308=0,0,L308/K308)</x:f>
        <x:v>0.34253800695115777</x:v>
      </x:c>
      <x:c r="Q308" s="3" t="str">
        <x:f>IF(L308&lt;0,"Yes","No")</x:f>
        <x:v>No</x:v>
      </x:c>
    </x:row>
    <x:row r="309" ht="21" customHeight="1">
      <x:c r="A309" s="3" t="str">
        <x:v>ORD-100016</x:v>
      </x:c>
      <x:c r="B309" s="5" t="n">
        <x:v>45392</x:v>
      </x:c>
      <x:c r="C309" s="3" t="str">
        <x:v>CUST-00554</x:v>
      </x:c>
      <x:c r="D309" s="3" t="str">
        <x:v>West</x:v>
      </x:c>
      <x:c r="E309" s="3" t="str">
        <x:v>Fashion</x:v>
      </x:c>
      <x:c r="F309" s="3" t="str">
        <x:v>Men</x:v>
      </x:c>
      <x:c r="G309" s="3" t="str">
        <x:v>SlimFit Denim Jeans</x:v>
      </x:c>
      <x:c r="H309" s="3" t="n">
        <x:v>1</x:v>
      </x:c>
      <x:c r="I309" s="7" t="n">
        <x:v>1935.73</x:v>
      </x:c>
      <x:c r="J309" s="9" t="n">
        <x:v>0</x:v>
      </x:c>
      <x:c r="K309" s="7" t="n">
        <x:v>1935.73</x:v>
      </x:c>
      <x:c r="L309" s="7" t="n">
        <x:v>807.22</x:v>
      </x:c>
      <x:c r="M309" s="3" t="str">
        <x:v>UPI</x:v>
      </x:c>
      <x:c r="N309" s="3" t="str">
        <x:f>TEXT(B309,"yyyy-mm")</x:f>
        <x:v>2024-04</x:v>
      </x:c>
      <x:c r="O309" s="3" t="str">
        <x:f>IF(J309=0,"No discount",IF(J309&lt;=0.1,"1-10%",IF(J309&lt;=0.15,"11-15%",IF(J309&lt;=0.2,"16-20%","21%+"))))</x:f>
        <x:v>No discount</x:v>
      </x:c>
      <x:c r="P309" s="9" t="n">
        <x:f>IF(K309=0,0,L309/K309)</x:f>
        <x:v>0.4170106368140185</x:v>
      </x:c>
      <x:c r="Q309" s="3" t="str">
        <x:f>IF(L309&lt;0,"Yes","No")</x:f>
        <x:v>No</x:v>
      </x:c>
    </x:row>
    <x:row r="310" ht="21" customHeight="1">
      <x:c r="A310" s="3" t="str">
        <x:v>ORD-100326</x:v>
      </x:c>
      <x:c r="B310" s="5" t="n">
        <x:v>45392</x:v>
      </x:c>
      <x:c r="C310" s="3" t="str">
        <x:v>CUST-00261</x:v>
      </x:c>
      <x:c r="D310" s="3" t="str">
        <x:v>East</x:v>
      </x:c>
      <x:c r="E310" s="3" t="str">
        <x:v>Electronics</x:v>
      </x:c>
      <x:c r="F310" s="3" t="str">
        <x:v>Audio</x:v>
      </x:c>
      <x:c r="G310" s="3" t="str">
        <x:v>BassBoom Speaker</x:v>
      </x:c>
      <x:c r="H310" s="3" t="n">
        <x:v>1</x:v>
      </x:c>
      <x:c r="I310" s="7" t="n">
        <x:v>9259.57</x:v>
      </x:c>
      <x:c r="J310" s="9" t="n">
        <x:v>0.15</x:v>
      </x:c>
      <x:c r="K310" s="7" t="n">
        <x:v>7870.63</x:v>
      </x:c>
      <x:c r="L310" s="7" t="n">
        <x:v>-15.75</x:v>
      </x:c>
      <x:c r="M310" s="3" t="str">
        <x:v>Debit Card</x:v>
      </x:c>
      <x:c r="N310" s="3" t="str">
        <x:f>TEXT(B310,"yyyy-mm")</x:f>
        <x:v>2024-04</x:v>
      </x:c>
      <x:c r="O310" s="3" t="str">
        <x:f>IF(J310=0,"No discount",IF(J310&lt;=0.1,"1-10%",IF(J310&lt;=0.15,"11-15%",IF(J310&lt;=0.2,"16-20%","21%+"))))</x:f>
        <x:v>11-15%</x:v>
      </x:c>
      <x:c r="P310" s="9" t="n">
        <x:f>IF(K310=0,0,L310/K310)</x:f>
        <x:v>-0.002001110457485614</x:v>
      </x:c>
      <x:c r="Q310" s="3" t="str">
        <x:f>IF(L310&lt;0,"Yes","No")</x:f>
        <x:v>Yes</x:v>
      </x:c>
    </x:row>
    <x:row r="311" ht="21" customHeight="1">
      <x:c r="A311" s="3" t="str">
        <x:v>ORD-100443</x:v>
      </x:c>
      <x:c r="B311" s="5" t="n">
        <x:v>45392</x:v>
      </x:c>
      <x:c r="C311" s="3" t="str">
        <x:v>CUST-00599</x:v>
      </x:c>
      <x:c r="D311" s="3" t="str">
        <x:v>South</x:v>
      </x:c>
      <x:c r="E311" s="3" t="str">
        <x:v>Electronics</x:v>
      </x:c>
      <x:c r="F311" s="3" t="str">
        <x:v>Audio</x:v>
      </x:c>
      <x:c r="G311" s="3" t="str">
        <x:v>BassBoom Speaker</x:v>
      </x:c>
      <x:c r="H311" s="3" t="n">
        <x:v>4</x:v>
      </x:c>
      <x:c r="I311" s="7" t="n">
        <x:v>9375.2</x:v>
      </x:c>
      <x:c r="J311" s="9" t="n">
        <x:v>0.05</x:v>
      </x:c>
      <x:c r="K311" s="7" t="n">
        <x:v>35625.76</x:v>
      </x:c>
      <x:c r="L311" s="7" t="n">
        <x:v>5385.49</x:v>
      </x:c>
      <x:c r="M311" s="3" t="str">
        <x:v>UPI</x:v>
      </x:c>
      <x:c r="N311" s="3" t="str">
        <x:f>TEXT(B311,"yyyy-mm")</x:f>
        <x:v>2024-04</x:v>
      </x:c>
      <x:c r="O311" s="3" t="str">
        <x:f>IF(J311=0,"No discount",IF(J311&lt;=0.1,"1-10%",IF(J311&lt;=0.15,"11-15%",IF(J311&lt;=0.2,"16-20%","21%+"))))</x:f>
        <x:v>1-10%</x:v>
      </x:c>
      <x:c r="P311" s="9" t="n">
        <x:f>IF(K311=0,0,L311/K311)</x:f>
        <x:v>0.15116842419642415</x:v>
      </x:c>
      <x:c r="Q311" s="3" t="str">
        <x:f>IF(L311&lt;0,"Yes","No")</x:f>
        <x:v>No</x:v>
      </x:c>
    </x:row>
    <x:row r="312" ht="21" customHeight="1">
      <x:c r="A312" s="3" t="str">
        <x:v>ORD-100570</x:v>
      </x:c>
      <x:c r="B312" s="5" t="n">
        <x:v>45392</x:v>
      </x:c>
      <x:c r="C312" s="3" t="str">
        <x:v>CUST-00436</x:v>
      </x:c>
      <x:c r="D312" s="3" t="str">
        <x:v>West</x:v>
      </x:c>
      <x:c r="E312" s="3" t="str">
        <x:v>Beauty</x:v>
      </x:c>
      <x:c r="F312" s="3" t="str">
        <x:v>Skincare</x:v>
      </x:c>
      <x:c r="G312" s="3" t="str">
        <x:v>HydraBoost Moisturizer</x:v>
      </x:c>
      <x:c r="H312" s="3" t="n">
        <x:v>1</x:v>
      </x:c>
      <x:c r="I312" s="7" t="n">
        <x:v>1178.36</x:v>
      </x:c>
      <x:c r="J312" s="9" t="n">
        <x:v>0</x:v>
      </x:c>
      <x:c r="K312" s="7" t="n">
        <x:v>1178.36</x:v>
      </x:c>
      <x:c r="L312" s="7" t="n">
        <x:v>655.86</x:v>
      </x:c>
      <x:c r="M312" s="3" t="str">
        <x:v>UPI</x:v>
      </x:c>
      <x:c r="N312" s="3" t="str">
        <x:f>TEXT(B312,"yyyy-mm")</x:f>
        <x:v>2024-04</x:v>
      </x:c>
      <x:c r="O312" s="3" t="str">
        <x:f>IF(J312=0,"No discount",IF(J312&lt;=0.1,"1-10%",IF(J312&lt;=0.15,"11-15%",IF(J312&lt;=0.2,"16-20%","21%+"))))</x:f>
        <x:v>No discount</x:v>
      </x:c>
      <x:c r="P312" s="9" t="n">
        <x:f>IF(K312=0,0,L312/K312)</x:f>
        <x:v>0.5565871210835399</x:v>
      </x:c>
      <x:c r="Q312" s="3" t="str">
        <x:f>IF(L312&lt;0,"Yes","No")</x:f>
        <x:v>No</x:v>
      </x:c>
    </x:row>
    <x:row r="313" ht="21" customHeight="1">
      <x:c r="A313" s="3" t="str">
        <x:v>ORD-101308</x:v>
      </x:c>
      <x:c r="B313" s="5" t="n">
        <x:v>45393</x:v>
      </x:c>
      <x:c r="C313" s="3" t="str">
        <x:v>CUST-00497</x:v>
      </x:c>
      <x:c r="D313" s="3" t="str">
        <x:v>South</x:v>
      </x:c>
      <x:c r="E313" s="3" t="str">
        <x:v>Sports</x:v>
      </x:c>
      <x:c r="F313" s="3" t="str">
        <x:v>Outdoor</x:v>
      </x:c>
      <x:c r="G313" s="3" t="str">
        <x:v>TrailHike Backpack 60L</x:v>
      </x:c>
      <x:c r="H313" s="3" t="n">
        <x:v>3</x:v>
      </x:c>
      <x:c r="I313" s="7" t="n">
        <x:v>3518.78</x:v>
      </x:c>
      <x:c r="J313" s="9" t="n">
        <x:v>0.05</x:v>
      </x:c>
      <x:c r="K313" s="7" t="n">
        <x:v>10028.52</x:v>
      </x:c>
      <x:c r="L313" s="7" t="n">
        <x:v>3067.82</x:v>
      </x:c>
      <x:c r="M313" s="3" t="str">
        <x:v>UPI</x:v>
      </x:c>
      <x:c r="N313" s="3" t="str">
        <x:f>TEXT(B313,"yyyy-mm")</x:f>
        <x:v>2024-04</x:v>
      </x:c>
      <x:c r="O313" s="3" t="str">
        <x:f>IF(J313=0,"No discount",IF(J313&lt;=0.1,"1-10%",IF(J313&lt;=0.15,"11-15%",IF(J313&lt;=0.2,"16-20%","21%+"))))</x:f>
        <x:v>1-10%</x:v>
      </x:c>
      <x:c r="P313" s="9" t="n">
        <x:f>IF(K313=0,0,L313/K313)</x:f>
        <x:v>0.3059095459748796</x:v>
      </x:c>
      <x:c r="Q313" s="3" t="str">
        <x:f>IF(L313&lt;0,"Yes","No")</x:f>
        <x:v>No</x:v>
      </x:c>
    </x:row>
    <x:row r="314" ht="21" customHeight="1">
      <x:c r="A314" s="3" t="str">
        <x:v>ORD-101807</x:v>
      </x:c>
      <x:c r="B314" s="5" t="n">
        <x:v>45393</x:v>
      </x:c>
      <x:c r="C314" s="3" t="str">
        <x:v>CUST-00308</x:v>
      </x:c>
      <x:c r="D314" s="3" t="str">
        <x:v>South</x:v>
      </x:c>
      <x:c r="E314" s="3" t="str">
        <x:v>Sports</x:v>
      </x:c>
      <x:c r="F314" s="3" t="str">
        <x:v>Fitness</x:v>
      </x:c>
      <x:c r="G314" s="3" t="str">
        <x:v>Adjustable Dumbbell 24kg</x:v>
      </x:c>
      <x:c r="H314" s="3" t="n">
        <x:v>1</x:v>
      </x:c>
      <x:c r="I314" s="7" t="n">
        <x:v>9660.6</x:v>
      </x:c>
      <x:c r="J314" s="9" t="n">
        <x:v>0</x:v>
      </x:c>
      <x:c r="K314" s="7" t="n">
        <x:v>9660.6</x:v>
      </x:c>
      <x:c r="L314" s="7" t="n">
        <x:v>3412.58</x:v>
      </x:c>
      <x:c r="M314" s="3" t="str">
        <x:v>UPI</x:v>
      </x:c>
      <x:c r="N314" s="3" t="str">
        <x:f>TEXT(B314,"yyyy-mm")</x:f>
        <x:v>2024-04</x:v>
      </x:c>
      <x:c r="O314" s="3" t="str">
        <x:f>IF(J314=0,"No discount",IF(J314&lt;=0.1,"1-10%",IF(J314&lt;=0.15,"11-15%",IF(J314&lt;=0.2,"16-20%","21%+"))))</x:f>
        <x:v>No discount</x:v>
      </x:c>
      <x:c r="P314" s="9" t="n">
        <x:f>IF(K314=0,0,L314/K314)</x:f>
        <x:v>0.35324721031819967</x:v>
      </x:c>
      <x:c r="Q314" s="3" t="str">
        <x:f>IF(L314&lt;0,"Yes","No")</x:f>
        <x:v>No</x:v>
      </x:c>
    </x:row>
    <x:row r="315" ht="21" customHeight="1">
      <x:c r="A315" s="3" t="str">
        <x:v>ORD-100236</x:v>
      </x:c>
      <x:c r="B315" s="5" t="n">
        <x:v>45394</x:v>
      </x:c>
      <x:c r="C315" s="3" t="str">
        <x:v>CUST-00247</x:v>
      </x:c>
      <x:c r="D315" s="3" t="str">
        <x:v>West</x:v>
      </x:c>
      <x:c r="E315" s="3" t="str">
        <x:v>Fashion</x:v>
      </x:c>
      <x:c r="F315" s="3" t="str">
        <x:v>Men</x:v>
      </x:c>
      <x:c r="G315" s="3" t="str">
        <x:v>Oxford Casual Shirt</x:v>
      </x:c>
      <x:c r="H315" s="3" t="n">
        <x:v>2</x:v>
      </x:c>
      <x:c r="I315" s="7" t="n">
        <x:v>1339.36</x:v>
      </x:c>
      <x:c r="J315" s="9" t="n">
        <x:v>0</x:v>
      </x:c>
      <x:c r="K315" s="7" t="n">
        <x:v>2678.72</x:v>
      </x:c>
      <x:c r="L315" s="7" t="n">
        <x:v>1078.12</x:v>
      </x:c>
      <x:c r="M315" s="3" t="str">
        <x:v>Credit Card</x:v>
      </x:c>
      <x:c r="N315" s="3" t="str">
        <x:f>TEXT(B315,"yyyy-mm")</x:f>
        <x:v>2024-04</x:v>
      </x:c>
      <x:c r="O315" s="3" t="str">
        <x:f>IF(J315=0,"No discount",IF(J315&lt;=0.1,"1-10%",IF(J315&lt;=0.15,"11-15%",IF(J315&lt;=0.2,"16-20%","21%+"))))</x:f>
        <x:v>No discount</x:v>
      </x:c>
      <x:c r="P315" s="9" t="n">
        <x:f>IF(K315=0,0,L315/K315)</x:f>
        <x:v>0.4024758093417752</x:v>
      </x:c>
      <x:c r="Q315" s="3" t="str">
        <x:f>IF(L315&lt;0,"Yes","No")</x:f>
        <x:v>No</x:v>
      </x:c>
    </x:row>
    <x:row r="316" ht="21" customHeight="1">
      <x:c r="A316" s="3" t="str">
        <x:v>ORD-100714</x:v>
      </x:c>
      <x:c r="B316" s="5" t="n">
        <x:v>45394</x:v>
      </x:c>
      <x:c r="C316" s="3" t="str">
        <x:v>CUST-00022</x:v>
      </x:c>
      <x:c r="D316" s="3" t="str">
        <x:v>East</x:v>
      </x:c>
      <x:c r="E316" s="3" t="str">
        <x:v>Sports</x:v>
      </x:c>
      <x:c r="F316" s="3" t="str">
        <x:v>Fitness</x:v>
      </x:c>
      <x:c r="G316" s="3" t="str">
        <x:v>Adjustable Dumbbell 24kg</x:v>
      </x:c>
      <x:c r="H316" s="3" t="n">
        <x:v>4</x:v>
      </x:c>
      <x:c r="I316" s="7" t="n">
        <x:v>9599.27</x:v>
      </x:c>
      <x:c r="J316" s="9" t="n">
        <x:v>0.3</x:v>
      </x:c>
      <x:c r="K316" s="7" t="n">
        <x:v>26877.96</x:v>
      </x:c>
      <x:c r="L316" s="7" t="n">
        <x:v>998.31</x:v>
      </x:c>
      <x:c r="M316" s="3" t="str">
        <x:v>Debit Card</x:v>
      </x:c>
      <x:c r="N316" s="3" t="str">
        <x:f>TEXT(B316,"yyyy-mm")</x:f>
        <x:v>2024-04</x:v>
      </x:c>
      <x:c r="O316" s="3" t="str">
        <x:f>IF(J316=0,"No discount",IF(J316&lt;=0.1,"1-10%",IF(J316&lt;=0.15,"11-15%",IF(J316&lt;=0.2,"16-20%","21%+"))))</x:f>
        <x:v>21%+</x:v>
      </x:c>
      <x:c r="P316" s="9" t="n">
        <x:f>IF(K316=0,0,L316/K316)</x:f>
        <x:v>0.037142327765946524</x:v>
      </x:c>
      <x:c r="Q316" s="3" t="str">
        <x:f>IF(L316&lt;0,"Yes","No")</x:f>
        <x:v>No</x:v>
      </x:c>
    </x:row>
    <x:row r="317" ht="21" customHeight="1">
      <x:c r="A317" s="3" t="str">
        <x:v>ORD-100957</x:v>
      </x:c>
      <x:c r="B317" s="5" t="n">
        <x:v>45394</x:v>
      </x:c>
      <x:c r="C317" s="3" t="str">
        <x:v>CUST-00318</x:v>
      </x:c>
      <x:c r="D317" s="3" t="str">
        <x:v>West</x:v>
      </x:c>
      <x:c r="E317" s="3" t="str">
        <x:v>Beauty</x:v>
      </x:c>
      <x:c r="F317" s="3" t="str">
        <x:v>Makeup</x:v>
      </x:c>
      <x:c r="G317" s="3" t="str">
        <x:v>HD Foundation Kit</x:v>
      </x:c>
      <x:c r="H317" s="3" t="n">
        <x:v>1</x:v>
      </x:c>
      <x:c r="I317" s="7" t="n">
        <x:v>1492.55</x:v>
      </x:c>
      <x:c r="J317" s="9" t="n">
        <x:v>0</x:v>
      </x:c>
      <x:c r="K317" s="7" t="n">
        <x:v>1492.55</x:v>
      </x:c>
      <x:c r="L317" s="7" t="n">
        <x:v>762.07</x:v>
      </x:c>
      <x:c r="M317" s="3" t="str">
        <x:v>UPI</x:v>
      </x:c>
      <x:c r="N317" s="3" t="str">
        <x:f>TEXT(B317,"yyyy-mm")</x:f>
        <x:v>2024-04</x:v>
      </x:c>
      <x:c r="O317" s="3" t="str">
        <x:f>IF(J317=0,"No discount",IF(J317&lt;=0.1,"1-10%",IF(J317&lt;=0.15,"11-15%",IF(J317&lt;=0.2,"16-20%","21%+"))))</x:f>
        <x:v>No discount</x:v>
      </x:c>
      <x:c r="P317" s="9" t="n">
        <x:f>IF(K317=0,0,L317/K317)</x:f>
        <x:v>0.5105825600482397</x:v>
      </x:c>
      <x:c r="Q317" s="3" t="str">
        <x:f>IF(L317&lt;0,"Yes","No")</x:f>
        <x:v>No</x:v>
      </x:c>
    </x:row>
    <x:row r="318" ht="21" customHeight="1">
      <x:c r="A318" s="3" t="str">
        <x:v>ORD-101299</x:v>
      </x:c>
      <x:c r="B318" s="5" t="n">
        <x:v>45394</x:v>
      </x:c>
      <x:c r="C318" s="3" t="str">
        <x:v>CUST-00283</x:v>
      </x:c>
      <x:c r="D318" s="3" t="str">
        <x:v>North</x:v>
      </x:c>
      <x:c r="E318" s="3" t="str">
        <x:v>Electronics</x:v>
      </x:c>
      <x:c r="F318" s="3" t="str">
        <x:v>Mobile</x:v>
      </x:c>
      <x:c r="G318" s="3" t="str">
        <x:v>iPhone Zeta</x:v>
      </x:c>
      <x:c r="H318" s="3" t="n">
        <x:v>1</x:v>
      </x:c>
      <x:c r="I318" s="7" t="n">
        <x:v>71984.18</x:v>
      </x:c>
      <x:c r="J318" s="9" t="n">
        <x:v>0</x:v>
      </x:c>
      <x:c r="K318" s="7" t="n">
        <x:v>71984.18</x:v>
      </x:c>
      <x:c r="L318" s="7" t="n">
        <x:v>10784.02</x:v>
      </x:c>
      <x:c r="M318" s="3" t="str">
        <x:v>Debit Card</x:v>
      </x:c>
      <x:c r="N318" s="3" t="str">
        <x:f>TEXT(B318,"yyyy-mm")</x:f>
        <x:v>2024-04</x:v>
      </x:c>
      <x:c r="O318" s="3" t="str">
        <x:f>IF(J318=0,"No discount",IF(J318&lt;=0.1,"1-10%",IF(J318&lt;=0.15,"11-15%",IF(J318&lt;=0.2,"16-20%","21%+"))))</x:f>
        <x:v>No discount</x:v>
      </x:c>
      <x:c r="P318" s="9" t="n">
        <x:f>IF(K318=0,0,L318/K318)</x:f>
        <x:v>0.14981097235531476</x:v>
      </x:c>
      <x:c r="Q318" s="3" t="str">
        <x:f>IF(L318&lt;0,"Yes","No")</x:f>
        <x:v>No</x:v>
      </x:c>
    </x:row>
    <x:row r="319" ht="21" customHeight="1">
      <x:c r="A319" s="3" t="str">
        <x:v>ORD-101381</x:v>
      </x:c>
      <x:c r="B319" s="5" t="n">
        <x:v>45394</x:v>
      </x:c>
      <x:c r="C319" s="3" t="str">
        <x:v>CUST-00520</x:v>
      </x:c>
      <x:c r="D319" s="3" t="str">
        <x:v>South</x:v>
      </x:c>
      <x:c r="E319" s="3" t="str">
        <x:v>Electronics</x:v>
      </x:c>
      <x:c r="F319" s="3" t="str">
        <x:v>Audio</x:v>
      </x:c>
      <x:c r="G319" s="3" t="str">
        <x:v>SoundPods Pro</x:v>
      </x:c>
      <x:c r="H319" s="3" t="n">
        <x:v>1</x:v>
      </x:c>
      <x:c r="I319" s="7" t="n">
        <x:v>5131.8</x:v>
      </x:c>
      <x:c r="J319" s="9" t="n">
        <x:v>0.05</x:v>
      </x:c>
      <x:c r="K319" s="7" t="n">
        <x:v>4875.21</x:v>
      </x:c>
      <x:c r="L319" s="7" t="n">
        <x:v>443.99</x:v>
      </x:c>
      <x:c r="M319" s="3" t="str">
        <x:v>Credit Card</x:v>
      </x:c>
      <x:c r="N319" s="3" t="str">
        <x:f>TEXT(B319,"yyyy-mm")</x:f>
        <x:v>2024-04</x:v>
      </x:c>
      <x:c r="O319" s="3" t="str">
        <x:f>IF(J319=0,"No discount",IF(J319&lt;=0.1,"1-10%",IF(J319&lt;=0.15,"11-15%",IF(J319&lt;=0.2,"16-20%","21%+"))))</x:f>
        <x:v>1-10%</x:v>
      </x:c>
      <x:c r="P319" s="9" t="n">
        <x:f>IF(K319=0,0,L319/K319)</x:f>
        <x:v>0.09107094873861844</x:v>
      </x:c>
      <x:c r="Q319" s="3" t="str">
        <x:f>IF(L319&lt;0,"Yes","No")</x:f>
        <x:v>No</x:v>
      </x:c>
    </x:row>
    <x:row r="320" ht="21" customHeight="1">
      <x:c r="A320" s="3" t="str">
        <x:v>ORD-101653</x:v>
      </x:c>
      <x:c r="B320" s="5" t="n">
        <x:v>45394</x:v>
      </x:c>
      <x:c r="C320" s="3" t="str">
        <x:v>CUST-00238</x:v>
      </x:c>
      <x:c r="D320" s="3" t="str">
        <x:v>South</x:v>
      </x:c>
      <x:c r="E320" s="3" t="str">
        <x:v>Fashion</x:v>
      </x:c>
      <x:c r="F320" s="3" t="str">
        <x:v>Women</x:v>
      </x:c>
      <x:c r="G320" s="3" t="str">
        <x:v>Knit Winter Sweater</x:v>
      </x:c>
      <x:c r="H320" s="3" t="n">
        <x:v>2</x:v>
      </x:c>
      <x:c r="I320" s="7" t="n">
        <x:v>2217.9</x:v>
      </x:c>
      <x:c r="J320" s="9" t="n">
        <x:v>0.15</x:v>
      </x:c>
      <x:c r="K320" s="7" t="n">
        <x:v>3770.43</x:v>
      </x:c>
      <x:c r="L320" s="7" t="n">
        <x:v>836.9</x:v>
      </x:c>
      <x:c r="M320" s="3" t="str">
        <x:v>Debit Card</x:v>
      </x:c>
      <x:c r="N320" s="3" t="str">
        <x:f>TEXT(B320,"yyyy-mm")</x:f>
        <x:v>2024-04</x:v>
      </x:c>
      <x:c r="O320" s="3" t="str">
        <x:f>IF(J320=0,"No discount",IF(J320&lt;=0.1,"1-10%",IF(J320&lt;=0.15,"11-15%",IF(J320&lt;=0.2,"16-20%","21%+"))))</x:f>
        <x:v>11-15%</x:v>
      </x:c>
      <x:c r="P320" s="9" t="n">
        <x:f>IF(K320=0,0,L320/K320)</x:f>
        <x:v>0.22196407306328456</x:v>
      </x:c>
      <x:c r="Q320" s="3" t="str">
        <x:f>IF(L320&lt;0,"Yes","No")</x:f>
        <x:v>No</x:v>
      </x:c>
    </x:row>
    <x:row r="321" ht="21" customHeight="1">
      <x:c r="A321" s="3" t="str">
        <x:v>ORD-100003</x:v>
      </x:c>
      <x:c r="B321" s="5" t="n">
        <x:v>45395</x:v>
      </x:c>
      <x:c r="C321" s="3" t="str">
        <x:v>CUST-00465</x:v>
      </x:c>
      <x:c r="D321" s="3" t="str">
        <x:v>North</x:v>
      </x:c>
      <x:c r="E321" s="3" t="str">
        <x:v>Beauty</x:v>
      </x:c>
      <x:c r="F321" s="3" t="str">
        <x:v>Makeup</x:v>
      </x:c>
      <x:c r="G321" s="3" t="str">
        <x:v>Matte Lipstick Set</x:v>
      </x:c>
      <x:c r="H321" s="3" t="n">
        <x:v>2</x:v>
      </x:c>
      <x:c r="I321" s="7" t="n">
        <x:v>971.82</x:v>
      </x:c>
      <x:c r="J321" s="9" t="n">
        <x:v>0</x:v>
      </x:c>
      <x:c r="K321" s="7" t="n">
        <x:v>1943.64</x:v>
      </x:c>
      <x:c r="L321" s="7" t="n">
        <x:v>1036.25</x:v>
      </x:c>
      <x:c r="M321" s="3" t="str">
        <x:v>UPI</x:v>
      </x:c>
      <x:c r="N321" s="3" t="str">
        <x:f>TEXT(B321,"yyyy-mm")</x:f>
        <x:v>2024-04</x:v>
      </x:c>
      <x:c r="O321" s="3" t="str">
        <x:f>IF(J321=0,"No discount",IF(J321&lt;=0.1,"1-10%",IF(J321&lt;=0.15,"11-15%",IF(J321&lt;=0.2,"16-20%","21%+"))))</x:f>
        <x:v>No discount</x:v>
      </x:c>
      <x:c r="P321" s="9" t="n">
        <x:f>IF(K321=0,0,L321/K321)</x:f>
        <x:v>0.5331491428453828</x:v>
      </x:c>
      <x:c r="Q321" s="3" t="str">
        <x:f>IF(L321&lt;0,"Yes","No")</x:f>
        <x:v>No</x:v>
      </x:c>
    </x:row>
    <x:row r="322" ht="21" customHeight="1">
      <x:c r="A322" s="3" t="str">
        <x:v>ORD-100702</x:v>
      </x:c>
      <x:c r="B322" s="5" t="n">
        <x:v>45395</x:v>
      </x:c>
      <x:c r="C322" s="3" t="str">
        <x:v>CUST-00259</x:v>
      </x:c>
      <x:c r="D322" s="3" t="str">
        <x:v>South</x:v>
      </x:c>
      <x:c r="E322" s="3" t="str">
        <x:v>Home &amp; Kitchen</x:v>
      </x:c>
      <x:c r="F322" s="3" t="str">
        <x:v>Furniture</x:v>
      </x:c>
      <x:c r="G322" s="3" t="str">
        <x:v>Oakwood Study Desk</x:v>
      </x:c>
      <x:c r="H322" s="3" t="n">
        <x:v>1</x:v>
      </x:c>
      <x:c r="I322" s="7" t="n">
        <x:v>13317.16</x:v>
      </x:c>
      <x:c r="J322" s="9" t="n">
        <x:v>0</x:v>
      </x:c>
      <x:c r="K322" s="7" t="n">
        <x:v>13317.16</x:v>
      </x:c>
      <x:c r="L322" s="7" t="n">
        <x:v>4087.81</x:v>
      </x:c>
      <x:c r="M322" s="3" t="str">
        <x:v>Net Banking</x:v>
      </x:c>
      <x:c r="N322" s="3" t="str">
        <x:f>TEXT(B322,"yyyy-mm")</x:f>
        <x:v>2024-04</x:v>
      </x:c>
      <x:c r="O322" s="3" t="str">
        <x:f>IF(J322=0,"No discount",IF(J322&lt;=0.1,"1-10%",IF(J322&lt;=0.15,"11-15%",IF(J322&lt;=0.2,"16-20%","21%+"))))</x:f>
        <x:v>No discount</x:v>
      </x:c>
      <x:c r="P322" s="9" t="n">
        <x:f>IF(K322=0,0,L322/K322)</x:f>
        <x:v>0.30695809016336817</x:v>
      </x:c>
      <x:c r="Q322" s="3" t="str">
        <x:f>IF(L322&lt;0,"Yes","No")</x:f>
        <x:v>No</x:v>
      </x:c>
    </x:row>
    <x:row r="323" ht="21" customHeight="1">
      <x:c r="A323" s="3" t="str">
        <x:v>ORD-100859</x:v>
      </x:c>
      <x:c r="B323" s="5" t="n">
        <x:v>45396</x:v>
      </x:c>
      <x:c r="C323" s="3" t="str">
        <x:v>CUST-00497</x:v>
      </x:c>
      <x:c r="D323" s="3" t="str">
        <x:v>North</x:v>
      </x:c>
      <x:c r="E323" s="3" t="str">
        <x:v>Home &amp; Kitchen</x:v>
      </x:c>
      <x:c r="F323" s="3" t="str">
        <x:v>Decor</x:v>
      </x:c>
      <x:c r="G323" s="3" t="str">
        <x:v>LED Wall Lamp</x:v>
      </x:c>
      <x:c r="H323" s="3" t="n">
        <x:v>1</x:v>
      </x:c>
      <x:c r="I323" s="7" t="n">
        <x:v>1042.96</x:v>
      </x:c>
      <x:c r="J323" s="9" t="n">
        <x:v>0.15</x:v>
      </x:c>
      <x:c r="K323" s="7" t="n">
        <x:v>886.52</x:v>
      </x:c>
      <x:c r="L323" s="7" t="n">
        <x:v>106.72</x:v>
      </x:c>
      <x:c r="M323" s="3" t="str">
        <x:v>Cash on Delivery</x:v>
      </x:c>
      <x:c r="N323" s="3" t="str">
        <x:f>TEXT(B323,"yyyy-mm")</x:f>
        <x:v>2024-04</x:v>
      </x:c>
      <x:c r="O323" s="3" t="str">
        <x:f>IF(J323=0,"No discount",IF(J323&lt;=0.1,"1-10%",IF(J323&lt;=0.15,"11-15%",IF(J323&lt;=0.2,"16-20%","21%+"))))</x:f>
        <x:v>11-15%</x:v>
      </x:c>
      <x:c r="P323" s="9" t="n">
        <x:f>IF(K323=0,0,L323/K323)</x:f>
        <x:v>0.12038081487163291</x:v>
      </x:c>
      <x:c r="Q323" s="3" t="str">
        <x:f>IF(L323&lt;0,"Yes","No")</x:f>
        <x:v>No</x:v>
      </x:c>
    </x:row>
    <x:row r="324" ht="21" customHeight="1">
      <x:c r="A324" s="3" t="str">
        <x:v>ORD-101242</x:v>
      </x:c>
      <x:c r="B324" s="5" t="n">
        <x:v>45396</x:v>
      </x:c>
      <x:c r="C324" s="3" t="str">
        <x:v>CUST-00268</x:v>
      </x:c>
      <x:c r="D324" s="3" t="str">
        <x:v>East</x:v>
      </x:c>
      <x:c r="E324" s="3" t="str">
        <x:v>Fashion</x:v>
      </x:c>
      <x:c r="F324" s="3" t="str">
        <x:v>Men</x:v>
      </x:c>
      <x:c r="G324" s="3" t="str">
        <x:v>SlimFit Denim Jeans</x:v>
      </x:c>
      <x:c r="H324" s="3" t="n">
        <x:v>3</x:v>
      </x:c>
      <x:c r="I324" s="7" t="n">
        <x:v>2074.6</x:v>
      </x:c>
      <x:c r="J324" s="9" t="n">
        <x:v>0.1</x:v>
      </x:c>
      <x:c r="K324" s="7" t="n">
        <x:v>5601.42</x:v>
      </x:c>
      <x:c r="L324" s="7" t="n">
        <x:v>1885.11</x:v>
      </x:c>
      <x:c r="M324" s="3" t="str">
        <x:v>Debit Card</x:v>
      </x:c>
      <x:c r="N324" s="3" t="str">
        <x:f>TEXT(B324,"yyyy-mm")</x:f>
        <x:v>2024-04</x:v>
      </x:c>
      <x:c r="O324" s="3" t="str">
        <x:f>IF(J324=0,"No discount",IF(J324&lt;=0.1,"1-10%",IF(J324&lt;=0.15,"11-15%",IF(J324&lt;=0.2,"16-20%","21%+"))))</x:f>
        <x:v>1-10%</x:v>
      </x:c>
      <x:c r="P324" s="9" t="n">
        <x:f>IF(K324=0,0,L324/K324)</x:f>
        <x:v>0.33654144841843675</x:v>
      </x:c>
      <x:c r="Q324" s="3" t="str">
        <x:f>IF(L324&lt;0,"Yes","No")</x:f>
        <x:v>No</x:v>
      </x:c>
    </x:row>
    <x:row r="325" ht="21" customHeight="1">
      <x:c r="A325" s="3" t="str">
        <x:v>ORD-100448</x:v>
      </x:c>
      <x:c r="B325" s="5" t="n">
        <x:v>45397</x:v>
      </x:c>
      <x:c r="C325" s="3" t="str">
        <x:v>CUST-00073</x:v>
      </x:c>
      <x:c r="D325" s="3" t="str">
        <x:v>North</x:v>
      </x:c>
      <x:c r="E325" s="3" t="str">
        <x:v>Fashion</x:v>
      </x:c>
      <x:c r="F325" s="3" t="str">
        <x:v>Footwear</x:v>
      </x:c>
      <x:c r="G325" s="3" t="str">
        <x:v>UrbanLoafers</x:v>
      </x:c>
      <x:c r="H325" s="3" t="n">
        <x:v>1</x:v>
      </x:c>
      <x:c r="I325" s="7" t="n">
        <x:v>3374.39</x:v>
      </x:c>
      <x:c r="J325" s="9" t="n">
        <x:v>0.05</x:v>
      </x:c>
      <x:c r="K325" s="7" t="n">
        <x:v>3205.67</x:v>
      </x:c>
      <x:c r="L325" s="7" t="n">
        <x:v>1230.97</x:v>
      </x:c>
      <x:c r="M325" s="3" t="str">
        <x:v>Credit Card</x:v>
      </x:c>
      <x:c r="N325" s="3" t="str">
        <x:f>TEXT(B325,"yyyy-mm")</x:f>
        <x:v>2024-04</x:v>
      </x:c>
      <x:c r="O325" s="3" t="str">
        <x:f>IF(J325=0,"No discount",IF(J325&lt;=0.1,"1-10%",IF(J325&lt;=0.15,"11-15%",IF(J325&lt;=0.2,"16-20%","21%+"))))</x:f>
        <x:v>1-10%</x:v>
      </x:c>
      <x:c r="P325" s="9" t="n">
        <x:f>IF(K325=0,0,L325/K325)</x:f>
        <x:v>0.3839977290238858</x:v>
      </x:c>
      <x:c r="Q325" s="3" t="str">
        <x:f>IF(L325&lt;0,"Yes","No")</x:f>
        <x:v>No</x:v>
      </x:c>
    </x:row>
    <x:row r="326" ht="21" customHeight="1">
      <x:c r="A326" s="3" t="str">
        <x:v>ORD-100632</x:v>
      </x:c>
      <x:c r="B326" s="5" t="n">
        <x:v>45397</x:v>
      </x:c>
      <x:c r="C326" s="3" t="str">
        <x:v>CUST-00316</x:v>
      </x:c>
      <x:c r="D326" s="3" t="str">
        <x:v>East</x:v>
      </x:c>
      <x:c r="E326" s="3" t="str">
        <x:v>Fashion</x:v>
      </x:c>
      <x:c r="F326" s="3" t="str">
        <x:v>Footwear</x:v>
      </x:c>
      <x:c r="G326" s="3" t="str">
        <x:v>RunFlex Sneakers</x:v>
      </x:c>
      <x:c r="H326" s="3" t="n">
        <x:v>4</x:v>
      </x:c>
      <x:c r="I326" s="7" t="n">
        <x:v>2981.62</x:v>
      </x:c>
      <x:c r="J326" s="9" t="n">
        <x:v>0.1</x:v>
      </x:c>
      <x:c r="K326" s="7" t="n">
        <x:v>10733.83</x:v>
      </x:c>
      <x:c r="L326" s="7" t="n">
        <x:v>2885.47</x:v>
      </x:c>
      <x:c r="M326" s="3" t="str">
        <x:v>Credit Card</x:v>
      </x:c>
      <x:c r="N326" s="3" t="str">
        <x:f>TEXT(B326,"yyyy-mm")</x:f>
        <x:v>2024-04</x:v>
      </x:c>
      <x:c r="O326" s="3" t="str">
        <x:f>IF(J326=0,"No discount",IF(J326&lt;=0.1,"1-10%",IF(J326&lt;=0.15,"11-15%",IF(J326&lt;=0.2,"16-20%","21%+"))))</x:f>
        <x:v>1-10%</x:v>
      </x:c>
      <x:c r="P326" s="9" t="n">
        <x:f>IF(K326=0,0,L326/K326)</x:f>
        <x:v>0.26882016950147336</x:v>
      </x:c>
      <x:c r="Q326" s="3" t="str">
        <x:f>IF(L326&lt;0,"Yes","No")</x:f>
        <x:v>No</x:v>
      </x:c>
    </x:row>
    <x:row r="327" ht="21" customHeight="1">
      <x:c r="A327" s="3" t="str">
        <x:v>ORD-100770</x:v>
      </x:c>
      <x:c r="B327" s="5" t="n">
        <x:v>45397</x:v>
      </x:c>
      <x:c r="C327" s="3" t="str">
        <x:v>CUST-00049</x:v>
      </x:c>
      <x:c r="D327" s="3" t="str">
        <x:v>South</x:v>
      </x:c>
      <x:c r="E327" s="3" t="str">
        <x:v>Electronics</x:v>
      </x:c>
      <x:c r="F327" s="3" t="str">
        <x:v>Audio</x:v>
      </x:c>
      <x:c r="G327" s="3" t="str">
        <x:v>BassBoom Speaker</x:v>
      </x:c>
      <x:c r="H327" s="3" t="n">
        <x:v>1</x:v>
      </x:c>
      <x:c r="I327" s="7" t="n">
        <x:v>8817.62</x:v>
      </x:c>
      <x:c r="J327" s="9" t="n">
        <x:v>0</x:v>
      </x:c>
      <x:c r="K327" s="7" t="n">
        <x:v>8817.62</x:v>
      </x:c>
      <x:c r="L327" s="7" t="n">
        <x:v>1928.57</x:v>
      </x:c>
      <x:c r="M327" s="3" t="str">
        <x:v>Credit Card</x:v>
      </x:c>
      <x:c r="N327" s="3" t="str">
        <x:f>TEXT(B327,"yyyy-mm")</x:f>
        <x:v>2024-04</x:v>
      </x:c>
      <x:c r="O327" s="3" t="str">
        <x:f>IF(J327=0,"No discount",IF(J327&lt;=0.1,"1-10%",IF(J327&lt;=0.15,"11-15%",IF(J327&lt;=0.2,"16-20%","21%+"))))</x:f>
        <x:v>No discount</x:v>
      </x:c>
      <x:c r="P327" s="9" t="n">
        <x:f>IF(K327=0,0,L327/K327)</x:f>
        <x:v>0.21871774923392023</x:v>
      </x:c>
      <x:c r="Q327" s="3" t="str">
        <x:f>IF(L327&lt;0,"Yes","No")</x:f>
        <x:v>No</x:v>
      </x:c>
    </x:row>
    <x:row r="328" ht="21" customHeight="1">
      <x:c r="A328" s="3" t="str">
        <x:v>ORD-101180</x:v>
      </x:c>
      <x:c r="B328" s="5" t="n">
        <x:v>45397</x:v>
      </x:c>
      <x:c r="C328" s="3" t="str">
        <x:v>CUST-00141</x:v>
      </x:c>
      <x:c r="D328" s="3" t="str">
        <x:v>South</x:v>
      </x:c>
      <x:c r="E328" s="3" t="str">
        <x:v>Beauty</x:v>
      </x:c>
      <x:c r="F328" s="3" t="str">
        <x:v>Skincare</x:v>
      </x:c>
      <x:c r="G328" s="3" t="str">
        <x:v>Vitamin C Serum</x:v>
      </x:c>
      <x:c r="H328" s="3" t="n">
        <x:v>1</x:v>
      </x:c>
      <x:c r="I328" s="7" t="n">
        <x:v>886.13</x:v>
      </x:c>
      <x:c r="J328" s="9" t="n">
        <x:v>0.2</x:v>
      </x:c>
      <x:c r="K328" s="7" t="n">
        <x:v>708.9</x:v>
      </x:c>
      <x:c r="L328" s="7" t="n">
        <x:v>241.53</x:v>
      </x:c>
      <x:c r="M328" s="3" t="str">
        <x:v>Credit Card</x:v>
      </x:c>
      <x:c r="N328" s="3" t="str">
        <x:f>TEXT(B328,"yyyy-mm")</x:f>
        <x:v>2024-04</x:v>
      </x:c>
      <x:c r="O328" s="3" t="str">
        <x:f>IF(J328=0,"No discount",IF(J328&lt;=0.1,"1-10%",IF(J328&lt;=0.15,"11-15%",IF(J328&lt;=0.2,"16-20%","21%+"))))</x:f>
        <x:v>16-20%</x:v>
      </x:c>
      <x:c r="P328" s="9" t="n">
        <x:f>IF(K328=0,0,L328/K328)</x:f>
        <x:v>0.3407109606432501</x:v>
      </x:c>
      <x:c r="Q328" s="3" t="str">
        <x:f>IF(L328&lt;0,"Yes","No")</x:f>
        <x:v>No</x:v>
      </x:c>
    </x:row>
    <x:row r="329" ht="21" customHeight="1">
      <x:c r="A329" s="3" t="str">
        <x:v>ORD-101645</x:v>
      </x:c>
      <x:c r="B329" s="5" t="n">
        <x:v>45397</x:v>
      </x:c>
      <x:c r="C329" s="3" t="str">
        <x:v>CUST-00176</x:v>
      </x:c>
      <x:c r="D329" s="3" t="str">
        <x:v>North</x:v>
      </x:c>
      <x:c r="E329" s="3" t="str">
        <x:v>Sports</x:v>
      </x:c>
      <x:c r="F329" s="3" t="str">
        <x:v>Outdoor</x:v>
      </x:c>
      <x:c r="G329" s="3" t="str">
        <x:v>AllWeather Tent 4P</x:v>
      </x:c>
      <x:c r="H329" s="3" t="n">
        <x:v>2</x:v>
      </x:c>
      <x:c r="I329" s="7" t="n">
        <x:v>11425.09</x:v>
      </x:c>
      <x:c r="J329" s="9" t="n">
        <x:v>0.2</x:v>
      </x:c>
      <x:c r="K329" s="7" t="n">
        <x:v>18280.14</x:v>
      </x:c>
      <x:c r="L329" s="7" t="n">
        <x:v>2076.03</x:v>
      </x:c>
      <x:c r="M329" s="3" t="str">
        <x:v>Debit Card</x:v>
      </x:c>
      <x:c r="N329" s="3" t="str">
        <x:f>TEXT(B329,"yyyy-mm")</x:f>
        <x:v>2024-04</x:v>
      </x:c>
      <x:c r="O329" s="3" t="str">
        <x:f>IF(J329=0,"No discount",IF(J329&lt;=0.1,"1-10%",IF(J329&lt;=0.15,"11-15%",IF(J329&lt;=0.2,"16-20%","21%+"))))</x:f>
        <x:v>16-20%</x:v>
      </x:c>
      <x:c r="P329" s="9" t="n">
        <x:f>IF(K329=0,0,L329/K329)</x:f>
        <x:v>0.11356751097092256</x:v>
      </x:c>
      <x:c r="Q329" s="3" t="str">
        <x:f>IF(L329&lt;0,"Yes","No")</x:f>
        <x:v>No</x:v>
      </x:c>
    </x:row>
    <x:row r="330" ht="21" customHeight="1">
      <x:c r="A330" s="3" t="str">
        <x:v>ORD-101913</x:v>
      </x:c>
      <x:c r="B330" s="5" t="n">
        <x:v>45397</x:v>
      </x:c>
      <x:c r="C330" s="3" t="str">
        <x:v>CUST-00540</x:v>
      </x:c>
      <x:c r="D330" s="3" t="str">
        <x:v>South</x:v>
      </x:c>
      <x:c r="E330" s="3" t="str">
        <x:v>Sports</x:v>
      </x:c>
      <x:c r="F330" s="3" t="str">
        <x:v>Outdoor</x:v>
      </x:c>
      <x:c r="G330" s="3" t="str">
        <x:v>AllWeather Tent 4P</x:v>
      </x:c>
      <x:c r="H330" s="3" t="n">
        <x:v>1</x:v>
      </x:c>
      <x:c r="I330" s="7" t="n">
        <x:v>12128.83</x:v>
      </x:c>
      <x:c r="J330" s="9" t="n">
        <x:v>0.3</x:v>
      </x:c>
      <x:c r="K330" s="7" t="n">
        <x:v>8490.18</x:v>
      </x:c>
      <x:c r="L330" s="7" t="n">
        <x:v>62.67</x:v>
      </x:c>
      <x:c r="M330" s="3" t="str">
        <x:v>Net Banking</x:v>
      </x:c>
      <x:c r="N330" s="3" t="str">
        <x:f>TEXT(B330,"yyyy-mm")</x:f>
        <x:v>2024-04</x:v>
      </x:c>
      <x:c r="O330" s="3" t="str">
        <x:f>IF(J330=0,"No discount",IF(J330&lt;=0.1,"1-10%",IF(J330&lt;=0.15,"11-15%",IF(J330&lt;=0.2,"16-20%","21%+"))))</x:f>
        <x:v>21%+</x:v>
      </x:c>
      <x:c r="P330" s="9" t="n">
        <x:f>IF(K330=0,0,L330/K330)</x:f>
        <x:v>0.007381468944121326</x:v>
      </x:c>
      <x:c r="Q330" s="3" t="str">
        <x:f>IF(L330&lt;0,"Yes","No")</x:f>
        <x:v>No</x:v>
      </x:c>
    </x:row>
    <x:row r="331" ht="21" customHeight="1">
      <x:c r="A331" s="3" t="str">
        <x:v>ORD-100304</x:v>
      </x:c>
      <x:c r="B331" s="5" t="n">
        <x:v>45398</x:v>
      </x:c>
      <x:c r="C331" s="3" t="str">
        <x:v>CUST-00446</x:v>
      </x:c>
      <x:c r="D331" s="3" t="str">
        <x:v>North</x:v>
      </x:c>
      <x:c r="E331" s="3" t="str">
        <x:v>Electronics</x:v>
      </x:c>
      <x:c r="F331" s="3" t="str">
        <x:v>Mobile</x:v>
      </x:c>
      <x:c r="G331" s="3" t="str">
        <x:v>iPhone Zeta</x:v>
      </x:c>
      <x:c r="H331" s="3" t="n">
        <x:v>1</x:v>
      </x:c>
      <x:c r="I331" s="7" t="n">
        <x:v>67974.5</x:v>
      </x:c>
      <x:c r="J331" s="9" t="n">
        <x:v>0.1</x:v>
      </x:c>
      <x:c r="K331" s="7" t="n">
        <x:v>61177.05</x:v>
      </x:c>
      <x:c r="L331" s="7" t="n">
        <x:v>4610.37</x:v>
      </x:c>
      <x:c r="M331" s="3" t="str">
        <x:v>Credit Card</x:v>
      </x:c>
      <x:c r="N331" s="3" t="str">
        <x:f>TEXT(B331,"yyyy-mm")</x:f>
        <x:v>2024-04</x:v>
      </x:c>
      <x:c r="O331" s="3" t="str">
        <x:f>IF(J331=0,"No discount",IF(J331&lt;=0.1,"1-10%",IF(J331&lt;=0.15,"11-15%",IF(J331&lt;=0.2,"16-20%","21%+"))))</x:f>
        <x:v>1-10%</x:v>
      </x:c>
      <x:c r="P331" s="9" t="n">
        <x:f>IF(K331=0,0,L331/K331)</x:f>
        <x:v>0.07536110355108655</x:v>
      </x:c>
      <x:c r="Q331" s="3" t="str">
        <x:f>IF(L331&lt;0,"Yes","No")</x:f>
        <x:v>No</x:v>
      </x:c>
    </x:row>
    <x:row r="332" ht="21" customHeight="1">
      <x:c r="A332" s="3" t="str">
        <x:v>ORD-100720</x:v>
      </x:c>
      <x:c r="B332" s="5" t="n">
        <x:v>45398</x:v>
      </x:c>
      <x:c r="C332" s="3" t="str">
        <x:v>CUST-00512</x:v>
      </x:c>
      <x:c r="D332" s="3" t="str">
        <x:v>West</x:v>
      </x:c>
      <x:c r="E332" s="3" t="str">
        <x:v>Home &amp; Kitchen</x:v>
      </x:c>
      <x:c r="F332" s="3" t="str">
        <x:v>Appliances</x:v>
      </x:c>
      <x:c r="G332" s="3" t="str">
        <x:v>AirFryer Deluxe</x:v>
      </x:c>
      <x:c r="H332" s="3" t="n">
        <x:v>2</x:v>
      </x:c>
      <x:c r="I332" s="7" t="n">
        <x:v>8132.8</x:v>
      </x:c>
      <x:c r="J332" s="9" t="n">
        <x:v>0</x:v>
      </x:c>
      <x:c r="K332" s="7" t="n">
        <x:v>16265.6</x:v>
      </x:c>
      <x:c r="L332" s="7" t="n">
        <x:v>5109.43</x:v>
      </x:c>
      <x:c r="M332" s="3" t="str">
        <x:v>UPI</x:v>
      </x:c>
      <x:c r="N332" s="3" t="str">
        <x:f>TEXT(B332,"yyyy-mm")</x:f>
        <x:v>2024-04</x:v>
      </x:c>
      <x:c r="O332" s="3" t="str">
        <x:f>IF(J332=0,"No discount",IF(J332&lt;=0.1,"1-10%",IF(J332&lt;=0.15,"11-15%",IF(J332&lt;=0.2,"16-20%","21%+"))))</x:f>
        <x:v>No discount</x:v>
      </x:c>
      <x:c r="P332" s="9" t="n">
        <x:f>IF(K332=0,0,L332/K332)</x:f>
        <x:v>0.31412490163289397</x:v>
      </x:c>
      <x:c r="Q332" s="3" t="str">
        <x:f>IF(L332&lt;0,"Yes","No")</x:f>
        <x:v>No</x:v>
      </x:c>
    </x:row>
    <x:row r="333" ht="21" customHeight="1">
      <x:c r="A333" s="3" t="str">
        <x:v>ORD-100749</x:v>
      </x:c>
      <x:c r="B333" s="5" t="n">
        <x:v>45398</x:v>
      </x:c>
      <x:c r="C333" s="3" t="str">
        <x:v>CUST-00017</x:v>
      </x:c>
      <x:c r="D333" s="3" t="str">
        <x:v>North</x:v>
      </x:c>
      <x:c r="E333" s="3" t="str">
        <x:v>Beauty</x:v>
      </x:c>
      <x:c r="F333" s="3" t="str">
        <x:v>Makeup</x:v>
      </x:c>
      <x:c r="G333" s="3" t="str">
        <x:v>Matte Lipstick Set</x:v>
      </x:c>
      <x:c r="H333" s="3" t="n">
        <x:v>4</x:v>
      </x:c>
      <x:c r="I333" s="7" t="n">
        <x:v>986.32</x:v>
      </x:c>
      <x:c r="J333" s="9" t="n">
        <x:v>0.05</x:v>
      </x:c>
      <x:c r="K333" s="7" t="n">
        <x:v>3748.02</x:v>
      </x:c>
      <x:c r="L333" s="7" t="n">
        <x:v>1861.72</x:v>
      </x:c>
      <x:c r="M333" s="3" t="str">
        <x:v>Credit Card</x:v>
      </x:c>
      <x:c r="N333" s="3" t="str">
        <x:f>TEXT(B333,"yyyy-mm")</x:f>
        <x:v>2024-04</x:v>
      </x:c>
      <x:c r="O333" s="3" t="str">
        <x:f>IF(J333=0,"No discount",IF(J333&lt;=0.1,"1-10%",IF(J333&lt;=0.15,"11-15%",IF(J333&lt;=0.2,"16-20%","21%+"))))</x:f>
        <x:v>1-10%</x:v>
      </x:c>
      <x:c r="P333" s="9" t="n">
        <x:f>IF(K333=0,0,L333/K333)</x:f>
        <x:v>0.4967209353205159</x:v>
      </x:c>
      <x:c r="Q333" s="3" t="str">
        <x:f>IF(L333&lt;0,"Yes","No")</x:f>
        <x:v>No</x:v>
      </x:c>
    </x:row>
    <x:row r="334" ht="21" customHeight="1">
      <x:c r="A334" s="3" t="str">
        <x:v>ORD-100881</x:v>
      </x:c>
      <x:c r="B334" s="5" t="n">
        <x:v>45398</x:v>
      </x:c>
      <x:c r="C334" s="3" t="str">
        <x:v>CUST-00030</x:v>
      </x:c>
      <x:c r="D334" s="3" t="str">
        <x:v>West</x:v>
      </x:c>
      <x:c r="E334" s="3" t="str">
        <x:v>Beauty</x:v>
      </x:c>
      <x:c r="F334" s="3" t="str">
        <x:v>Skincare</x:v>
      </x:c>
      <x:c r="G334" s="3" t="str">
        <x:v>HydraBoost Moisturizer</x:v>
      </x:c>
      <x:c r="H334" s="3" t="n">
        <x:v>5</x:v>
      </x:c>
      <x:c r="I334" s="7" t="n">
        <x:v>1197.84</x:v>
      </x:c>
      <x:c r="J334" s="9" t="n">
        <x:v>0.1</x:v>
      </x:c>
      <x:c r="K334" s="7" t="n">
        <x:v>5390.28</x:v>
      </x:c>
      <x:c r="L334" s="7" t="n">
        <x:v>2333.32</x:v>
      </x:c>
      <x:c r="M334" s="3" t="str">
        <x:v>Debit Card</x:v>
      </x:c>
      <x:c r="N334" s="3" t="str">
        <x:f>TEXT(B334,"yyyy-mm")</x:f>
        <x:v>2024-04</x:v>
      </x:c>
      <x:c r="O334" s="3" t="str">
        <x:f>IF(J334=0,"No discount",IF(J334&lt;=0.1,"1-10%",IF(J334&lt;=0.15,"11-15%",IF(J334&lt;=0.2,"16-20%","21%+"))))</x:f>
        <x:v>1-10%</x:v>
      </x:c>
      <x:c r="P334" s="9" t="n">
        <x:f>IF(K334=0,0,L334/K334)</x:f>
        <x:v>0.43287547214615946</x:v>
      </x:c>
      <x:c r="Q334" s="3" t="str">
        <x:f>IF(L334&lt;0,"Yes","No")</x:f>
        <x:v>No</x:v>
      </x:c>
    </x:row>
    <x:row r="335" ht="21" customHeight="1">
      <x:c r="A335" s="3" t="str">
        <x:v>ORD-101765</x:v>
      </x:c>
      <x:c r="B335" s="5" t="n">
        <x:v>45398</x:v>
      </x:c>
      <x:c r="C335" s="3" t="str">
        <x:v>CUST-00296</x:v>
      </x:c>
      <x:c r="D335" s="3" t="str">
        <x:v>North</x:v>
      </x:c>
      <x:c r="E335" s="3" t="str">
        <x:v>Fashion</x:v>
      </x:c>
      <x:c r="F335" s="3" t="str">
        <x:v>Footwear</x:v>
      </x:c>
      <x:c r="G335" s="3" t="str">
        <x:v>RunFlex Sneakers</x:v>
      </x:c>
      <x:c r="H335" s="3" t="n">
        <x:v>5</x:v>
      </x:c>
      <x:c r="I335" s="7" t="n">
        <x:v>2963.31</x:v>
      </x:c>
      <x:c r="J335" s="9" t="n">
        <x:v>0</x:v>
      </x:c>
      <x:c r="K335" s="7" t="n">
        <x:v>14816.55</x:v>
      </x:c>
      <x:c r="L335" s="7" t="n">
        <x:v>5785.28</x:v>
      </x:c>
      <x:c r="M335" s="3" t="str">
        <x:v>Credit Card</x:v>
      </x:c>
      <x:c r="N335" s="3" t="str">
        <x:f>TEXT(B335,"yyyy-mm")</x:f>
        <x:v>2024-04</x:v>
      </x:c>
      <x:c r="O335" s="3" t="str">
        <x:f>IF(J335=0,"No discount",IF(J335&lt;=0.1,"1-10%",IF(J335&lt;=0.15,"11-15%",IF(J335&lt;=0.2,"16-20%","21%+"))))</x:f>
        <x:v>No discount</x:v>
      </x:c>
      <x:c r="P335" s="9" t="n">
        <x:f>IF(K335=0,0,L335/K335)</x:f>
        <x:v>0.39046066729434314</x:v>
      </x:c>
      <x:c r="Q335" s="3" t="str">
        <x:f>IF(L335&lt;0,"Yes","No")</x:f>
        <x:v>No</x:v>
      </x:c>
    </x:row>
    <x:row r="336" ht="21" customHeight="1">
      <x:c r="A336" s="3" t="str">
        <x:v>ORD-100964</x:v>
      </x:c>
      <x:c r="B336" s="5" t="n">
        <x:v>45399</x:v>
      </x:c>
      <x:c r="C336" s="3" t="str">
        <x:v>CUST-00257</x:v>
      </x:c>
      <x:c r="D336" s="3" t="str">
        <x:v>East</x:v>
      </x:c>
      <x:c r="E336" s="3" t="str">
        <x:v>Fashion</x:v>
      </x:c>
      <x:c r="F336" s="3" t="str">
        <x:v>Men</x:v>
      </x:c>
      <x:c r="G336" s="3" t="str">
        <x:v>SlimFit Denim Jeans</x:v>
      </x:c>
      <x:c r="H336" s="3" t="n">
        <x:v>1</x:v>
      </x:c>
      <x:c r="I336" s="7" t="n">
        <x:v>1927.55</x:v>
      </x:c>
      <x:c r="J336" s="9" t="n">
        <x:v>0.15</x:v>
      </x:c>
      <x:c r="K336" s="7" t="n">
        <x:v>1638.42</x:v>
      </x:c>
      <x:c r="L336" s="7" t="n">
        <x:v>426.38</x:v>
      </x:c>
      <x:c r="M336" s="3" t="str">
        <x:v>Debit Card</x:v>
      </x:c>
      <x:c r="N336" s="3" t="str">
        <x:f>TEXT(B336,"yyyy-mm")</x:f>
        <x:v>2024-04</x:v>
      </x:c>
      <x:c r="O336" s="3" t="str">
        <x:f>IF(J336=0,"No discount",IF(J336&lt;=0.1,"1-10%",IF(J336&lt;=0.15,"11-15%",IF(J336&lt;=0.2,"16-20%","21%+"))))</x:f>
        <x:v>11-15%</x:v>
      </x:c>
      <x:c r="P336" s="9" t="n">
        <x:f>IF(K336=0,0,L336/K336)</x:f>
        <x:v>0.2602385224789736</x:v>
      </x:c>
      <x:c r="Q336" s="3" t="str">
        <x:f>IF(L336&lt;0,"Yes","No")</x:f>
        <x:v>No</x:v>
      </x:c>
    </x:row>
    <x:row r="337" ht="21" customHeight="1">
      <x:c r="A337" s="3" t="str">
        <x:v>ORD-100715</x:v>
      </x:c>
      <x:c r="B337" s="5" t="n">
        <x:v>45400</x:v>
      </x:c>
      <x:c r="C337" s="3" t="str">
        <x:v>CUST-00347</x:v>
      </x:c>
      <x:c r="D337" s="3" t="str">
        <x:v>West</x:v>
      </x:c>
      <x:c r="E337" s="3" t="str">
        <x:v>Electronics</x:v>
      </x:c>
      <x:c r="F337" s="3" t="str">
        <x:v>Mobile</x:v>
      </x:c>
      <x:c r="G337" s="3" t="str">
        <x:v>iPhone Zeta</x:v>
      </x:c>
      <x:c r="H337" s="3" t="n">
        <x:v>4</x:v>
      </x:c>
      <x:c r="I337" s="7" t="n">
        <x:v>71889.8</x:v>
      </x:c>
      <x:c r="J337" s="9" t="n">
        <x:v>0</x:v>
      </x:c>
      <x:c r="K337" s="7" t="n">
        <x:v>287559.2</x:v>
      </x:c>
      <x:c r="L337" s="7" t="n">
        <x:v>46415.65</x:v>
      </x:c>
      <x:c r="M337" s="3" t="str">
        <x:v>Credit Card</x:v>
      </x:c>
      <x:c r="N337" s="3" t="str">
        <x:f>TEXT(B337,"yyyy-mm")</x:f>
        <x:v>2024-04</x:v>
      </x:c>
      <x:c r="O337" s="3" t="str">
        <x:f>IF(J337=0,"No discount",IF(J337&lt;=0.1,"1-10%",IF(J337&lt;=0.15,"11-15%",IF(J337&lt;=0.2,"16-20%","21%+"))))</x:f>
        <x:v>No discount</x:v>
      </x:c>
      <x:c r="P337" s="9" t="n">
        <x:f>IF(K337=0,0,L337/K337)</x:f>
        <x:v>0.1614125021908532</x:v>
      </x:c>
      <x:c r="Q337" s="3" t="str">
        <x:f>IF(L337&lt;0,"Yes","No")</x:f>
        <x:v>No</x:v>
      </x:c>
    </x:row>
    <x:row r="338" ht="21" customHeight="1">
      <x:c r="A338" s="3" t="str">
        <x:v>ORD-101039</x:v>
      </x:c>
      <x:c r="B338" s="5" t="n">
        <x:v>45400</x:v>
      </x:c>
      <x:c r="C338" s="3" t="str">
        <x:v>CUST-00058</x:v>
      </x:c>
      <x:c r="D338" s="3" t="str">
        <x:v>West</x:v>
      </x:c>
      <x:c r="E338" s="3" t="str">
        <x:v>Home &amp; Kitchen</x:v>
      </x:c>
      <x:c r="F338" s="3" t="str">
        <x:v>Appliances</x:v>
      </x:c>
      <x:c r="G338" s="3" t="str">
        <x:v>AirFryer Deluxe</x:v>
      </x:c>
      <x:c r="H338" s="3" t="n">
        <x:v>1</x:v>
      </x:c>
      <x:c r="I338" s="7" t="n">
        <x:v>8296.04</x:v>
      </x:c>
      <x:c r="J338" s="9" t="n">
        <x:v>0.1</x:v>
      </x:c>
      <x:c r="K338" s="7" t="n">
        <x:v>7466.44</x:v>
      </x:c>
      <x:c r="L338" s="7" t="n">
        <x:v>1581.85</x:v>
      </x:c>
      <x:c r="M338" s="3" t="str">
        <x:v>Debit Card</x:v>
      </x:c>
      <x:c r="N338" s="3" t="str">
        <x:f>TEXT(B338,"yyyy-mm")</x:f>
        <x:v>2024-04</x:v>
      </x:c>
      <x:c r="O338" s="3" t="str">
        <x:f>IF(J338=0,"No discount",IF(J338&lt;=0.1,"1-10%",IF(J338&lt;=0.15,"11-15%",IF(J338&lt;=0.2,"16-20%","21%+"))))</x:f>
        <x:v>1-10%</x:v>
      </x:c>
      <x:c r="P338" s="9" t="n">
        <x:f>IF(K338=0,0,L338/K338)</x:f>
        <x:v>0.21186134221931738</x:v>
      </x:c>
      <x:c r="Q338" s="3" t="str">
        <x:f>IF(L338&lt;0,"Yes","No")</x:f>
        <x:v>No</x:v>
      </x:c>
    </x:row>
    <x:row r="339" ht="21" customHeight="1">
      <x:c r="A339" s="3" t="str">
        <x:v>ORD-100339</x:v>
      </x:c>
      <x:c r="B339" s="5" t="n">
        <x:v>45401</x:v>
      </x:c>
      <x:c r="C339" s="3" t="str">
        <x:v>CUST-00081</x:v>
      </x:c>
      <x:c r="D339" s="3" t="str">
        <x:v>East</x:v>
      </x:c>
      <x:c r="E339" s="3" t="str">
        <x:v>Fashion</x:v>
      </x:c>
      <x:c r="F339" s="3" t="str">
        <x:v>Footwear</x:v>
      </x:c>
      <x:c r="G339" s="3" t="str">
        <x:v>RunFlex Sneakers</x:v>
      </x:c>
      <x:c r="H339" s="3" t="n">
        <x:v>3</x:v>
      </x:c>
      <x:c r="I339" s="7" t="n">
        <x:v>2909.86</x:v>
      </x:c>
      <x:c r="J339" s="9" t="n">
        <x:v>0</x:v>
      </x:c>
      <x:c r="K339" s="7" t="n">
        <x:v>8729.58</x:v>
      </x:c>
      <x:c r="L339" s="7" t="n">
        <x:v>3491.62</x:v>
      </x:c>
      <x:c r="M339" s="3" t="str">
        <x:v>UPI</x:v>
      </x:c>
      <x:c r="N339" s="3" t="str">
        <x:f>TEXT(B339,"yyyy-mm")</x:f>
        <x:v>2024-04</x:v>
      </x:c>
      <x:c r="O339" s="3" t="str">
        <x:f>IF(J339=0,"No discount",IF(J339&lt;=0.1,"1-10%",IF(J339&lt;=0.15,"11-15%",IF(J339&lt;=0.2,"16-20%","21%+"))))</x:f>
        <x:v>No discount</x:v>
      </x:c>
      <x:c r="P339" s="9" t="n">
        <x:f>IF(K339=0,0,L339/K339)</x:f>
        <x:v>0.3999757147537453</x:v>
      </x:c>
      <x:c r="Q339" s="3" t="str">
        <x:f>IF(L339&lt;0,"Yes","No")</x:f>
        <x:v>No</x:v>
      </x:c>
    </x:row>
    <x:row r="340" ht="21" customHeight="1">
      <x:c r="A340" s="3" t="str">
        <x:v>ORD-100394</x:v>
      </x:c>
      <x:c r="B340" s="5" t="n">
        <x:v>45401</x:v>
      </x:c>
      <x:c r="C340" s="3" t="str">
        <x:v>CUST-00027</x:v>
      </x:c>
      <x:c r="D340" s="3" t="str">
        <x:v>East</x:v>
      </x:c>
      <x:c r="E340" s="3" t="str">
        <x:v>Electronics</x:v>
      </x:c>
      <x:c r="F340" s="3" t="str">
        <x:v>Laptop</x:v>
      </x:c>
      <x:c r="G340" s="3" t="str">
        <x:v>AirBook Slim</x:v>
      </x:c>
      <x:c r="H340" s="3" t="n">
        <x:v>5</x:v>
      </x:c>
      <x:c r="I340" s="7" t="n">
        <x:v>80939.29</x:v>
      </x:c>
      <x:c r="J340" s="9" t="n">
        <x:v>0.05</x:v>
      </x:c>
      <x:c r="K340" s="7" t="n">
        <x:v>384461.63</x:v>
      </x:c>
      <x:c r="L340" s="7" t="n">
        <x:v>56991.01</x:v>
      </x:c>
      <x:c r="M340" s="3" t="str">
        <x:v>Debit Card</x:v>
      </x:c>
      <x:c r="N340" s="3" t="str">
        <x:f>TEXT(B340,"yyyy-mm")</x:f>
        <x:v>2024-04</x:v>
      </x:c>
      <x:c r="O340" s="3" t="str">
        <x:f>IF(J340=0,"No discount",IF(J340&lt;=0.1,"1-10%",IF(J340&lt;=0.15,"11-15%",IF(J340&lt;=0.2,"16-20%","21%+"))))</x:f>
        <x:v>1-10%</x:v>
      </x:c>
      <x:c r="P340" s="9" t="n">
        <x:f>IF(K340=0,0,L340/K340)</x:f>
        <x:v>0.1482358850738889</x:v>
      </x:c>
      <x:c r="Q340" s="3" t="str">
        <x:f>IF(L340&lt;0,"Yes","No")</x:f>
        <x:v>No</x:v>
      </x:c>
    </x:row>
    <x:row r="341" ht="21" customHeight="1">
      <x:c r="A341" s="3" t="str">
        <x:v>ORD-100424</x:v>
      </x:c>
      <x:c r="B341" s="5" t="n">
        <x:v>45401</x:v>
      </x:c>
      <x:c r="C341" s="3" t="str">
        <x:v>CUST-00073</x:v>
      </x:c>
      <x:c r="D341" s="3" t="str">
        <x:v>East</x:v>
      </x:c>
      <x:c r="E341" s="3" t="str">
        <x:v>Sports</x:v>
      </x:c>
      <x:c r="F341" s="3" t="str">
        <x:v>Fitness</x:v>
      </x:c>
      <x:c r="G341" s="3" t="str">
        <x:v>Adjustable Dumbbell 24kg</x:v>
      </x:c>
      <x:c r="H341" s="3" t="n">
        <x:v>1</x:v>
      </x:c>
      <x:c r="I341" s="7" t="n">
        <x:v>9781.28</x:v>
      </x:c>
      <x:c r="J341" s="9" t="n">
        <x:v>0.2</x:v>
      </x:c>
      <x:c r="K341" s="7" t="n">
        <x:v>7825.02</x:v>
      </x:c>
      <x:c r="L341" s="7" t="n">
        <x:v>1078.99</x:v>
      </x:c>
      <x:c r="M341" s="3" t="str">
        <x:v>Credit Card</x:v>
      </x:c>
      <x:c r="N341" s="3" t="str">
        <x:f>TEXT(B341,"yyyy-mm")</x:f>
        <x:v>2024-04</x:v>
      </x:c>
      <x:c r="O341" s="3" t="str">
        <x:f>IF(J341=0,"No discount",IF(J341&lt;=0.1,"1-10%",IF(J341&lt;=0.15,"11-15%",IF(J341&lt;=0.2,"16-20%","21%+"))))</x:f>
        <x:v>16-20%</x:v>
      </x:c>
      <x:c r="P341" s="9" t="n">
        <x:f>IF(K341=0,0,L341/K341)</x:f>
        <x:v>0.1378897434127964</x:v>
      </x:c>
      <x:c r="Q341" s="3" t="str">
        <x:f>IF(L341&lt;0,"Yes","No")</x:f>
        <x:v>No</x:v>
      </x:c>
    </x:row>
    <x:row r="342" ht="21" customHeight="1">
      <x:c r="A342" s="3" t="str">
        <x:v>ORD-101177</x:v>
      </x:c>
      <x:c r="B342" s="5" t="n">
        <x:v>45401</x:v>
      </x:c>
      <x:c r="C342" s="3" t="str">
        <x:v>CUST-00290</x:v>
      </x:c>
      <x:c r="D342" s="3" t="str">
        <x:v>North</x:v>
      </x:c>
      <x:c r="E342" s="3" t="str">
        <x:v>Beauty</x:v>
      </x:c>
      <x:c r="F342" s="3" t="str">
        <x:v>Makeup</x:v>
      </x:c>
      <x:c r="G342" s="3" t="str">
        <x:v>Matte Lipstick Set</x:v>
      </x:c>
      <x:c r="H342" s="3" t="n">
        <x:v>1</x:v>
      </x:c>
      <x:c r="I342" s="7" t="n">
        <x:v>1028.92</x:v>
      </x:c>
      <x:c r="J342" s="9" t="n">
        <x:v>0.1</x:v>
      </x:c>
      <x:c r="K342" s="7" t="n">
        <x:v>926.03</x:v>
      </x:c>
      <x:c r="L342" s="7" t="n">
        <x:v>421.08</x:v>
      </x:c>
      <x:c r="M342" s="3" t="str">
        <x:v>Credit Card</x:v>
      </x:c>
      <x:c r="N342" s="3" t="str">
        <x:f>TEXT(B342,"yyyy-mm")</x:f>
        <x:v>2024-04</x:v>
      </x:c>
      <x:c r="O342" s="3" t="str">
        <x:f>IF(J342=0,"No discount",IF(J342&lt;=0.1,"1-10%",IF(J342&lt;=0.15,"11-15%",IF(J342&lt;=0.2,"16-20%","21%+"))))</x:f>
        <x:v>1-10%</x:v>
      </x:c>
      <x:c r="P342" s="9" t="n">
        <x:f>IF(K342=0,0,L342/K342)</x:f>
        <x:v>0.4547152900014038</x:v>
      </x:c>
      <x:c r="Q342" s="3" t="str">
        <x:f>IF(L342&lt;0,"Yes","No")</x:f>
        <x:v>No</x:v>
      </x:c>
    </x:row>
    <x:row r="343" ht="21" customHeight="1">
      <x:c r="A343" s="3" t="str">
        <x:v>ORD-101300</x:v>
      </x:c>
      <x:c r="B343" s="5" t="n">
        <x:v>45401</x:v>
      </x:c>
      <x:c r="C343" s="3" t="str">
        <x:v>CUST-00032</x:v>
      </x:c>
      <x:c r="D343" s="3" t="str">
        <x:v>East</x:v>
      </x:c>
      <x:c r="E343" s="3" t="str">
        <x:v>Electronics</x:v>
      </x:c>
      <x:c r="F343" s="3" t="str">
        <x:v>Laptop</x:v>
      </x:c>
      <x:c r="G343" s="3" t="str">
        <x:v>ThinkPro 14</x:v>
      </x:c>
      <x:c r="H343" s="3" t="n">
        <x:v>1</x:v>
      </x:c>
      <x:c r="I343" s="7" t="n">
        <x:v>52321.26</x:v>
      </x:c>
      <x:c r="J343" s="9" t="n">
        <x:v>0</x:v>
      </x:c>
      <x:c r="K343" s="7" t="n">
        <x:v>52321.26</x:v>
      </x:c>
      <x:c r="L343" s="7" t="n">
        <x:v>7732.78</x:v>
      </x:c>
      <x:c r="M343" s="3" t="str">
        <x:v>UPI</x:v>
      </x:c>
      <x:c r="N343" s="3" t="str">
        <x:f>TEXT(B343,"yyyy-mm")</x:f>
        <x:v>2024-04</x:v>
      </x:c>
      <x:c r="O343" s="3" t="str">
        <x:f>IF(J343=0,"No discount",IF(J343&lt;=0.1,"1-10%",IF(J343&lt;=0.15,"11-15%",IF(J343&lt;=0.2,"16-20%","21%+"))))</x:f>
        <x:v>No discount</x:v>
      </x:c>
      <x:c r="P343" s="9" t="n">
        <x:f>IF(K343=0,0,L343/K343)</x:f>
        <x:v>0.1477942236100583</x:v>
      </x:c>
      <x:c r="Q343" s="3" t="str">
        <x:f>IF(L343&lt;0,"Yes","No")</x:f>
        <x:v>No</x:v>
      </x:c>
    </x:row>
    <x:row r="344" ht="21" customHeight="1">
      <x:c r="A344" s="3" t="str">
        <x:v>ORD-100043</x:v>
      </x:c>
      <x:c r="B344" s="5" t="n">
        <x:v>45402</x:v>
      </x:c>
      <x:c r="C344" s="3" t="str">
        <x:v>CUST-00320</x:v>
      </x:c>
      <x:c r="D344" s="3" t="str">
        <x:v>East</x:v>
      </x:c>
      <x:c r="E344" s="3" t="str">
        <x:v>Beauty</x:v>
      </x:c>
      <x:c r="F344" s="3" t="str">
        <x:v>Skincare</x:v>
      </x:c>
      <x:c r="G344" s="3" t="str">
        <x:v>HydraBoost Moisturizer</x:v>
      </x:c>
      <x:c r="H344" s="3" t="n">
        <x:v>2</x:v>
      </x:c>
      <x:c r="I344" s="7" t="n">
        <x:v>1159.17</x:v>
      </x:c>
      <x:c r="J344" s="9" t="n">
        <x:v>0.15</x:v>
      </x:c>
      <x:c r="K344" s="7" t="n">
        <x:v>1970.59</x:v>
      </x:c>
      <x:c r="L344" s="7" t="n">
        <x:v>760.8</x:v>
      </x:c>
      <x:c r="M344" s="3" t="str">
        <x:v>UPI</x:v>
      </x:c>
      <x:c r="N344" s="3" t="str">
        <x:f>TEXT(B344,"yyyy-mm")</x:f>
        <x:v>2024-04</x:v>
      </x:c>
      <x:c r="O344" s="3" t="str">
        <x:f>IF(J344=0,"No discount",IF(J344&lt;=0.1,"1-10%",IF(J344&lt;=0.15,"11-15%",IF(J344&lt;=0.2,"16-20%","21%+"))))</x:f>
        <x:v>11-15%</x:v>
      </x:c>
      <x:c r="P344" s="9" t="n">
        <x:f>IF(K344=0,0,L344/K344)</x:f>
        <x:v>0.3860772661994631</x:v>
      </x:c>
      <x:c r="Q344" s="3" t="str">
        <x:f>IF(L344&lt;0,"Yes","No")</x:f>
        <x:v>No</x:v>
      </x:c>
    </x:row>
    <x:row r="345" ht="21" customHeight="1">
      <x:c r="A345" s="3" t="str">
        <x:v>ORD-100863</x:v>
      </x:c>
      <x:c r="B345" s="5" t="n">
        <x:v>45402</x:v>
      </x:c>
      <x:c r="C345" s="3" t="str">
        <x:v>CUST-00592</x:v>
      </x:c>
      <x:c r="D345" s="3" t="str">
        <x:v>West</x:v>
      </x:c>
      <x:c r="E345" s="3" t="str">
        <x:v>Beauty</x:v>
      </x:c>
      <x:c r="F345" s="3" t="str">
        <x:v>Makeup</x:v>
      </x:c>
      <x:c r="G345" s="3" t="str">
        <x:v>HD Foundation Kit</x:v>
      </x:c>
      <x:c r="H345" s="3" t="n">
        <x:v>1</x:v>
      </x:c>
      <x:c r="I345" s="7" t="n">
        <x:v>1499.99</x:v>
      </x:c>
      <x:c r="J345" s="9" t="n">
        <x:v>0.15</x:v>
      </x:c>
      <x:c r="K345" s="7" t="n">
        <x:v>1274.99</x:v>
      </x:c>
      <x:c r="L345" s="7" t="n">
        <x:v>469.31</x:v>
      </x:c>
      <x:c r="M345" s="3" t="str">
        <x:v>Debit Card</x:v>
      </x:c>
      <x:c r="N345" s="3" t="str">
        <x:f>TEXT(B345,"yyyy-mm")</x:f>
        <x:v>2024-04</x:v>
      </x:c>
      <x:c r="O345" s="3" t="str">
        <x:f>IF(J345=0,"No discount",IF(J345&lt;=0.1,"1-10%",IF(J345&lt;=0.15,"11-15%",IF(J345&lt;=0.2,"16-20%","21%+"))))</x:f>
        <x:v>11-15%</x:v>
      </x:c>
      <x:c r="P345" s="9" t="n">
        <x:f>IF(K345=0,0,L345/K345)</x:f>
        <x:v>0.3680891614836195</x:v>
      </x:c>
      <x:c r="Q345" s="3" t="str">
        <x:f>IF(L345&lt;0,"Yes","No")</x:f>
        <x:v>No</x:v>
      </x:c>
    </x:row>
    <x:row r="346" ht="21" customHeight="1">
      <x:c r="A346" s="3" t="str">
        <x:v>ORD-101002</x:v>
      </x:c>
      <x:c r="B346" s="5" t="n">
        <x:v>45402</x:v>
      </x:c>
      <x:c r="C346" s="3" t="str">
        <x:v>CUST-00185</x:v>
      </x:c>
      <x:c r="D346" s="3" t="str">
        <x:v>West</x:v>
      </x:c>
      <x:c r="E346" s="3" t="str">
        <x:v>Electronics</x:v>
      </x:c>
      <x:c r="F346" s="3" t="str">
        <x:v>Audio</x:v>
      </x:c>
      <x:c r="G346" s="3" t="str">
        <x:v>SoundPods Pro</x:v>
      </x:c>
      <x:c r="H346" s="3" t="n">
        <x:v>4</x:v>
      </x:c>
      <x:c r="I346" s="7" t="n">
        <x:v>5145.79</x:v>
      </x:c>
      <x:c r="J346" s="9" t="n">
        <x:v>0.2</x:v>
      </x:c>
      <x:c r="K346" s="7" t="n">
        <x:v>16466.53</x:v>
      </x:c>
      <x:c r="L346" s="7" t="n">
        <x:v>-1323.54</x:v>
      </x:c>
      <x:c r="M346" s="3" t="str">
        <x:v>Cash on Delivery</x:v>
      </x:c>
      <x:c r="N346" s="3" t="str">
        <x:f>TEXT(B346,"yyyy-mm")</x:f>
        <x:v>2024-04</x:v>
      </x:c>
      <x:c r="O346" s="3" t="str">
        <x:f>IF(J346=0,"No discount",IF(J346&lt;=0.1,"1-10%",IF(J346&lt;=0.15,"11-15%",IF(J346&lt;=0.2,"16-20%","21%+"))))</x:f>
        <x:v>16-20%</x:v>
      </x:c>
      <x:c r="P346" s="9" t="n">
        <x:f>IF(K346=0,0,L346/K346)</x:f>
        <x:v>-0.08037759017838003</x:v>
      </x:c>
      <x:c r="Q346" s="3" t="str">
        <x:f>IF(L346&lt;0,"Yes","No")</x:f>
        <x:v>Yes</x:v>
      </x:c>
    </x:row>
    <x:row r="347" ht="21" customHeight="1">
      <x:c r="A347" s="3" t="str">
        <x:v>ORD-101466</x:v>
      </x:c>
      <x:c r="B347" s="5" t="n">
        <x:v>45402</x:v>
      </x:c>
      <x:c r="C347" s="3" t="str">
        <x:v>CUST-00238</x:v>
      </x:c>
      <x:c r="D347" s="3" t="str">
        <x:v>North</x:v>
      </x:c>
      <x:c r="E347" s="3" t="str">
        <x:v>Fashion</x:v>
      </x:c>
      <x:c r="F347" s="3" t="str">
        <x:v>Footwear</x:v>
      </x:c>
      <x:c r="G347" s="3" t="str">
        <x:v>RunFlex Sneakers</x:v>
      </x:c>
      <x:c r="H347" s="3" t="n">
        <x:v>1</x:v>
      </x:c>
      <x:c r="I347" s="7" t="n">
        <x:v>2942.03</x:v>
      </x:c>
      <x:c r="J347" s="9" t="n">
        <x:v>0</x:v>
      </x:c>
      <x:c r="K347" s="7" t="n">
        <x:v>2942.03</x:v>
      </x:c>
      <x:c r="L347" s="7" t="n">
        <x:v>1186.87</x:v>
      </x:c>
      <x:c r="M347" s="3" t="str">
        <x:v>UPI</x:v>
      </x:c>
      <x:c r="N347" s="3" t="str">
        <x:f>TEXT(B347,"yyyy-mm")</x:f>
        <x:v>2024-04</x:v>
      </x:c>
      <x:c r="O347" s="3" t="str">
        <x:f>IF(J347=0,"No discount",IF(J347&lt;=0.1,"1-10%",IF(J347&lt;=0.15,"11-15%",IF(J347&lt;=0.2,"16-20%","21%+"))))</x:f>
        <x:v>No discount</x:v>
      </x:c>
      <x:c r="P347" s="9" t="n">
        <x:f>IF(K347=0,0,L347/K347)</x:f>
        <x:v>0.40341872788516764</x:v>
      </x:c>
      <x:c r="Q347" s="3" t="str">
        <x:f>IF(L347&lt;0,"Yes","No")</x:f>
        <x:v>No</x:v>
      </x:c>
    </x:row>
    <x:row r="348" ht="21" customHeight="1">
      <x:c r="A348" s="3" t="str">
        <x:v>ORD-101567</x:v>
      </x:c>
      <x:c r="B348" s="5" t="n">
        <x:v>45402</x:v>
      </x:c>
      <x:c r="C348" s="3" t="str">
        <x:v>CUST-00053</x:v>
      </x:c>
      <x:c r="D348" s="3" t="str">
        <x:v>North</x:v>
      </x:c>
      <x:c r="E348" s="3" t="str">
        <x:v>Home &amp; Kitchen</x:v>
      </x:c>
      <x:c r="F348" s="3" t="str">
        <x:v>Furniture</x:v>
      </x:c>
      <x:c r="G348" s="3" t="str">
        <x:v>Oakwood Study Desk</x:v>
      </x:c>
      <x:c r="H348" s="3" t="n">
        <x:v>1</x:v>
      </x:c>
      <x:c r="I348" s="7" t="n">
        <x:v>13506.06</x:v>
      </x:c>
      <x:c r="J348" s="9" t="n">
        <x:v>0</x:v>
      </x:c>
      <x:c r="K348" s="7" t="n">
        <x:v>13506.06</x:v>
      </x:c>
      <x:c r="L348" s="7" t="n">
        <x:v>4614.41</x:v>
      </x:c>
      <x:c r="M348" s="3" t="str">
        <x:v>UPI</x:v>
      </x:c>
      <x:c r="N348" s="3" t="str">
        <x:f>TEXT(B348,"yyyy-mm")</x:f>
        <x:v>2024-04</x:v>
      </x:c>
      <x:c r="O348" s="3" t="str">
        <x:f>IF(J348=0,"No discount",IF(J348&lt;=0.1,"1-10%",IF(J348&lt;=0.15,"11-15%",IF(J348&lt;=0.2,"16-20%","21%+"))))</x:f>
        <x:v>No discount</x:v>
      </x:c>
      <x:c r="P348" s="9" t="n">
        <x:f>IF(K348=0,0,L348/K348)</x:f>
        <x:v>0.34165478311217334</x:v>
      </x:c>
      <x:c r="Q348" s="3" t="str">
        <x:f>IF(L348&lt;0,"Yes","No")</x:f>
        <x:v>No</x:v>
      </x:c>
    </x:row>
    <x:row r="349" ht="21" customHeight="1">
      <x:c r="A349" s="3" t="str">
        <x:v>ORD-101878</x:v>
      </x:c>
      <x:c r="B349" s="5" t="n">
        <x:v>45402</x:v>
      </x:c>
      <x:c r="C349" s="3" t="str">
        <x:v>CUST-00347</x:v>
      </x:c>
      <x:c r="D349" s="3" t="str">
        <x:v>West</x:v>
      </x:c>
      <x:c r="E349" s="3" t="str">
        <x:v>Home &amp; Kitchen</x:v>
      </x:c>
      <x:c r="F349" s="3" t="str">
        <x:v>Furniture</x:v>
      </x:c>
      <x:c r="G349" s="3" t="str">
        <x:v>ErgoComfort Chair</x:v>
      </x:c>
      <x:c r="H349" s="3" t="n">
        <x:v>2</x:v>
      </x:c>
      <x:c r="I349" s="7" t="n">
        <x:v>9197.11</x:v>
      </x:c>
      <x:c r="J349" s="9" t="n">
        <x:v>0.05</x:v>
      </x:c>
      <x:c r="K349" s="7" t="n">
        <x:v>17474.51</x:v>
      </x:c>
      <x:c r="L349" s="7" t="n">
        <x:v>4540.94</x:v>
      </x:c>
      <x:c r="M349" s="3" t="str">
        <x:v>UPI</x:v>
      </x:c>
      <x:c r="N349" s="3" t="str">
        <x:f>TEXT(B349,"yyyy-mm")</x:f>
        <x:v>2024-04</x:v>
      </x:c>
      <x:c r="O349" s="3" t="str">
        <x:f>IF(J349=0,"No discount",IF(J349&lt;=0.1,"1-10%",IF(J349&lt;=0.15,"11-15%",IF(J349&lt;=0.2,"16-20%","21%+"))))</x:f>
        <x:v>1-10%</x:v>
      </x:c>
      <x:c r="P349" s="9" t="n">
        <x:f>IF(K349=0,0,L349/K349)</x:f>
        <x:v>0.2598607915186177</x:v>
      </x:c>
      <x:c r="Q349" s="3" t="str">
        <x:f>IF(L349&lt;0,"Yes","No")</x:f>
        <x:v>No</x:v>
      </x:c>
    </x:row>
    <x:row r="350" ht="21" customHeight="1">
      <x:c r="A350" s="3" t="str">
        <x:v>ORD-100368</x:v>
      </x:c>
      <x:c r="B350" s="5" t="n">
        <x:v>45405</x:v>
      </x:c>
      <x:c r="C350" s="3" t="str">
        <x:v>CUST-00069</x:v>
      </x:c>
      <x:c r="D350" s="3" t="str">
        <x:v>South</x:v>
      </x:c>
      <x:c r="E350" s="3" t="str">
        <x:v>Beauty</x:v>
      </x:c>
      <x:c r="F350" s="3" t="str">
        <x:v>Makeup</x:v>
      </x:c>
      <x:c r="G350" s="3" t="str">
        <x:v>Matte Lipstick Set</x:v>
      </x:c>
      <x:c r="H350" s="3" t="n">
        <x:v>1</x:v>
      </x:c>
      <x:c r="I350" s="7" t="n">
        <x:v>1004.14</x:v>
      </x:c>
      <x:c r="J350" s="9" t="n">
        <x:v>0.05</x:v>
      </x:c>
      <x:c r="K350" s="7" t="n">
        <x:v>953.93</x:v>
      </x:c>
      <x:c r="L350" s="7" t="n">
        <x:v>478.44</x:v>
      </x:c>
      <x:c r="M350" s="3" t="str">
        <x:v>Credit Card</x:v>
      </x:c>
      <x:c r="N350" s="3" t="str">
        <x:f>TEXT(B350,"yyyy-mm")</x:f>
        <x:v>2024-04</x:v>
      </x:c>
      <x:c r="O350" s="3" t="str">
        <x:f>IF(J350=0,"No discount",IF(J350&lt;=0.1,"1-10%",IF(J350&lt;=0.15,"11-15%",IF(J350&lt;=0.2,"16-20%","21%+"))))</x:f>
        <x:v>1-10%</x:v>
      </x:c>
      <x:c r="P350" s="9" t="n">
        <x:f>IF(K350=0,0,L350/K350)</x:f>
        <x:v>0.5015462350486933</x:v>
      </x:c>
      <x:c r="Q350" s="3" t="str">
        <x:f>IF(L350&lt;0,"Yes","No")</x:f>
        <x:v>No</x:v>
      </x:c>
    </x:row>
    <x:row r="351" ht="21" customHeight="1">
      <x:c r="A351" s="3" t="str">
        <x:v>ORD-100608</x:v>
      </x:c>
      <x:c r="B351" s="5" t="n">
        <x:v>45405</x:v>
      </x:c>
      <x:c r="C351" s="3" t="str">
        <x:v>CUST-00216</x:v>
      </x:c>
      <x:c r="D351" s="3" t="str">
        <x:v>North</x:v>
      </x:c>
      <x:c r="E351" s="3" t="str">
        <x:v>Fashion</x:v>
      </x:c>
      <x:c r="F351" s="3" t="str">
        <x:v>Men</x:v>
      </x:c>
      <x:c r="G351" s="3" t="str">
        <x:v>SlimFit Denim Jeans</x:v>
      </x:c>
      <x:c r="H351" s="3" t="n">
        <x:v>1</x:v>
      </x:c>
      <x:c r="I351" s="7" t="n">
        <x:v>1919.28</x:v>
      </x:c>
      <x:c r="J351" s="9" t="n">
        <x:v>0</x:v>
      </x:c>
      <x:c r="K351" s="7" t="n">
        <x:v>1919.28</x:v>
      </x:c>
      <x:c r="L351" s="7" t="n">
        <x:v>856.99</x:v>
      </x:c>
      <x:c r="M351" s="3" t="str">
        <x:v>Credit Card</x:v>
      </x:c>
      <x:c r="N351" s="3" t="str">
        <x:f>TEXT(B351,"yyyy-mm")</x:f>
        <x:v>2024-04</x:v>
      </x:c>
      <x:c r="O351" s="3" t="str">
        <x:f>IF(J351=0,"No discount",IF(J351&lt;=0.1,"1-10%",IF(J351&lt;=0.15,"11-15%",IF(J351&lt;=0.2,"16-20%","21%+"))))</x:f>
        <x:v>No discount</x:v>
      </x:c>
      <x:c r="P351" s="9" t="n">
        <x:f>IF(K351=0,0,L351/K351)</x:f>
        <x:v>0.4465164019840774</x:v>
      </x:c>
      <x:c r="Q351" s="3" t="str">
        <x:f>IF(L351&lt;0,"Yes","No")</x:f>
        <x:v>No</x:v>
      </x:c>
    </x:row>
    <x:row r="352" ht="21" customHeight="1">
      <x:c r="A352" s="3" t="str">
        <x:v>ORD-100439</x:v>
      </x:c>
      <x:c r="B352" s="5" t="n">
        <x:v>45406</x:v>
      </x:c>
      <x:c r="C352" s="3" t="str">
        <x:v>CUST-00155</x:v>
      </x:c>
      <x:c r="D352" s="3" t="str">
        <x:v>West</x:v>
      </x:c>
      <x:c r="E352" s="3" t="str">
        <x:v>Fashion</x:v>
      </x:c>
      <x:c r="F352" s="3" t="str">
        <x:v>Footwear</x:v>
      </x:c>
      <x:c r="G352" s="3" t="str">
        <x:v>RunFlex Sneakers</x:v>
      </x:c>
      <x:c r="H352" s="3" t="n">
        <x:v>3</x:v>
      </x:c>
      <x:c r="I352" s="7" t="n">
        <x:v>2888.8</x:v>
      </x:c>
      <x:c r="J352" s="9" t="n">
        <x:v>0</x:v>
      </x:c>
      <x:c r="K352" s="7" t="n">
        <x:v>8666.4</x:v>
      </x:c>
      <x:c r="L352" s="7" t="n">
        <x:v>3488.03</x:v>
      </x:c>
      <x:c r="M352" s="3" t="str">
        <x:v>UPI</x:v>
      </x:c>
      <x:c r="N352" s="3" t="str">
        <x:f>TEXT(B352,"yyyy-mm")</x:f>
        <x:v>2024-04</x:v>
      </x:c>
      <x:c r="O352" s="3" t="str">
        <x:f>IF(J352=0,"No discount",IF(J352&lt;=0.1,"1-10%",IF(J352&lt;=0.15,"11-15%",IF(J352&lt;=0.2,"16-20%","21%+"))))</x:f>
        <x:v>No discount</x:v>
      </x:c>
      <x:c r="P352" s="9" t="n">
        <x:f>IF(K352=0,0,L352/K352)</x:f>
        <x:v>0.40247738391950527</x:v>
      </x:c>
      <x:c r="Q352" s="3" t="str">
        <x:f>IF(L352&lt;0,"Yes","No")</x:f>
        <x:v>No</x:v>
      </x:c>
    </x:row>
    <x:row r="353" ht="21" customHeight="1">
      <x:c r="A353" s="3" t="str">
        <x:v>ORD-101312</x:v>
      </x:c>
      <x:c r="B353" s="5" t="n">
        <x:v>45406</x:v>
      </x:c>
      <x:c r="C353" s="3" t="str">
        <x:v>CUST-00456</x:v>
      </x:c>
      <x:c r="D353" s="3" t="str">
        <x:v>West</x:v>
      </x:c>
      <x:c r="E353" s="3" t="str">
        <x:v>Electronics</x:v>
      </x:c>
      <x:c r="F353" s="3" t="str">
        <x:v>Mobile</x:v>
      </x:c>
      <x:c r="G353" s="3" t="str">
        <x:v>Pixel Aura 12</x:v>
      </x:c>
      <x:c r="H353" s="3" t="n">
        <x:v>2</x:v>
      </x:c>
      <x:c r="I353" s="7" t="n">
        <x:v>33235.15</x:v>
      </x:c>
      <x:c r="J353" s="9" t="n">
        <x:v>0.15</x:v>
      </x:c>
      <x:c r="K353" s="7" t="n">
        <x:v>56499.75</x:v>
      </x:c>
      <x:c r="L353" s="7" t="n">
        <x:v>855.29</x:v>
      </x:c>
      <x:c r="M353" s="3" t="str">
        <x:v>Debit Card</x:v>
      </x:c>
      <x:c r="N353" s="3" t="str">
        <x:f>TEXT(B353,"yyyy-mm")</x:f>
        <x:v>2024-04</x:v>
      </x:c>
      <x:c r="O353" s="3" t="str">
        <x:f>IF(J353=0,"No discount",IF(J353&lt;=0.1,"1-10%",IF(J353&lt;=0.15,"11-15%",IF(J353&lt;=0.2,"16-20%","21%+"))))</x:f>
        <x:v>11-15%</x:v>
      </x:c>
      <x:c r="P353" s="9" t="n">
        <x:f>IF(K353=0,0,L353/K353)</x:f>
        <x:v>0.015137943088243754</x:v>
      </x:c>
      <x:c r="Q353" s="3" t="str">
        <x:f>IF(L353&lt;0,"Yes","No")</x:f>
        <x:v>No</x:v>
      </x:c>
    </x:row>
    <x:row r="354" ht="21" customHeight="1">
      <x:c r="A354" s="3" t="str">
        <x:v>ORD-101400</x:v>
      </x:c>
      <x:c r="B354" s="5" t="n">
        <x:v>45406</x:v>
      </x:c>
      <x:c r="C354" s="3" t="str">
        <x:v>CUST-00217</x:v>
      </x:c>
      <x:c r="D354" s="3" t="str">
        <x:v>South</x:v>
      </x:c>
      <x:c r="E354" s="3" t="str">
        <x:v>Electronics</x:v>
      </x:c>
      <x:c r="F354" s="3" t="str">
        <x:v>Laptop</x:v>
      </x:c>
      <x:c r="G354" s="3" t="str">
        <x:v>ThinkPro 14</x:v>
      </x:c>
      <x:c r="H354" s="3" t="n">
        <x:v>1</x:v>
      </x:c>
      <x:c r="I354" s="7" t="n">
        <x:v>56224.32</x:v>
      </x:c>
      <x:c r="J354" s="9" t="n">
        <x:v>0.25</x:v>
      </x:c>
      <x:c r="K354" s="7" t="n">
        <x:v>42168.24</x:v>
      </x:c>
      <x:c r="L354" s="7" t="n">
        <x:v>-3904.29</x:v>
      </x:c>
      <x:c r="M354" s="3" t="str">
        <x:v>Credit Card</x:v>
      </x:c>
      <x:c r="N354" s="3" t="str">
        <x:f>TEXT(B354,"yyyy-mm")</x:f>
        <x:v>2024-04</x:v>
      </x:c>
      <x:c r="O354" s="3" t="str">
        <x:f>IF(J354=0,"No discount",IF(J354&lt;=0.1,"1-10%",IF(J354&lt;=0.15,"11-15%",IF(J354&lt;=0.2,"16-20%","21%+"))))</x:f>
        <x:v>21%+</x:v>
      </x:c>
      <x:c r="P354" s="9" t="n">
        <x:f>IF(K354=0,0,L354/K354)</x:f>
        <x:v>-0.09258840302559462</x:v>
      </x:c>
      <x:c r="Q354" s="3" t="str">
        <x:f>IF(L354&lt;0,"Yes","No")</x:f>
        <x:v>Yes</x:v>
      </x:c>
    </x:row>
    <x:row r="355" ht="21" customHeight="1">
      <x:c r="A355" s="3" t="str">
        <x:v>ORD-100214</x:v>
      </x:c>
      <x:c r="B355" s="5" t="n">
        <x:v>45407</x:v>
      </x:c>
      <x:c r="C355" s="3" t="str">
        <x:v>CUST-00073</x:v>
      </x:c>
      <x:c r="D355" s="3" t="str">
        <x:v>West</x:v>
      </x:c>
      <x:c r="E355" s="3" t="str">
        <x:v>Home &amp; Kitchen</x:v>
      </x:c>
      <x:c r="F355" s="3" t="str">
        <x:v>Furniture</x:v>
      </x:c>
      <x:c r="G355" s="3" t="str">
        <x:v>Oakwood Study Desk</x:v>
      </x:c>
      <x:c r="H355" s="3" t="n">
        <x:v>2</x:v>
      </x:c>
      <x:c r="I355" s="7" t="n">
        <x:v>12419.98</x:v>
      </x:c>
      <x:c r="J355" s="9" t="n">
        <x:v>0</x:v>
      </x:c>
      <x:c r="K355" s="7" t="n">
        <x:v>24839.96</x:v>
      </x:c>
      <x:c r="L355" s="7" t="n">
        <x:v>8987.92</x:v>
      </x:c>
      <x:c r="M355" s="3" t="str">
        <x:v>Credit Card</x:v>
      </x:c>
      <x:c r="N355" s="3" t="str">
        <x:f>TEXT(B355,"yyyy-mm")</x:f>
        <x:v>2024-04</x:v>
      </x:c>
      <x:c r="O355" s="3" t="str">
        <x:f>IF(J355=0,"No discount",IF(J355&lt;=0.1,"1-10%",IF(J355&lt;=0.15,"11-15%",IF(J355&lt;=0.2,"16-20%","21%+"))))</x:f>
        <x:v>No discount</x:v>
      </x:c>
      <x:c r="P355" s="9" t="n">
        <x:f>IF(K355=0,0,L355/K355)</x:f>
        <x:v>0.3618331108423685</x:v>
      </x:c>
      <x:c r="Q355" s="3" t="str">
        <x:f>IF(L355&lt;0,"Yes","No")</x:f>
        <x:v>No</x:v>
      </x:c>
    </x:row>
    <x:row r="356" ht="21" customHeight="1">
      <x:c r="A356" s="3" t="str">
        <x:v>ORD-100254</x:v>
      </x:c>
      <x:c r="B356" s="5" t="n">
        <x:v>45407</x:v>
      </x:c>
      <x:c r="C356" s="3" t="str">
        <x:v>CUST-00152</x:v>
      </x:c>
      <x:c r="D356" s="3" t="str">
        <x:v>North</x:v>
      </x:c>
      <x:c r="E356" s="3" t="str">
        <x:v>Electronics</x:v>
      </x:c>
      <x:c r="F356" s="3" t="str">
        <x:v>Laptop</x:v>
      </x:c>
      <x:c r="G356" s="3" t="str">
        <x:v>AirBook Slim</x:v>
      </x:c>
      <x:c r="H356" s="3" t="n">
        <x:v>2</x:v>
      </x:c>
      <x:c r="I356" s="7" t="n">
        <x:v>79154.53</x:v>
      </x:c>
      <x:c r="J356" s="9" t="n">
        <x:v>0.2</x:v>
      </x:c>
      <x:c r="K356" s="7" t="n">
        <x:v>126647.25</x:v>
      </x:c>
      <x:c r="L356" s="7" t="n">
        <x:v>-2105.77</x:v>
      </x:c>
      <x:c r="M356" s="3" t="str">
        <x:v>Debit Card</x:v>
      </x:c>
      <x:c r="N356" s="3" t="str">
        <x:f>TEXT(B356,"yyyy-mm")</x:f>
        <x:v>2024-04</x:v>
      </x:c>
      <x:c r="O356" s="3" t="str">
        <x:f>IF(J356=0,"No discount",IF(J356&lt;=0.1,"1-10%",IF(J356&lt;=0.15,"11-15%",IF(J356&lt;=0.2,"16-20%","21%+"))))</x:f>
        <x:v>16-20%</x:v>
      </x:c>
      <x:c r="P356" s="9" t="n">
        <x:f>IF(K356=0,0,L356/K356)</x:f>
        <x:v>-0.016627048751552048</x:v>
      </x:c>
      <x:c r="Q356" s="3" t="str">
        <x:f>IF(L356&lt;0,"Yes","No")</x:f>
        <x:v>Yes</x:v>
      </x:c>
    </x:row>
    <x:row r="357" ht="21" customHeight="1">
      <x:c r="A357" s="3" t="str">
        <x:v>ORD-100718</x:v>
      </x:c>
      <x:c r="B357" s="5" t="n">
        <x:v>45407</x:v>
      </x:c>
      <x:c r="C357" s="3" t="str">
        <x:v>CUST-00113</x:v>
      </x:c>
      <x:c r="D357" s="3" t="str">
        <x:v>West</x:v>
      </x:c>
      <x:c r="E357" s="3" t="str">
        <x:v>Sports</x:v>
      </x:c>
      <x:c r="F357" s="3" t="str">
        <x:v>Fitness</x:v>
      </x:c>
      <x:c r="G357" s="3" t="str">
        <x:v>Adjustable Dumbbell 24kg</x:v>
      </x:c>
      <x:c r="H357" s="3" t="n">
        <x:v>2</x:v>
      </x:c>
      <x:c r="I357" s="7" t="n">
        <x:v>10377.95</x:v>
      </x:c>
      <x:c r="J357" s="9" t="n">
        <x:v>0</x:v>
      </x:c>
      <x:c r="K357" s="7" t="n">
        <x:v>20755.9</x:v>
      </x:c>
      <x:c r="L357" s="7" t="n">
        <x:v>7695.86</x:v>
      </x:c>
      <x:c r="M357" s="3" t="str">
        <x:v>Debit Card</x:v>
      </x:c>
      <x:c r="N357" s="3" t="str">
        <x:f>TEXT(B357,"yyyy-mm")</x:f>
        <x:v>2024-04</x:v>
      </x:c>
      <x:c r="O357" s="3" t="str">
        <x:f>IF(J357=0,"No discount",IF(J357&lt;=0.1,"1-10%",IF(J357&lt;=0.15,"11-15%",IF(J357&lt;=0.2,"16-20%","21%+"))))</x:f>
        <x:v>No discount</x:v>
      </x:c>
      <x:c r="P357" s="9" t="n">
        <x:f>IF(K357=0,0,L357/K357)</x:f>
        <x:v>0.3707793928473349</x:v>
      </x:c>
      <x:c r="Q357" s="3" t="str">
        <x:f>IF(L357&lt;0,"Yes","No")</x:f>
        <x:v>No</x:v>
      </x:c>
    </x:row>
    <x:row r="358" ht="21" customHeight="1">
      <x:c r="A358" s="3" t="str">
        <x:v>ORD-100721</x:v>
      </x:c>
      <x:c r="B358" s="5" t="n">
        <x:v>45407</x:v>
      </x:c>
      <x:c r="C358" s="3" t="str">
        <x:v>CUST-00286</x:v>
      </x:c>
      <x:c r="D358" s="3" t="str">
        <x:v>North</x:v>
      </x:c>
      <x:c r="E358" s="3" t="str">
        <x:v>Home &amp; Kitchen</x:v>
      </x:c>
      <x:c r="F358" s="3" t="str">
        <x:v>Decor</x:v>
      </x:c>
      <x:c r="G358" s="3" t="str">
        <x:v>Ceramic Vase Set</x:v>
      </x:c>
      <x:c r="H358" s="3" t="n">
        <x:v>3</x:v>
      </x:c>
      <x:c r="I358" s="7" t="n">
        <x:v>1570.66</x:v>
      </x:c>
      <x:c r="J358" s="9" t="n">
        <x:v>0.2</x:v>
      </x:c>
      <x:c r="K358" s="7" t="n">
        <x:v>3769.58</x:v>
      </x:c>
      <x:c r="L358" s="7" t="n">
        <x:v>460.73</x:v>
      </x:c>
      <x:c r="M358" s="3" t="str">
        <x:v>UPI</x:v>
      </x:c>
      <x:c r="N358" s="3" t="str">
        <x:f>TEXT(B358,"yyyy-mm")</x:f>
        <x:v>2024-04</x:v>
      </x:c>
      <x:c r="O358" s="3" t="str">
        <x:f>IF(J358=0,"No discount",IF(J358&lt;=0.1,"1-10%",IF(J358&lt;=0.15,"11-15%",IF(J358&lt;=0.2,"16-20%","21%+"))))</x:f>
        <x:v>16-20%</x:v>
      </x:c>
      <x:c r="P358" s="9" t="n">
        <x:f>IF(K358=0,0,L358/K358)</x:f>
        <x:v>0.12222316544548731</x:v>
      </x:c>
      <x:c r="Q358" s="3" t="str">
        <x:f>IF(L358&lt;0,"Yes","No")</x:f>
        <x:v>No</x:v>
      </x:c>
    </x:row>
    <x:row r="359" ht="21" customHeight="1">
      <x:c r="A359" s="3" t="str">
        <x:v>ORD-100949</x:v>
      </x:c>
      <x:c r="B359" s="5" t="n">
        <x:v>45407</x:v>
      </x:c>
      <x:c r="C359" s="3" t="str">
        <x:v>CUST-00526</x:v>
      </x:c>
      <x:c r="D359" s="3" t="str">
        <x:v>East</x:v>
      </x:c>
      <x:c r="E359" s="3" t="str">
        <x:v>Electronics</x:v>
      </x:c>
      <x:c r="F359" s="3" t="str">
        <x:v>Audio</x:v>
      </x:c>
      <x:c r="G359" s="3" t="str">
        <x:v>BassBoom Speaker</x:v>
      </x:c>
      <x:c r="H359" s="3" t="n">
        <x:v>3</x:v>
      </x:c>
      <x:c r="I359" s="7" t="n">
        <x:v>9066.33</x:v>
      </x:c>
      <x:c r="J359" s="9" t="n">
        <x:v>0.05</x:v>
      </x:c>
      <x:c r="K359" s="7" t="n">
        <x:v>25839.04</x:v>
      </x:c>
      <x:c r="L359" s="7" t="n">
        <x:v>3443.05</x:v>
      </x:c>
      <x:c r="M359" s="3" t="str">
        <x:v>Credit Card</x:v>
      </x:c>
      <x:c r="N359" s="3" t="str">
        <x:f>TEXT(B359,"yyyy-mm")</x:f>
        <x:v>2024-04</x:v>
      </x:c>
      <x:c r="O359" s="3" t="str">
        <x:f>IF(J359=0,"No discount",IF(J359&lt;=0.1,"1-10%",IF(J359&lt;=0.15,"11-15%",IF(J359&lt;=0.2,"16-20%","21%+"))))</x:f>
        <x:v>1-10%</x:v>
      </x:c>
      <x:c r="P359" s="9" t="n">
        <x:f>IF(K359=0,0,L359/K359)</x:f>
        <x:v>0.13324991950165332</x:v>
      </x:c>
      <x:c r="Q359" s="3" t="str">
        <x:f>IF(L359&lt;0,"Yes","No")</x:f>
        <x:v>No</x:v>
      </x:c>
    </x:row>
    <x:row r="360" ht="21" customHeight="1">
      <x:c r="A360" s="3" t="str">
        <x:v>ORD-101067</x:v>
      </x:c>
      <x:c r="B360" s="5" t="n">
        <x:v>45407</x:v>
      </x:c>
      <x:c r="C360" s="3" t="str">
        <x:v>CUST-00110</x:v>
      </x:c>
      <x:c r="D360" s="3" t="str">
        <x:v>East</x:v>
      </x:c>
      <x:c r="E360" s="3" t="str">
        <x:v>Electronics</x:v>
      </x:c>
      <x:c r="F360" s="3" t="str">
        <x:v>Audio</x:v>
      </x:c>
      <x:c r="G360" s="3" t="str">
        <x:v>BassBoom Speaker</x:v>
      </x:c>
      <x:c r="H360" s="3" t="n">
        <x:v>1</x:v>
      </x:c>
      <x:c r="I360" s="7" t="n">
        <x:v>9419.91</x:v>
      </x:c>
      <x:c r="J360" s="9" t="n">
        <x:v>0.05</x:v>
      </x:c>
      <x:c r="K360" s="7" t="n">
        <x:v>8948.91</x:v>
      </x:c>
      <x:c r="L360" s="7" t="n">
        <x:v>1219.27</x:v>
      </x:c>
      <x:c r="M360" s="3" t="str">
        <x:v>UPI</x:v>
      </x:c>
      <x:c r="N360" s="3" t="str">
        <x:f>TEXT(B360,"yyyy-mm")</x:f>
        <x:v>2024-04</x:v>
      </x:c>
      <x:c r="O360" s="3" t="str">
        <x:f>IF(J360=0,"No discount",IF(J360&lt;=0.1,"1-10%",IF(J360&lt;=0.15,"11-15%",IF(J360&lt;=0.2,"16-20%","21%+"))))</x:f>
        <x:v>1-10%</x:v>
      </x:c>
      <x:c r="P360" s="9" t="n">
        <x:f>IF(K360=0,0,L360/K360)</x:f>
        <x:v>0.136247878233215</x:v>
      </x:c>
      <x:c r="Q360" s="3" t="str">
        <x:f>IF(L360&lt;0,"Yes","No")</x:f>
        <x:v>No</x:v>
      </x:c>
    </x:row>
    <x:row r="361" ht="21" customHeight="1">
      <x:c r="A361" s="3" t="str">
        <x:v>ORD-101190</x:v>
      </x:c>
      <x:c r="B361" s="5" t="n">
        <x:v>45407</x:v>
      </x:c>
      <x:c r="C361" s="3" t="str">
        <x:v>CUST-00405</x:v>
      </x:c>
      <x:c r="D361" s="3" t="str">
        <x:v>North</x:v>
      </x:c>
      <x:c r="E361" s="3" t="str">
        <x:v>Sports</x:v>
      </x:c>
      <x:c r="F361" s="3" t="str">
        <x:v>Outdoor</x:v>
      </x:c>
      <x:c r="G361" s="3" t="str">
        <x:v>TrailHike Backpack 60L</x:v>
      </x:c>
      <x:c r="H361" s="3" t="n">
        <x:v>3</x:v>
      </x:c>
      <x:c r="I361" s="7" t="n">
        <x:v>3567.06</x:v>
      </x:c>
      <x:c r="J361" s="9" t="n">
        <x:v>0</x:v>
      </x:c>
      <x:c r="K361" s="7" t="n">
        <x:v>10701.18</x:v>
      </x:c>
      <x:c r="L361" s="7" t="n">
        <x:v>4409.6</x:v>
      </x:c>
      <x:c r="M361" s="3" t="str">
        <x:v>Debit Card</x:v>
      </x:c>
      <x:c r="N361" s="3" t="str">
        <x:f>TEXT(B361,"yyyy-mm")</x:f>
        <x:v>2024-04</x:v>
      </x:c>
      <x:c r="O361" s="3" t="str">
        <x:f>IF(J361=0,"No discount",IF(J361&lt;=0.1,"1-10%",IF(J361&lt;=0.15,"11-15%",IF(J361&lt;=0.2,"16-20%","21%+"))))</x:f>
        <x:v>No discount</x:v>
      </x:c>
      <x:c r="P361" s="9" t="n">
        <x:f>IF(K361=0,0,L361/K361)</x:f>
        <x:v>0.412066706662256</x:v>
      </x:c>
      <x:c r="Q361" s="3" t="str">
        <x:f>IF(L361&lt;0,"Yes","No")</x:f>
        <x:v>No</x:v>
      </x:c>
    </x:row>
    <x:row r="362" ht="21" customHeight="1">
      <x:c r="A362" s="3" t="str">
        <x:v>ORD-101914</x:v>
      </x:c>
      <x:c r="B362" s="5" t="n">
        <x:v>45407</x:v>
      </x:c>
      <x:c r="C362" s="3" t="str">
        <x:v>CUST-00585</x:v>
      </x:c>
      <x:c r="D362" s="3" t="str">
        <x:v>South</x:v>
      </x:c>
      <x:c r="E362" s="3" t="str">
        <x:v>Beauty</x:v>
      </x:c>
      <x:c r="F362" s="3" t="str">
        <x:v>Skincare</x:v>
      </x:c>
      <x:c r="G362" s="3" t="str">
        <x:v>HydraBoost Moisturizer</x:v>
      </x:c>
      <x:c r="H362" s="3" t="n">
        <x:v>2</x:v>
      </x:c>
      <x:c r="I362" s="7" t="n">
        <x:v>1151.84</x:v>
      </x:c>
      <x:c r="J362" s="9" t="n">
        <x:v>0.05</x:v>
      </x:c>
      <x:c r="K362" s="7" t="n">
        <x:v>2188.5</x:v>
      </x:c>
      <x:c r="L362" s="7" t="n">
        <x:v>1080.63</x:v>
      </x:c>
      <x:c r="M362" s="3" t="str">
        <x:v>Cash on Delivery</x:v>
      </x:c>
      <x:c r="N362" s="3" t="str">
        <x:f>TEXT(B362,"yyyy-mm")</x:f>
        <x:v>2024-04</x:v>
      </x:c>
      <x:c r="O362" s="3" t="str">
        <x:f>IF(J362=0,"No discount",IF(J362&lt;=0.1,"1-10%",IF(J362&lt;=0.15,"11-15%",IF(J362&lt;=0.2,"16-20%","21%+"))))</x:f>
        <x:v>1-10%</x:v>
      </x:c>
      <x:c r="P362" s="9" t="n">
        <x:f>IF(K362=0,0,L362/K362)</x:f>
        <x:v>0.49377655928718306</x:v>
      </x:c>
      <x:c r="Q362" s="3" t="str">
        <x:f>IF(L362&lt;0,"Yes","No")</x:f>
        <x:v>No</x:v>
      </x:c>
    </x:row>
    <x:row r="363" ht="21" customHeight="1">
      <x:c r="A363" s="3" t="str">
        <x:v>ORD-100823</x:v>
      </x:c>
      <x:c r="B363" s="5" t="n">
        <x:v>45408</x:v>
      </x:c>
      <x:c r="C363" s="3" t="str">
        <x:v>CUST-00035</x:v>
      </x:c>
      <x:c r="D363" s="3" t="str">
        <x:v>South</x:v>
      </x:c>
      <x:c r="E363" s="3" t="str">
        <x:v>Fashion</x:v>
      </x:c>
      <x:c r="F363" s="3" t="str">
        <x:v>Men</x:v>
      </x:c>
      <x:c r="G363" s="3" t="str">
        <x:v>Oxford Casual Shirt</x:v>
      </x:c>
      <x:c r="H363" s="3" t="n">
        <x:v>2</x:v>
      </x:c>
      <x:c r="I363" s="7" t="n">
        <x:v>1238.71</x:v>
      </x:c>
      <x:c r="J363" s="9" t="n">
        <x:v>0.15</x:v>
      </x:c>
      <x:c r="K363" s="7" t="n">
        <x:v>2105.81</x:v>
      </x:c>
      <x:c r="L363" s="7" t="n">
        <x:v>476.56</x:v>
      </x:c>
      <x:c r="M363" s="3" t="str">
        <x:v>Debit Card</x:v>
      </x:c>
      <x:c r="N363" s="3" t="str">
        <x:f>TEXT(B363,"yyyy-mm")</x:f>
        <x:v>2024-04</x:v>
      </x:c>
      <x:c r="O363" s="3" t="str">
        <x:f>IF(J363=0,"No discount",IF(J363&lt;=0.1,"1-10%",IF(J363&lt;=0.15,"11-15%",IF(J363&lt;=0.2,"16-20%","21%+"))))</x:f>
        <x:v>11-15%</x:v>
      </x:c>
      <x:c r="P363" s="9" t="n">
        <x:f>IF(K363=0,0,L363/K363)</x:f>
        <x:v>0.22630721670046205</x:v>
      </x:c>
      <x:c r="Q363" s="3" t="str">
        <x:f>IF(L363&lt;0,"Yes","No")</x:f>
        <x:v>No</x:v>
      </x:c>
    </x:row>
    <x:row r="364" ht="21" customHeight="1">
      <x:c r="A364" s="3" t="str">
        <x:v>ORD-101132</x:v>
      </x:c>
      <x:c r="B364" s="5" t="n">
        <x:v>45408</x:v>
      </x:c>
      <x:c r="C364" s="3" t="str">
        <x:v>CUST-00471</x:v>
      </x:c>
      <x:c r="D364" s="3" t="str">
        <x:v>North</x:v>
      </x:c>
      <x:c r="E364" s="3" t="str">
        <x:v>Fashion</x:v>
      </x:c>
      <x:c r="F364" s="3" t="str">
        <x:v>Men</x:v>
      </x:c>
      <x:c r="G364" s="3" t="str">
        <x:v>Oxford Casual Shirt</x:v>
      </x:c>
      <x:c r="H364" s="3" t="n">
        <x:v>2</x:v>
      </x:c>
      <x:c r="I364" s="7" t="n">
        <x:v>1262.51</x:v>
      </x:c>
      <x:c r="J364" s="9" t="n">
        <x:v>0.15</x:v>
      </x:c>
      <x:c r="K364" s="7" t="n">
        <x:v>2146.27</x:v>
      </x:c>
      <x:c r="L364" s="7" t="n">
        <x:v>602.48</x:v>
      </x:c>
      <x:c r="M364" s="3" t="str">
        <x:v>Credit Card</x:v>
      </x:c>
      <x:c r="N364" s="3" t="str">
        <x:f>TEXT(B364,"yyyy-mm")</x:f>
        <x:v>2024-04</x:v>
      </x:c>
      <x:c r="O364" s="3" t="str">
        <x:f>IF(J364=0,"No discount",IF(J364&lt;=0.1,"1-10%",IF(J364&lt;=0.15,"11-15%",IF(J364&lt;=0.2,"16-20%","21%+"))))</x:f>
        <x:v>11-15%</x:v>
      </x:c>
      <x:c r="P364" s="9" t="n">
        <x:f>IF(K364=0,0,L364/K364)</x:f>
        <x:v>0.28071025546646045</x:v>
      </x:c>
      <x:c r="Q364" s="3" t="str">
        <x:f>IF(L364&lt;0,"Yes","No")</x:f>
        <x:v>No</x:v>
      </x:c>
    </x:row>
    <x:row r="365" ht="21" customHeight="1">
      <x:c r="A365" s="3" t="str">
        <x:v>ORD-100097</x:v>
      </x:c>
      <x:c r="B365" s="5" t="n">
        <x:v>45409</x:v>
      </x:c>
      <x:c r="C365" s="3" t="str">
        <x:v>CUST-00333</x:v>
      </x:c>
      <x:c r="D365" s="3" t="str">
        <x:v>East</x:v>
      </x:c>
      <x:c r="E365" s="3" t="str">
        <x:v>Sports</x:v>
      </x:c>
      <x:c r="F365" s="3" t="str">
        <x:v>Fitness</x:v>
      </x:c>
      <x:c r="G365" s="3" t="str">
        <x:v>Adjustable Dumbbell 24kg</x:v>
      </x:c>
      <x:c r="H365" s="3" t="n">
        <x:v>4</x:v>
      </x:c>
      <x:c r="I365" s="7" t="n">
        <x:v>10074.75</x:v>
      </x:c>
      <x:c r="J365" s="9" t="n">
        <x:v>0.2</x:v>
      </x:c>
      <x:c r="K365" s="7" t="n">
        <x:v>32239.2</x:v>
      </x:c>
      <x:c r="L365" s="7" t="n">
        <x:v>5025.19</x:v>
      </x:c>
      <x:c r="M365" s="3" t="str">
        <x:v>UPI</x:v>
      </x:c>
      <x:c r="N365" s="3" t="str">
        <x:f>TEXT(B365,"yyyy-mm")</x:f>
        <x:v>2024-04</x:v>
      </x:c>
      <x:c r="O365" s="3" t="str">
        <x:f>IF(J365=0,"No discount",IF(J365&lt;=0.1,"1-10%",IF(J365&lt;=0.15,"11-15%",IF(J365&lt;=0.2,"16-20%","21%+"))))</x:f>
        <x:v>16-20%</x:v>
      </x:c>
      <x:c r="P365" s="9" t="n">
        <x:f>IF(K365=0,0,L365/K365)</x:f>
        <x:v>0.1558720439713144</x:v>
      </x:c>
      <x:c r="Q365" s="3" t="str">
        <x:f>IF(L365&lt;0,"Yes","No")</x:f>
        <x:v>No</x:v>
      </x:c>
    </x:row>
    <x:row r="366" ht="21" customHeight="1">
      <x:c r="A366" s="3" t="str">
        <x:v>ORD-100193</x:v>
      </x:c>
      <x:c r="B366" s="5" t="n">
        <x:v>45409</x:v>
      </x:c>
      <x:c r="C366" s="3" t="str">
        <x:v>CUST-00352</x:v>
      </x:c>
      <x:c r="D366" s="3" t="str">
        <x:v>North</x:v>
      </x:c>
      <x:c r="E366" s="3" t="str">
        <x:v>Fashion</x:v>
      </x:c>
      <x:c r="F366" s="3" t="str">
        <x:v>Footwear</x:v>
      </x:c>
      <x:c r="G366" s="3" t="str">
        <x:v>UrbanLoafers</x:v>
      </x:c>
      <x:c r="H366" s="3" t="n">
        <x:v>1</x:v>
      </x:c>
      <x:c r="I366" s="7" t="n">
        <x:v>3576.68</x:v>
      </x:c>
      <x:c r="J366" s="9" t="n">
        <x:v>0</x:v>
      </x:c>
      <x:c r="K366" s="7" t="n">
        <x:v>3576.68</x:v>
      </x:c>
      <x:c r="L366" s="7" t="n">
        <x:v>1488.6</x:v>
      </x:c>
      <x:c r="M366" s="3" t="str">
        <x:v>UPI</x:v>
      </x:c>
      <x:c r="N366" s="3" t="str">
        <x:f>TEXT(B366,"yyyy-mm")</x:f>
        <x:v>2024-04</x:v>
      </x:c>
      <x:c r="O366" s="3" t="str">
        <x:f>IF(J366=0,"No discount",IF(J366&lt;=0.1,"1-10%",IF(J366&lt;=0.15,"11-15%",IF(J366&lt;=0.2,"16-20%","21%+"))))</x:f>
        <x:v>No discount</x:v>
      </x:c>
      <x:c r="P366" s="9" t="n">
        <x:f>IF(K366=0,0,L366/K366)</x:f>
        <x:v>0.41619602536430433</x:v>
      </x:c>
      <x:c r="Q366" s="3" t="str">
        <x:f>IF(L366&lt;0,"Yes","No")</x:f>
        <x:v>No</x:v>
      </x:c>
    </x:row>
    <x:row r="367" ht="21" customHeight="1">
      <x:c r="A367" s="3" t="str">
        <x:v>ORD-100511</x:v>
      </x:c>
      <x:c r="B367" s="5" t="n">
        <x:v>45409</x:v>
      </x:c>
      <x:c r="C367" s="3" t="str">
        <x:v>CUST-00021</x:v>
      </x:c>
      <x:c r="D367" s="3" t="str">
        <x:v>East</x:v>
      </x:c>
      <x:c r="E367" s="3" t="str">
        <x:v>Home &amp; Kitchen</x:v>
      </x:c>
      <x:c r="F367" s="3" t="str">
        <x:v>Decor</x:v>
      </x:c>
      <x:c r="G367" s="3" t="str">
        <x:v>LED Wall Lamp</x:v>
      </x:c>
      <x:c r="H367" s="3" t="n">
        <x:v>1</x:v>
      </x:c>
      <x:c r="I367" s="7" t="n">
        <x:v>973.79</x:v>
      </x:c>
      <x:c r="J367" s="9" t="n">
        <x:v>0.1</x:v>
      </x:c>
      <x:c r="K367" s="7" t="n">
        <x:v>876.41</x:v>
      </x:c>
      <x:c r="L367" s="7" t="n">
        <x:v>198.81</x:v>
      </x:c>
      <x:c r="M367" s="3" t="str">
        <x:v>Net Banking</x:v>
      </x:c>
      <x:c r="N367" s="3" t="str">
        <x:f>TEXT(B367,"yyyy-mm")</x:f>
        <x:v>2024-04</x:v>
      </x:c>
      <x:c r="O367" s="3" t="str">
        <x:f>IF(J367=0,"No discount",IF(J367&lt;=0.1,"1-10%",IF(J367&lt;=0.15,"11-15%",IF(J367&lt;=0.2,"16-20%","21%+"))))</x:f>
        <x:v>1-10%</x:v>
      </x:c>
      <x:c r="P367" s="9" t="n">
        <x:f>IF(K367=0,0,L367/K367)</x:f>
        <x:v>0.22684588263483987</x:v>
      </x:c>
      <x:c r="Q367" s="3" t="str">
        <x:f>IF(L367&lt;0,"Yes","No")</x:f>
        <x:v>No</x:v>
      </x:c>
    </x:row>
    <x:row r="368" ht="21" customHeight="1">
      <x:c r="A368" s="3" t="str">
        <x:v>ORD-100606</x:v>
      </x:c>
      <x:c r="B368" s="5" t="n">
        <x:v>45409</x:v>
      </x:c>
      <x:c r="C368" s="3" t="str">
        <x:v>CUST-00451</x:v>
      </x:c>
      <x:c r="D368" s="3" t="str">
        <x:v>North</x:v>
      </x:c>
      <x:c r="E368" s="3" t="str">
        <x:v>Sports</x:v>
      </x:c>
      <x:c r="F368" s="3" t="str">
        <x:v>Outdoor</x:v>
      </x:c>
      <x:c r="G368" s="3" t="str">
        <x:v>AllWeather Tent 4P</x:v>
      </x:c>
      <x:c r="H368" s="3" t="n">
        <x:v>1</x:v>
      </x:c>
      <x:c r="I368" s="7" t="n">
        <x:v>12586.8</x:v>
      </x:c>
      <x:c r="J368" s="9" t="n">
        <x:v>0</x:v>
      </x:c>
      <x:c r="K368" s="7" t="n">
        <x:v>12586.8</x:v>
      </x:c>
      <x:c r="L368" s="7" t="n">
        <x:v>4644.85</x:v>
      </x:c>
      <x:c r="M368" s="3" t="str">
        <x:v>UPI</x:v>
      </x:c>
      <x:c r="N368" s="3" t="str">
        <x:f>TEXT(B368,"yyyy-mm")</x:f>
        <x:v>2024-04</x:v>
      </x:c>
      <x:c r="O368" s="3" t="str">
        <x:f>IF(J368=0,"No discount",IF(J368&lt;=0.1,"1-10%",IF(J368&lt;=0.15,"11-15%",IF(J368&lt;=0.2,"16-20%","21%+"))))</x:f>
        <x:v>No discount</x:v>
      </x:c>
      <x:c r="P368" s="9" t="n">
        <x:f>IF(K368=0,0,L368/K368)</x:f>
        <x:v>0.369025487018146</x:v>
      </x:c>
      <x:c r="Q368" s="3" t="str">
        <x:f>IF(L368&lt;0,"Yes","No")</x:f>
        <x:v>No</x:v>
      </x:c>
    </x:row>
    <x:row r="369" ht="21" customHeight="1">
      <x:c r="A369" s="3" t="str">
        <x:v>ORD-100028</x:v>
      </x:c>
      <x:c r="B369" s="5" t="n">
        <x:v>45410</x:v>
      </x:c>
      <x:c r="C369" s="3" t="str">
        <x:v>CUST-00591</x:v>
      </x:c>
      <x:c r="D369" s="3" t="str">
        <x:v>South</x:v>
      </x:c>
      <x:c r="E369" s="3" t="str">
        <x:v>Home &amp; Kitchen</x:v>
      </x:c>
      <x:c r="F369" s="3" t="str">
        <x:v>Furniture</x:v>
      </x:c>
      <x:c r="G369" s="3" t="str">
        <x:v>ErgoComfort Chair</x:v>
      </x:c>
      <x:c r="H369" s="3" t="n">
        <x:v>1</x:v>
      </x:c>
      <x:c r="I369" s="7" t="n">
        <x:v>8860.13</x:v>
      </x:c>
      <x:c r="J369" s="9" t="n">
        <x:v>0.1</x:v>
      </x:c>
      <x:c r="K369" s="7" t="n">
        <x:v>7974.12</x:v>
      </x:c>
      <x:c r="L369" s="7" t="n">
        <x:v>1897.16</x:v>
      </x:c>
      <x:c r="M369" s="3" t="str">
        <x:v>Cash on Delivery</x:v>
      </x:c>
      <x:c r="N369" s="3" t="str">
        <x:f>TEXT(B369,"yyyy-mm")</x:f>
        <x:v>2024-04</x:v>
      </x:c>
      <x:c r="O369" s="3" t="str">
        <x:f>IF(J369=0,"No discount",IF(J369&lt;=0.1,"1-10%",IF(J369&lt;=0.15,"11-15%",IF(J369&lt;=0.2,"16-20%","21%+"))))</x:f>
        <x:v>1-10%</x:v>
      </x:c>
      <x:c r="P369" s="9" t="n">
        <x:f>IF(K369=0,0,L369/K369)</x:f>
        <x:v>0.23791465390538394</x:v>
      </x:c>
      <x:c r="Q369" s="3" t="str">
        <x:f>IF(L369&lt;0,"Yes","No")</x:f>
        <x:v>No</x:v>
      </x:c>
    </x:row>
    <x:row r="370" ht="21" customHeight="1">
      <x:c r="A370" s="3" t="str">
        <x:v>ORD-100079</x:v>
      </x:c>
      <x:c r="B370" s="5" t="n">
        <x:v>45410</x:v>
      </x:c>
      <x:c r="C370" s="3" t="str">
        <x:v>CUST-00551</x:v>
      </x:c>
      <x:c r="D370" s="3" t="str">
        <x:v>East</x:v>
      </x:c>
      <x:c r="E370" s="3" t="str">
        <x:v>Home &amp; Kitchen</x:v>
      </x:c>
      <x:c r="F370" s="3" t="str">
        <x:v>Appliances</x:v>
      </x:c>
      <x:c r="G370" s="3" t="str">
        <x:v>AirFryer Deluxe</x:v>
      </x:c>
      <x:c r="H370" s="3" t="n">
        <x:v>2</x:v>
      </x:c>
      <x:c r="I370" s="7" t="n">
        <x:v>7970.42</x:v>
      </x:c>
      <x:c r="J370" s="9" t="n">
        <x:v>0.1</x:v>
      </x:c>
      <x:c r="K370" s="7" t="n">
        <x:v>14346.76</x:v>
      </x:c>
      <x:c r="L370" s="7" t="n">
        <x:v>3315.34</x:v>
      </x:c>
      <x:c r="M370" s="3" t="str">
        <x:v>UPI</x:v>
      </x:c>
      <x:c r="N370" s="3" t="str">
        <x:f>TEXT(B370,"yyyy-mm")</x:f>
        <x:v>2024-04</x:v>
      </x:c>
      <x:c r="O370" s="3" t="str">
        <x:f>IF(J370=0,"No discount",IF(J370&lt;=0.1,"1-10%",IF(J370&lt;=0.15,"11-15%",IF(J370&lt;=0.2,"16-20%","21%+"))))</x:f>
        <x:v>1-10%</x:v>
      </x:c>
      <x:c r="P370" s="9" t="n">
        <x:f>IF(K370=0,0,L370/K370)</x:f>
        <x:v>0.23108632192913245</x:v>
      </x:c>
      <x:c r="Q370" s="3" t="str">
        <x:f>IF(L370&lt;0,"Yes","No")</x:f>
        <x:v>No</x:v>
      </x:c>
    </x:row>
    <x:row r="371" ht="21" customHeight="1">
      <x:c r="A371" s="3" t="str">
        <x:v>ORD-100463</x:v>
      </x:c>
      <x:c r="B371" s="5" t="n">
        <x:v>45410</x:v>
      </x:c>
      <x:c r="C371" s="3" t="str">
        <x:v>CUST-00241</x:v>
      </x:c>
      <x:c r="D371" s="3" t="str">
        <x:v>East</x:v>
      </x:c>
      <x:c r="E371" s="3" t="str">
        <x:v>Home &amp; Kitchen</x:v>
      </x:c>
      <x:c r="F371" s="3" t="str">
        <x:v>Decor</x:v>
      </x:c>
      <x:c r="G371" s="3" t="str">
        <x:v>LED Wall Lamp</x:v>
      </x:c>
      <x:c r="H371" s="3" t="n">
        <x:v>1</x:v>
      </x:c>
      <x:c r="I371" s="7" t="n">
        <x:v>1041.44</x:v>
      </x:c>
      <x:c r="J371" s="9" t="n">
        <x:v>0.15</x:v>
      </x:c>
      <x:c r="K371" s="7" t="n">
        <x:v>885.22</x:v>
      </x:c>
      <x:c r="L371" s="7" t="n">
        <x:v>116.47</x:v>
      </x:c>
      <x:c r="M371" s="3" t="str">
        <x:v>Credit Card</x:v>
      </x:c>
      <x:c r="N371" s="3" t="str">
        <x:f>TEXT(B371,"yyyy-mm")</x:f>
        <x:v>2024-04</x:v>
      </x:c>
      <x:c r="O371" s="3" t="str">
        <x:f>IF(J371=0,"No discount",IF(J371&lt;=0.1,"1-10%",IF(J371&lt;=0.15,"11-15%",IF(J371&lt;=0.2,"16-20%","21%+"))))</x:f>
        <x:v>11-15%</x:v>
      </x:c>
      <x:c r="P371" s="9" t="n">
        <x:f>IF(K371=0,0,L371/K371)</x:f>
        <x:v>0.1315718126567407</x:v>
      </x:c>
      <x:c r="Q371" s="3" t="str">
        <x:f>IF(L371&lt;0,"Yes","No")</x:f>
        <x:v>No</x:v>
      </x:c>
    </x:row>
    <x:row r="372" ht="21" customHeight="1">
      <x:c r="A372" s="3" t="str">
        <x:v>ORD-100902</x:v>
      </x:c>
      <x:c r="B372" s="5" t="n">
        <x:v>45410</x:v>
      </x:c>
      <x:c r="C372" s="3" t="str">
        <x:v>CUST-00462</x:v>
      </x:c>
      <x:c r="D372" s="3" t="str">
        <x:v>North</x:v>
      </x:c>
      <x:c r="E372" s="3" t="str">
        <x:v>Beauty</x:v>
      </x:c>
      <x:c r="F372" s="3" t="str">
        <x:v>Makeup</x:v>
      </x:c>
      <x:c r="G372" s="3" t="str">
        <x:v>HD Foundation Kit</x:v>
      </x:c>
      <x:c r="H372" s="3" t="n">
        <x:v>1</x:v>
      </x:c>
      <x:c r="I372" s="7" t="n">
        <x:v>1524.51</x:v>
      </x:c>
      <x:c r="J372" s="9" t="n">
        <x:v>0.1</x:v>
      </x:c>
      <x:c r="K372" s="7" t="n">
        <x:v>1372.06</x:v>
      </x:c>
      <x:c r="L372" s="7" t="n">
        <x:v>588.33</x:v>
      </x:c>
      <x:c r="M372" s="3" t="str">
        <x:v>Credit Card</x:v>
      </x:c>
      <x:c r="N372" s="3" t="str">
        <x:f>TEXT(B372,"yyyy-mm")</x:f>
        <x:v>2024-04</x:v>
      </x:c>
      <x:c r="O372" s="3" t="str">
        <x:f>IF(J372=0,"No discount",IF(J372&lt;=0.1,"1-10%",IF(J372&lt;=0.15,"11-15%",IF(J372&lt;=0.2,"16-20%","21%+"))))</x:f>
        <x:v>1-10%</x:v>
      </x:c>
      <x:c r="P372" s="9" t="n">
        <x:f>IF(K372=0,0,L372/K372)</x:f>
        <x:v>0.4287932014634929</x:v>
      </x:c>
      <x:c r="Q372" s="3" t="str">
        <x:f>IF(L372&lt;0,"Yes","No")</x:f>
        <x:v>No</x:v>
      </x:c>
    </x:row>
    <x:row r="373" ht="21" customHeight="1">
      <x:c r="A373" s="3" t="str">
        <x:v>ORD-101852</x:v>
      </x:c>
      <x:c r="B373" s="5" t="n">
        <x:v>45410</x:v>
      </x:c>
      <x:c r="C373" s="3" t="str">
        <x:v>CUST-00139</x:v>
      </x:c>
      <x:c r="D373" s="3" t="str">
        <x:v>West</x:v>
      </x:c>
      <x:c r="E373" s="3" t="str">
        <x:v>Fashion</x:v>
      </x:c>
      <x:c r="F373" s="3" t="str">
        <x:v>Footwear</x:v>
      </x:c>
      <x:c r="G373" s="3" t="str">
        <x:v>UrbanLoafers</x:v>
      </x:c>
      <x:c r="H373" s="3" t="n">
        <x:v>1</x:v>
      </x:c>
      <x:c r="I373" s="7" t="n">
        <x:v>3492.2</x:v>
      </x:c>
      <x:c r="J373" s="9" t="n">
        <x:v>0.05</x:v>
      </x:c>
      <x:c r="K373" s="7" t="n">
        <x:v>3317.59</x:v>
      </x:c>
      <x:c r="L373" s="7" t="n">
        <x:v>1296.9</x:v>
      </x:c>
      <x:c r="M373" s="3" t="str">
        <x:v>Debit Card</x:v>
      </x:c>
      <x:c r="N373" s="3" t="str">
        <x:f>TEXT(B373,"yyyy-mm")</x:f>
        <x:v>2024-04</x:v>
      </x:c>
      <x:c r="O373" s="3" t="str">
        <x:f>IF(J373=0,"No discount",IF(J373&lt;=0.1,"1-10%",IF(J373&lt;=0.15,"11-15%",IF(J373&lt;=0.2,"16-20%","21%+"))))</x:f>
        <x:v>1-10%</x:v>
      </x:c>
      <x:c r="P373" s="9" t="n">
        <x:f>IF(K373=0,0,L373/K373)</x:f>
        <x:v>0.3909162976739139</x:v>
      </x:c>
      <x:c r="Q373" s="3" t="str">
        <x:f>IF(L373&lt;0,"Yes","No")</x:f>
        <x:v>No</x:v>
      </x:c>
    </x:row>
    <x:row r="374" ht="21" customHeight="1">
      <x:c r="A374" s="3" t="str">
        <x:v>ORD-100336</x:v>
      </x:c>
      <x:c r="B374" s="5" t="n">
        <x:v>45411</x:v>
      </x:c>
      <x:c r="C374" s="3" t="str">
        <x:v>CUST-00392</x:v>
      </x:c>
      <x:c r="D374" s="3" t="str">
        <x:v>East</x:v>
      </x:c>
      <x:c r="E374" s="3" t="str">
        <x:v>Beauty</x:v>
      </x:c>
      <x:c r="F374" s="3" t="str">
        <x:v>Makeup</x:v>
      </x:c>
      <x:c r="G374" s="3" t="str">
        <x:v>Matte Lipstick Set</x:v>
      </x:c>
      <x:c r="H374" s="3" t="n">
        <x:v>2</x:v>
      </x:c>
      <x:c r="I374" s="7" t="n">
        <x:v>994.89</x:v>
      </x:c>
      <x:c r="J374" s="9" t="n">
        <x:v>0.3</x:v>
      </x:c>
      <x:c r="K374" s="7" t="n">
        <x:v>1392.85</x:v>
      </x:c>
      <x:c r="L374" s="7" t="n">
        <x:v>281.16</x:v>
      </x:c>
      <x:c r="M374" s="3" t="str">
        <x:v>UPI</x:v>
      </x:c>
      <x:c r="N374" s="3" t="str">
        <x:f>TEXT(B374,"yyyy-mm")</x:f>
        <x:v>2024-04</x:v>
      </x:c>
      <x:c r="O374" s="3" t="str">
        <x:f>IF(J374=0,"No discount",IF(J374&lt;=0.1,"1-10%",IF(J374&lt;=0.15,"11-15%",IF(J374&lt;=0.2,"16-20%","21%+"))))</x:f>
        <x:v>21%+</x:v>
      </x:c>
      <x:c r="P374" s="9" t="n">
        <x:f>IF(K374=0,0,L374/K374)</x:f>
        <x:v>0.2018594967153678</x:v>
      </x:c>
      <x:c r="Q374" s="3" t="str">
        <x:f>IF(L374&lt;0,"Yes","No")</x:f>
        <x:v>No</x:v>
      </x:c>
    </x:row>
    <x:row r="375" ht="21" customHeight="1">
      <x:c r="A375" s="3" t="str">
        <x:v>ORD-100554</x:v>
      </x:c>
      <x:c r="B375" s="5" t="n">
        <x:v>45411</x:v>
      </x:c>
      <x:c r="C375" s="3" t="str">
        <x:v>CUST-00356</x:v>
      </x:c>
      <x:c r="D375" s="3" t="str">
        <x:v>North</x:v>
      </x:c>
      <x:c r="E375" s="3" t="str">
        <x:v>Sports</x:v>
      </x:c>
      <x:c r="F375" s="3" t="str">
        <x:v>Outdoor</x:v>
      </x:c>
      <x:c r="G375" s="3" t="str">
        <x:v>TrailHike Backpack 60L</x:v>
      </x:c>
      <x:c r="H375" s="3" t="n">
        <x:v>2</x:v>
      </x:c>
      <x:c r="I375" s="7" t="n">
        <x:v>3471.71</x:v>
      </x:c>
      <x:c r="J375" s="9" t="n">
        <x:v>0.1</x:v>
      </x:c>
      <x:c r="K375" s="7" t="n">
        <x:v>6249.08</x:v>
      </x:c>
      <x:c r="L375" s="7" t="n">
        <x:v>1563.94</x:v>
      </x:c>
      <x:c r="M375" s="3" t="str">
        <x:v>Net Banking</x:v>
      </x:c>
      <x:c r="N375" s="3" t="str">
        <x:f>TEXT(B375,"yyyy-mm")</x:f>
        <x:v>2024-04</x:v>
      </x:c>
      <x:c r="O375" s="3" t="str">
        <x:f>IF(J375=0,"No discount",IF(J375&lt;=0.1,"1-10%",IF(J375&lt;=0.15,"11-15%",IF(J375&lt;=0.2,"16-20%","21%+"))))</x:f>
        <x:v>1-10%</x:v>
      </x:c>
      <x:c r="P375" s="9" t="n">
        <x:f>IF(K375=0,0,L375/K375)</x:f>
        <x:v>0.2502672393376305</x:v>
      </x:c>
      <x:c r="Q375" s="3" t="str">
        <x:f>IF(L375&lt;0,"Yes","No")</x:f>
        <x:v>No</x:v>
      </x:c>
    </x:row>
    <x:row r="376" ht="21" customHeight="1">
      <x:c r="A376" s="3" t="str">
        <x:v>ORD-100935</x:v>
      </x:c>
      <x:c r="B376" s="5" t="n">
        <x:v>45411</x:v>
      </x:c>
      <x:c r="C376" s="3" t="str">
        <x:v>CUST-00488</x:v>
      </x:c>
      <x:c r="D376" s="3" t="str">
        <x:v>East</x:v>
      </x:c>
      <x:c r="E376" s="3" t="str">
        <x:v>Fashion</x:v>
      </x:c>
      <x:c r="F376" s="3" t="str">
        <x:v>Men</x:v>
      </x:c>
      <x:c r="G376" s="3" t="str">
        <x:v>Oxford Casual Shirt</x:v>
      </x:c>
      <x:c r="H376" s="3" t="n">
        <x:v>1</x:v>
      </x:c>
      <x:c r="I376" s="7" t="n">
        <x:v>1335.56</x:v>
      </x:c>
      <x:c r="J376" s="9" t="n">
        <x:v>0.1</x:v>
      </x:c>
      <x:c r="K376" s="7" t="n">
        <x:v>1202</x:v>
      </x:c>
      <x:c r="L376" s="7" t="n">
        <x:v>349.19</x:v>
      </x:c>
      <x:c r="M376" s="3" t="str">
        <x:v>UPI</x:v>
      </x:c>
      <x:c r="N376" s="3" t="str">
        <x:f>TEXT(B376,"yyyy-mm")</x:f>
        <x:v>2024-04</x:v>
      </x:c>
      <x:c r="O376" s="3" t="str">
        <x:f>IF(J376=0,"No discount",IF(J376&lt;=0.1,"1-10%",IF(J376&lt;=0.15,"11-15%",IF(J376&lt;=0.2,"16-20%","21%+"))))</x:f>
        <x:v>1-10%</x:v>
      </x:c>
      <x:c r="P376" s="9" t="n">
        <x:f>IF(K376=0,0,L376/K376)</x:f>
        <x:v>0.2905074875207987</x:v>
      </x:c>
      <x:c r="Q376" s="3" t="str">
        <x:f>IF(L376&lt;0,"Yes","No")</x:f>
        <x:v>No</x:v>
      </x:c>
    </x:row>
    <x:row r="377" ht="21" customHeight="1">
      <x:c r="A377" s="3" t="str">
        <x:v>ORD-101609</x:v>
      </x:c>
      <x:c r="B377" s="5" t="n">
        <x:v>45411</x:v>
      </x:c>
      <x:c r="C377" s="3" t="str">
        <x:v>CUST-00509</x:v>
      </x:c>
      <x:c r="D377" s="3" t="str">
        <x:v>West</x:v>
      </x:c>
      <x:c r="E377" s="3" t="str">
        <x:v>Beauty</x:v>
      </x:c>
      <x:c r="F377" s="3" t="str">
        <x:v>Skincare</x:v>
      </x:c>
      <x:c r="G377" s="3" t="str">
        <x:v>Vitamin C Serum</x:v>
      </x:c>
      <x:c r="H377" s="3" t="n">
        <x:v>1</x:v>
      </x:c>
      <x:c r="I377" s="7" t="n">
        <x:v>938.41</x:v>
      </x:c>
      <x:c r="J377" s="9" t="n">
        <x:v>0</x:v>
      </x:c>
      <x:c r="K377" s="7" t="n">
        <x:v>938.41</x:v>
      </x:c>
      <x:c r="L377" s="7" t="n">
        <x:v>494.34</x:v>
      </x:c>
      <x:c r="M377" s="3" t="str">
        <x:v>Credit Card</x:v>
      </x:c>
      <x:c r="N377" s="3" t="str">
        <x:f>TEXT(B377,"yyyy-mm")</x:f>
        <x:v>2024-04</x:v>
      </x:c>
      <x:c r="O377" s="3" t="str">
        <x:f>IF(J377=0,"No discount",IF(J377&lt;=0.1,"1-10%",IF(J377&lt;=0.15,"11-15%",IF(J377&lt;=0.2,"16-20%","21%+"))))</x:f>
        <x:v>No discount</x:v>
      </x:c>
      <x:c r="P377" s="9" t="n">
        <x:f>IF(K377=0,0,L377/K377)</x:f>
        <x:v>0.5267846676825695</x:v>
      </x:c>
      <x:c r="Q377" s="3" t="str">
        <x:f>IF(L377&lt;0,"Yes","No")</x:f>
        <x:v>No</x:v>
      </x:c>
    </x:row>
    <x:row r="378" ht="21" customHeight="1">
      <x:c r="A378" s="3" t="str">
        <x:v>ORD-100154</x:v>
      </x:c>
      <x:c r="B378" s="5" t="n">
        <x:v>45412</x:v>
      </x:c>
      <x:c r="C378" s="3" t="str">
        <x:v>CUST-00303</x:v>
      </x:c>
      <x:c r="D378" s="3" t="str">
        <x:v>West</x:v>
      </x:c>
      <x:c r="E378" s="3" t="str">
        <x:v>Fashion</x:v>
      </x:c>
      <x:c r="F378" s="3" t="str">
        <x:v>Men</x:v>
      </x:c>
      <x:c r="G378" s="3" t="str">
        <x:v>SlimFit Denim Jeans</x:v>
      </x:c>
      <x:c r="H378" s="3" t="n">
        <x:v>1</x:v>
      </x:c>
      <x:c r="I378" s="7" t="n">
        <x:v>2036.2</x:v>
      </x:c>
      <x:c r="J378" s="9" t="n">
        <x:v>0</x:v>
      </x:c>
      <x:c r="K378" s="7" t="n">
        <x:v>2036.2</x:v>
      </x:c>
      <x:c r="L378" s="7" t="n">
        <x:v>924.13</x:v>
      </x:c>
      <x:c r="M378" s="3" t="str">
        <x:v>Debit Card</x:v>
      </x:c>
      <x:c r="N378" s="3" t="str">
        <x:f>TEXT(B378,"yyyy-mm")</x:f>
        <x:v>2024-04</x:v>
      </x:c>
      <x:c r="O378" s="3" t="str">
        <x:f>IF(J378=0,"No discount",IF(J378&lt;=0.1,"1-10%",IF(J378&lt;=0.15,"11-15%",IF(J378&lt;=0.2,"16-20%","21%+"))))</x:f>
        <x:v>No discount</x:v>
      </x:c>
      <x:c r="P378" s="9" t="n">
        <x:f>IF(K378=0,0,L378/K378)</x:f>
        <x:v>0.4538503093998625</x:v>
      </x:c>
      <x:c r="Q378" s="3" t="str">
        <x:f>IF(L378&lt;0,"Yes","No")</x:f>
        <x:v>No</x:v>
      </x:c>
    </x:row>
    <x:row r="379" ht="21" customHeight="1">
      <x:c r="A379" s="3" t="str">
        <x:v>ORD-100675</x:v>
      </x:c>
      <x:c r="B379" s="5" t="n">
        <x:v>45412</x:v>
      </x:c>
      <x:c r="C379" s="3" t="str">
        <x:v>CUST-00185</x:v>
      </x:c>
      <x:c r="D379" s="3" t="str">
        <x:v>North</x:v>
      </x:c>
      <x:c r="E379" s="3" t="str">
        <x:v>Sports</x:v>
      </x:c>
      <x:c r="F379" s="3" t="str">
        <x:v>Outdoor</x:v>
      </x:c>
      <x:c r="G379" s="3" t="str">
        <x:v>TrailHike Backpack 60L</x:v>
      </x:c>
      <x:c r="H379" s="3" t="n">
        <x:v>1</x:v>
      </x:c>
      <x:c r="I379" s="7" t="n">
        <x:v>3573.79</x:v>
      </x:c>
      <x:c r="J379" s="9" t="n">
        <x:v>0.1</x:v>
      </x:c>
      <x:c r="K379" s="7" t="n">
        <x:v>3216.41</x:v>
      </x:c>
      <x:c r="L379" s="7" t="n">
        <x:v>926.99</x:v>
      </x:c>
      <x:c r="M379" s="3" t="str">
        <x:v>Debit Card</x:v>
      </x:c>
      <x:c r="N379" s="3" t="str">
        <x:f>TEXT(B379,"yyyy-mm")</x:f>
        <x:v>2024-04</x:v>
      </x:c>
      <x:c r="O379" s="3" t="str">
        <x:f>IF(J379=0,"No discount",IF(J379&lt;=0.1,"1-10%",IF(J379&lt;=0.15,"11-15%",IF(J379&lt;=0.2,"16-20%","21%+"))))</x:f>
        <x:v>1-10%</x:v>
      </x:c>
      <x:c r="P379" s="9" t="n">
        <x:f>IF(K379=0,0,L379/K379)</x:f>
        <x:v>0.288206416470537</x:v>
      </x:c>
      <x:c r="Q379" s="3" t="str">
        <x:f>IF(L379&lt;0,"Yes","No")</x:f>
        <x:v>No</x:v>
      </x:c>
    </x:row>
    <x:row r="380" ht="21" customHeight="1">
      <x:c r="A380" s="3" t="str">
        <x:v>ORD-100690</x:v>
      </x:c>
      <x:c r="B380" s="5" t="n">
        <x:v>45412</x:v>
      </x:c>
      <x:c r="C380" s="3" t="str">
        <x:v>CUST-00495</x:v>
      </x:c>
      <x:c r="D380" s="3" t="str">
        <x:v>West</x:v>
      </x:c>
      <x:c r="E380" s="3" t="str">
        <x:v>Sports</x:v>
      </x:c>
      <x:c r="F380" s="3" t="str">
        <x:v>Outdoor</x:v>
      </x:c>
      <x:c r="G380" s="3" t="str">
        <x:v>AllWeather Tent 4P</x:v>
      </x:c>
      <x:c r="H380" s="3" t="n">
        <x:v>1</x:v>
      </x:c>
      <x:c r="I380" s="7" t="n">
        <x:v>11804.57</x:v>
      </x:c>
      <x:c r="J380" s="9" t="n">
        <x:v>0.3</x:v>
      </x:c>
      <x:c r="K380" s="7" t="n">
        <x:v>8263.2</x:v>
      </x:c>
      <x:c r="L380" s="7" t="n">
        <x:v>407.58</x:v>
      </x:c>
      <x:c r="M380" s="3" t="str">
        <x:v>Net Banking</x:v>
      </x:c>
      <x:c r="N380" s="3" t="str">
        <x:f>TEXT(B380,"yyyy-mm")</x:f>
        <x:v>2024-04</x:v>
      </x:c>
      <x:c r="O380" s="3" t="str">
        <x:f>IF(J380=0,"No discount",IF(J380&lt;=0.1,"1-10%",IF(J380&lt;=0.15,"11-15%",IF(J380&lt;=0.2,"16-20%","21%+"))))</x:f>
        <x:v>21%+</x:v>
      </x:c>
      <x:c r="P380" s="9" t="n">
        <x:f>IF(K380=0,0,L380/K380)</x:f>
        <x:v>0.04932471681672959</x:v>
      </x:c>
      <x:c r="Q380" s="3" t="str">
        <x:f>IF(L380&lt;0,"Yes","No")</x:f>
        <x:v>No</x:v>
      </x:c>
    </x:row>
    <x:row r="381" ht="21" customHeight="1">
      <x:c r="A381" s="3" t="str">
        <x:v>ORD-101651</x:v>
      </x:c>
      <x:c r="B381" s="5" t="n">
        <x:v>45412</x:v>
      </x:c>
      <x:c r="C381" s="3" t="str">
        <x:v>CUST-00509</x:v>
      </x:c>
      <x:c r="D381" s="3" t="str">
        <x:v>South</x:v>
      </x:c>
      <x:c r="E381" s="3" t="str">
        <x:v>Home &amp; Kitchen</x:v>
      </x:c>
      <x:c r="F381" s="3" t="str">
        <x:v>Furniture</x:v>
      </x:c>
      <x:c r="G381" s="3" t="str">
        <x:v>Oakwood Study Desk</x:v>
      </x:c>
      <x:c r="H381" s="3" t="n">
        <x:v>3</x:v>
      </x:c>
      <x:c r="I381" s="7" t="n">
        <x:v>13363.07</x:v>
      </x:c>
      <x:c r="J381" s="9" t="n">
        <x:v>0</x:v>
      </x:c>
      <x:c r="K381" s="7" t="n">
        <x:v>40089.21</x:v>
      </x:c>
      <x:c r="L381" s="7" t="n">
        <x:v>14035.58</x:v>
      </x:c>
      <x:c r="M381" s="3" t="str">
        <x:v>Net Banking</x:v>
      </x:c>
      <x:c r="N381" s="3" t="str">
        <x:f>TEXT(B381,"yyyy-mm")</x:f>
        <x:v>2024-04</x:v>
      </x:c>
      <x:c r="O381" s="3" t="str">
        <x:f>IF(J381=0,"No discount",IF(J381&lt;=0.1,"1-10%",IF(J381&lt;=0.15,"11-15%",IF(J381&lt;=0.2,"16-20%","21%+"))))</x:f>
        <x:v>No discount</x:v>
      </x:c>
      <x:c r="P381" s="9" t="n">
        <x:f>IF(K381=0,0,L381/K381)</x:f>
        <x:v>0.3501086701384238</x:v>
      </x:c>
      <x:c r="Q381" s="3" t="str">
        <x:f>IF(L381&lt;0,"Yes","No")</x:f>
        <x:v>No</x:v>
      </x:c>
    </x:row>
    <x:row r="382" ht="21" customHeight="1">
      <x:c r="A382" s="3" t="str">
        <x:v>ORD-100507</x:v>
      </x:c>
      <x:c r="B382" s="5" t="n">
        <x:v>45413</x:v>
      </x:c>
      <x:c r="C382" s="3" t="str">
        <x:v>CUST-00323</x:v>
      </x:c>
      <x:c r="D382" s="3" t="str">
        <x:v>North</x:v>
      </x:c>
      <x:c r="E382" s="3" t="str">
        <x:v>Electronics</x:v>
      </x:c>
      <x:c r="F382" s="3" t="str">
        <x:v>Audio</x:v>
      </x:c>
      <x:c r="G382" s="3" t="str">
        <x:v>BassBoom Speaker</x:v>
      </x:c>
      <x:c r="H382" s="3" t="n">
        <x:v>3</x:v>
      </x:c>
      <x:c r="I382" s="7" t="n">
        <x:v>9144.87</x:v>
      </x:c>
      <x:c r="J382" s="9" t="n">
        <x:v>0</x:v>
      </x:c>
      <x:c r="K382" s="7" t="n">
        <x:v>27434.61</x:v>
      </x:c>
      <x:c r="L382" s="7" t="n">
        <x:v>4916.83</x:v>
      </x:c>
      <x:c r="M382" s="3" t="str">
        <x:v>UPI</x:v>
      </x:c>
      <x:c r="N382" s="3" t="str">
        <x:f>TEXT(B382,"yyyy-mm")</x:f>
        <x:v>2024-05</x:v>
      </x:c>
      <x:c r="O382" s="3" t="str">
        <x:f>IF(J382=0,"No discount",IF(J382&lt;=0.1,"1-10%",IF(J382&lt;=0.15,"11-15%",IF(J382&lt;=0.2,"16-20%","21%+"))))</x:f>
        <x:v>No discount</x:v>
      </x:c>
      <x:c r="P382" s="9" t="n">
        <x:f>IF(K382=0,0,L382/K382)</x:f>
        <x:v>0.17921997068666184</x:v>
      </x:c>
      <x:c r="Q382" s="3" t="str">
        <x:f>IF(L382&lt;0,"Yes","No")</x:f>
        <x:v>No</x:v>
      </x:c>
    </x:row>
    <x:row r="383" ht="21" customHeight="1">
      <x:c r="A383" s="3" t="str">
        <x:v>ORD-101083</x:v>
      </x:c>
      <x:c r="B383" s="5" t="n">
        <x:v>45413</x:v>
      </x:c>
      <x:c r="C383" s="3" t="str">
        <x:v>CUST-00367</x:v>
      </x:c>
      <x:c r="D383" s="3" t="str">
        <x:v>North</x:v>
      </x:c>
      <x:c r="E383" s="3" t="str">
        <x:v>Fashion</x:v>
      </x:c>
      <x:c r="F383" s="3" t="str">
        <x:v>Men</x:v>
      </x:c>
      <x:c r="G383" s="3" t="str">
        <x:v>SlimFit Denim Jeans</x:v>
      </x:c>
      <x:c r="H383" s="3" t="n">
        <x:v>1</x:v>
      </x:c>
      <x:c r="I383" s="7" t="n">
        <x:v>1936.17</x:v>
      </x:c>
      <x:c r="J383" s="9" t="n">
        <x:v>0</x:v>
      </x:c>
      <x:c r="K383" s="7" t="n">
        <x:v>1936.17</x:v>
      </x:c>
      <x:c r="L383" s="7" t="n">
        <x:v>855.95</x:v>
      </x:c>
      <x:c r="M383" s="3" t="str">
        <x:v>UPI</x:v>
      </x:c>
      <x:c r="N383" s="3" t="str">
        <x:f>TEXT(B383,"yyyy-mm")</x:f>
        <x:v>2024-05</x:v>
      </x:c>
      <x:c r="O383" s="3" t="str">
        <x:f>IF(J383=0,"No discount",IF(J383&lt;=0.1,"1-10%",IF(J383&lt;=0.15,"11-15%",IF(J383&lt;=0.2,"16-20%","21%+"))))</x:f>
        <x:v>No discount</x:v>
      </x:c>
      <x:c r="P383" s="9" t="n">
        <x:f>IF(K383=0,0,L383/K383)</x:f>
        <x:v>0.4420841145147379</x:v>
      </x:c>
      <x:c r="Q383" s="3" t="str">
        <x:f>IF(L383&lt;0,"Yes","No")</x:f>
        <x:v>No</x:v>
      </x:c>
    </x:row>
    <x:row r="384" ht="21" customHeight="1">
      <x:c r="A384" s="3" t="str">
        <x:v>ORD-100445</x:v>
      </x:c>
      <x:c r="B384" s="5" t="n">
        <x:v>45414</x:v>
      </x:c>
      <x:c r="C384" s="3" t="str">
        <x:v>CUST-00134</x:v>
      </x:c>
      <x:c r="D384" s="3" t="str">
        <x:v>East</x:v>
      </x:c>
      <x:c r="E384" s="3" t="str">
        <x:v>Beauty</x:v>
      </x:c>
      <x:c r="F384" s="3" t="str">
        <x:v>Skincare</x:v>
      </x:c>
      <x:c r="G384" s="3" t="str">
        <x:v>HydraBoost Moisturizer</x:v>
      </x:c>
      <x:c r="H384" s="3" t="n">
        <x:v>1</x:v>
      </x:c>
      <x:c r="I384" s="7" t="n">
        <x:v>1169.25</x:v>
      </x:c>
      <x:c r="J384" s="9" t="n">
        <x:v>0.15</x:v>
      </x:c>
      <x:c r="K384" s="7" t="n">
        <x:v>993.86</x:v>
      </x:c>
      <x:c r="L384" s="7" t="n">
        <x:v>338.13</x:v>
      </x:c>
      <x:c r="M384" s="3" t="str">
        <x:v>UPI</x:v>
      </x:c>
      <x:c r="N384" s="3" t="str">
        <x:f>TEXT(B384,"yyyy-mm")</x:f>
        <x:v>2024-05</x:v>
      </x:c>
      <x:c r="O384" s="3" t="str">
        <x:f>IF(J384=0,"No discount",IF(J384&lt;=0.1,"1-10%",IF(J384&lt;=0.15,"11-15%",IF(J384&lt;=0.2,"16-20%","21%+"))))</x:f>
        <x:v>11-15%</x:v>
      </x:c>
      <x:c r="P384" s="9" t="n">
        <x:f>IF(K384=0,0,L384/K384)</x:f>
        <x:v>0.3402189443181132</x:v>
      </x:c>
      <x:c r="Q384" s="3" t="str">
        <x:f>IF(L384&lt;0,"Yes","No")</x:f>
        <x:v>No</x:v>
      </x:c>
    </x:row>
    <x:row r="385" ht="21" customHeight="1">
      <x:c r="A385" s="3" t="str">
        <x:v>ORD-100490</x:v>
      </x:c>
      <x:c r="B385" s="5" t="n">
        <x:v>45414</x:v>
      </x:c>
      <x:c r="C385" s="3" t="str">
        <x:v>CUST-00590</x:v>
      </x:c>
      <x:c r="D385" s="3" t="str">
        <x:v>South</x:v>
      </x:c>
      <x:c r="E385" s="3" t="str">
        <x:v>Fashion</x:v>
      </x:c>
      <x:c r="F385" s="3" t="str">
        <x:v>Men</x:v>
      </x:c>
      <x:c r="G385" s="3" t="str">
        <x:v>SlimFit Denim Jeans</x:v>
      </x:c>
      <x:c r="H385" s="3" t="n">
        <x:v>2</x:v>
      </x:c>
      <x:c r="I385" s="7" t="n">
        <x:v>2093.08</x:v>
      </x:c>
      <x:c r="J385" s="9" t="n">
        <x:v>0.05</x:v>
      </x:c>
      <x:c r="K385" s="7" t="n">
        <x:v>3976.85</x:v>
      </x:c>
      <x:c r="L385" s="7" t="n">
        <x:v>1473.07</x:v>
      </x:c>
      <x:c r="M385" s="3" t="str">
        <x:v>Credit Card</x:v>
      </x:c>
      <x:c r="N385" s="3" t="str">
        <x:f>TEXT(B385,"yyyy-mm")</x:f>
        <x:v>2024-05</x:v>
      </x:c>
      <x:c r="O385" s="3" t="str">
        <x:f>IF(J385=0,"No discount",IF(J385&lt;=0.1,"1-10%",IF(J385&lt;=0.15,"11-15%",IF(J385&lt;=0.2,"16-20%","21%+"))))</x:f>
        <x:v>1-10%</x:v>
      </x:c>
      <x:c r="P385" s="9" t="n">
        <x:f>IF(K385=0,0,L385/K385)</x:f>
        <x:v>0.37041125513911766</x:v>
      </x:c>
      <x:c r="Q385" s="3" t="str">
        <x:f>IF(L385&lt;0,"Yes","No")</x:f>
        <x:v>No</x:v>
      </x:c>
    </x:row>
    <x:row r="386" ht="21" customHeight="1">
      <x:c r="A386" s="3" t="str">
        <x:v>ORD-100573</x:v>
      </x:c>
      <x:c r="B386" s="5" t="n">
        <x:v>45415</x:v>
      </x:c>
      <x:c r="C386" s="3" t="str">
        <x:v>CUST-00297</x:v>
      </x:c>
      <x:c r="D386" s="3" t="str">
        <x:v>East</x:v>
      </x:c>
      <x:c r="E386" s="3" t="str">
        <x:v>Sports</x:v>
      </x:c>
      <x:c r="F386" s="3" t="str">
        <x:v>Outdoor</x:v>
      </x:c>
      <x:c r="G386" s="3" t="str">
        <x:v>TrailHike Backpack 60L</x:v>
      </x:c>
      <x:c r="H386" s="3" t="n">
        <x:v>2</x:v>
      </x:c>
      <x:c r="I386" s="7" t="n">
        <x:v>3453.28</x:v>
      </x:c>
      <x:c r="J386" s="9" t="n">
        <x:v>0.25</x:v>
      </x:c>
      <x:c r="K386" s="7" t="n">
        <x:v>5179.92</x:v>
      </x:c>
      <x:c r="L386" s="7" t="n">
        <x:v>666.37</x:v>
      </x:c>
      <x:c r="M386" s="3" t="str">
        <x:v>UPI</x:v>
      </x:c>
      <x:c r="N386" s="3" t="str">
        <x:f>TEXT(B386,"yyyy-mm")</x:f>
        <x:v>2024-05</x:v>
      </x:c>
      <x:c r="O386" s="3" t="str">
        <x:f>IF(J386=0,"No discount",IF(J386&lt;=0.1,"1-10%",IF(J386&lt;=0.15,"11-15%",IF(J386&lt;=0.2,"16-20%","21%+"))))</x:f>
        <x:v>21%+</x:v>
      </x:c>
      <x:c r="P386" s="9" t="n">
        <x:f>IF(K386=0,0,L386/K386)</x:f>
        <x:v>0.12864484393581369</x:v>
      </x:c>
      <x:c r="Q386" s="3" t="str">
        <x:f>IF(L386&lt;0,"Yes","No")</x:f>
        <x:v>No</x:v>
      </x:c>
    </x:row>
    <x:row r="387" ht="21" customHeight="1">
      <x:c r="A387" s="3" t="str">
        <x:v>ORD-100582</x:v>
      </x:c>
      <x:c r="B387" s="5" t="n">
        <x:v>45415</x:v>
      </x:c>
      <x:c r="C387" s="3" t="str">
        <x:v>CUST-00246</x:v>
      </x:c>
      <x:c r="D387" s="3" t="str">
        <x:v>North</x:v>
      </x:c>
      <x:c r="E387" s="3" t="str">
        <x:v>Fashion</x:v>
      </x:c>
      <x:c r="F387" s="3" t="str">
        <x:v>Men</x:v>
      </x:c>
      <x:c r="G387" s="3" t="str">
        <x:v>SlimFit Denim Jeans</x:v>
      </x:c>
      <x:c r="H387" s="3" t="n">
        <x:v>1</x:v>
      </x:c>
      <x:c r="I387" s="7" t="n">
        <x:v>1927.53</x:v>
      </x:c>
      <x:c r="J387" s="9" t="n">
        <x:v>0</x:v>
      </x:c>
      <x:c r="K387" s="7" t="n">
        <x:v>1927.53</x:v>
      </x:c>
      <x:c r="L387" s="7" t="n">
        <x:v>870.17</x:v>
      </x:c>
      <x:c r="M387" s="3" t="str">
        <x:v>Cash on Delivery</x:v>
      </x:c>
      <x:c r="N387" s="3" t="str">
        <x:f>TEXT(B387,"yyyy-mm")</x:f>
        <x:v>2024-05</x:v>
      </x:c>
      <x:c r="O387" s="3" t="str">
        <x:f>IF(J387=0,"No discount",IF(J387&lt;=0.1,"1-10%",IF(J387&lt;=0.15,"11-15%",IF(J387&lt;=0.2,"16-20%","21%+"))))</x:f>
        <x:v>No discount</x:v>
      </x:c>
      <x:c r="P387" s="9" t="n">
        <x:f>IF(K387=0,0,L387/K387)</x:f>
        <x:v>0.4514430385000493</x:v>
      </x:c>
      <x:c r="Q387" s="3" t="str">
        <x:f>IF(L387&lt;0,"Yes","No")</x:f>
        <x:v>No</x:v>
      </x:c>
    </x:row>
    <x:row r="388" ht="21" customHeight="1">
      <x:c r="A388" s="3" t="str">
        <x:v>ORD-101056</x:v>
      </x:c>
      <x:c r="B388" s="5" t="n">
        <x:v>45415</x:v>
      </x:c>
      <x:c r="C388" s="3" t="str">
        <x:v>CUST-00063</x:v>
      </x:c>
      <x:c r="D388" s="3" t="str">
        <x:v>West</x:v>
      </x:c>
      <x:c r="E388" s="3" t="str">
        <x:v>Home &amp; Kitchen</x:v>
      </x:c>
      <x:c r="F388" s="3" t="str">
        <x:v>Decor</x:v>
      </x:c>
      <x:c r="G388" s="3" t="str">
        <x:v>LED Wall Lamp</x:v>
      </x:c>
      <x:c r="H388" s="3" t="n">
        <x:v>2</x:v>
      </x:c>
      <x:c r="I388" s="7" t="n">
        <x:v>1031.38</x:v>
      </x:c>
      <x:c r="J388" s="9" t="n">
        <x:v>0.1</x:v>
      </x:c>
      <x:c r="K388" s="7" t="n">
        <x:v>1856.48</x:v>
      </x:c>
      <x:c r="L388" s="7" t="n">
        <x:v>420.8</x:v>
      </x:c>
      <x:c r="M388" s="3" t="str">
        <x:v>Credit Card</x:v>
      </x:c>
      <x:c r="N388" s="3" t="str">
        <x:f>TEXT(B388,"yyyy-mm")</x:f>
        <x:v>2024-05</x:v>
      </x:c>
      <x:c r="O388" s="3" t="str">
        <x:f>IF(J388=0,"No discount",IF(J388&lt;=0.1,"1-10%",IF(J388&lt;=0.15,"11-15%",IF(J388&lt;=0.2,"16-20%","21%+"))))</x:f>
        <x:v>1-10%</x:v>
      </x:c>
      <x:c r="P388" s="9" t="n">
        <x:f>IF(K388=0,0,L388/K388)</x:f>
        <x:v>0.22666551753856762</x:v>
      </x:c>
      <x:c r="Q388" s="3" t="str">
        <x:f>IF(L388&lt;0,"Yes","No")</x:f>
        <x:v>No</x:v>
      </x:c>
    </x:row>
    <x:row r="389" ht="21" customHeight="1">
      <x:c r="A389" s="3" t="str">
        <x:v>ORD-101614</x:v>
      </x:c>
      <x:c r="B389" s="5" t="n">
        <x:v>45415</x:v>
      </x:c>
      <x:c r="C389" s="3" t="str">
        <x:v>CUST-00497</x:v>
      </x:c>
      <x:c r="D389" s="3" t="str">
        <x:v>North</x:v>
      </x:c>
      <x:c r="E389" s="3" t="str">
        <x:v>Fashion</x:v>
      </x:c>
      <x:c r="F389" s="3" t="str">
        <x:v>Men</x:v>
      </x:c>
      <x:c r="G389" s="3" t="str">
        <x:v>SlimFit Denim Jeans</x:v>
      </x:c>
      <x:c r="H389" s="3" t="n">
        <x:v>2</x:v>
      </x:c>
      <x:c r="I389" s="7" t="n">
        <x:v>2016.61</x:v>
      </x:c>
      <x:c r="J389" s="9" t="n">
        <x:v>0.2</x:v>
      </x:c>
      <x:c r="K389" s="7" t="n">
        <x:v>3226.58</x:v>
      </x:c>
      <x:c r="L389" s="7" t="n">
        <x:v>738.98</x:v>
      </x:c>
      <x:c r="M389" s="3" t="str">
        <x:v>Credit Card</x:v>
      </x:c>
      <x:c r="N389" s="3" t="str">
        <x:f>TEXT(B389,"yyyy-mm")</x:f>
        <x:v>2024-05</x:v>
      </x:c>
      <x:c r="O389" s="3" t="str">
        <x:f>IF(J389=0,"No discount",IF(J389&lt;=0.1,"1-10%",IF(J389&lt;=0.15,"11-15%",IF(J389&lt;=0.2,"16-20%","21%+"))))</x:f>
        <x:v>16-20%</x:v>
      </x:c>
      <x:c r="P389" s="9" t="n">
        <x:f>IF(K389=0,0,L389/K389)</x:f>
        <x:v>0.22902887887484583</x:v>
      </x:c>
      <x:c r="Q389" s="3" t="str">
        <x:f>IF(L389&lt;0,"Yes","No")</x:f>
        <x:v>No</x:v>
      </x:c>
    </x:row>
    <x:row r="390" ht="21" customHeight="1">
      <x:c r="A390" s="3" t="str">
        <x:v>ORD-101684</x:v>
      </x:c>
      <x:c r="B390" s="5" t="n">
        <x:v>45415</x:v>
      </x:c>
      <x:c r="C390" s="3" t="str">
        <x:v>CUST-00139</x:v>
      </x:c>
      <x:c r="D390" s="3" t="str">
        <x:v>West</x:v>
      </x:c>
      <x:c r="E390" s="3" t="str">
        <x:v>Beauty</x:v>
      </x:c>
      <x:c r="F390" s="3" t="str">
        <x:v>Skincare</x:v>
      </x:c>
      <x:c r="G390" s="3" t="str">
        <x:v>Vitamin C Serum</x:v>
      </x:c>
      <x:c r="H390" s="3" t="n">
        <x:v>1</x:v>
      </x:c>
      <x:c r="I390" s="7" t="n">
        <x:v>893.61</x:v>
      </x:c>
      <x:c r="J390" s="9" t="n">
        <x:v>0.05</x:v>
      </x:c>
      <x:c r="K390" s="7" t="n">
        <x:v>848.93</x:v>
      </x:c>
      <x:c r="L390" s="7" t="n">
        <x:v>398.47</x:v>
      </x:c>
      <x:c r="M390" s="3" t="str">
        <x:v>Credit Card</x:v>
      </x:c>
      <x:c r="N390" s="3" t="str">
        <x:f>TEXT(B390,"yyyy-mm")</x:f>
        <x:v>2024-05</x:v>
      </x:c>
      <x:c r="O390" s="3" t="str">
        <x:f>IF(J390=0,"No discount",IF(J390&lt;=0.1,"1-10%",IF(J390&lt;=0.15,"11-15%",IF(J390&lt;=0.2,"16-20%","21%+"))))</x:f>
        <x:v>1-10%</x:v>
      </x:c>
      <x:c r="P390" s="9" t="n">
        <x:f>IF(K390=0,0,L390/K390)</x:f>
        <x:v>0.4693791007503564</x:v>
      </x:c>
      <x:c r="Q390" s="3" t="str">
        <x:f>IF(L390&lt;0,"Yes","No")</x:f>
        <x:v>No</x:v>
      </x:c>
    </x:row>
    <x:row r="391" ht="21" customHeight="1">
      <x:c r="A391" s="3" t="str">
        <x:v>ORD-101737</x:v>
      </x:c>
      <x:c r="B391" s="5" t="n">
        <x:v>45415</x:v>
      </x:c>
      <x:c r="C391" s="3" t="str">
        <x:v>CUST-00222</x:v>
      </x:c>
      <x:c r="D391" s="3" t="str">
        <x:v>East</x:v>
      </x:c>
      <x:c r="E391" s="3" t="str">
        <x:v>Sports</x:v>
      </x:c>
      <x:c r="F391" s="3" t="str">
        <x:v>Fitness</x:v>
      </x:c>
      <x:c r="G391" s="3" t="str">
        <x:v>Adjustable Dumbbell 24kg</x:v>
      </x:c>
      <x:c r="H391" s="3" t="n">
        <x:v>1</x:v>
      </x:c>
      <x:c r="I391" s="7" t="n">
        <x:v>10386.06</x:v>
      </x:c>
      <x:c r="J391" s="9" t="n">
        <x:v>0.15</x:v>
      </x:c>
      <x:c r="K391" s="7" t="n">
        <x:v>8828.15</x:v>
      </x:c>
      <x:c r="L391" s="7" t="n">
        <x:v>1540.67</x:v>
      </x:c>
      <x:c r="M391" s="3" t="str">
        <x:v>UPI</x:v>
      </x:c>
      <x:c r="N391" s="3" t="str">
        <x:f>TEXT(B391,"yyyy-mm")</x:f>
        <x:v>2024-05</x:v>
      </x:c>
      <x:c r="O391" s="3" t="str">
        <x:f>IF(J391=0,"No discount",IF(J391&lt;=0.1,"1-10%",IF(J391&lt;=0.15,"11-15%",IF(J391&lt;=0.2,"16-20%","21%+"))))</x:f>
        <x:v>11-15%</x:v>
      </x:c>
      <x:c r="P391" s="9" t="n">
        <x:f>IF(K391=0,0,L391/K391)</x:f>
        <x:v>0.17451787747149744</x:v>
      </x:c>
      <x:c r="Q391" s="3" t="str">
        <x:f>IF(L391&lt;0,"Yes","No")</x:f>
        <x:v>No</x:v>
      </x:c>
    </x:row>
    <x:row r="392" ht="21" customHeight="1">
      <x:c r="A392" s="3" t="str">
        <x:v>ORD-101546</x:v>
      </x:c>
      <x:c r="B392" s="5" t="n">
        <x:v>45416</x:v>
      </x:c>
      <x:c r="C392" s="3" t="str">
        <x:v>CUST-00247</x:v>
      </x:c>
      <x:c r="D392" s="3" t="str">
        <x:v>North</x:v>
      </x:c>
      <x:c r="E392" s="3" t="str">
        <x:v>Electronics</x:v>
      </x:c>
      <x:c r="F392" s="3" t="str">
        <x:v>Audio</x:v>
      </x:c>
      <x:c r="G392" s="3" t="str">
        <x:v>BassBoom Speaker</x:v>
      </x:c>
      <x:c r="H392" s="3" t="n">
        <x:v>5</x:v>
      </x:c>
      <x:c r="I392" s="7" t="n">
        <x:v>9301.49</x:v>
      </x:c>
      <x:c r="J392" s="9" t="n">
        <x:v>0</x:v>
      </x:c>
      <x:c r="K392" s="7" t="n">
        <x:v>46507.45</x:v>
      </x:c>
      <x:c r="L392" s="7" t="n">
        <x:v>7695.74</x:v>
      </x:c>
      <x:c r="M392" s="3" t="str">
        <x:v>UPI</x:v>
      </x:c>
      <x:c r="N392" s="3" t="str">
        <x:f>TEXT(B392,"yyyy-mm")</x:f>
        <x:v>2024-05</x:v>
      </x:c>
      <x:c r="O392" s="3" t="str">
        <x:f>IF(J392=0,"No discount",IF(J392&lt;=0.1,"1-10%",IF(J392&lt;=0.15,"11-15%",IF(J392&lt;=0.2,"16-20%","21%+"))))</x:f>
        <x:v>No discount</x:v>
      </x:c>
      <x:c r="P392" s="9" t="n">
        <x:f>IF(K392=0,0,L392/K392)</x:f>
        <x:v>0.16547327363680442</x:v>
      </x:c>
      <x:c r="Q392" s="3" t="str">
        <x:f>IF(L392&lt;0,"Yes","No")</x:f>
        <x:v>No</x:v>
      </x:c>
    </x:row>
    <x:row r="393" ht="21" customHeight="1">
      <x:c r="A393" s="3" t="str">
        <x:v>ORD-101616</x:v>
      </x:c>
      <x:c r="B393" s="5" t="n">
        <x:v>45416</x:v>
      </x:c>
      <x:c r="C393" s="3" t="str">
        <x:v>CUST-00039</x:v>
      </x:c>
      <x:c r="D393" s="3" t="str">
        <x:v>North</x:v>
      </x:c>
      <x:c r="E393" s="3" t="str">
        <x:v>Home &amp; Kitchen</x:v>
      </x:c>
      <x:c r="F393" s="3" t="str">
        <x:v>Appliances</x:v>
      </x:c>
      <x:c r="G393" s="3" t="str">
        <x:v>ColdBrew Coffee Maker</x:v>
      </x:c>
      <x:c r="H393" s="3" t="n">
        <x:v>1</x:v>
      </x:c>
      <x:c r="I393" s="7" t="n">
        <x:v>6312.67</x:v>
      </x:c>
      <x:c r="J393" s="9" t="n">
        <x:v>0.15</x:v>
      </x:c>
      <x:c r="K393" s="7" t="n">
        <x:v>5365.77</x:v>
      </x:c>
      <x:c r="L393" s="7" t="n">
        <x:v>800.15</x:v>
      </x:c>
      <x:c r="M393" s="3" t="str">
        <x:v>Cash on Delivery</x:v>
      </x:c>
      <x:c r="N393" s="3" t="str">
        <x:f>TEXT(B393,"yyyy-mm")</x:f>
        <x:v>2024-05</x:v>
      </x:c>
      <x:c r="O393" s="3" t="str">
        <x:f>IF(J393=0,"No discount",IF(J393&lt;=0.1,"1-10%",IF(J393&lt;=0.15,"11-15%",IF(J393&lt;=0.2,"16-20%","21%+"))))</x:f>
        <x:v>11-15%</x:v>
      </x:c>
      <x:c r="P393" s="9" t="n">
        <x:f>IF(K393=0,0,L393/K393)</x:f>
        <x:v>0.14912118857125817</x:v>
      </x:c>
      <x:c r="Q393" s="3" t="str">
        <x:f>IF(L393&lt;0,"Yes","No")</x:f>
        <x:v>No</x:v>
      </x:c>
    </x:row>
    <x:row r="394" ht="21" customHeight="1">
      <x:c r="A394" s="3" t="str">
        <x:v>ORD-100089</x:v>
      </x:c>
      <x:c r="B394" s="5" t="n">
        <x:v>45417</x:v>
      </x:c>
      <x:c r="C394" s="3" t="str">
        <x:v>CUST-00434</x:v>
      </x:c>
      <x:c r="D394" s="3" t="str">
        <x:v>West</x:v>
      </x:c>
      <x:c r="E394" s="3" t="str">
        <x:v>Electronics</x:v>
      </x:c>
      <x:c r="F394" s="3" t="str">
        <x:v>Laptop</x:v>
      </x:c>
      <x:c r="G394" s="3" t="str">
        <x:v>ThinkPro 14</x:v>
      </x:c>
      <x:c r="H394" s="3" t="n">
        <x:v>2</x:v>
      </x:c>
      <x:c r="I394" s="7" t="n">
        <x:v>52964.67</x:v>
      </x:c>
      <x:c r="J394" s="9" t="n">
        <x:v>0.05</x:v>
      </x:c>
      <x:c r="K394" s="7" t="n">
        <x:v>100632.87</x:v>
      </x:c>
      <x:c r="L394" s="7" t="n">
        <x:v>8785.1</x:v>
      </x:c>
      <x:c r="M394" s="3" t="str">
        <x:v>Credit Card</x:v>
      </x:c>
      <x:c r="N394" s="3" t="str">
        <x:f>TEXT(B394,"yyyy-mm")</x:f>
        <x:v>2024-05</x:v>
      </x:c>
      <x:c r="O394" s="3" t="str">
        <x:f>IF(J394=0,"No discount",IF(J394&lt;=0.1,"1-10%",IF(J394&lt;=0.15,"11-15%",IF(J394&lt;=0.2,"16-20%","21%+"))))</x:f>
        <x:v>1-10%</x:v>
      </x:c>
      <x:c r="P394" s="9" t="n">
        <x:f>IF(K394=0,0,L394/K394)</x:f>
        <x:v>0.087298513895112</x:v>
      </x:c>
      <x:c r="Q394" s="3" t="str">
        <x:f>IF(L394&lt;0,"Yes","No")</x:f>
        <x:v>No</x:v>
      </x:c>
    </x:row>
    <x:row r="395" ht="21" customHeight="1">
      <x:c r="A395" s="3" t="str">
        <x:v>ORD-100789</x:v>
      </x:c>
      <x:c r="B395" s="5" t="n">
        <x:v>45417</x:v>
      </x:c>
      <x:c r="C395" s="3" t="str">
        <x:v>CUST-00466</x:v>
      </x:c>
      <x:c r="D395" s="3" t="str">
        <x:v>East</x:v>
      </x:c>
      <x:c r="E395" s="3" t="str">
        <x:v>Home &amp; Kitchen</x:v>
      </x:c>
      <x:c r="F395" s="3" t="str">
        <x:v>Decor</x:v>
      </x:c>
      <x:c r="G395" s="3" t="str">
        <x:v>LED Wall Lamp</x:v>
      </x:c>
      <x:c r="H395" s="3" t="n">
        <x:v>4</x:v>
      </x:c>
      <x:c r="I395" s="7" t="n">
        <x:v>968.09</x:v>
      </x:c>
      <x:c r="J395" s="9" t="n">
        <x:v>0</x:v>
      </x:c>
      <x:c r="K395" s="7" t="n">
        <x:v>3872.36</x:v>
      </x:c>
      <x:c r="L395" s="7" t="n">
        <x:v>1302.51</x:v>
      </x:c>
      <x:c r="M395" s="3" t="str">
        <x:v>Debit Card</x:v>
      </x:c>
      <x:c r="N395" s="3" t="str">
        <x:f>TEXT(B395,"yyyy-mm")</x:f>
        <x:v>2024-05</x:v>
      </x:c>
      <x:c r="O395" s="3" t="str">
        <x:f>IF(J395=0,"No discount",IF(J395&lt;=0.1,"1-10%",IF(J395&lt;=0.15,"11-15%",IF(J395&lt;=0.2,"16-20%","21%+"))))</x:f>
        <x:v>No discount</x:v>
      </x:c>
      <x:c r="P395" s="9" t="n">
        <x:f>IF(K395=0,0,L395/K395)</x:f>
        <x:v>0.3363607722422502</x:v>
      </x:c>
      <x:c r="Q395" s="3" t="str">
        <x:f>IF(L395&lt;0,"Yes","No")</x:f>
        <x:v>No</x:v>
      </x:c>
    </x:row>
    <x:row r="396" ht="21" customHeight="1">
      <x:c r="A396" s="3" t="str">
        <x:v>ORD-100820</x:v>
      </x:c>
      <x:c r="B396" s="5" t="n">
        <x:v>45417</x:v>
      </x:c>
      <x:c r="C396" s="3" t="str">
        <x:v>CUST-00079</x:v>
      </x:c>
      <x:c r="D396" s="3" t="str">
        <x:v>North</x:v>
      </x:c>
      <x:c r="E396" s="3" t="str">
        <x:v>Fashion</x:v>
      </x:c>
      <x:c r="F396" s="3" t="str">
        <x:v>Women</x:v>
      </x:c>
      <x:c r="G396" s="3" t="str">
        <x:v>Floral Summer Dress</x:v>
      </x:c>
      <x:c r="H396" s="3" t="n">
        <x:v>1</x:v>
      </x:c>
      <x:c r="I396" s="7" t="n">
        <x:v>1869.24</x:v>
      </x:c>
      <x:c r="J396" s="9" t="n">
        <x:v>0.1</x:v>
      </x:c>
      <x:c r="K396" s="7" t="n">
        <x:v>1682.32</x:v>
      </x:c>
      <x:c r="L396" s="7" t="n">
        <x:v>580.14</x:v>
      </x:c>
      <x:c r="M396" s="3" t="str">
        <x:v>UPI</x:v>
      </x:c>
      <x:c r="N396" s="3" t="str">
        <x:f>TEXT(B396,"yyyy-mm")</x:f>
        <x:v>2024-05</x:v>
      </x:c>
      <x:c r="O396" s="3" t="str">
        <x:f>IF(J396=0,"No discount",IF(J396&lt;=0.1,"1-10%",IF(J396&lt;=0.15,"11-15%",IF(J396&lt;=0.2,"16-20%","21%+"))))</x:f>
        <x:v>1-10%</x:v>
      </x:c>
      <x:c r="P396" s="9" t="n">
        <x:f>IF(K396=0,0,L396/K396)</x:f>
        <x:v>0.3448452137524371</x:v>
      </x:c>
      <x:c r="Q396" s="3" t="str">
        <x:f>IF(L396&lt;0,"Yes","No")</x:f>
        <x:v>No</x:v>
      </x:c>
    </x:row>
    <x:row r="397" ht="21" customHeight="1">
      <x:c r="A397" s="3" t="str">
        <x:v>ORD-101650</x:v>
      </x:c>
      <x:c r="B397" s="5" t="n">
        <x:v>45417</x:v>
      </x:c>
      <x:c r="C397" s="3" t="str">
        <x:v>CUST-00276</x:v>
      </x:c>
      <x:c r="D397" s="3" t="str">
        <x:v>South</x:v>
      </x:c>
      <x:c r="E397" s="3" t="str">
        <x:v>Beauty</x:v>
      </x:c>
      <x:c r="F397" s="3" t="str">
        <x:v>Makeup</x:v>
      </x:c>
      <x:c r="G397" s="3" t="str">
        <x:v>Matte Lipstick Set</x:v>
      </x:c>
      <x:c r="H397" s="3" t="n">
        <x:v>1</x:v>
      </x:c>
      <x:c r="I397" s="7" t="n">
        <x:v>983.7</x:v>
      </x:c>
      <x:c r="J397" s="9" t="n">
        <x:v>0.1</x:v>
      </x:c>
      <x:c r="K397" s="7" t="n">
        <x:v>885.33</x:v>
      </x:c>
      <x:c r="L397" s="7" t="n">
        <x:v>402.59</x:v>
      </x:c>
      <x:c r="M397" s="3" t="str">
        <x:v>Credit Card</x:v>
      </x:c>
      <x:c r="N397" s="3" t="str">
        <x:f>TEXT(B397,"yyyy-mm")</x:f>
        <x:v>2024-05</x:v>
      </x:c>
      <x:c r="O397" s="3" t="str">
        <x:f>IF(J397=0,"No discount",IF(J397&lt;=0.1,"1-10%",IF(J397&lt;=0.15,"11-15%",IF(J397&lt;=0.2,"16-20%","21%+"))))</x:f>
        <x:v>1-10%</x:v>
      </x:c>
      <x:c r="P397" s="9" t="n">
        <x:f>IF(K397=0,0,L397/K397)</x:f>
        <x:v>0.45473439282527417</x:v>
      </x:c>
      <x:c r="Q397" s="3" t="str">
        <x:f>IF(L397&lt;0,"Yes","No")</x:f>
        <x:v>No</x:v>
      </x:c>
    </x:row>
    <x:row r="398" ht="21" customHeight="1">
      <x:c r="A398" s="3" t="str">
        <x:v>ORD-100682</x:v>
      </x:c>
      <x:c r="B398" s="5" t="n">
        <x:v>45418</x:v>
      </x:c>
      <x:c r="C398" s="3" t="str">
        <x:v>CUST-00314</x:v>
      </x:c>
      <x:c r="D398" s="3" t="str">
        <x:v>West</x:v>
      </x:c>
      <x:c r="E398" s="3" t="str">
        <x:v>Home &amp; Kitchen</x:v>
      </x:c>
      <x:c r="F398" s="3" t="str">
        <x:v>Decor</x:v>
      </x:c>
      <x:c r="G398" s="3" t="str">
        <x:v>LED Wall Lamp</x:v>
      </x:c>
      <x:c r="H398" s="3" t="n">
        <x:v>1</x:v>
      </x:c>
      <x:c r="I398" s="7" t="n">
        <x:v>976.39</x:v>
      </x:c>
      <x:c r="J398" s="9" t="n">
        <x:v>0.15</x:v>
      </x:c>
      <x:c r="K398" s="7" t="n">
        <x:v>829.93</x:v>
      </x:c>
      <x:c r="L398" s="7" t="n">
        <x:v>104.02</x:v>
      </x:c>
      <x:c r="M398" s="3" t="str">
        <x:v>UPI</x:v>
      </x:c>
      <x:c r="N398" s="3" t="str">
        <x:f>TEXT(B398,"yyyy-mm")</x:f>
        <x:v>2024-05</x:v>
      </x:c>
      <x:c r="O398" s="3" t="str">
        <x:f>IF(J398=0,"No discount",IF(J398&lt;=0.1,"1-10%",IF(J398&lt;=0.15,"11-15%",IF(J398&lt;=0.2,"16-20%","21%+"))))</x:f>
        <x:v>11-15%</x:v>
      </x:c>
      <x:c r="P398" s="9" t="n">
        <x:f>IF(K398=0,0,L398/K398)</x:f>
        <x:v>0.1253358717000229</x:v>
      </x:c>
      <x:c r="Q398" s="3" t="str">
        <x:f>IF(L398&lt;0,"Yes","No")</x:f>
        <x:v>No</x:v>
      </x:c>
    </x:row>
    <x:row r="399" ht="21" customHeight="1">
      <x:c r="A399" s="3" t="str">
        <x:v>ORD-100801</x:v>
      </x:c>
      <x:c r="B399" s="5" t="n">
        <x:v>45418</x:v>
      </x:c>
      <x:c r="C399" s="3" t="str">
        <x:v>CUST-00023</x:v>
      </x:c>
      <x:c r="D399" s="3" t="str">
        <x:v>North</x:v>
      </x:c>
      <x:c r="E399" s="3" t="str">
        <x:v>Sports</x:v>
      </x:c>
      <x:c r="F399" s="3" t="str">
        <x:v>Outdoor</x:v>
      </x:c>
      <x:c r="G399" s="3" t="str">
        <x:v>TrailHike Backpack 60L</x:v>
      </x:c>
      <x:c r="H399" s="3" t="n">
        <x:v>4</x:v>
      </x:c>
      <x:c r="I399" s="7" t="n">
        <x:v>3493.3</x:v>
      </x:c>
      <x:c r="J399" s="9" t="n">
        <x:v>0</x:v>
      </x:c>
      <x:c r="K399" s="7" t="n">
        <x:v>13973.2</x:v>
      </x:c>
      <x:c r="L399" s="7" t="n">
        <x:v>4956.62</x:v>
      </x:c>
      <x:c r="M399" s="3" t="str">
        <x:v>Debit Card</x:v>
      </x:c>
      <x:c r="N399" s="3" t="str">
        <x:f>TEXT(B399,"yyyy-mm")</x:f>
        <x:v>2024-05</x:v>
      </x:c>
      <x:c r="O399" s="3" t="str">
        <x:f>IF(J399=0,"No discount",IF(J399&lt;=0.1,"1-10%",IF(J399&lt;=0.15,"11-15%",IF(J399&lt;=0.2,"16-20%","21%+"))))</x:f>
        <x:v>No discount</x:v>
      </x:c>
      <x:c r="P399" s="9" t="n">
        <x:f>IF(K399=0,0,L399/K399)</x:f>
        <x:v>0.35472332751266705</x:v>
      </x:c>
      <x:c r="Q399" s="3" t="str">
        <x:f>IF(L399&lt;0,"Yes","No")</x:f>
        <x:v>No</x:v>
      </x:c>
    </x:row>
    <x:row r="400" ht="21" customHeight="1">
      <x:c r="A400" s="3" t="str">
        <x:v>ORD-100654</x:v>
      </x:c>
      <x:c r="B400" s="5" t="n">
        <x:v>45419</x:v>
      </x:c>
      <x:c r="C400" s="3" t="str">
        <x:v>CUST-00351</x:v>
      </x:c>
      <x:c r="D400" s="3" t="str">
        <x:v>North</x:v>
      </x:c>
      <x:c r="E400" s="3" t="str">
        <x:v>Fashion</x:v>
      </x:c>
      <x:c r="F400" s="3" t="str">
        <x:v>Women</x:v>
      </x:c>
      <x:c r="G400" s="3" t="str">
        <x:v>Knit Winter Sweater</x:v>
      </x:c>
      <x:c r="H400" s="3" t="n">
        <x:v>1</x:v>
      </x:c>
      <x:c r="I400" s="7" t="n">
        <x:v>2113.06</x:v>
      </x:c>
      <x:c r="J400" s="9" t="n">
        <x:v>0.25</x:v>
      </x:c>
      <x:c r="K400" s="7" t="n">
        <x:v>1584.8</x:v>
      </x:c>
      <x:c r="L400" s="7" t="n">
        <x:v>227.28</x:v>
      </x:c>
      <x:c r="M400" s="3" t="str">
        <x:v>UPI</x:v>
      </x:c>
      <x:c r="N400" s="3" t="str">
        <x:f>TEXT(B400,"yyyy-mm")</x:f>
        <x:v>2024-05</x:v>
      </x:c>
      <x:c r="O400" s="3" t="str">
        <x:f>IF(J400=0,"No discount",IF(J400&lt;=0.1,"1-10%",IF(J400&lt;=0.15,"11-15%",IF(J400&lt;=0.2,"16-20%","21%+"))))</x:f>
        <x:v>21%+</x:v>
      </x:c>
      <x:c r="P400" s="9" t="n">
        <x:f>IF(K400=0,0,L400/K400)</x:f>
        <x:v>0.14341241797072185</x:v>
      </x:c>
      <x:c r="Q400" s="3" t="str">
        <x:f>IF(L400&lt;0,"Yes","No")</x:f>
        <x:v>No</x:v>
      </x:c>
    </x:row>
    <x:row r="401" ht="21" customHeight="1">
      <x:c r="A401" s="3" t="str">
        <x:v>ORD-100955</x:v>
      </x:c>
      <x:c r="B401" s="5" t="n">
        <x:v>45419</x:v>
      </x:c>
      <x:c r="C401" s="3" t="str">
        <x:v>CUST-00180</x:v>
      </x:c>
      <x:c r="D401" s="3" t="str">
        <x:v>South</x:v>
      </x:c>
      <x:c r="E401" s="3" t="str">
        <x:v>Electronics</x:v>
      </x:c>
      <x:c r="F401" s="3" t="str">
        <x:v>Laptop</x:v>
      </x:c>
      <x:c r="G401" s="3" t="str">
        <x:v>ThinkPro 14</x:v>
      </x:c>
      <x:c r="H401" s="3" t="n">
        <x:v>1</x:v>
      </x:c>
      <x:c r="I401" s="7" t="n">
        <x:v>56318.5</x:v>
      </x:c>
      <x:c r="J401" s="9" t="n">
        <x:v>0.15</x:v>
      </x:c>
      <x:c r="K401" s="7" t="n">
        <x:v>47870.72</x:v>
      </x:c>
      <x:c r="L401" s="7" t="n">
        <x:v>-98.93</x:v>
      </x:c>
      <x:c r="M401" s="3" t="str">
        <x:v>UPI</x:v>
      </x:c>
      <x:c r="N401" s="3" t="str">
        <x:f>TEXT(B401,"yyyy-mm")</x:f>
        <x:v>2024-05</x:v>
      </x:c>
      <x:c r="O401" s="3" t="str">
        <x:f>IF(J401=0,"No discount",IF(J401&lt;=0.1,"1-10%",IF(J401&lt;=0.15,"11-15%",IF(J401&lt;=0.2,"16-20%","21%+"))))</x:f>
        <x:v>11-15%</x:v>
      </x:c>
      <x:c r="P401" s="9" t="n">
        <x:f>IF(K401=0,0,L401/K401)</x:f>
        <x:v>-0.002066607730153213</x:v>
      </x:c>
      <x:c r="Q401" s="3" t="str">
        <x:f>IF(L401&lt;0,"Yes","No")</x:f>
        <x:v>Yes</x:v>
      </x:c>
    </x:row>
    <x:row r="402" ht="21" customHeight="1">
      <x:c r="A402" s="3" t="str">
        <x:v>ORD-101449</x:v>
      </x:c>
      <x:c r="B402" s="5" t="n">
        <x:v>45419</x:v>
      </x:c>
      <x:c r="C402" s="3" t="str">
        <x:v>CUST-00163</x:v>
      </x:c>
      <x:c r="D402" s="3" t="str">
        <x:v>East</x:v>
      </x:c>
      <x:c r="E402" s="3" t="str">
        <x:v>Sports</x:v>
      </x:c>
      <x:c r="F402" s="3" t="str">
        <x:v>Outdoor</x:v>
      </x:c>
      <x:c r="G402" s="3" t="str">
        <x:v>AllWeather Tent 4P</x:v>
      </x:c>
      <x:c r="H402" s="3" t="n">
        <x:v>1</x:v>
      </x:c>
      <x:c r="I402" s="7" t="n">
        <x:v>12205.52</x:v>
      </x:c>
      <x:c r="J402" s="9" t="n">
        <x:v>0.3</x:v>
      </x:c>
      <x:c r="K402" s="7" t="n">
        <x:v>8543.86</x:v>
      </x:c>
      <x:c r="L402" s="7" t="n">
        <x:v>494.27</x:v>
      </x:c>
      <x:c r="M402" s="3" t="str">
        <x:v>UPI</x:v>
      </x:c>
      <x:c r="N402" s="3" t="str">
        <x:f>TEXT(B402,"yyyy-mm")</x:f>
        <x:v>2024-05</x:v>
      </x:c>
      <x:c r="O402" s="3" t="str">
        <x:f>IF(J402=0,"No discount",IF(J402&lt;=0.1,"1-10%",IF(J402&lt;=0.15,"11-15%",IF(J402&lt;=0.2,"16-20%","21%+"))))</x:f>
        <x:v>21%+</x:v>
      </x:c>
      <x:c r="P402" s="9" t="n">
        <x:f>IF(K402=0,0,L402/K402)</x:f>
        <x:v>0.05785090111495272</x:v>
      </x:c>
      <x:c r="Q402" s="3" t="str">
        <x:f>IF(L402&lt;0,"Yes","No")</x:f>
        <x:v>No</x:v>
      </x:c>
    </x:row>
    <x:row r="403" ht="21" customHeight="1">
      <x:c r="A403" s="3" t="str">
        <x:v>ORD-100642</x:v>
      </x:c>
      <x:c r="B403" s="5" t="n">
        <x:v>45420</x:v>
      </x:c>
      <x:c r="C403" s="3" t="str">
        <x:v>CUST-00563</x:v>
      </x:c>
      <x:c r="D403" s="3" t="str">
        <x:v>North</x:v>
      </x:c>
      <x:c r="E403" s="3" t="str">
        <x:v>Beauty</x:v>
      </x:c>
      <x:c r="F403" s="3" t="str">
        <x:v>Makeup</x:v>
      </x:c>
      <x:c r="G403" s="3" t="str">
        <x:v>Matte Lipstick Set</x:v>
      </x:c>
      <x:c r="H403" s="3" t="n">
        <x:v>1</x:v>
      </x:c>
      <x:c r="I403" s="7" t="n">
        <x:v>1035.95</x:v>
      </x:c>
      <x:c r="J403" s="9" t="n">
        <x:v>0</x:v>
      </x:c>
      <x:c r="K403" s="7" t="n">
        <x:v>1035.95</x:v>
      </x:c>
      <x:c r="L403" s="7" t="n">
        <x:v>534.13</x:v>
      </x:c>
      <x:c r="M403" s="3" t="str">
        <x:v>Credit Card</x:v>
      </x:c>
      <x:c r="N403" s="3" t="str">
        <x:f>TEXT(B403,"yyyy-mm")</x:f>
        <x:v>2024-05</x:v>
      </x:c>
      <x:c r="O403" s="3" t="str">
        <x:f>IF(J403=0,"No discount",IF(J403&lt;=0.1,"1-10%",IF(J403&lt;=0.15,"11-15%",IF(J403&lt;=0.2,"16-20%","21%+"))))</x:f>
        <x:v>No discount</x:v>
      </x:c>
      <x:c r="P403" s="9" t="n">
        <x:f>IF(K403=0,0,L403/K403)</x:f>
        <x:v>0.5155943819682417</x:v>
      </x:c>
      <x:c r="Q403" s="3" t="str">
        <x:f>IF(L403&lt;0,"Yes","No")</x:f>
        <x:v>No</x:v>
      </x:c>
    </x:row>
    <x:row r="404" ht="21" customHeight="1">
      <x:c r="A404" s="3" t="str">
        <x:v>ORD-100746</x:v>
      </x:c>
      <x:c r="B404" s="5" t="n">
        <x:v>45420</x:v>
      </x:c>
      <x:c r="C404" s="3" t="str">
        <x:v>CUST-00593</x:v>
      </x:c>
      <x:c r="D404" s="3" t="str">
        <x:v>North</x:v>
      </x:c>
      <x:c r="E404" s="3" t="str">
        <x:v>Fashion</x:v>
      </x:c>
      <x:c r="F404" s="3" t="str">
        <x:v>Women</x:v>
      </x:c>
      <x:c r="G404" s="3" t="str">
        <x:v>Knit Winter Sweater</x:v>
      </x:c>
      <x:c r="H404" s="3" t="n">
        <x:v>1</x:v>
      </x:c>
      <x:c r="I404" s="7" t="n">
        <x:v>2178.41</x:v>
      </x:c>
      <x:c r="J404" s="9" t="n">
        <x:v>0.3</x:v>
      </x:c>
      <x:c r="K404" s="7" t="n">
        <x:v>1524.89</x:v>
      </x:c>
      <x:c r="L404" s="7" t="n">
        <x:v>116.89</x:v>
      </x:c>
      <x:c r="M404" s="3" t="str">
        <x:v>Credit Card</x:v>
      </x:c>
      <x:c r="N404" s="3" t="str">
        <x:f>TEXT(B404,"yyyy-mm")</x:f>
        <x:v>2024-05</x:v>
      </x:c>
      <x:c r="O404" s="3" t="str">
        <x:f>IF(J404=0,"No discount",IF(J404&lt;=0.1,"1-10%",IF(J404&lt;=0.15,"11-15%",IF(J404&lt;=0.2,"16-20%","21%+"))))</x:f>
        <x:v>21%+</x:v>
      </x:c>
      <x:c r="P404" s="9" t="n">
        <x:f>IF(K404=0,0,L404/K404)</x:f>
        <x:v>0.07665470952003095</x:v>
      </x:c>
      <x:c r="Q404" s="3" t="str">
        <x:f>IF(L404&lt;0,"Yes","No")</x:f>
        <x:v>No</x:v>
      </x:c>
    </x:row>
    <x:row r="405" ht="21" customHeight="1">
      <x:c r="A405" s="3" t="str">
        <x:v>ORD-101461</x:v>
      </x:c>
      <x:c r="B405" s="5" t="n">
        <x:v>45420</x:v>
      </x:c>
      <x:c r="C405" s="3" t="str">
        <x:v>CUST-00011</x:v>
      </x:c>
      <x:c r="D405" s="3" t="str">
        <x:v>West</x:v>
      </x:c>
      <x:c r="E405" s="3" t="str">
        <x:v>Beauty</x:v>
      </x:c>
      <x:c r="F405" s="3" t="str">
        <x:v>Makeup</x:v>
      </x:c>
      <x:c r="G405" s="3" t="str">
        <x:v>Matte Lipstick Set</x:v>
      </x:c>
      <x:c r="H405" s="3" t="n">
        <x:v>1</x:v>
      </x:c>
      <x:c r="I405" s="7" t="n">
        <x:v>990.29</x:v>
      </x:c>
      <x:c r="J405" s="9" t="n">
        <x:v>0.15</x:v>
      </x:c>
      <x:c r="K405" s="7" t="n">
        <x:v>841.75</x:v>
      </x:c>
      <x:c r="L405" s="7" t="n">
        <x:v>306.76</x:v>
      </x:c>
      <x:c r="M405" s="3" t="str">
        <x:v>UPI</x:v>
      </x:c>
      <x:c r="N405" s="3" t="str">
        <x:f>TEXT(B405,"yyyy-mm")</x:f>
        <x:v>2024-05</x:v>
      </x:c>
      <x:c r="O405" s="3" t="str">
        <x:f>IF(J405=0,"No discount",IF(J405&lt;=0.1,"1-10%",IF(J405&lt;=0.15,"11-15%",IF(J405&lt;=0.2,"16-20%","21%+"))))</x:f>
        <x:v>11-15%</x:v>
      </x:c>
      <x:c r="P405" s="9" t="n">
        <x:f>IF(K405=0,0,L405/K405)</x:f>
        <x:v>0.3644312444312444</x:v>
      </x:c>
      <x:c r="Q405" s="3" t="str">
        <x:f>IF(L405&lt;0,"Yes","No")</x:f>
        <x:v>No</x:v>
      </x:c>
    </x:row>
    <x:row r="406" ht="21" customHeight="1">
      <x:c r="A406" s="3" t="str">
        <x:v>ORD-100051</x:v>
      </x:c>
      <x:c r="B406" s="5" t="n">
        <x:v>45421</x:v>
      </x:c>
      <x:c r="C406" s="3" t="str">
        <x:v>CUST-00056</x:v>
      </x:c>
      <x:c r="D406" s="3" t="str">
        <x:v>South</x:v>
      </x:c>
      <x:c r="E406" s="3" t="str">
        <x:v>Home &amp; Kitchen</x:v>
      </x:c>
      <x:c r="F406" s="3" t="str">
        <x:v>Appliances</x:v>
      </x:c>
      <x:c r="G406" s="3" t="str">
        <x:v>ColdBrew Coffee Maker</x:v>
      </x:c>
      <x:c r="H406" s="3" t="n">
        <x:v>5</x:v>
      </x:c>
      <x:c r="I406" s="7" t="n">
        <x:v>6366.58</x:v>
      </x:c>
      <x:c r="J406" s="9" t="n">
        <x:v>0.2</x:v>
      </x:c>
      <x:c r="K406" s="7" t="n">
        <x:v>25466.32</x:v>
      </x:c>
      <x:c r="L406" s="7" t="n">
        <x:v>2263.2</x:v>
      </x:c>
      <x:c r="M406" s="3" t="str">
        <x:v>Debit Card</x:v>
      </x:c>
      <x:c r="N406" s="3" t="str">
        <x:f>TEXT(B406,"yyyy-mm")</x:f>
        <x:v>2024-05</x:v>
      </x:c>
      <x:c r="O406" s="3" t="str">
        <x:f>IF(J406=0,"No discount",IF(J406&lt;=0.1,"1-10%",IF(J406&lt;=0.15,"11-15%",IF(J406&lt;=0.2,"16-20%","21%+"))))</x:f>
        <x:v>16-20%</x:v>
      </x:c>
      <x:c r="P406" s="9" t="n">
        <x:f>IF(K406=0,0,L406/K406)</x:f>
        <x:v>0.08887031970068703</x:v>
      </x:c>
      <x:c r="Q406" s="3" t="str">
        <x:f>IF(L406&lt;0,"Yes","No")</x:f>
        <x:v>No</x:v>
      </x:c>
    </x:row>
    <x:row r="407" ht="21" customHeight="1">
      <x:c r="A407" s="3" t="str">
        <x:v>ORD-100760</x:v>
      </x:c>
      <x:c r="B407" s="5" t="n">
        <x:v>45421</x:v>
      </x:c>
      <x:c r="C407" s="3" t="str">
        <x:v>CUST-00494</x:v>
      </x:c>
      <x:c r="D407" s="3" t="str">
        <x:v>North</x:v>
      </x:c>
      <x:c r="E407" s="3" t="str">
        <x:v>Electronics</x:v>
      </x:c>
      <x:c r="F407" s="3" t="str">
        <x:v>Audio</x:v>
      </x:c>
      <x:c r="G407" s="3" t="str">
        <x:v>SoundPods Pro</x:v>
      </x:c>
      <x:c r="H407" s="3" t="n">
        <x:v>1</x:v>
      </x:c>
      <x:c r="I407" s="7" t="n">
        <x:v>5198.25</x:v>
      </x:c>
      <x:c r="J407" s="9" t="n">
        <x:v>0.05</x:v>
      </x:c>
      <x:c r="K407" s="7" t="n">
        <x:v>4938.34</x:v>
      </x:c>
      <x:c r="L407" s="7" t="n">
        <x:v>419.07</x:v>
      </x:c>
      <x:c r="M407" s="3" t="str">
        <x:v>UPI</x:v>
      </x:c>
      <x:c r="N407" s="3" t="str">
        <x:f>TEXT(B407,"yyyy-mm")</x:f>
        <x:v>2024-05</x:v>
      </x:c>
      <x:c r="O407" s="3" t="str">
        <x:f>IF(J407=0,"No discount",IF(J407&lt;=0.1,"1-10%",IF(J407&lt;=0.15,"11-15%",IF(J407&lt;=0.2,"16-20%","21%+"))))</x:f>
        <x:v>1-10%</x:v>
      </x:c>
      <x:c r="P407" s="9" t="n">
        <x:f>IF(K407=0,0,L407/K407)</x:f>
        <x:v>0.0848604996820794</x:v>
      </x:c>
      <x:c r="Q407" s="3" t="str">
        <x:f>IF(L407&lt;0,"Yes","No")</x:f>
        <x:v>No</x:v>
      </x:c>
    </x:row>
    <x:row r="408" ht="21" customHeight="1">
      <x:c r="A408" s="3" t="str">
        <x:v>ORD-100969</x:v>
      </x:c>
      <x:c r="B408" s="5" t="n">
        <x:v>45421</x:v>
      </x:c>
      <x:c r="C408" s="3" t="str">
        <x:v>CUST-00469</x:v>
      </x:c>
      <x:c r="D408" s="3" t="str">
        <x:v>South</x:v>
      </x:c>
      <x:c r="E408" s="3" t="str">
        <x:v>Beauty</x:v>
      </x:c>
      <x:c r="F408" s="3" t="str">
        <x:v>Makeup</x:v>
      </x:c>
      <x:c r="G408" s="3" t="str">
        <x:v>Matte Lipstick Set</x:v>
      </x:c>
      <x:c r="H408" s="3" t="n">
        <x:v>2</x:v>
      </x:c>
      <x:c r="I408" s="7" t="n">
        <x:v>1000.91</x:v>
      </x:c>
      <x:c r="J408" s="9" t="n">
        <x:v>0.05</x:v>
      </x:c>
      <x:c r="K408" s="7" t="n">
        <x:v>1901.73</x:v>
      </x:c>
      <x:c r="L408" s="7" t="n">
        <x:v>870.14</x:v>
      </x:c>
      <x:c r="M408" s="3" t="str">
        <x:v>Credit Card</x:v>
      </x:c>
      <x:c r="N408" s="3" t="str">
        <x:f>TEXT(B408,"yyyy-mm")</x:f>
        <x:v>2024-05</x:v>
      </x:c>
      <x:c r="O408" s="3" t="str">
        <x:f>IF(J408=0,"No discount",IF(J408&lt;=0.1,"1-10%",IF(J408&lt;=0.15,"11-15%",IF(J408&lt;=0.2,"16-20%","21%+"))))</x:f>
        <x:v>1-10%</x:v>
      </x:c>
      <x:c r="P408" s="9" t="n">
        <x:f>IF(K408=0,0,L408/K408)</x:f>
        <x:v>0.4575518080905281</x:v>
      </x:c>
      <x:c r="Q408" s="3" t="str">
        <x:f>IF(L408&lt;0,"Yes","No")</x:f>
        <x:v>No</x:v>
      </x:c>
    </x:row>
    <x:row r="409" ht="21" customHeight="1">
      <x:c r="A409" s="3" t="str">
        <x:v>ORD-101362</x:v>
      </x:c>
      <x:c r="B409" s="5" t="n">
        <x:v>45421</x:v>
      </x:c>
      <x:c r="C409" s="3" t="str">
        <x:v>CUST-00090</x:v>
      </x:c>
      <x:c r="D409" s="3" t="str">
        <x:v>North</x:v>
      </x:c>
      <x:c r="E409" s="3" t="str">
        <x:v>Beauty</x:v>
      </x:c>
      <x:c r="F409" s="3" t="str">
        <x:v>Makeup</x:v>
      </x:c>
      <x:c r="G409" s="3" t="str">
        <x:v>Matte Lipstick Set</x:v>
      </x:c>
      <x:c r="H409" s="3" t="n">
        <x:v>1</x:v>
      </x:c>
      <x:c r="I409" s="7" t="n">
        <x:v>1005.93</x:v>
      </x:c>
      <x:c r="J409" s="9" t="n">
        <x:v>0.2</x:v>
      </x:c>
      <x:c r="K409" s="7" t="n">
        <x:v>804.74</x:v>
      </x:c>
      <x:c r="L409" s="7" t="n">
        <x:v>283.06</x:v>
      </x:c>
      <x:c r="M409" s="3" t="str">
        <x:v>Credit Card</x:v>
      </x:c>
      <x:c r="N409" s="3" t="str">
        <x:f>TEXT(B409,"yyyy-mm")</x:f>
        <x:v>2024-05</x:v>
      </x:c>
      <x:c r="O409" s="3" t="str">
        <x:f>IF(J409=0,"No discount",IF(J409&lt;=0.1,"1-10%",IF(J409&lt;=0.15,"11-15%",IF(J409&lt;=0.2,"16-20%","21%+"))))</x:f>
        <x:v>16-20%</x:v>
      </x:c>
      <x:c r="P409" s="9" t="n">
        <x:f>IF(K409=0,0,L409/K409)</x:f>
        <x:v>0.35174093496035985</x:v>
      </x:c>
      <x:c r="Q409" s="3" t="str">
        <x:f>IF(L409&lt;0,"Yes","No")</x:f>
        <x:v>No</x:v>
      </x:c>
    </x:row>
    <x:row r="410" ht="21" customHeight="1">
      <x:c r="A410" s="3" t="str">
        <x:v>ORD-101398</x:v>
      </x:c>
      <x:c r="B410" s="5" t="n">
        <x:v>45421</x:v>
      </x:c>
      <x:c r="C410" s="3" t="str">
        <x:v>CUST-00456</x:v>
      </x:c>
      <x:c r="D410" s="3" t="str">
        <x:v>West</x:v>
      </x:c>
      <x:c r="E410" s="3" t="str">
        <x:v>Electronics</x:v>
      </x:c>
      <x:c r="F410" s="3" t="str">
        <x:v>Audio</x:v>
      </x:c>
      <x:c r="G410" s="3" t="str">
        <x:v>SoundPods Pro</x:v>
      </x:c>
      <x:c r="H410" s="3" t="n">
        <x:v>1</x:v>
      </x:c>
      <x:c r="I410" s="7" t="n">
        <x:v>4842.3</x:v>
      </x:c>
      <x:c r="J410" s="9" t="n">
        <x:v>0.05</x:v>
      </x:c>
      <x:c r="K410" s="7" t="n">
        <x:v>4600.19</x:v>
      </x:c>
      <x:c r="L410" s="7" t="n">
        <x:v>473.67</x:v>
      </x:c>
      <x:c r="M410" s="3" t="str">
        <x:v>Net Banking</x:v>
      </x:c>
      <x:c r="N410" s="3" t="str">
        <x:f>TEXT(B410,"yyyy-mm")</x:f>
        <x:v>2024-05</x:v>
      </x:c>
      <x:c r="O410" s="3" t="str">
        <x:f>IF(J410=0,"No discount",IF(J410&lt;=0.1,"1-10%",IF(J410&lt;=0.15,"11-15%",IF(J410&lt;=0.2,"16-20%","21%+"))))</x:f>
        <x:v>1-10%</x:v>
      </x:c>
      <x:c r="P410" s="9" t="n">
        <x:f>IF(K410=0,0,L410/K410)</x:f>
        <x:v>0.10296748612557309</x:v>
      </x:c>
      <x:c r="Q410" s="3" t="str">
        <x:f>IF(L410&lt;0,"Yes","No")</x:f>
        <x:v>No</x:v>
      </x:c>
    </x:row>
    <x:row r="411" ht="21" customHeight="1">
      <x:c r="A411" s="3" t="str">
        <x:v>ORD-100593</x:v>
      </x:c>
      <x:c r="B411" s="5" t="n">
        <x:v>45422</x:v>
      </x:c>
      <x:c r="C411" s="3" t="str">
        <x:v>CUST-00584</x:v>
      </x:c>
      <x:c r="D411" s="3" t="str">
        <x:v>South</x:v>
      </x:c>
      <x:c r="E411" s="3" t="str">
        <x:v>Beauty</x:v>
      </x:c>
      <x:c r="F411" s="3" t="str">
        <x:v>Makeup</x:v>
      </x:c>
      <x:c r="G411" s="3" t="str">
        <x:v>Matte Lipstick Set</x:v>
      </x:c>
      <x:c r="H411" s="3" t="n">
        <x:v>2</x:v>
      </x:c>
      <x:c r="I411" s="7" t="n">
        <x:v>1005.56</x:v>
      </x:c>
      <x:c r="J411" s="9" t="n">
        <x:v>0.1</x:v>
      </x:c>
      <x:c r="K411" s="7" t="n">
        <x:v>1810.01</x:v>
      </x:c>
      <x:c r="L411" s="7" t="n">
        <x:v>813.76</x:v>
      </x:c>
      <x:c r="M411" s="3" t="str">
        <x:v>UPI</x:v>
      </x:c>
      <x:c r="N411" s="3" t="str">
        <x:f>TEXT(B411,"yyyy-mm")</x:f>
        <x:v>2024-05</x:v>
      </x:c>
      <x:c r="O411" s="3" t="str">
        <x:f>IF(J411=0,"No discount",IF(J411&lt;=0.1,"1-10%",IF(J411&lt;=0.15,"11-15%",IF(J411&lt;=0.2,"16-20%","21%+"))))</x:f>
        <x:v>1-10%</x:v>
      </x:c>
      <x:c r="P411" s="9" t="n">
        <x:f>IF(K411=0,0,L411/K411)</x:f>
        <x:v>0.44958867630565574</x:v>
      </x:c>
      <x:c r="Q411" s="3" t="str">
        <x:f>IF(L411&lt;0,"Yes","No")</x:f>
        <x:v>No</x:v>
      </x:c>
    </x:row>
    <x:row r="412" ht="21" customHeight="1">
      <x:c r="A412" s="3" t="str">
        <x:v>ORD-100602</x:v>
      </x:c>
      <x:c r="B412" s="5" t="n">
        <x:v>45422</x:v>
      </x:c>
      <x:c r="C412" s="3" t="str">
        <x:v>CUST-00447</x:v>
      </x:c>
      <x:c r="D412" s="3" t="str">
        <x:v>North</x:v>
      </x:c>
      <x:c r="E412" s="3" t="str">
        <x:v>Beauty</x:v>
      </x:c>
      <x:c r="F412" s="3" t="str">
        <x:v>Skincare</x:v>
      </x:c>
      <x:c r="G412" s="3" t="str">
        <x:v>HydraBoost Moisturizer</x:v>
      </x:c>
      <x:c r="H412" s="3" t="n">
        <x:v>1</x:v>
      </x:c>
      <x:c r="I412" s="7" t="n">
        <x:v>1213.49</x:v>
      </x:c>
      <x:c r="J412" s="9" t="n">
        <x:v>0.05</x:v>
      </x:c>
      <x:c r="K412" s="7" t="n">
        <x:v>1152.82</x:v>
      </x:c>
      <x:c r="L412" s="7" t="n">
        <x:v>538.8</x:v>
      </x:c>
      <x:c r="M412" s="3" t="str">
        <x:v>UPI</x:v>
      </x:c>
      <x:c r="N412" s="3" t="str">
        <x:f>TEXT(B412,"yyyy-mm")</x:f>
        <x:v>2024-05</x:v>
      </x:c>
      <x:c r="O412" s="3" t="str">
        <x:f>IF(J412=0,"No discount",IF(J412&lt;=0.1,"1-10%",IF(J412&lt;=0.15,"11-15%",IF(J412&lt;=0.2,"16-20%","21%+"))))</x:f>
        <x:v>1-10%</x:v>
      </x:c>
      <x:c r="P412" s="9" t="n">
        <x:f>IF(K412=0,0,L412/K412)</x:f>
        <x:v>0.46737565274717646</x:v>
      </x:c>
      <x:c r="Q412" s="3" t="str">
        <x:f>IF(L412&lt;0,"Yes","No")</x:f>
        <x:v>No</x:v>
      </x:c>
    </x:row>
    <x:row r="413" ht="21" customHeight="1">
      <x:c r="A413" s="3" t="str">
        <x:v>ORD-100705</x:v>
      </x:c>
      <x:c r="B413" s="5" t="n">
        <x:v>45422</x:v>
      </x:c>
      <x:c r="C413" s="3" t="str">
        <x:v>CUST-00564</x:v>
      </x:c>
      <x:c r="D413" s="3" t="str">
        <x:v>South</x:v>
      </x:c>
      <x:c r="E413" s="3" t="str">
        <x:v>Electronics</x:v>
      </x:c>
      <x:c r="F413" s="3" t="str">
        <x:v>Mobile</x:v>
      </x:c>
      <x:c r="G413" s="3" t="str">
        <x:v>iPhone Zeta</x:v>
      </x:c>
      <x:c r="H413" s="3" t="n">
        <x:v>2</x:v>
      </x:c>
      <x:c r="I413" s="7" t="n">
        <x:v>69818.39</x:v>
      </x:c>
      <x:c r="J413" s="9" t="n">
        <x:v>0.05</x:v>
      </x:c>
      <x:c r="K413" s="7" t="n">
        <x:v>132654.94</x:v>
      </x:c>
      <x:c r="L413" s="7" t="n">
        <x:v>19019.94</x:v>
      </x:c>
      <x:c r="M413" s="3" t="str">
        <x:v>UPI</x:v>
      </x:c>
      <x:c r="N413" s="3" t="str">
        <x:f>TEXT(B413,"yyyy-mm")</x:f>
        <x:v>2024-05</x:v>
      </x:c>
      <x:c r="O413" s="3" t="str">
        <x:f>IF(J413=0,"No discount",IF(J413&lt;=0.1,"1-10%",IF(J413&lt;=0.15,"11-15%",IF(J413&lt;=0.2,"16-20%","21%+"))))</x:f>
        <x:v>1-10%</x:v>
      </x:c>
      <x:c r="P413" s="9" t="n">
        <x:f>IF(K413=0,0,L413/K413)</x:f>
        <x:v>0.14337905546525442</x:v>
      </x:c>
      <x:c r="Q413" s="3" t="str">
        <x:f>IF(L413&lt;0,"Yes","No")</x:f>
        <x:v>No</x:v>
      </x:c>
    </x:row>
    <x:row r="414" ht="21" customHeight="1">
      <x:c r="A414" s="3" t="str">
        <x:v>ORD-101097</x:v>
      </x:c>
      <x:c r="B414" s="5" t="n">
        <x:v>45422</x:v>
      </x:c>
      <x:c r="C414" s="3" t="str">
        <x:v>CUST-00522</x:v>
      </x:c>
      <x:c r="D414" s="3" t="str">
        <x:v>West</x:v>
      </x:c>
      <x:c r="E414" s="3" t="str">
        <x:v>Sports</x:v>
      </x:c>
      <x:c r="F414" s="3" t="str">
        <x:v>Fitness</x:v>
      </x:c>
      <x:c r="G414" s="3" t="str">
        <x:v>ProYoga Mat</x:v>
      </x:c>
      <x:c r="H414" s="3" t="n">
        <x:v>2</x:v>
      </x:c>
      <x:c r="I414" s="7" t="n">
        <x:v>1284.81</x:v>
      </x:c>
      <x:c r="J414" s="9" t="n">
        <x:v>0.25</x:v>
      </x:c>
      <x:c r="K414" s="7" t="n">
        <x:v>1927.21</x:v>
      </x:c>
      <x:c r="L414" s="7" t="n">
        <x:v>194.68</x:v>
      </x:c>
      <x:c r="M414" s="3" t="str">
        <x:v>Debit Card</x:v>
      </x:c>
      <x:c r="N414" s="3" t="str">
        <x:f>TEXT(B414,"yyyy-mm")</x:f>
        <x:v>2024-05</x:v>
      </x:c>
      <x:c r="O414" s="3" t="str">
        <x:f>IF(J414=0,"No discount",IF(J414&lt;=0.1,"1-10%",IF(J414&lt;=0.15,"11-15%",IF(J414&lt;=0.2,"16-20%","21%+"))))</x:f>
        <x:v>21%+</x:v>
      </x:c>
      <x:c r="P414" s="9" t="n">
        <x:f>IF(K414=0,0,L414/K414)</x:f>
        <x:v>0.10101649534819765</x:v>
      </x:c>
      <x:c r="Q414" s="3" t="str">
        <x:f>IF(L414&lt;0,"Yes","No")</x:f>
        <x:v>No</x:v>
      </x:c>
    </x:row>
    <x:row r="415" ht="21" customHeight="1">
      <x:c r="A415" s="3" t="str">
        <x:v>ORD-101338</x:v>
      </x:c>
      <x:c r="B415" s="5" t="n">
        <x:v>45422</x:v>
      </x:c>
      <x:c r="C415" s="3" t="str">
        <x:v>CUST-00082</x:v>
      </x:c>
      <x:c r="D415" s="3" t="str">
        <x:v>South</x:v>
      </x:c>
      <x:c r="E415" s="3" t="str">
        <x:v>Sports</x:v>
      </x:c>
      <x:c r="F415" s="3" t="str">
        <x:v>Fitness</x:v>
      </x:c>
      <x:c r="G415" s="3" t="str">
        <x:v>ProYoga Mat</x:v>
      </x:c>
      <x:c r="H415" s="3" t="n">
        <x:v>2</x:v>
      </x:c>
      <x:c r="I415" s="7" t="n">
        <x:v>1236</x:v>
      </x:c>
      <x:c r="J415" s="9" t="n">
        <x:v>0.3</x:v>
      </x:c>
      <x:c r="K415" s="7" t="n">
        <x:v>1730.4</x:v>
      </x:c>
      <x:c r="L415" s="7" t="n">
        <x:v>57.05</x:v>
      </x:c>
      <x:c r="M415" s="3" t="str">
        <x:v>UPI</x:v>
      </x:c>
      <x:c r="N415" s="3" t="str">
        <x:f>TEXT(B415,"yyyy-mm")</x:f>
        <x:v>2024-05</x:v>
      </x:c>
      <x:c r="O415" s="3" t="str">
        <x:f>IF(J415=0,"No discount",IF(J415&lt;=0.1,"1-10%",IF(J415&lt;=0.15,"11-15%",IF(J415&lt;=0.2,"16-20%","21%+"))))</x:f>
        <x:v>21%+</x:v>
      </x:c>
      <x:c r="P415" s="9" t="n">
        <x:f>IF(K415=0,0,L415/K415)</x:f>
        <x:v>0.03296925566343042</x:v>
      </x:c>
      <x:c r="Q415" s="3" t="str">
        <x:f>IF(L415&lt;0,"Yes","No")</x:f>
        <x:v>No</x:v>
      </x:c>
    </x:row>
    <x:row r="416" ht="21" customHeight="1">
      <x:c r="A416" s="3" t="str">
        <x:v>ORD-100291</x:v>
      </x:c>
      <x:c r="B416" s="5" t="n">
        <x:v>45423</x:v>
      </x:c>
      <x:c r="C416" s="3" t="str">
        <x:v>CUST-00330</x:v>
      </x:c>
      <x:c r="D416" s="3" t="str">
        <x:v>East</x:v>
      </x:c>
      <x:c r="E416" s="3" t="str">
        <x:v>Electronics</x:v>
      </x:c>
      <x:c r="F416" s="3" t="str">
        <x:v>Audio</x:v>
      </x:c>
      <x:c r="G416" s="3" t="str">
        <x:v>SoundPods Pro</x:v>
      </x:c>
      <x:c r="H416" s="3" t="n">
        <x:v>2</x:v>
      </x:c>
      <x:c r="I416" s="7" t="n">
        <x:v>5041.55</x:v>
      </x:c>
      <x:c r="J416" s="9" t="n">
        <x:v>0.05</x:v>
      </x:c>
      <x:c r="K416" s="7" t="n">
        <x:v>9578.94</x:v>
      </x:c>
      <x:c r="L416" s="7" t="n">
        <x:v>1498.62</x:v>
      </x:c>
      <x:c r="M416" s="3" t="str">
        <x:v>Net Banking</x:v>
      </x:c>
      <x:c r="N416" s="3" t="str">
        <x:f>TEXT(B416,"yyyy-mm")</x:f>
        <x:v>2024-05</x:v>
      </x:c>
      <x:c r="O416" s="3" t="str">
        <x:f>IF(J416=0,"No discount",IF(J416&lt;=0.1,"1-10%",IF(J416&lt;=0.15,"11-15%",IF(J416&lt;=0.2,"16-20%","21%+"))))</x:f>
        <x:v>1-10%</x:v>
      </x:c>
      <x:c r="P416" s="9" t="n">
        <x:f>IF(K416=0,0,L416/K416)</x:f>
        <x:v>0.15644946100507987</x:v>
      </x:c>
      <x:c r="Q416" s="3" t="str">
        <x:f>IF(L416&lt;0,"Yes","No")</x:f>
        <x:v>No</x:v>
      </x:c>
    </x:row>
    <x:row r="417" ht="21" customHeight="1">
      <x:c r="A417" s="3" t="str">
        <x:v>ORD-100619</x:v>
      </x:c>
      <x:c r="B417" s="5" t="n">
        <x:v>45423</x:v>
      </x:c>
      <x:c r="C417" s="3" t="str">
        <x:v>CUST-00010</x:v>
      </x:c>
      <x:c r="D417" s="3" t="str">
        <x:v>South</x:v>
      </x:c>
      <x:c r="E417" s="3" t="str">
        <x:v>Home &amp; Kitchen</x:v>
      </x:c>
      <x:c r="F417" s="3" t="str">
        <x:v>Furniture</x:v>
      </x:c>
      <x:c r="G417" s="3" t="str">
        <x:v>ErgoComfort Chair</x:v>
      </x:c>
      <x:c r="H417" s="3" t="n">
        <x:v>3</x:v>
      </x:c>
      <x:c r="I417" s="7" t="n">
        <x:v>8737.66</x:v>
      </x:c>
      <x:c r="J417" s="9" t="n">
        <x:v>0.1</x:v>
      </x:c>
      <x:c r="K417" s="7" t="n">
        <x:v>23591.68</x:v>
      </x:c>
      <x:c r="L417" s="7" t="n">
        <x:v>4977.79</x:v>
      </x:c>
      <x:c r="M417" s="3" t="str">
        <x:v>UPI</x:v>
      </x:c>
      <x:c r="N417" s="3" t="str">
        <x:f>TEXT(B417,"yyyy-mm")</x:f>
        <x:v>2024-05</x:v>
      </x:c>
      <x:c r="O417" s="3" t="str">
        <x:f>IF(J417=0,"No discount",IF(J417&lt;=0.1,"1-10%",IF(J417&lt;=0.15,"11-15%",IF(J417&lt;=0.2,"16-20%","21%+"))))</x:f>
        <x:v>1-10%</x:v>
      </x:c>
      <x:c r="P417" s="9" t="n">
        <x:f>IF(K417=0,0,L417/K417)</x:f>
        <x:v>0.21099769071130162</x:v>
      </x:c>
      <x:c r="Q417" s="3" t="str">
        <x:f>IF(L417&lt;0,"Yes","No")</x:f>
        <x:v>No</x:v>
      </x:c>
    </x:row>
    <x:row r="418" ht="21" customHeight="1">
      <x:c r="A418" s="3" t="str">
        <x:v>ORD-101051</x:v>
      </x:c>
      <x:c r="B418" s="5" t="n">
        <x:v>45423</x:v>
      </x:c>
      <x:c r="C418" s="3" t="str">
        <x:v>CUST-00485</x:v>
      </x:c>
      <x:c r="D418" s="3" t="str">
        <x:v>South</x:v>
      </x:c>
      <x:c r="E418" s="3" t="str">
        <x:v>Home &amp; Kitchen</x:v>
      </x:c>
      <x:c r="F418" s="3" t="str">
        <x:v>Appliances</x:v>
      </x:c>
      <x:c r="G418" s="3" t="str">
        <x:v>ColdBrew Coffee Maker</x:v>
      </x:c>
      <x:c r="H418" s="3" t="n">
        <x:v>2</x:v>
      </x:c>
      <x:c r="I418" s="7" t="n">
        <x:v>6518.26</x:v>
      </x:c>
      <x:c r="J418" s="9" t="n">
        <x:v>0.1</x:v>
      </x:c>
      <x:c r="K418" s="7" t="n">
        <x:v>11732.87</x:v>
      </x:c>
      <x:c r="L418" s="7" t="n">
        <x:v>2373.42</x:v>
      </x:c>
      <x:c r="M418" s="3" t="str">
        <x:v>Credit Card</x:v>
      </x:c>
      <x:c r="N418" s="3" t="str">
        <x:f>TEXT(B418,"yyyy-mm")</x:f>
        <x:v>2024-05</x:v>
      </x:c>
      <x:c r="O418" s="3" t="str">
        <x:f>IF(J418=0,"No discount",IF(J418&lt;=0.1,"1-10%",IF(J418&lt;=0.15,"11-15%",IF(J418&lt;=0.2,"16-20%","21%+"))))</x:f>
        <x:v>1-10%</x:v>
      </x:c>
      <x:c r="P418" s="9" t="n">
        <x:f>IF(K418=0,0,L418/K418)</x:f>
        <x:v>0.20228810171765305</x:v>
      </x:c>
      <x:c r="Q418" s="3" t="str">
        <x:f>IF(L418&lt;0,"Yes","No")</x:f>
        <x:v>No</x:v>
      </x:c>
    </x:row>
    <x:row r="419" ht="21" customHeight="1">
      <x:c r="A419" s="3" t="str">
        <x:v>ORD-101811</x:v>
      </x:c>
      <x:c r="B419" s="5" t="n">
        <x:v>45423</x:v>
      </x:c>
      <x:c r="C419" s="3" t="str">
        <x:v>CUST-00226</x:v>
      </x:c>
      <x:c r="D419" s="3" t="str">
        <x:v>West</x:v>
      </x:c>
      <x:c r="E419" s="3" t="str">
        <x:v>Electronics</x:v>
      </x:c>
      <x:c r="F419" s="3" t="str">
        <x:v>Mobile</x:v>
      </x:c>
      <x:c r="G419" s="3" t="str">
        <x:v>Pixel Aura 12</x:v>
      </x:c>
      <x:c r="H419" s="3" t="n">
        <x:v>2</x:v>
      </x:c>
      <x:c r="I419" s="7" t="n">
        <x:v>32266.04</x:v>
      </x:c>
      <x:c r="J419" s="9" t="n">
        <x:v>0.25</x:v>
      </x:c>
      <x:c r="K419" s="7" t="n">
        <x:v>48399.06</x:v>
      </x:c>
      <x:c r="L419" s="7" t="n">
        <x:v>-3997.54</x:v>
      </x:c>
      <x:c r="M419" s="3" t="str">
        <x:v>UPI</x:v>
      </x:c>
      <x:c r="N419" s="3" t="str">
        <x:f>TEXT(B419,"yyyy-mm")</x:f>
        <x:v>2024-05</x:v>
      </x:c>
      <x:c r="O419" s="3" t="str">
        <x:f>IF(J419=0,"No discount",IF(J419&lt;=0.1,"1-10%",IF(J419&lt;=0.15,"11-15%",IF(J419&lt;=0.2,"16-20%","21%+"))))</x:f>
        <x:v>21%+</x:v>
      </x:c>
      <x:c r="P419" s="9" t="n">
        <x:f>IF(K419=0,0,L419/K419)</x:f>
        <x:v>-0.08259540577854198</x:v>
      </x:c>
      <x:c r="Q419" s="3" t="str">
        <x:f>IF(L419&lt;0,"Yes","No")</x:f>
        <x:v>Yes</x:v>
      </x:c>
    </x:row>
    <x:row r="420" ht="21" customHeight="1">
      <x:c r="A420" s="3" t="str">
        <x:v>ORD-101932</x:v>
      </x:c>
      <x:c r="B420" s="5" t="n">
        <x:v>45423</x:v>
      </x:c>
      <x:c r="C420" s="3" t="str">
        <x:v>CUST-00041</x:v>
      </x:c>
      <x:c r="D420" s="3" t="str">
        <x:v>North</x:v>
      </x:c>
      <x:c r="E420" s="3" t="str">
        <x:v>Beauty</x:v>
      </x:c>
      <x:c r="F420" s="3" t="str">
        <x:v>Skincare</x:v>
      </x:c>
      <x:c r="G420" s="3" t="str">
        <x:v>HydraBoost Moisturizer</x:v>
      </x:c>
      <x:c r="H420" s="3" t="n">
        <x:v>1</x:v>
      </x:c>
      <x:c r="I420" s="7" t="n">
        <x:v>1241.96</x:v>
      </x:c>
      <x:c r="J420" s="9" t="n">
        <x:v>0.05</x:v>
      </x:c>
      <x:c r="K420" s="7" t="n">
        <x:v>1179.86</x:v>
      </x:c>
      <x:c r="L420" s="7" t="n">
        <x:v>589.79</x:v>
      </x:c>
      <x:c r="M420" s="3" t="str">
        <x:v>Debit Card</x:v>
      </x:c>
      <x:c r="N420" s="3" t="str">
        <x:f>TEXT(B420,"yyyy-mm")</x:f>
        <x:v>2024-05</x:v>
      </x:c>
      <x:c r="O420" s="3" t="str">
        <x:f>IF(J420=0,"No discount",IF(J420&lt;=0.1,"1-10%",IF(J420&lt;=0.15,"11-15%",IF(J420&lt;=0.2,"16-20%","21%+"))))</x:f>
        <x:v>1-10%</x:v>
      </x:c>
      <x:c r="P420" s="9" t="n">
        <x:f>IF(K420=0,0,L420/K420)</x:f>
        <x:v>0.4998813418541183</x:v>
      </x:c>
      <x:c r="Q420" s="3" t="str">
        <x:f>IF(L420&lt;0,"Yes","No")</x:f>
        <x:v>No</x:v>
      </x:c>
    </x:row>
    <x:row r="421" ht="21" customHeight="1">
      <x:c r="A421" s="3" t="str">
        <x:v>ORD-100129</x:v>
      </x:c>
      <x:c r="B421" s="5" t="n">
        <x:v>45424</x:v>
      </x:c>
      <x:c r="C421" s="3" t="str">
        <x:v>CUST-00057</x:v>
      </x:c>
      <x:c r="D421" s="3" t="str">
        <x:v>South</x:v>
      </x:c>
      <x:c r="E421" s="3" t="str">
        <x:v>Beauty</x:v>
      </x:c>
      <x:c r="F421" s="3" t="str">
        <x:v>Skincare</x:v>
      </x:c>
      <x:c r="G421" s="3" t="str">
        <x:v>Vitamin C Serum</x:v>
      </x:c>
      <x:c r="H421" s="3" t="n">
        <x:v>5</x:v>
      </x:c>
      <x:c r="I421" s="7" t="n">
        <x:v>894.5</x:v>
      </x:c>
      <x:c r="J421" s="9" t="n">
        <x:v>0.1</x:v>
      </x:c>
      <x:c r="K421" s="7" t="n">
        <x:v>4025.25</x:v>
      </x:c>
      <x:c r="L421" s="7" t="n">
        <x:v>1808.98</x:v>
      </x:c>
      <x:c r="M421" s="3" t="str">
        <x:v>Net Banking</x:v>
      </x:c>
      <x:c r="N421" s="3" t="str">
        <x:f>TEXT(B421,"yyyy-mm")</x:f>
        <x:v>2024-05</x:v>
      </x:c>
      <x:c r="O421" s="3" t="str">
        <x:f>IF(J421=0,"No discount",IF(J421&lt;=0.1,"1-10%",IF(J421&lt;=0.15,"11-15%",IF(J421&lt;=0.2,"16-20%","21%+"))))</x:f>
        <x:v>1-10%</x:v>
      </x:c>
      <x:c r="P421" s="9" t="n">
        <x:f>IF(K421=0,0,L421/K421)</x:f>
        <x:v>0.44940811129743496</x:v>
      </x:c>
      <x:c r="Q421" s="3" t="str">
        <x:f>IF(L421&lt;0,"Yes","No")</x:f>
        <x:v>No</x:v>
      </x:c>
    </x:row>
    <x:row r="422" ht="21" customHeight="1">
      <x:c r="A422" s="3" t="str">
        <x:v>ORD-100227</x:v>
      </x:c>
      <x:c r="B422" s="5" t="n">
        <x:v>45425</x:v>
      </x:c>
      <x:c r="C422" s="3" t="str">
        <x:v>CUST-00268</x:v>
      </x:c>
      <x:c r="D422" s="3" t="str">
        <x:v>North</x:v>
      </x:c>
      <x:c r="E422" s="3" t="str">
        <x:v>Sports</x:v>
      </x:c>
      <x:c r="F422" s="3" t="str">
        <x:v>Fitness</x:v>
      </x:c>
      <x:c r="G422" s="3" t="str">
        <x:v>ProYoga Mat</x:v>
      </x:c>
      <x:c r="H422" s="3" t="n">
        <x:v>1</x:v>
      </x:c>
      <x:c r="I422" s="7" t="n">
        <x:v>1285.28</x:v>
      </x:c>
      <x:c r="J422" s="9" t="n">
        <x:v>0.1</x:v>
      </x:c>
      <x:c r="K422" s="7" t="n">
        <x:v>1156.75</x:v>
      </x:c>
      <x:c r="L422" s="7" t="n">
        <x:v>315.04</x:v>
      </x:c>
      <x:c r="M422" s="3" t="str">
        <x:v>Credit Card</x:v>
      </x:c>
      <x:c r="N422" s="3" t="str">
        <x:f>TEXT(B422,"yyyy-mm")</x:f>
        <x:v>2024-05</x:v>
      </x:c>
      <x:c r="O422" s="3" t="str">
        <x:f>IF(J422=0,"No discount",IF(J422&lt;=0.1,"1-10%",IF(J422&lt;=0.15,"11-15%",IF(J422&lt;=0.2,"16-20%","21%+"))))</x:f>
        <x:v>1-10%</x:v>
      </x:c>
      <x:c r="P422" s="9" t="n">
        <x:f>IF(K422=0,0,L422/K422)</x:f>
        <x:v>0.2723492543764859</x:v>
      </x:c>
      <x:c r="Q422" s="3" t="str">
        <x:f>IF(L422&lt;0,"Yes","No")</x:f>
        <x:v>No</x:v>
      </x:c>
    </x:row>
    <x:row r="423" ht="21" customHeight="1">
      <x:c r="A423" s="3" t="str">
        <x:v>ORD-100239</x:v>
      </x:c>
      <x:c r="B423" s="5" t="n">
        <x:v>45425</x:v>
      </x:c>
      <x:c r="C423" s="3" t="str">
        <x:v>CUST-00182</x:v>
      </x:c>
      <x:c r="D423" s="3" t="str">
        <x:v>South</x:v>
      </x:c>
      <x:c r="E423" s="3" t="str">
        <x:v>Sports</x:v>
      </x:c>
      <x:c r="F423" s="3" t="str">
        <x:v>Fitness</x:v>
      </x:c>
      <x:c r="G423" s="3" t="str">
        <x:v>ProYoga Mat</x:v>
      </x:c>
      <x:c r="H423" s="3" t="n">
        <x:v>1</x:v>
      </x:c>
      <x:c r="I423" s="7" t="n">
        <x:v>1236.64</x:v>
      </x:c>
      <x:c r="J423" s="9" t="n">
        <x:v>0.1</x:v>
      </x:c>
      <x:c r="K423" s="7" t="n">
        <x:v>1112.98</x:v>
      </x:c>
      <x:c r="L423" s="7" t="n">
        <x:v>292.98</x:v>
      </x:c>
      <x:c r="M423" s="3" t="str">
        <x:v>Credit Card</x:v>
      </x:c>
      <x:c r="N423" s="3" t="str">
        <x:f>TEXT(B423,"yyyy-mm")</x:f>
        <x:v>2024-05</x:v>
      </x:c>
      <x:c r="O423" s="3" t="str">
        <x:f>IF(J423=0,"No discount",IF(J423&lt;=0.1,"1-10%",IF(J423&lt;=0.15,"11-15%",IF(J423&lt;=0.2,"16-20%","21%+"))))</x:f>
        <x:v>1-10%</x:v>
      </x:c>
      <x:c r="P423" s="9" t="n">
        <x:f>IF(K423=0,0,L423/K423)</x:f>
        <x:v>0.2632392316124279</x:v>
      </x:c>
      <x:c r="Q423" s="3" t="str">
        <x:f>IF(L423&lt;0,"Yes","No")</x:f>
        <x:v>No</x:v>
      </x:c>
    </x:row>
    <x:row r="424" ht="21" customHeight="1">
      <x:c r="A424" s="3" t="str">
        <x:v>ORD-100282</x:v>
      </x:c>
      <x:c r="B424" s="5" t="n">
        <x:v>45425</x:v>
      </x:c>
      <x:c r="C424" s="3" t="str">
        <x:v>CUST-00500</x:v>
      </x:c>
      <x:c r="D424" s="3" t="str">
        <x:v>East</x:v>
      </x:c>
      <x:c r="E424" s="3" t="str">
        <x:v>Fashion</x:v>
      </x:c>
      <x:c r="F424" s="3" t="str">
        <x:v>Men</x:v>
      </x:c>
      <x:c r="G424" s="3" t="str">
        <x:v>Oxford Casual Shirt</x:v>
      </x:c>
      <x:c r="H424" s="3" t="n">
        <x:v>4</x:v>
      </x:c>
      <x:c r="I424" s="7" t="n">
        <x:v>1307.96</x:v>
      </x:c>
      <x:c r="J424" s="9" t="n">
        <x:v>0.05</x:v>
      </x:c>
      <x:c r="K424" s="7" t="n">
        <x:v>4970.25</x:v>
      </x:c>
      <x:c r="L424" s="7" t="n">
        <x:v>1777.13</x:v>
      </x:c>
      <x:c r="M424" s="3" t="str">
        <x:v>Debit Card</x:v>
      </x:c>
      <x:c r="N424" s="3" t="str">
        <x:f>TEXT(B424,"yyyy-mm")</x:f>
        <x:v>2024-05</x:v>
      </x:c>
      <x:c r="O424" s="3" t="str">
        <x:f>IF(J424=0,"No discount",IF(J424&lt;=0.1,"1-10%",IF(J424&lt;=0.15,"11-15%",IF(J424&lt;=0.2,"16-20%","21%+"))))</x:f>
        <x:v>1-10%</x:v>
      </x:c>
      <x:c r="P424" s="9" t="n">
        <x:f>IF(K424=0,0,L424/K424)</x:f>
        <x:v>0.3575534429857653</x:v>
      </x:c>
      <x:c r="Q424" s="3" t="str">
        <x:f>IF(L424&lt;0,"Yes","No")</x:f>
        <x:v>No</x:v>
      </x:c>
    </x:row>
    <x:row r="425" ht="21" customHeight="1">
      <x:c r="A425" s="3" t="str">
        <x:v>ORD-101293</x:v>
      </x:c>
      <x:c r="B425" s="5" t="n">
        <x:v>45425</x:v>
      </x:c>
      <x:c r="C425" s="3" t="str">
        <x:v>CUST-00028</x:v>
      </x:c>
      <x:c r="D425" s="3" t="str">
        <x:v>South</x:v>
      </x:c>
      <x:c r="E425" s="3" t="str">
        <x:v>Electronics</x:v>
      </x:c>
      <x:c r="F425" s="3" t="str">
        <x:v>Mobile</x:v>
      </x:c>
      <x:c r="G425" s="3" t="str">
        <x:v>Pixel Aura 12</x:v>
      </x:c>
      <x:c r="H425" s="3" t="n">
        <x:v>1</x:v>
      </x:c>
      <x:c r="I425" s="7" t="n">
        <x:v>33162.99</x:v>
      </x:c>
      <x:c r="J425" s="9" t="n">
        <x:v>0.25</x:v>
      </x:c>
      <x:c r="K425" s="7" t="n">
        <x:v>24872.24</x:v>
      </x:c>
      <x:c r="L425" s="7" t="n">
        <x:v>-2594.89</x:v>
      </x:c>
      <x:c r="M425" s="3" t="str">
        <x:v>Debit Card</x:v>
      </x:c>
      <x:c r="N425" s="3" t="str">
        <x:f>TEXT(B425,"yyyy-mm")</x:f>
        <x:v>2024-05</x:v>
      </x:c>
      <x:c r="O425" s="3" t="str">
        <x:f>IF(J425=0,"No discount",IF(J425&lt;=0.1,"1-10%",IF(J425&lt;=0.15,"11-15%",IF(J425&lt;=0.2,"16-20%","21%+"))))</x:f>
        <x:v>21%+</x:v>
      </x:c>
      <x:c r="P425" s="9" t="n">
        <x:f>IF(K425=0,0,L425/K425)</x:f>
        <x:v>-0.10432876170381114</x:v>
      </x:c>
      <x:c r="Q425" s="3" t="str">
        <x:f>IF(L425&lt;0,"Yes","No")</x:f>
        <x:v>Yes</x:v>
      </x:c>
    </x:row>
    <x:row r="426" ht="21" customHeight="1">
      <x:c r="A426" s="3" t="str">
        <x:v>ORD-101407</x:v>
      </x:c>
      <x:c r="B426" s="5" t="n">
        <x:v>45425</x:v>
      </x:c>
      <x:c r="C426" s="3" t="str">
        <x:v>CUST-00428</x:v>
      </x:c>
      <x:c r="D426" s="3" t="str">
        <x:v>North</x:v>
      </x:c>
      <x:c r="E426" s="3" t="str">
        <x:v>Fashion</x:v>
      </x:c>
      <x:c r="F426" s="3" t="str">
        <x:v>Footwear</x:v>
      </x:c>
      <x:c r="G426" s="3" t="str">
        <x:v>UrbanLoafers</x:v>
      </x:c>
      <x:c r="H426" s="3" t="n">
        <x:v>1</x:v>
      </x:c>
      <x:c r="I426" s="7" t="n">
        <x:v>3368.55</x:v>
      </x:c>
      <x:c r="J426" s="9" t="n">
        <x:v>0.2</x:v>
      </x:c>
      <x:c r="K426" s="7" t="n">
        <x:v>2694.84</x:v>
      </x:c>
      <x:c r="L426" s="7" t="n">
        <x:v>593.04</x:v>
      </x:c>
      <x:c r="M426" s="3" t="str">
        <x:v>Debit Card</x:v>
      </x:c>
      <x:c r="N426" s="3" t="str">
        <x:f>TEXT(B426,"yyyy-mm")</x:f>
        <x:v>2024-05</x:v>
      </x:c>
      <x:c r="O426" s="3" t="str">
        <x:f>IF(J426=0,"No discount",IF(J426&lt;=0.1,"1-10%",IF(J426&lt;=0.15,"11-15%",IF(J426&lt;=0.2,"16-20%","21%+"))))</x:f>
        <x:v>16-20%</x:v>
      </x:c>
      <x:c r="P426" s="9" t="n">
        <x:f>IF(K426=0,0,L426/K426)</x:f>
        <x:v>0.22006501313621585</x:v>
      </x:c>
      <x:c r="Q426" s="3" t="str">
        <x:f>IF(L426&lt;0,"Yes","No")</x:f>
        <x:v>No</x:v>
      </x:c>
    </x:row>
    <x:row r="427" ht="21" customHeight="1">
      <x:c r="A427" s="3" t="str">
        <x:v>ORD-101600</x:v>
      </x:c>
      <x:c r="B427" s="5" t="n">
        <x:v>45425</x:v>
      </x:c>
      <x:c r="C427" s="3" t="str">
        <x:v>CUST-00079</x:v>
      </x:c>
      <x:c r="D427" s="3" t="str">
        <x:v>South</x:v>
      </x:c>
      <x:c r="E427" s="3" t="str">
        <x:v>Beauty</x:v>
      </x:c>
      <x:c r="F427" s="3" t="str">
        <x:v>Makeup</x:v>
      </x:c>
      <x:c r="G427" s="3" t="str">
        <x:v>HD Foundation Kit</x:v>
      </x:c>
      <x:c r="H427" s="3" t="n">
        <x:v>2</x:v>
      </x:c>
      <x:c r="I427" s="7" t="n">
        <x:v>1476.68</x:v>
      </x:c>
      <x:c r="J427" s="9" t="n">
        <x:v>0.05</x:v>
      </x:c>
      <x:c r="K427" s="7" t="n">
        <x:v>2805.69</x:v>
      </x:c>
      <x:c r="L427" s="7" t="n">
        <x:v>1426.42</x:v>
      </x:c>
      <x:c r="M427" s="3" t="str">
        <x:v>UPI</x:v>
      </x:c>
      <x:c r="N427" s="3" t="str">
        <x:f>TEXT(B427,"yyyy-mm")</x:f>
        <x:v>2024-05</x:v>
      </x:c>
      <x:c r="O427" s="3" t="str">
        <x:f>IF(J427=0,"No discount",IF(J427&lt;=0.1,"1-10%",IF(J427&lt;=0.15,"11-15%",IF(J427&lt;=0.2,"16-20%","21%+"))))</x:f>
        <x:v>1-10%</x:v>
      </x:c>
      <x:c r="P427" s="9" t="n">
        <x:f>IF(K427=0,0,L427/K427)</x:f>
        <x:v>0.5084025676393329</x:v>
      </x:c>
      <x:c r="Q427" s="3" t="str">
        <x:f>IF(L427&lt;0,"Yes","No")</x:f>
        <x:v>No</x:v>
      </x:c>
    </x:row>
    <x:row r="428" ht="21" customHeight="1">
      <x:c r="A428" s="3" t="str">
        <x:v>ORD-101827</x:v>
      </x:c>
      <x:c r="B428" s="5" t="n">
        <x:v>45425</x:v>
      </x:c>
      <x:c r="C428" s="3" t="str">
        <x:v>CUST-00181</x:v>
      </x:c>
      <x:c r="D428" s="3" t="str">
        <x:v>South</x:v>
      </x:c>
      <x:c r="E428" s="3" t="str">
        <x:v>Fashion</x:v>
      </x:c>
      <x:c r="F428" s="3" t="str">
        <x:v>Footwear</x:v>
      </x:c>
      <x:c r="G428" s="3" t="str">
        <x:v>RunFlex Sneakers</x:v>
      </x:c>
      <x:c r="H428" s="3" t="n">
        <x:v>1</x:v>
      </x:c>
      <x:c r="I428" s="7" t="n">
        <x:v>2932.38</x:v>
      </x:c>
      <x:c r="J428" s="9" t="n">
        <x:v>0.2</x:v>
      </x:c>
      <x:c r="K428" s="7" t="n">
        <x:v>2345.9</x:v>
      </x:c>
      <x:c r="L428" s="7" t="n">
        <x:v>357.8</x:v>
      </x:c>
      <x:c r="M428" s="3" t="str">
        <x:v>Net Banking</x:v>
      </x:c>
      <x:c r="N428" s="3" t="str">
        <x:f>TEXT(B428,"yyyy-mm")</x:f>
        <x:v>2024-05</x:v>
      </x:c>
      <x:c r="O428" s="3" t="str">
        <x:f>IF(J428=0,"No discount",IF(J428&lt;=0.1,"1-10%",IF(J428&lt;=0.15,"11-15%",IF(J428&lt;=0.2,"16-20%","21%+"))))</x:f>
        <x:v>16-20%</x:v>
      </x:c>
      <x:c r="P428" s="9" t="n">
        <x:f>IF(K428=0,0,L428/K428)</x:f>
        <x:v>0.15252142035039856</x:v>
      </x:c>
      <x:c r="Q428" s="3" t="str">
        <x:f>IF(L428&lt;0,"Yes","No")</x:f>
        <x:v>No</x:v>
      </x:c>
    </x:row>
    <x:row r="429" ht="21" customHeight="1">
      <x:c r="A429" s="3" t="str">
        <x:v>ORD-100075</x:v>
      </x:c>
      <x:c r="B429" s="5" t="n">
        <x:v>45426</x:v>
      </x:c>
      <x:c r="C429" s="3" t="str">
        <x:v>CUST-00303</x:v>
      </x:c>
      <x:c r="D429" s="3" t="str">
        <x:v>South</x:v>
      </x:c>
      <x:c r="E429" s="3" t="str">
        <x:v>Beauty</x:v>
      </x:c>
      <x:c r="F429" s="3" t="str">
        <x:v>Makeup</x:v>
      </x:c>
      <x:c r="G429" s="3" t="str">
        <x:v>Matte Lipstick Set</x:v>
      </x:c>
      <x:c r="H429" s="3" t="n">
        <x:v>2</x:v>
      </x:c>
      <x:c r="I429" s="7" t="n">
        <x:v>1013.62</x:v>
      </x:c>
      <x:c r="J429" s="9" t="n">
        <x:v>0.25</x:v>
      </x:c>
      <x:c r="K429" s="7" t="n">
        <x:v>1520.43</x:v>
      </x:c>
      <x:c r="L429" s="7" t="n">
        <x:v>375.87</x:v>
      </x:c>
      <x:c r="M429" s="3" t="str">
        <x:v>Credit Card</x:v>
      </x:c>
      <x:c r="N429" s="3" t="str">
        <x:f>TEXT(B429,"yyyy-mm")</x:f>
        <x:v>2024-05</x:v>
      </x:c>
      <x:c r="O429" s="3" t="str">
        <x:f>IF(J429=0,"No discount",IF(J429&lt;=0.1,"1-10%",IF(J429&lt;=0.15,"11-15%",IF(J429&lt;=0.2,"16-20%","21%+"))))</x:f>
        <x:v>21%+</x:v>
      </x:c>
      <x:c r="P429" s="9" t="n">
        <x:f>IF(K429=0,0,L429/K429)</x:f>
        <x:v>0.24721295949172273</x:v>
      </x:c>
      <x:c r="Q429" s="3" t="str">
        <x:f>IF(L429&lt;0,"Yes","No")</x:f>
        <x:v>No</x:v>
      </x:c>
    </x:row>
    <x:row r="430" ht="21" customHeight="1">
      <x:c r="A430" s="3" t="str">
        <x:v>ORD-100544</x:v>
      </x:c>
      <x:c r="B430" s="5" t="n">
        <x:v>45426</x:v>
      </x:c>
      <x:c r="C430" s="3" t="str">
        <x:v>CUST-00099</x:v>
      </x:c>
      <x:c r="D430" s="3" t="str">
        <x:v>South</x:v>
      </x:c>
      <x:c r="E430" s="3" t="str">
        <x:v>Home &amp; Kitchen</x:v>
      </x:c>
      <x:c r="F430" s="3" t="str">
        <x:v>Appliances</x:v>
      </x:c>
      <x:c r="G430" s="3" t="str">
        <x:v>AirFryer Deluxe</x:v>
      </x:c>
      <x:c r="H430" s="3" t="n">
        <x:v>1</x:v>
      </x:c>
      <x:c r="I430" s="7" t="n">
        <x:v>7944.89</x:v>
      </x:c>
      <x:c r="J430" s="9" t="n">
        <x:v>0.05</x:v>
      </x:c>
      <x:c r="K430" s="7" t="n">
        <x:v>7547.65</x:v>
      </x:c>
      <x:c r="L430" s="7" t="n">
        <x:v>2241.71</x:v>
      </x:c>
      <x:c r="M430" s="3" t="str">
        <x:v>Credit Card</x:v>
      </x:c>
      <x:c r="N430" s="3" t="str">
        <x:f>TEXT(B430,"yyyy-mm")</x:f>
        <x:v>2024-05</x:v>
      </x:c>
      <x:c r="O430" s="3" t="str">
        <x:f>IF(J430=0,"No discount",IF(J430&lt;=0.1,"1-10%",IF(J430&lt;=0.15,"11-15%",IF(J430&lt;=0.2,"16-20%","21%+"))))</x:f>
        <x:v>1-10%</x:v>
      </x:c>
      <x:c r="P430" s="9" t="n">
        <x:f>IF(K430=0,0,L430/K430)</x:f>
        <x:v>0.2970076778864945</x:v>
      </x:c>
      <x:c r="Q430" s="3" t="str">
        <x:f>IF(L430&lt;0,"Yes","No")</x:f>
        <x:v>No</x:v>
      </x:c>
    </x:row>
    <x:row r="431" ht="21" customHeight="1">
      <x:c r="A431" s="3" t="str">
        <x:v>ORD-100965</x:v>
      </x:c>
      <x:c r="B431" s="5" t="n">
        <x:v>45426</x:v>
      </x:c>
      <x:c r="C431" s="3" t="str">
        <x:v>CUST-00384</x:v>
      </x:c>
      <x:c r="D431" s="3" t="str">
        <x:v>East</x:v>
      </x:c>
      <x:c r="E431" s="3" t="str">
        <x:v>Fashion</x:v>
      </x:c>
      <x:c r="F431" s="3" t="str">
        <x:v>Footwear</x:v>
      </x:c>
      <x:c r="G431" s="3" t="str">
        <x:v>UrbanLoafers</x:v>
      </x:c>
      <x:c r="H431" s="3" t="n">
        <x:v>1</x:v>
      </x:c>
      <x:c r="I431" s="7" t="n">
        <x:v>3557.91</x:v>
      </x:c>
      <x:c r="J431" s="9" t="n">
        <x:v>0.3</x:v>
      </x:c>
      <x:c r="K431" s="7" t="n">
        <x:v>2490.54</x:v>
      </x:c>
      <x:c r="L431" s="7" t="n">
        <x:v>190.76</x:v>
      </x:c>
      <x:c r="M431" s="3" t="str">
        <x:v>Net Banking</x:v>
      </x:c>
      <x:c r="N431" s="3" t="str">
        <x:f>TEXT(B431,"yyyy-mm")</x:f>
        <x:v>2024-05</x:v>
      </x:c>
      <x:c r="O431" s="3" t="str">
        <x:f>IF(J431=0,"No discount",IF(J431&lt;=0.1,"1-10%",IF(J431&lt;=0.15,"11-15%",IF(J431&lt;=0.2,"16-20%","21%+"))))</x:f>
        <x:v>21%+</x:v>
      </x:c>
      <x:c r="P431" s="9" t="n">
        <x:f>IF(K431=0,0,L431/K431)</x:f>
        <x:v>0.07659383105671862</x:v>
      </x:c>
      <x:c r="Q431" s="3" t="str">
        <x:f>IF(L431&lt;0,"Yes","No")</x:f>
        <x:v>No</x:v>
      </x:c>
    </x:row>
    <x:row r="432" ht="21" customHeight="1">
      <x:c r="A432" s="3" t="str">
        <x:v>ORD-101267</x:v>
      </x:c>
      <x:c r="B432" s="5" t="n">
        <x:v>45426</x:v>
      </x:c>
      <x:c r="C432" s="3" t="str">
        <x:v>CUST-00119</x:v>
      </x:c>
      <x:c r="D432" s="3" t="str">
        <x:v>North</x:v>
      </x:c>
      <x:c r="E432" s="3" t="str">
        <x:v>Electronics</x:v>
      </x:c>
      <x:c r="F432" s="3" t="str">
        <x:v>Mobile</x:v>
      </x:c>
      <x:c r="G432" s="3" t="str">
        <x:v>Galaxy Nova X5</x:v>
      </x:c>
      <x:c r="H432" s="3" t="n">
        <x:v>3</x:v>
      </x:c>
      <x:c r="I432" s="7" t="n">
        <x:v>24322.96</x:v>
      </x:c>
      <x:c r="J432" s="9" t="n">
        <x:v>0.05</x:v>
      </x:c>
      <x:c r="K432" s="7" t="n">
        <x:v>69320.44</x:v>
      </x:c>
      <x:c r="L432" s="7" t="n">
        <x:v>9308.85</x:v>
      </x:c>
      <x:c r="M432" s="3" t="str">
        <x:v>Cash on Delivery</x:v>
      </x:c>
      <x:c r="N432" s="3" t="str">
        <x:f>TEXT(B432,"yyyy-mm")</x:f>
        <x:v>2024-05</x:v>
      </x:c>
      <x:c r="O432" s="3" t="str">
        <x:f>IF(J432=0,"No discount",IF(J432&lt;=0.1,"1-10%",IF(J432&lt;=0.15,"11-15%",IF(J432&lt;=0.2,"16-20%","21%+"))))</x:f>
        <x:v>1-10%</x:v>
      </x:c>
      <x:c r="P432" s="9" t="n">
        <x:f>IF(K432=0,0,L432/K432)</x:f>
        <x:v>0.13428723187561994</x:v>
      </x:c>
      <x:c r="Q432" s="3" t="str">
        <x:f>IF(L432&lt;0,"Yes","No")</x:f>
        <x:v>No</x:v>
      </x:c>
    </x:row>
    <x:row r="433" ht="21" customHeight="1">
      <x:c r="A433" s="3" t="str">
        <x:v>ORD-101900</x:v>
      </x:c>
      <x:c r="B433" s="5" t="n">
        <x:v>45426</x:v>
      </x:c>
      <x:c r="C433" s="3" t="str">
        <x:v>CUST-00309</x:v>
      </x:c>
      <x:c r="D433" s="3" t="str">
        <x:v>North</x:v>
      </x:c>
      <x:c r="E433" s="3" t="str">
        <x:v>Home &amp; Kitchen</x:v>
      </x:c>
      <x:c r="F433" s="3" t="str">
        <x:v>Appliances</x:v>
      </x:c>
      <x:c r="G433" s="3" t="str">
        <x:v>AirFryer Deluxe</x:v>
      </x:c>
      <x:c r="H433" s="3" t="n">
        <x:v>2</x:v>
      </x:c>
      <x:c r="I433" s="7" t="n">
        <x:v>7771.44</x:v>
      </x:c>
      <x:c r="J433" s="9" t="n">
        <x:v>0.1</x:v>
      </x:c>
      <x:c r="K433" s="7" t="n">
        <x:v>13988.59</x:v>
      </x:c>
      <x:c r="L433" s="7" t="n">
        <x:v>3214.37</x:v>
      </x:c>
      <x:c r="M433" s="3" t="str">
        <x:v>UPI</x:v>
      </x:c>
      <x:c r="N433" s="3" t="str">
        <x:f>TEXT(B433,"yyyy-mm")</x:f>
        <x:v>2024-05</x:v>
      </x:c>
      <x:c r="O433" s="3" t="str">
        <x:f>IF(J433=0,"No discount",IF(J433&lt;=0.1,"1-10%",IF(J433&lt;=0.15,"11-15%",IF(J433&lt;=0.2,"16-20%","21%+"))))</x:f>
        <x:v>1-10%</x:v>
      </x:c>
      <x:c r="P433" s="9" t="n">
        <x:f>IF(K433=0,0,L433/K433)</x:f>
        <x:v>0.2297851320254579</x:v>
      </x:c>
      <x:c r="Q433" s="3" t="str">
        <x:f>IF(L433&lt;0,"Yes","No")</x:f>
        <x:v>No</x:v>
      </x:c>
    </x:row>
    <x:row r="434" ht="21" customHeight="1">
      <x:c r="A434" s="3" t="str">
        <x:v>ORD-100182</x:v>
      </x:c>
      <x:c r="B434" s="5" t="n">
        <x:v>45427</x:v>
      </x:c>
      <x:c r="C434" s="3" t="str">
        <x:v>CUST-00442</x:v>
      </x:c>
      <x:c r="D434" s="3" t="str">
        <x:v>South</x:v>
      </x:c>
      <x:c r="E434" s="3" t="str">
        <x:v>Sports</x:v>
      </x:c>
      <x:c r="F434" s="3" t="str">
        <x:v>Fitness</x:v>
      </x:c>
      <x:c r="G434" s="3" t="str">
        <x:v>Adjustable Dumbbell 24kg</x:v>
      </x:c>
      <x:c r="H434" s="3" t="n">
        <x:v>1</x:v>
      </x:c>
      <x:c r="I434" s="7" t="n">
        <x:v>9504.24</x:v>
      </x:c>
      <x:c r="J434" s="9" t="n">
        <x:v>0</x:v>
      </x:c>
      <x:c r="K434" s="7" t="n">
        <x:v>9504.24</x:v>
      </x:c>
      <x:c r="L434" s="7" t="n">
        <x:v>3465.83</x:v>
      </x:c>
      <x:c r="M434" s="3" t="str">
        <x:v>UPI</x:v>
      </x:c>
      <x:c r="N434" s="3" t="str">
        <x:f>TEXT(B434,"yyyy-mm")</x:f>
        <x:v>2024-05</x:v>
      </x:c>
      <x:c r="O434" s="3" t="str">
        <x:f>IF(J434=0,"No discount",IF(J434&lt;=0.1,"1-10%",IF(J434&lt;=0.15,"11-15%",IF(J434&lt;=0.2,"16-20%","21%+"))))</x:f>
        <x:v>No discount</x:v>
      </x:c>
      <x:c r="P434" s="9" t="n">
        <x:f>IF(K434=0,0,L434/K434)</x:f>
        <x:v>0.3646614563605296</x:v>
      </x:c>
      <x:c r="Q434" s="3" t="str">
        <x:f>IF(L434&lt;0,"Yes","No")</x:f>
        <x:v>No</x:v>
      </x:c>
    </x:row>
    <x:row r="435" ht="21" customHeight="1">
      <x:c r="A435" s="3" t="str">
        <x:v>ORD-100204</x:v>
      </x:c>
      <x:c r="B435" s="5" t="n">
        <x:v>45427</x:v>
      </x:c>
      <x:c r="C435" s="3" t="str">
        <x:v>CUST-00330</x:v>
      </x:c>
      <x:c r="D435" s="3" t="str">
        <x:v>North</x:v>
      </x:c>
      <x:c r="E435" s="3" t="str">
        <x:v>Home &amp; Kitchen</x:v>
      </x:c>
      <x:c r="F435" s="3" t="str">
        <x:v>Appliances</x:v>
      </x:c>
      <x:c r="G435" s="3" t="str">
        <x:v>ColdBrew Coffee Maker</x:v>
      </x:c>
      <x:c r="H435" s="3" t="n">
        <x:v>4</x:v>
      </x:c>
      <x:c r="I435" s="7" t="n">
        <x:v>6759.06</x:v>
      </x:c>
      <x:c r="J435" s="9" t="n">
        <x:v>0.05</x:v>
      </x:c>
      <x:c r="K435" s="7" t="n">
        <x:v>25684.43</x:v>
      </x:c>
      <x:c r="L435" s="7" t="n">
        <x:v>7646.63</x:v>
      </x:c>
      <x:c r="M435" s="3" t="str">
        <x:v>Debit Card</x:v>
      </x:c>
      <x:c r="N435" s="3" t="str">
        <x:f>TEXT(B435,"yyyy-mm")</x:f>
        <x:v>2024-05</x:v>
      </x:c>
      <x:c r="O435" s="3" t="str">
        <x:f>IF(J435=0,"No discount",IF(J435&lt;=0.1,"1-10%",IF(J435&lt;=0.15,"11-15%",IF(J435&lt;=0.2,"16-20%","21%+"))))</x:f>
        <x:v>1-10%</x:v>
      </x:c>
      <x:c r="P435" s="9" t="n">
        <x:f>IF(K435=0,0,L435/K435)</x:f>
        <x:v>0.2977146076436191</x:v>
      </x:c>
      <x:c r="Q435" s="3" t="str">
        <x:f>IF(L435&lt;0,"Yes","No")</x:f>
        <x:v>No</x:v>
      </x:c>
    </x:row>
    <x:row r="436" ht="21" customHeight="1">
      <x:c r="A436" s="3" t="str">
        <x:v>ORD-100469</x:v>
      </x:c>
      <x:c r="B436" s="5" t="n">
        <x:v>45427</x:v>
      </x:c>
      <x:c r="C436" s="3" t="str">
        <x:v>CUST-00245</x:v>
      </x:c>
      <x:c r="D436" s="3" t="str">
        <x:v>East</x:v>
      </x:c>
      <x:c r="E436" s="3" t="str">
        <x:v>Sports</x:v>
      </x:c>
      <x:c r="F436" s="3" t="str">
        <x:v>Outdoor</x:v>
      </x:c>
      <x:c r="G436" s="3" t="str">
        <x:v>TrailHike Backpack 60L</x:v>
      </x:c>
      <x:c r="H436" s="3" t="n">
        <x:v>1</x:v>
      </x:c>
      <x:c r="I436" s="7" t="n">
        <x:v>3519.46</x:v>
      </x:c>
      <x:c r="J436" s="9" t="n">
        <x:v>0</x:v>
      </x:c>
      <x:c r="K436" s="7" t="n">
        <x:v>3519.46</x:v>
      </x:c>
      <x:c r="L436" s="7" t="n">
        <x:v>1200.11</x:v>
      </x:c>
      <x:c r="M436" s="3" t="str">
        <x:v>Cash on Delivery</x:v>
      </x:c>
      <x:c r="N436" s="3" t="str">
        <x:f>TEXT(B436,"yyyy-mm")</x:f>
        <x:v>2024-05</x:v>
      </x:c>
      <x:c r="O436" s="3" t="str">
        <x:f>IF(J436=0,"No discount",IF(J436&lt;=0.1,"1-10%",IF(J436&lt;=0.15,"11-15%",IF(J436&lt;=0.2,"16-20%","21%+"))))</x:f>
        <x:v>No discount</x:v>
      </x:c>
      <x:c r="P436" s="9" t="n">
        <x:f>IF(K436=0,0,L436/K436)</x:f>
        <x:v>0.34099265228188413</x:v>
      </x:c>
      <x:c r="Q436" s="3" t="str">
        <x:f>IF(L436&lt;0,"Yes","No")</x:f>
        <x:v>No</x:v>
      </x:c>
    </x:row>
    <x:row r="437" ht="21" customHeight="1">
      <x:c r="A437" s="3" t="str">
        <x:v>ORD-100921</x:v>
      </x:c>
      <x:c r="B437" s="5" t="n">
        <x:v>45427</x:v>
      </x:c>
      <x:c r="C437" s="3" t="str">
        <x:v>CUST-00032</x:v>
      </x:c>
      <x:c r="D437" s="3" t="str">
        <x:v>East</x:v>
      </x:c>
      <x:c r="E437" s="3" t="str">
        <x:v>Beauty</x:v>
      </x:c>
      <x:c r="F437" s="3" t="str">
        <x:v>Skincare</x:v>
      </x:c>
      <x:c r="G437" s="3" t="str">
        <x:v>Vitamin C Serum</x:v>
      </x:c>
      <x:c r="H437" s="3" t="n">
        <x:v>1</x:v>
      </x:c>
      <x:c r="I437" s="7" t="n">
        <x:v>875.56</x:v>
      </x:c>
      <x:c r="J437" s="9" t="n">
        <x:v>0.15</x:v>
      </x:c>
      <x:c r="K437" s="7" t="n">
        <x:v>744.23</x:v>
      </x:c>
      <x:c r="L437" s="7" t="n">
        <x:v>279.29</x:v>
      </x:c>
      <x:c r="M437" s="3" t="str">
        <x:v>UPI</x:v>
      </x:c>
      <x:c r="N437" s="3" t="str">
        <x:f>TEXT(B437,"yyyy-mm")</x:f>
        <x:v>2024-05</x:v>
      </x:c>
      <x:c r="O437" s="3" t="str">
        <x:f>IF(J437=0,"No discount",IF(J437&lt;=0.1,"1-10%",IF(J437&lt;=0.15,"11-15%",IF(J437&lt;=0.2,"16-20%","21%+"))))</x:f>
        <x:v>11-15%</x:v>
      </x:c>
      <x:c r="P437" s="9" t="n">
        <x:f>IF(K437=0,0,L437/K437)</x:f>
        <x:v>0.3752737728927885</x:v>
      </x:c>
      <x:c r="Q437" s="3" t="str">
        <x:f>IF(L437&lt;0,"Yes","No")</x:f>
        <x:v>No</x:v>
      </x:c>
    </x:row>
    <x:row r="438" ht="21" customHeight="1">
      <x:c r="A438" s="3" t="str">
        <x:v>ORD-101728</x:v>
      </x:c>
      <x:c r="B438" s="5" t="n">
        <x:v>45427</x:v>
      </x:c>
      <x:c r="C438" s="3" t="str">
        <x:v>CUST-00195</x:v>
      </x:c>
      <x:c r="D438" s="3" t="str">
        <x:v>North</x:v>
      </x:c>
      <x:c r="E438" s="3" t="str">
        <x:v>Electronics</x:v>
      </x:c>
      <x:c r="F438" s="3" t="str">
        <x:v>Laptop</x:v>
      </x:c>
      <x:c r="G438" s="3" t="str">
        <x:v>AirBook Slim</x:v>
      </x:c>
      <x:c r="H438" s="3" t="n">
        <x:v>2</x:v>
      </x:c>
      <x:c r="I438" s="7" t="n">
        <x:v>76681.54</x:v>
      </x:c>
      <x:c r="J438" s="9" t="n">
        <x:v>0.15</x:v>
      </x:c>
      <x:c r="K438" s="7" t="n">
        <x:v>130358.62</x:v>
      </x:c>
      <x:c r="L438" s="7" t="n">
        <x:v>-2112.08</x:v>
      </x:c>
      <x:c r="M438" s="3" t="str">
        <x:v>Debit Card</x:v>
      </x:c>
      <x:c r="N438" s="3" t="str">
        <x:f>TEXT(B438,"yyyy-mm")</x:f>
        <x:v>2024-05</x:v>
      </x:c>
      <x:c r="O438" s="3" t="str">
        <x:f>IF(J438=0,"No discount",IF(J438&lt;=0.1,"1-10%",IF(J438&lt;=0.15,"11-15%",IF(J438&lt;=0.2,"16-20%","21%+"))))</x:f>
        <x:v>11-15%</x:v>
      </x:c>
      <x:c r="P438" s="9" t="n">
        <x:f>IF(K438=0,0,L438/K438)</x:f>
        <x:v>-0.01620207394033475</x:v>
      </x:c>
      <x:c r="Q438" s="3" t="str">
        <x:f>IF(L438&lt;0,"Yes","No")</x:f>
        <x:v>Yes</x:v>
      </x:c>
    </x:row>
    <x:row r="439" ht="21" customHeight="1">
      <x:c r="A439" s="3" t="str">
        <x:v>ORD-101961</x:v>
      </x:c>
      <x:c r="B439" s="5" t="n">
        <x:v>45427</x:v>
      </x:c>
      <x:c r="C439" s="3" t="str">
        <x:v>CUST-00005</x:v>
      </x:c>
      <x:c r="D439" s="3" t="str">
        <x:v>South</x:v>
      </x:c>
      <x:c r="E439" s="3" t="str">
        <x:v>Electronics</x:v>
      </x:c>
      <x:c r="F439" s="3" t="str">
        <x:v>Mobile</x:v>
      </x:c>
      <x:c r="G439" s="3" t="str">
        <x:v>iPhone Zeta</x:v>
      </x:c>
      <x:c r="H439" s="3" t="n">
        <x:v>4</x:v>
      </x:c>
      <x:c r="I439" s="7" t="n">
        <x:v>67462.99</x:v>
      </x:c>
      <x:c r="J439" s="9" t="n">
        <x:v>0</x:v>
      </x:c>
      <x:c r="K439" s="7" t="n">
        <x:v>269851.96</x:v>
      </x:c>
      <x:c r="L439" s="7" t="n">
        <x:v>49849.1</x:v>
      </x:c>
      <x:c r="M439" s="3" t="str">
        <x:v>UPI</x:v>
      </x:c>
      <x:c r="N439" s="3" t="str">
        <x:f>TEXT(B439,"yyyy-mm")</x:f>
        <x:v>2024-05</x:v>
      </x:c>
      <x:c r="O439" s="3" t="str">
        <x:f>IF(J439=0,"No discount",IF(J439&lt;=0.1,"1-10%",IF(J439&lt;=0.15,"11-15%",IF(J439&lt;=0.2,"16-20%","21%+"))))</x:f>
        <x:v>No discount</x:v>
      </x:c>
      <x:c r="P439" s="9" t="n">
        <x:f>IF(K439=0,0,L439/K439)</x:f>
        <x:v>0.18472758174519094</x:v>
      </x:c>
      <x:c r="Q439" s="3" t="str">
        <x:f>IF(L439&lt;0,"Yes","No")</x:f>
        <x:v>No</x:v>
      </x:c>
    </x:row>
    <x:row r="440" ht="21" customHeight="1">
      <x:c r="A440" s="3" t="str">
        <x:v>ORD-100159</x:v>
      </x:c>
      <x:c r="B440" s="5" t="n">
        <x:v>45428</x:v>
      </x:c>
      <x:c r="C440" s="3" t="str">
        <x:v>CUST-00357</x:v>
      </x:c>
      <x:c r="D440" s="3" t="str">
        <x:v>South</x:v>
      </x:c>
      <x:c r="E440" s="3" t="str">
        <x:v>Fashion</x:v>
      </x:c>
      <x:c r="F440" s="3" t="str">
        <x:v>Men</x:v>
      </x:c>
      <x:c r="G440" s="3" t="str">
        <x:v>Oxford Casual Shirt</x:v>
      </x:c>
      <x:c r="H440" s="3" t="n">
        <x:v>1</x:v>
      </x:c>
      <x:c r="I440" s="7" t="n">
        <x:v>1292.31</x:v>
      </x:c>
      <x:c r="J440" s="9" t="n">
        <x:v>0.2</x:v>
      </x:c>
      <x:c r="K440" s="7" t="n">
        <x:v>1033.85</x:v>
      </x:c>
      <x:c r="L440" s="7" t="n">
        <x:v>230.93</x:v>
      </x:c>
      <x:c r="M440" s="3" t="str">
        <x:v>UPI</x:v>
      </x:c>
      <x:c r="N440" s="3" t="str">
        <x:f>TEXT(B440,"yyyy-mm")</x:f>
        <x:v>2024-05</x:v>
      </x:c>
      <x:c r="O440" s="3" t="str">
        <x:f>IF(J440=0,"No discount",IF(J440&lt;=0.1,"1-10%",IF(J440&lt;=0.15,"11-15%",IF(J440&lt;=0.2,"16-20%","21%+"))))</x:f>
        <x:v>16-20%</x:v>
      </x:c>
      <x:c r="P440" s="9" t="n">
        <x:f>IF(K440=0,0,L440/K440)</x:f>
        <x:v>0.22336896068094989</x:v>
      </x:c>
      <x:c r="Q440" s="3" t="str">
        <x:f>IF(L440&lt;0,"Yes","No")</x:f>
        <x:v>No</x:v>
      </x:c>
    </x:row>
    <x:row r="441" ht="21" customHeight="1">
      <x:c r="A441" s="3" t="str">
        <x:v>ORD-100637</x:v>
      </x:c>
      <x:c r="B441" s="5" t="n">
        <x:v>45428</x:v>
      </x:c>
      <x:c r="C441" s="3" t="str">
        <x:v>CUST-00326</x:v>
      </x:c>
      <x:c r="D441" s="3" t="str">
        <x:v>South</x:v>
      </x:c>
      <x:c r="E441" s="3" t="str">
        <x:v>Electronics</x:v>
      </x:c>
      <x:c r="F441" s="3" t="str">
        <x:v>Audio</x:v>
      </x:c>
      <x:c r="G441" s="3" t="str">
        <x:v>SoundPods Pro</x:v>
      </x:c>
      <x:c r="H441" s="3" t="n">
        <x:v>1</x:v>
      </x:c>
      <x:c r="I441" s="7" t="n">
        <x:v>4911.19</x:v>
      </x:c>
      <x:c r="J441" s="9" t="n">
        <x:v>0</x:v>
      </x:c>
      <x:c r="K441" s="7" t="n">
        <x:v>4911.19</x:v>
      </x:c>
      <x:c r="L441" s="7" t="n">
        <x:v>935.43</x:v>
      </x:c>
      <x:c r="M441" s="3" t="str">
        <x:v>Net Banking</x:v>
      </x:c>
      <x:c r="N441" s="3" t="str">
        <x:f>TEXT(B441,"yyyy-mm")</x:f>
        <x:v>2024-05</x:v>
      </x:c>
      <x:c r="O441" s="3" t="str">
        <x:f>IF(J441=0,"No discount",IF(J441&lt;=0.1,"1-10%",IF(J441&lt;=0.15,"11-15%",IF(J441&lt;=0.2,"16-20%","21%+"))))</x:f>
        <x:v>No discount</x:v>
      </x:c>
      <x:c r="P441" s="9" t="n">
        <x:f>IF(K441=0,0,L441/K441)</x:f>
        <x:v>0.19046911237398675</x:v>
      </x:c>
      <x:c r="Q441" s="3" t="str">
        <x:f>IF(L441&lt;0,"Yes","No")</x:f>
        <x:v>No</x:v>
      </x:c>
    </x:row>
    <x:row r="442" ht="21" customHeight="1">
      <x:c r="A442" s="3" t="str">
        <x:v>ORD-100689</x:v>
      </x:c>
      <x:c r="B442" s="5" t="n">
        <x:v>45428</x:v>
      </x:c>
      <x:c r="C442" s="3" t="str">
        <x:v>CUST-00053</x:v>
      </x:c>
      <x:c r="D442" s="3" t="str">
        <x:v>North</x:v>
      </x:c>
      <x:c r="E442" s="3" t="str">
        <x:v>Beauty</x:v>
      </x:c>
      <x:c r="F442" s="3" t="str">
        <x:v>Skincare</x:v>
      </x:c>
      <x:c r="G442" s="3" t="str">
        <x:v>HydraBoost Moisturizer</x:v>
      </x:c>
      <x:c r="H442" s="3" t="n">
        <x:v>5</x:v>
      </x:c>
      <x:c r="I442" s="7" t="n">
        <x:v>1244.79</x:v>
      </x:c>
      <x:c r="J442" s="9" t="n">
        <x:v>0.1</x:v>
      </x:c>
      <x:c r="K442" s="7" t="n">
        <x:v>5601.56</x:v>
      </x:c>
      <x:c r="L442" s="7" t="n">
        <x:v>2447.22</x:v>
      </x:c>
      <x:c r="M442" s="3" t="str">
        <x:v>UPI</x:v>
      </x:c>
      <x:c r="N442" s="3" t="str">
        <x:f>TEXT(B442,"yyyy-mm")</x:f>
        <x:v>2024-05</x:v>
      </x:c>
      <x:c r="O442" s="3" t="str">
        <x:f>IF(J442=0,"No discount",IF(J442&lt;=0.1,"1-10%",IF(J442&lt;=0.15,"11-15%",IF(J442&lt;=0.2,"16-20%","21%+"))))</x:f>
        <x:v>1-10%</x:v>
      </x:c>
      <x:c r="P442" s="9" t="n">
        <x:f>IF(K442=0,0,L442/K442)</x:f>
        <x:v>0.43688186862231226</x:v>
      </x:c>
      <x:c r="Q442" s="3" t="str">
        <x:f>IF(L442&lt;0,"Yes","No")</x:f>
        <x:v>No</x:v>
      </x:c>
    </x:row>
    <x:row r="443" ht="21" customHeight="1">
      <x:c r="A443" s="3" t="str">
        <x:v>ORD-101255</x:v>
      </x:c>
      <x:c r="B443" s="5" t="n">
        <x:v>45428</x:v>
      </x:c>
      <x:c r="C443" s="3" t="str">
        <x:v>CUST-00590</x:v>
      </x:c>
      <x:c r="D443" s="3" t="str">
        <x:v>East</x:v>
      </x:c>
      <x:c r="E443" s="3" t="str">
        <x:v>Sports</x:v>
      </x:c>
      <x:c r="F443" s="3" t="str">
        <x:v>Outdoor</x:v>
      </x:c>
      <x:c r="G443" s="3" t="str">
        <x:v>AllWeather Tent 4P</x:v>
      </x:c>
      <x:c r="H443" s="3" t="n">
        <x:v>1</x:v>
      </x:c>
      <x:c r="I443" s="7" t="n">
        <x:v>12377.24</x:v>
      </x:c>
      <x:c r="J443" s="9" t="n">
        <x:v>0.05</x:v>
      </x:c>
      <x:c r="K443" s="7" t="n">
        <x:v>11758.38</x:v>
      </x:c>
      <x:c r="L443" s="7" t="n">
        <x:v>3598.45</x:v>
      </x:c>
      <x:c r="M443" s="3" t="str">
        <x:v>Credit Card</x:v>
      </x:c>
      <x:c r="N443" s="3" t="str">
        <x:f>TEXT(B443,"yyyy-mm")</x:f>
        <x:v>2024-05</x:v>
      </x:c>
      <x:c r="O443" s="3" t="str">
        <x:f>IF(J443=0,"No discount",IF(J443&lt;=0.1,"1-10%",IF(J443&lt;=0.15,"11-15%",IF(J443&lt;=0.2,"16-20%","21%+"))))</x:f>
        <x:v>1-10%</x:v>
      </x:c>
      <x:c r="P443" s="9" t="n">
        <x:f>IF(K443=0,0,L443/K443)</x:f>
        <x:v>0.306032803838624</x:v>
      </x:c>
      <x:c r="Q443" s="3" t="str">
        <x:f>IF(L443&lt;0,"Yes","No")</x:f>
        <x:v>No</x:v>
      </x:c>
    </x:row>
    <x:row r="444" ht="21" customHeight="1">
      <x:c r="A444" s="3" t="str">
        <x:v>ORD-101206</x:v>
      </x:c>
      <x:c r="B444" s="5" t="n">
        <x:v>45429</x:v>
      </x:c>
      <x:c r="C444" s="3" t="str">
        <x:v>CUST-00064</x:v>
      </x:c>
      <x:c r="D444" s="3" t="str">
        <x:v>West</x:v>
      </x:c>
      <x:c r="E444" s="3" t="str">
        <x:v>Fashion</x:v>
      </x:c>
      <x:c r="F444" s="3" t="str">
        <x:v>Footwear</x:v>
      </x:c>
      <x:c r="G444" s="3" t="str">
        <x:v>RunFlex Sneakers</x:v>
      </x:c>
      <x:c r="H444" s="3" t="n">
        <x:v>1</x:v>
      </x:c>
      <x:c r="I444" s="7" t="n">
        <x:v>2999.29</x:v>
      </x:c>
      <x:c r="J444" s="9" t="n">
        <x:v>0.1</x:v>
      </x:c>
      <x:c r="K444" s="7" t="n">
        <x:v>2699.36</x:v>
      </x:c>
      <x:c r="L444" s="7" t="n">
        <x:v>753.87</x:v>
      </x:c>
      <x:c r="M444" s="3" t="str">
        <x:v>UPI</x:v>
      </x:c>
      <x:c r="N444" s="3" t="str">
        <x:f>TEXT(B444,"yyyy-mm")</x:f>
        <x:v>2024-05</x:v>
      </x:c>
      <x:c r="O444" s="3" t="str">
        <x:f>IF(J444=0,"No discount",IF(J444&lt;=0.1,"1-10%",IF(J444&lt;=0.15,"11-15%",IF(J444&lt;=0.2,"16-20%","21%+"))))</x:f>
        <x:v>1-10%</x:v>
      </x:c>
      <x:c r="P444" s="9" t="n">
        <x:f>IF(K444=0,0,L444/K444)</x:f>
        <x:v>0.2792773101772272</x:v>
      </x:c>
      <x:c r="Q444" s="3" t="str">
        <x:f>IF(L444&lt;0,"Yes","No")</x:f>
        <x:v>No</x:v>
      </x:c>
    </x:row>
    <x:row r="445" ht="21" customHeight="1">
      <x:c r="A445" s="3" t="str">
        <x:v>ORD-101576</x:v>
      </x:c>
      <x:c r="B445" s="5" t="n">
        <x:v>45429</x:v>
      </x:c>
      <x:c r="C445" s="3" t="str">
        <x:v>CUST-00354</x:v>
      </x:c>
      <x:c r="D445" s="3" t="str">
        <x:v>East</x:v>
      </x:c>
      <x:c r="E445" s="3" t="str">
        <x:v>Home &amp; Kitchen</x:v>
      </x:c>
      <x:c r="F445" s="3" t="str">
        <x:v>Decor</x:v>
      </x:c>
      <x:c r="G445" s="3" t="str">
        <x:v>Ceramic Vase Set</x:v>
      </x:c>
      <x:c r="H445" s="3" t="n">
        <x:v>1</x:v>
      </x:c>
      <x:c r="I445" s="7" t="n">
        <x:v>1485.36</x:v>
      </x:c>
      <x:c r="J445" s="9" t="n">
        <x:v>0</x:v>
      </x:c>
      <x:c r="K445" s="7" t="n">
        <x:v>1485.36</x:v>
      </x:c>
      <x:c r="L445" s="7" t="n">
        <x:v>508.18</x:v>
      </x:c>
      <x:c r="M445" s="3" t="str">
        <x:v>UPI</x:v>
      </x:c>
      <x:c r="N445" s="3" t="str">
        <x:f>TEXT(B445,"yyyy-mm")</x:f>
        <x:v>2024-05</x:v>
      </x:c>
      <x:c r="O445" s="3" t="str">
        <x:f>IF(J445=0,"No discount",IF(J445&lt;=0.1,"1-10%",IF(J445&lt;=0.15,"11-15%",IF(J445&lt;=0.2,"16-20%","21%+"))))</x:f>
        <x:v>No discount</x:v>
      </x:c>
      <x:c r="P445" s="9" t="n">
        <x:f>IF(K445=0,0,L445/K445)</x:f>
        <x:v>0.3421258146173319</x:v>
      </x:c>
      <x:c r="Q445" s="3" t="str">
        <x:f>IF(L445&lt;0,"Yes","No")</x:f>
        <x:v>No</x:v>
      </x:c>
    </x:row>
    <x:row r="446" ht="21" customHeight="1">
      <x:c r="A446" s="3" t="str">
        <x:v>ORD-101665</x:v>
      </x:c>
      <x:c r="B446" s="5" t="n">
        <x:v>45429</x:v>
      </x:c>
      <x:c r="C446" s="3" t="str">
        <x:v>CUST-00001</x:v>
      </x:c>
      <x:c r="D446" s="3" t="str">
        <x:v>West</x:v>
      </x:c>
      <x:c r="E446" s="3" t="str">
        <x:v>Beauty</x:v>
      </x:c>
      <x:c r="F446" s="3" t="str">
        <x:v>Skincare</x:v>
      </x:c>
      <x:c r="G446" s="3" t="str">
        <x:v>Vitamin C Serum</x:v>
      </x:c>
      <x:c r="H446" s="3" t="n">
        <x:v>3</x:v>
      </x:c>
      <x:c r="I446" s="7" t="n">
        <x:v>912.95</x:v>
      </x:c>
      <x:c r="J446" s="9" t="n">
        <x:v>0.1</x:v>
      </x:c>
      <x:c r="K446" s="7" t="n">
        <x:v>2464.97</x:v>
      </x:c>
      <x:c r="L446" s="7" t="n">
        <x:v>1051.44</x:v>
      </x:c>
      <x:c r="M446" s="3" t="str">
        <x:v>Credit Card</x:v>
      </x:c>
      <x:c r="N446" s="3" t="str">
        <x:f>TEXT(B446,"yyyy-mm")</x:f>
        <x:v>2024-05</x:v>
      </x:c>
      <x:c r="O446" s="3" t="str">
        <x:f>IF(J446=0,"No discount",IF(J446&lt;=0.1,"1-10%",IF(J446&lt;=0.15,"11-15%",IF(J446&lt;=0.2,"16-20%","21%+"))))</x:f>
        <x:v>1-10%</x:v>
      </x:c>
      <x:c r="P446" s="9" t="n">
        <x:f>IF(K446=0,0,L446/K446)</x:f>
        <x:v>0.42655285865548065</x:v>
      </x:c>
      <x:c r="Q446" s="3" t="str">
        <x:f>IF(L446&lt;0,"Yes","No")</x:f>
        <x:v>No</x:v>
      </x:c>
    </x:row>
    <x:row r="447" ht="21" customHeight="1">
      <x:c r="A447" s="3" t="str">
        <x:v>ORD-101404</x:v>
      </x:c>
      <x:c r="B447" s="5" t="n">
        <x:v>45430</x:v>
      </x:c>
      <x:c r="C447" s="3" t="str">
        <x:v>CUST-00160</x:v>
      </x:c>
      <x:c r="D447" s="3" t="str">
        <x:v>West</x:v>
      </x:c>
      <x:c r="E447" s="3" t="str">
        <x:v>Fashion</x:v>
      </x:c>
      <x:c r="F447" s="3" t="str">
        <x:v>Men</x:v>
      </x:c>
      <x:c r="G447" s="3" t="str">
        <x:v>SlimFit Denim Jeans</x:v>
      </x:c>
      <x:c r="H447" s="3" t="n">
        <x:v>1</x:v>
      </x:c>
      <x:c r="I447" s="7" t="n">
        <x:v>1957.93</x:v>
      </x:c>
      <x:c r="J447" s="9" t="n">
        <x:v>0</x:v>
      </x:c>
      <x:c r="K447" s="7" t="n">
        <x:v>1957.93</x:v>
      </x:c>
      <x:c r="L447" s="7" t="n">
        <x:v>763.98</x:v>
      </x:c>
      <x:c r="M447" s="3" t="str">
        <x:v>Cash on Delivery</x:v>
      </x:c>
      <x:c r="N447" s="3" t="str">
        <x:f>TEXT(B447,"yyyy-mm")</x:f>
        <x:v>2024-05</x:v>
      </x:c>
      <x:c r="O447" s="3" t="str">
        <x:f>IF(J447=0,"No discount",IF(J447&lt;=0.1,"1-10%",IF(J447&lt;=0.15,"11-15%",IF(J447&lt;=0.2,"16-20%","21%+"))))</x:f>
        <x:v>No discount</x:v>
      </x:c>
      <x:c r="P447" s="9" t="n">
        <x:f>IF(K447=0,0,L447/K447)</x:f>
        <x:v>0.3901978109534049</x:v>
      </x:c>
      <x:c r="Q447" s="3" t="str">
        <x:f>IF(L447&lt;0,"Yes","No")</x:f>
        <x:v>No</x:v>
      </x:c>
    </x:row>
    <x:row r="448" ht="21" customHeight="1">
      <x:c r="A448" s="3" t="str">
        <x:v>ORD-100519</x:v>
      </x:c>
      <x:c r="B448" s="5" t="n">
        <x:v>45431</x:v>
      </x:c>
      <x:c r="C448" s="3" t="str">
        <x:v>CUST-00285</x:v>
      </x:c>
      <x:c r="D448" s="3" t="str">
        <x:v>North</x:v>
      </x:c>
      <x:c r="E448" s="3" t="str">
        <x:v>Electronics</x:v>
      </x:c>
      <x:c r="F448" s="3" t="str">
        <x:v>Mobile</x:v>
      </x:c>
      <x:c r="G448" s="3" t="str">
        <x:v>Pixel Aura 12</x:v>
      </x:c>
      <x:c r="H448" s="3" t="n">
        <x:v>1</x:v>
      </x:c>
      <x:c r="I448" s="7" t="n">
        <x:v>32788.24</x:v>
      </x:c>
      <x:c r="J448" s="9" t="n">
        <x:v>0.1</x:v>
      </x:c>
      <x:c r="K448" s="7" t="n">
        <x:v>29509.42</x:v>
      </x:c>
      <x:c r="L448" s="7" t="n">
        <x:v>2264.96</x:v>
      </x:c>
      <x:c r="M448" s="3" t="str">
        <x:v>UPI</x:v>
      </x:c>
      <x:c r="N448" s="3" t="str">
        <x:f>TEXT(B448,"yyyy-mm")</x:f>
        <x:v>2024-05</x:v>
      </x:c>
      <x:c r="O448" s="3" t="str">
        <x:f>IF(J448=0,"No discount",IF(J448&lt;=0.1,"1-10%",IF(J448&lt;=0.15,"11-15%",IF(J448&lt;=0.2,"16-20%","21%+"))))</x:f>
        <x:v>1-10%</x:v>
      </x:c>
      <x:c r="P448" s="9" t="n">
        <x:f>IF(K448=0,0,L448/K448)</x:f>
        <x:v>0.07675379590652748</x:v>
      </x:c>
      <x:c r="Q448" s="3" t="str">
        <x:f>IF(L448&lt;0,"Yes","No")</x:f>
        <x:v>No</x:v>
      </x:c>
    </x:row>
    <x:row r="449" ht="21" customHeight="1">
      <x:c r="A449" s="3" t="str">
        <x:v>ORD-100687</x:v>
      </x:c>
      <x:c r="B449" s="5" t="n">
        <x:v>45431</x:v>
      </x:c>
      <x:c r="C449" s="3" t="str">
        <x:v>CUST-00528</x:v>
      </x:c>
      <x:c r="D449" s="3" t="str">
        <x:v>South</x:v>
      </x:c>
      <x:c r="E449" s="3" t="str">
        <x:v>Electronics</x:v>
      </x:c>
      <x:c r="F449" s="3" t="str">
        <x:v>Audio</x:v>
      </x:c>
      <x:c r="G449" s="3" t="str">
        <x:v>BassBoom Speaker</x:v>
      </x:c>
      <x:c r="H449" s="3" t="n">
        <x:v>2</x:v>
      </x:c>
      <x:c r="I449" s="7" t="n">
        <x:v>9335.88</x:v>
      </x:c>
      <x:c r="J449" s="9" t="n">
        <x:v>0.05</x:v>
      </x:c>
      <x:c r="K449" s="7" t="n">
        <x:v>17738.17</x:v>
      </x:c>
      <x:c r="L449" s="7" t="n">
        <x:v>2828.76</x:v>
      </x:c>
      <x:c r="M449" s="3" t="str">
        <x:v>Credit Card</x:v>
      </x:c>
      <x:c r="N449" s="3" t="str">
        <x:f>TEXT(B449,"yyyy-mm")</x:f>
        <x:v>2024-05</x:v>
      </x:c>
      <x:c r="O449" s="3" t="str">
        <x:f>IF(J449=0,"No discount",IF(J449&lt;=0.1,"1-10%",IF(J449&lt;=0.15,"11-15%",IF(J449&lt;=0.2,"16-20%","21%+"))))</x:f>
        <x:v>1-10%</x:v>
      </x:c>
      <x:c r="P449" s="9" t="n">
        <x:f>IF(K449=0,0,L449/K449)</x:f>
        <x:v>0.1594730459793767</x:v>
      </x:c>
      <x:c r="Q449" s="3" t="str">
        <x:f>IF(L449&lt;0,"Yes","No")</x:f>
        <x:v>No</x:v>
      </x:c>
    </x:row>
    <x:row r="450" ht="21" customHeight="1">
      <x:c r="A450" s="3" t="str">
        <x:v>ORD-101395</x:v>
      </x:c>
      <x:c r="B450" s="5" t="n">
        <x:v>45431</x:v>
      </x:c>
      <x:c r="C450" s="3" t="str">
        <x:v>CUST-00007</x:v>
      </x:c>
      <x:c r="D450" s="3" t="str">
        <x:v>South</x:v>
      </x:c>
      <x:c r="E450" s="3" t="str">
        <x:v>Beauty</x:v>
      </x:c>
      <x:c r="F450" s="3" t="str">
        <x:v>Makeup</x:v>
      </x:c>
      <x:c r="G450" s="3" t="str">
        <x:v>HD Foundation Kit</x:v>
      </x:c>
      <x:c r="H450" s="3" t="n">
        <x:v>1</x:v>
      </x:c>
      <x:c r="I450" s="7" t="n">
        <x:v>1559.39</x:v>
      </x:c>
      <x:c r="J450" s="9" t="n">
        <x:v>0</x:v>
      </x:c>
      <x:c r="K450" s="7" t="n">
        <x:v>1559.39</x:v>
      </x:c>
      <x:c r="L450" s="7" t="n">
        <x:v>806.32</x:v>
      </x:c>
      <x:c r="M450" s="3" t="str">
        <x:v>UPI</x:v>
      </x:c>
      <x:c r="N450" s="3" t="str">
        <x:f>TEXT(B450,"yyyy-mm")</x:f>
        <x:v>2024-05</x:v>
      </x:c>
      <x:c r="O450" s="3" t="str">
        <x:f>IF(J450=0,"No discount",IF(J450&lt;=0.1,"1-10%",IF(J450&lt;=0.15,"11-15%",IF(J450&lt;=0.2,"16-20%","21%+"))))</x:f>
        <x:v>No discount</x:v>
      </x:c>
      <x:c r="P450" s="9" t="n">
        <x:f>IF(K450=0,0,L450/K450)</x:f>
        <x:v>0.5170739840578688</x:v>
      </x:c>
      <x:c r="Q450" s="3" t="str">
        <x:f>IF(L450&lt;0,"Yes","No")</x:f>
        <x:v>No</x:v>
      </x:c>
    </x:row>
    <x:row r="451" ht="21" customHeight="1">
      <x:c r="A451" s="3" t="str">
        <x:v>ORD-101536</x:v>
      </x:c>
      <x:c r="B451" s="5" t="n">
        <x:v>45431</x:v>
      </x:c>
      <x:c r="C451" s="3" t="str">
        <x:v>CUST-00590</x:v>
      </x:c>
      <x:c r="D451" s="3" t="str">
        <x:v>North</x:v>
      </x:c>
      <x:c r="E451" s="3" t="str">
        <x:v>Sports</x:v>
      </x:c>
      <x:c r="F451" s="3" t="str">
        <x:v>Outdoor</x:v>
      </x:c>
      <x:c r="G451" s="3" t="str">
        <x:v>TrailHike Backpack 60L</x:v>
      </x:c>
      <x:c r="H451" s="3" t="n">
        <x:v>2</x:v>
      </x:c>
      <x:c r="I451" s="7" t="n">
        <x:v>3650.21</x:v>
      </x:c>
      <x:c r="J451" s="9" t="n">
        <x:v>0.05</x:v>
      </x:c>
      <x:c r="K451" s="7" t="n">
        <x:v>6935.4</x:v>
      </x:c>
      <x:c r="L451" s="7" t="n">
        <x:v>2506.83</x:v>
      </x:c>
      <x:c r="M451" s="3" t="str">
        <x:v>Debit Card</x:v>
      </x:c>
      <x:c r="N451" s="3" t="str">
        <x:f>TEXT(B451,"yyyy-mm")</x:f>
        <x:v>2024-05</x:v>
      </x:c>
      <x:c r="O451" s="3" t="str">
        <x:f>IF(J451=0,"No discount",IF(J451&lt;=0.1,"1-10%",IF(J451&lt;=0.15,"11-15%",IF(J451&lt;=0.2,"16-20%","21%+"))))</x:f>
        <x:v>1-10%</x:v>
      </x:c>
      <x:c r="P451" s="9" t="n">
        <x:f>IF(K451=0,0,L451/K451)</x:f>
        <x:v>0.3614542780517346</x:v>
      </x:c>
      <x:c r="Q451" s="3" t="str">
        <x:f>IF(L451&lt;0,"Yes","No")</x:f>
        <x:v>No</x:v>
      </x:c>
    </x:row>
    <x:row r="452" ht="21" customHeight="1">
      <x:c r="A452" s="3" t="str">
        <x:v>ORD-101591</x:v>
      </x:c>
      <x:c r="B452" s="5" t="n">
        <x:v>45431</x:v>
      </x:c>
      <x:c r="C452" s="3" t="str">
        <x:v>CUST-00368</x:v>
      </x:c>
      <x:c r="D452" s="3" t="str">
        <x:v>North</x:v>
      </x:c>
      <x:c r="E452" s="3" t="str">
        <x:v>Electronics</x:v>
      </x:c>
      <x:c r="F452" s="3" t="str">
        <x:v>Mobile</x:v>
      </x:c>
      <x:c r="G452" s="3" t="str">
        <x:v>Pixel Aura 12</x:v>
      </x:c>
      <x:c r="H452" s="3" t="n">
        <x:v>1</x:v>
      </x:c>
      <x:c r="I452" s="7" t="n">
        <x:v>33001.63</x:v>
      </x:c>
      <x:c r="J452" s="9" t="n">
        <x:v>0.1</x:v>
      </x:c>
      <x:c r="K452" s="7" t="n">
        <x:v>29701.47</x:v>
      </x:c>
      <x:c r="L452" s="7" t="n">
        <x:v>908.93</x:v>
      </x:c>
      <x:c r="M452" s="3" t="str">
        <x:v>UPI</x:v>
      </x:c>
      <x:c r="N452" s="3" t="str">
        <x:f>TEXT(B452,"yyyy-mm")</x:f>
        <x:v>2024-05</x:v>
      </x:c>
      <x:c r="O452" s="3" t="str">
        <x:f>IF(J452=0,"No discount",IF(J452&lt;=0.1,"1-10%",IF(J452&lt;=0.15,"11-15%",IF(J452&lt;=0.2,"16-20%","21%+"))))</x:f>
        <x:v>1-10%</x:v>
      </x:c>
      <x:c r="P452" s="9" t="n">
        <x:f>IF(K452=0,0,L452/K452)</x:f>
        <x:v>0.03060218904990224</x:v>
      </x:c>
      <x:c r="Q452" s="3" t="str">
        <x:f>IF(L452&lt;0,"Yes","No")</x:f>
        <x:v>No</x:v>
      </x:c>
    </x:row>
    <x:row r="453" ht="21" customHeight="1">
      <x:c r="A453" s="3" t="str">
        <x:v>ORD-100124</x:v>
      </x:c>
      <x:c r="B453" s="5" t="n">
        <x:v>45432</x:v>
      </x:c>
      <x:c r="C453" s="3" t="str">
        <x:v>CUST-00408</x:v>
      </x:c>
      <x:c r="D453" s="3" t="str">
        <x:v>South</x:v>
      </x:c>
      <x:c r="E453" s="3" t="str">
        <x:v>Fashion</x:v>
      </x:c>
      <x:c r="F453" s="3" t="str">
        <x:v>Footwear</x:v>
      </x:c>
      <x:c r="G453" s="3" t="str">
        <x:v>UrbanLoafers</x:v>
      </x:c>
      <x:c r="H453" s="3" t="n">
        <x:v>1</x:v>
      </x:c>
      <x:c r="I453" s="7" t="n">
        <x:v>3335.38</x:v>
      </x:c>
      <x:c r="J453" s="9" t="n">
        <x:v>0.25</x:v>
      </x:c>
      <x:c r="K453" s="7" t="n">
        <x:v>2501.53</x:v>
      </x:c>
      <x:c r="L453" s="7" t="n">
        <x:v>262.1</x:v>
      </x:c>
      <x:c r="M453" s="3" t="str">
        <x:v>UPI</x:v>
      </x:c>
      <x:c r="N453" s="3" t="str">
        <x:f>TEXT(B453,"yyyy-mm")</x:f>
        <x:v>2024-05</x:v>
      </x:c>
      <x:c r="O453" s="3" t="str">
        <x:f>IF(J453=0,"No discount",IF(J453&lt;=0.1,"1-10%",IF(J453&lt;=0.15,"11-15%",IF(J453&lt;=0.2,"16-20%","21%+"))))</x:f>
        <x:v>21%+</x:v>
      </x:c>
      <x:c r="P453" s="9" t="n">
        <x:f>IF(K453=0,0,L453/K453)</x:f>
        <x:v>0.10477587716317614</x:v>
      </x:c>
      <x:c r="Q453" s="3" t="str">
        <x:f>IF(L453&lt;0,"Yes","No")</x:f>
        <x:v>No</x:v>
      </x:c>
    </x:row>
    <x:row r="454" ht="21" customHeight="1">
      <x:c r="A454" s="3" t="str">
        <x:v>ORD-101063</x:v>
      </x:c>
      <x:c r="B454" s="5" t="n">
        <x:v>45432</x:v>
      </x:c>
      <x:c r="C454" s="3" t="str">
        <x:v>CUST-00331</x:v>
      </x:c>
      <x:c r="D454" s="3" t="str">
        <x:v>North</x:v>
      </x:c>
      <x:c r="E454" s="3" t="str">
        <x:v>Fashion</x:v>
      </x:c>
      <x:c r="F454" s="3" t="str">
        <x:v>Men</x:v>
      </x:c>
      <x:c r="G454" s="3" t="str">
        <x:v>SlimFit Denim Jeans</x:v>
      </x:c>
      <x:c r="H454" s="3" t="n">
        <x:v>2</x:v>
      </x:c>
      <x:c r="I454" s="7" t="n">
        <x:v>1909.54</x:v>
      </x:c>
      <x:c r="J454" s="9" t="n">
        <x:v>0.1</x:v>
      </x:c>
      <x:c r="K454" s="7" t="n">
        <x:v>3437.17</x:v>
      </x:c>
      <x:c r="L454" s="7" t="n">
        <x:v>1142.62</x:v>
      </x:c>
      <x:c r="M454" s="3" t="str">
        <x:v>UPI</x:v>
      </x:c>
      <x:c r="N454" s="3" t="str">
        <x:f>TEXT(B454,"yyyy-mm")</x:f>
        <x:v>2024-05</x:v>
      </x:c>
      <x:c r="O454" s="3" t="str">
        <x:f>IF(J454=0,"No discount",IF(J454&lt;=0.1,"1-10%",IF(J454&lt;=0.15,"11-15%",IF(J454&lt;=0.2,"16-20%","21%+"))))</x:f>
        <x:v>1-10%</x:v>
      </x:c>
      <x:c r="P454" s="9" t="n">
        <x:f>IF(K454=0,0,L454/K454)</x:f>
        <x:v>0.3324304587785882</x:v>
      </x:c>
      <x:c r="Q454" s="3" t="str">
        <x:f>IF(L454&lt;0,"Yes","No")</x:f>
        <x:v>No</x:v>
      </x:c>
    </x:row>
    <x:row r="455" ht="21" customHeight="1">
      <x:c r="A455" s="3" t="str">
        <x:v>ORD-101099</x:v>
      </x:c>
      <x:c r="B455" s="5" t="n">
        <x:v>45432</x:v>
      </x:c>
      <x:c r="C455" s="3" t="str">
        <x:v>CUST-00094</x:v>
      </x:c>
      <x:c r="D455" s="3" t="str">
        <x:v>West</x:v>
      </x:c>
      <x:c r="E455" s="3" t="str">
        <x:v>Home &amp; Kitchen</x:v>
      </x:c>
      <x:c r="F455" s="3" t="str">
        <x:v>Decor</x:v>
      </x:c>
      <x:c r="G455" s="3" t="str">
        <x:v>LED Wall Lamp</x:v>
      </x:c>
      <x:c r="H455" s="3" t="n">
        <x:v>1</x:v>
      </x:c>
      <x:c r="I455" s="7" t="n">
        <x:v>981.73</x:v>
      </x:c>
      <x:c r="J455" s="9" t="n">
        <x:v>0.1</x:v>
      </x:c>
      <x:c r="K455" s="7" t="n">
        <x:v>883.56</x:v>
      </x:c>
      <x:c r="L455" s="7" t="n">
        <x:v>176.4</x:v>
      </x:c>
      <x:c r="M455" s="3" t="str">
        <x:v>Credit Card</x:v>
      </x:c>
      <x:c r="N455" s="3" t="str">
        <x:f>TEXT(B455,"yyyy-mm")</x:f>
        <x:v>2024-05</x:v>
      </x:c>
      <x:c r="O455" s="3" t="str">
        <x:f>IF(J455=0,"No discount",IF(J455&lt;=0.1,"1-10%",IF(J455&lt;=0.15,"11-15%",IF(J455&lt;=0.2,"16-20%","21%+"))))</x:f>
        <x:v>1-10%</x:v>
      </x:c>
      <x:c r="P455" s="9" t="n">
        <x:f>IF(K455=0,0,L455/K455)</x:f>
        <x:v>0.19964688306396852</x:v>
      </x:c>
      <x:c r="Q455" s="3" t="str">
        <x:f>IF(L455&lt;0,"Yes","No")</x:f>
        <x:v>No</x:v>
      </x:c>
    </x:row>
    <x:row r="456" ht="21" customHeight="1">
      <x:c r="A456" s="3" t="str">
        <x:v>ORD-101235</x:v>
      </x:c>
      <x:c r="B456" s="5" t="n">
        <x:v>45432</x:v>
      </x:c>
      <x:c r="C456" s="3" t="str">
        <x:v>CUST-00569</x:v>
      </x:c>
      <x:c r="D456" s="3" t="str">
        <x:v>East</x:v>
      </x:c>
      <x:c r="E456" s="3" t="str">
        <x:v>Sports</x:v>
      </x:c>
      <x:c r="F456" s="3" t="str">
        <x:v>Outdoor</x:v>
      </x:c>
      <x:c r="G456" s="3" t="str">
        <x:v>AllWeather Tent 4P</x:v>
      </x:c>
      <x:c r="H456" s="3" t="n">
        <x:v>1</x:v>
      </x:c>
      <x:c r="I456" s="7" t="n">
        <x:v>12530.47</x:v>
      </x:c>
      <x:c r="J456" s="9" t="n">
        <x:v>0</x:v>
      </x:c>
      <x:c r="K456" s="7" t="n">
        <x:v>12530.47</x:v>
      </x:c>
      <x:c r="L456" s="7" t="n">
        <x:v>5147.95</x:v>
      </x:c>
      <x:c r="M456" s="3" t="str">
        <x:v>Debit Card</x:v>
      </x:c>
      <x:c r="N456" s="3" t="str">
        <x:f>TEXT(B456,"yyyy-mm")</x:f>
        <x:v>2024-05</x:v>
      </x:c>
      <x:c r="O456" s="3" t="str">
        <x:f>IF(J456=0,"No discount",IF(J456&lt;=0.1,"1-10%",IF(J456&lt;=0.15,"11-15%",IF(J456&lt;=0.2,"16-20%","21%+"))))</x:f>
        <x:v>No discount</x:v>
      </x:c>
      <x:c r="P456" s="9" t="n">
        <x:f>IF(K456=0,0,L456/K456)</x:f>
        <x:v>0.4108345497016473</x:v>
      </x:c>
      <x:c r="Q456" s="3" t="str">
        <x:f>IF(L456&lt;0,"Yes","No")</x:f>
        <x:v>No</x:v>
      </x:c>
    </x:row>
    <x:row r="457" ht="21" customHeight="1">
      <x:c r="A457" s="3" t="str">
        <x:v>ORD-101740</x:v>
      </x:c>
      <x:c r="B457" s="5" t="n">
        <x:v>45432</x:v>
      </x:c>
      <x:c r="C457" s="3" t="str">
        <x:v>CUST-00293</x:v>
      </x:c>
      <x:c r="D457" s="3" t="str">
        <x:v>West</x:v>
      </x:c>
      <x:c r="E457" s="3" t="str">
        <x:v>Sports</x:v>
      </x:c>
      <x:c r="F457" s="3" t="str">
        <x:v>Fitness</x:v>
      </x:c>
      <x:c r="G457" s="3" t="str">
        <x:v>ProYoga Mat</x:v>
      </x:c>
      <x:c r="H457" s="3" t="n">
        <x:v>3</x:v>
      </x:c>
      <x:c r="I457" s="7" t="n">
        <x:v>1353.2</x:v>
      </x:c>
      <x:c r="J457" s="9" t="n">
        <x:v>0.05</x:v>
      </x:c>
      <x:c r="K457" s="7" t="n">
        <x:v>3856.62</x:v>
      </x:c>
      <x:c r="L457" s="7" t="n">
        <x:v>1381.83</x:v>
      </x:c>
      <x:c r="M457" s="3" t="str">
        <x:v>Credit Card</x:v>
      </x:c>
      <x:c r="N457" s="3" t="str">
        <x:f>TEXT(B457,"yyyy-mm")</x:f>
        <x:v>2024-05</x:v>
      </x:c>
      <x:c r="O457" s="3" t="str">
        <x:f>IF(J457=0,"No discount",IF(J457&lt;=0.1,"1-10%",IF(J457&lt;=0.15,"11-15%",IF(J457&lt;=0.2,"16-20%","21%+"))))</x:f>
        <x:v>1-10%</x:v>
      </x:c>
      <x:c r="P457" s="9" t="n">
        <x:f>IF(K457=0,0,L457/K457)</x:f>
        <x:v>0.3583007918851222</x:v>
      </x:c>
      <x:c r="Q457" s="3" t="str">
        <x:f>IF(L457&lt;0,"Yes","No")</x:f>
        <x:v>No</x:v>
      </x:c>
    </x:row>
    <x:row r="458" ht="21" customHeight="1">
      <x:c r="A458" s="3" t="str">
        <x:v>ORD-100292</x:v>
      </x:c>
      <x:c r="B458" s="5" t="n">
        <x:v>45433</x:v>
      </x:c>
      <x:c r="C458" s="3" t="str">
        <x:v>CUST-00525</x:v>
      </x:c>
      <x:c r="D458" s="3" t="str">
        <x:v>West</x:v>
      </x:c>
      <x:c r="E458" s="3" t="str">
        <x:v>Beauty</x:v>
      </x:c>
      <x:c r="F458" s="3" t="str">
        <x:v>Makeup</x:v>
      </x:c>
      <x:c r="G458" s="3" t="str">
        <x:v>HD Foundation Kit</x:v>
      </x:c>
      <x:c r="H458" s="3" t="n">
        <x:v>5</x:v>
      </x:c>
      <x:c r="I458" s="7" t="n">
        <x:v>1538.33</x:v>
      </x:c>
      <x:c r="J458" s="9" t="n">
        <x:v>0.25</x:v>
      </x:c>
      <x:c r="K458" s="7" t="n">
        <x:v>5768.74</x:v>
      </x:c>
      <x:c r="L458" s="7" t="n">
        <x:v>1409.81</x:v>
      </x:c>
      <x:c r="M458" s="3" t="str">
        <x:v>Cash on Delivery</x:v>
      </x:c>
      <x:c r="N458" s="3" t="str">
        <x:f>TEXT(B458,"yyyy-mm")</x:f>
        <x:v>2024-05</x:v>
      </x:c>
      <x:c r="O458" s="3" t="str">
        <x:f>IF(J458=0,"No discount",IF(J458&lt;=0.1,"1-10%",IF(J458&lt;=0.15,"11-15%",IF(J458&lt;=0.2,"16-20%","21%+"))))</x:f>
        <x:v>21%+</x:v>
      </x:c>
      <x:c r="P458" s="9" t="n">
        <x:f>IF(K458=0,0,L458/K458)</x:f>
        <x:v>0.24438785592694418</x:v>
      </x:c>
      <x:c r="Q458" s="3" t="str">
        <x:f>IF(L458&lt;0,"Yes","No")</x:f>
        <x:v>No</x:v>
      </x:c>
    </x:row>
    <x:row r="459" ht="21" customHeight="1">
      <x:c r="A459" s="3" t="str">
        <x:v>ORD-100772</x:v>
      </x:c>
      <x:c r="B459" s="5" t="n">
        <x:v>45433</x:v>
      </x:c>
      <x:c r="C459" s="3" t="str">
        <x:v>CUST-00123</x:v>
      </x:c>
      <x:c r="D459" s="3" t="str">
        <x:v>North</x:v>
      </x:c>
      <x:c r="E459" s="3" t="str">
        <x:v>Electronics</x:v>
      </x:c>
      <x:c r="F459" s="3" t="str">
        <x:v>Mobile</x:v>
      </x:c>
      <x:c r="G459" s="3" t="str">
        <x:v>Pixel Aura 12</x:v>
      </x:c>
      <x:c r="H459" s="3" t="n">
        <x:v>1</x:v>
      </x:c>
      <x:c r="I459" s="7" t="n">
        <x:v>33371.07</x:v>
      </x:c>
      <x:c r="J459" s="9" t="n">
        <x:v>0.05</x:v>
      </x:c>
      <x:c r="K459" s="7" t="n">
        <x:v>31702.52</x:v>
      </x:c>
      <x:c r="L459" s="7" t="n">
        <x:v>4676.08</x:v>
      </x:c>
      <x:c r="M459" s="3" t="str">
        <x:v>UPI</x:v>
      </x:c>
      <x:c r="N459" s="3" t="str">
        <x:f>TEXT(B459,"yyyy-mm")</x:f>
        <x:v>2024-05</x:v>
      </x:c>
      <x:c r="O459" s="3" t="str">
        <x:f>IF(J459=0,"No discount",IF(J459&lt;=0.1,"1-10%",IF(J459&lt;=0.15,"11-15%",IF(J459&lt;=0.2,"16-20%","21%+"))))</x:f>
        <x:v>1-10%</x:v>
      </x:c>
      <x:c r="P459" s="9" t="n">
        <x:f>IF(K459=0,0,L459/K459)</x:f>
        <x:v>0.14749868464715107</x:v>
      </x:c>
      <x:c r="Q459" s="3" t="str">
        <x:f>IF(L459&lt;0,"Yes","No")</x:f>
        <x:v>No</x:v>
      </x:c>
    </x:row>
    <x:row r="460" ht="21" customHeight="1">
      <x:c r="A460" s="3" t="str">
        <x:v>ORD-100818</x:v>
      </x:c>
      <x:c r="B460" s="5" t="n">
        <x:v>45433</x:v>
      </x:c>
      <x:c r="C460" s="3" t="str">
        <x:v>CUST-00121</x:v>
      </x:c>
      <x:c r="D460" s="3" t="str">
        <x:v>South</x:v>
      </x:c>
      <x:c r="E460" s="3" t="str">
        <x:v>Beauty</x:v>
      </x:c>
      <x:c r="F460" s="3" t="str">
        <x:v>Makeup</x:v>
      </x:c>
      <x:c r="G460" s="3" t="str">
        <x:v>Matte Lipstick Set</x:v>
      </x:c>
      <x:c r="H460" s="3" t="n">
        <x:v>2</x:v>
      </x:c>
      <x:c r="I460" s="7" t="n">
        <x:v>1025.54</x:v>
      </x:c>
      <x:c r="J460" s="9" t="n">
        <x:v>0</x:v>
      </x:c>
      <x:c r="K460" s="7" t="n">
        <x:v>2051.08</x:v>
      </x:c>
      <x:c r="L460" s="7" t="n">
        <x:v>1160.16</x:v>
      </x:c>
      <x:c r="M460" s="3" t="str">
        <x:v>Credit Card</x:v>
      </x:c>
      <x:c r="N460" s="3" t="str">
        <x:f>TEXT(B460,"yyyy-mm")</x:f>
        <x:v>2024-05</x:v>
      </x:c>
      <x:c r="O460" s="3" t="str">
        <x:f>IF(J460=0,"No discount",IF(J460&lt;=0.1,"1-10%",IF(J460&lt;=0.15,"11-15%",IF(J460&lt;=0.2,"16-20%","21%+"))))</x:f>
        <x:v>No discount</x:v>
      </x:c>
      <x:c r="P460" s="9" t="n">
        <x:f>IF(K460=0,0,L460/K460)</x:f>
        <x:v>0.5656337149209197</x:v>
      </x:c>
      <x:c r="Q460" s="3" t="str">
        <x:f>IF(L460&lt;0,"Yes","No")</x:f>
        <x:v>No</x:v>
      </x:c>
    </x:row>
    <x:row r="461" ht="21" customHeight="1">
      <x:c r="A461" s="3" t="str">
        <x:v>ORD-100899</x:v>
      </x:c>
      <x:c r="B461" s="5" t="n">
        <x:v>45433</x:v>
      </x:c>
      <x:c r="C461" s="3" t="str">
        <x:v>CUST-00046</x:v>
      </x:c>
      <x:c r="D461" s="3" t="str">
        <x:v>East</x:v>
      </x:c>
      <x:c r="E461" s="3" t="str">
        <x:v>Fashion</x:v>
      </x:c>
      <x:c r="F461" s="3" t="str">
        <x:v>Footwear</x:v>
      </x:c>
      <x:c r="G461" s="3" t="str">
        <x:v>RunFlex Sneakers</x:v>
      </x:c>
      <x:c r="H461" s="3" t="n">
        <x:v>2</x:v>
      </x:c>
      <x:c r="I461" s="7" t="n">
        <x:v>2950.97</x:v>
      </x:c>
      <x:c r="J461" s="9" t="n">
        <x:v>0.05</x:v>
      </x:c>
      <x:c r="K461" s="7" t="n">
        <x:v>5606.84</x:v>
      </x:c>
      <x:c r="L461" s="7" t="n">
        <x:v>2177.47</x:v>
      </x:c>
      <x:c r="M461" s="3" t="str">
        <x:v>Debit Card</x:v>
      </x:c>
      <x:c r="N461" s="3" t="str">
        <x:f>TEXT(B461,"yyyy-mm")</x:f>
        <x:v>2024-05</x:v>
      </x:c>
      <x:c r="O461" s="3" t="str">
        <x:f>IF(J461=0,"No discount",IF(J461&lt;=0.1,"1-10%",IF(J461&lt;=0.15,"11-15%",IF(J461&lt;=0.2,"16-20%","21%+"))))</x:f>
        <x:v>1-10%</x:v>
      </x:c>
      <x:c r="P461" s="9" t="n">
        <x:f>IF(K461=0,0,L461/K461)</x:f>
        <x:v>0.38835957509042524</x:v>
      </x:c>
      <x:c r="Q461" s="3" t="str">
        <x:f>IF(L461&lt;0,"Yes","No")</x:f>
        <x:v>No</x:v>
      </x:c>
    </x:row>
    <x:row r="462" ht="21" customHeight="1">
      <x:c r="A462" s="3" t="str">
        <x:v>ORD-100919</x:v>
      </x:c>
      <x:c r="B462" s="5" t="n">
        <x:v>45433</x:v>
      </x:c>
      <x:c r="C462" s="3" t="str">
        <x:v>CUST-00516</x:v>
      </x:c>
      <x:c r="D462" s="3" t="str">
        <x:v>East</x:v>
      </x:c>
      <x:c r="E462" s="3" t="str">
        <x:v>Sports</x:v>
      </x:c>
      <x:c r="F462" s="3" t="str">
        <x:v>Fitness</x:v>
      </x:c>
      <x:c r="G462" s="3" t="str">
        <x:v>ProYoga Mat</x:v>
      </x:c>
      <x:c r="H462" s="3" t="n">
        <x:v>1</x:v>
      </x:c>
      <x:c r="I462" s="7" t="n">
        <x:v>1360.6</x:v>
      </x:c>
      <x:c r="J462" s="9" t="n">
        <x:v>0.1</x:v>
      </x:c>
      <x:c r="K462" s="7" t="n">
        <x:v>1224.54</x:v>
      </x:c>
      <x:c r="L462" s="7" t="n">
        <x:v>315.72</x:v>
      </x:c>
      <x:c r="M462" s="3" t="str">
        <x:v>Credit Card</x:v>
      </x:c>
      <x:c r="N462" s="3" t="str">
        <x:f>TEXT(B462,"yyyy-mm")</x:f>
        <x:v>2024-05</x:v>
      </x:c>
      <x:c r="O462" s="3" t="str">
        <x:f>IF(J462=0,"No discount",IF(J462&lt;=0.1,"1-10%",IF(J462&lt;=0.15,"11-15%",IF(J462&lt;=0.2,"16-20%","21%+"))))</x:f>
        <x:v>1-10%</x:v>
      </x:c>
      <x:c r="P462" s="9" t="n">
        <x:f>IF(K462=0,0,L462/K462)</x:f>
        <x:v>0.25782742907540795</x:v>
      </x:c>
      <x:c r="Q462" s="3" t="str">
        <x:f>IF(L462&lt;0,"Yes","No")</x:f>
        <x:v>No</x:v>
      </x:c>
    </x:row>
    <x:row r="463" ht="21" customHeight="1">
      <x:c r="A463" s="3" t="str">
        <x:v>ORD-101280</x:v>
      </x:c>
      <x:c r="B463" s="5" t="n">
        <x:v>45433</x:v>
      </x:c>
      <x:c r="C463" s="3" t="str">
        <x:v>CUST-00572</x:v>
      </x:c>
      <x:c r="D463" s="3" t="str">
        <x:v>East</x:v>
      </x:c>
      <x:c r="E463" s="3" t="str">
        <x:v>Home &amp; Kitchen</x:v>
      </x:c>
      <x:c r="F463" s="3" t="str">
        <x:v>Furniture</x:v>
      </x:c>
      <x:c r="G463" s="3" t="str">
        <x:v>ErgoComfort Chair</x:v>
      </x:c>
      <x:c r="H463" s="3" t="n">
        <x:v>2</x:v>
      </x:c>
      <x:c r="I463" s="7" t="n">
        <x:v>9195.87</x:v>
      </x:c>
      <x:c r="J463" s="9" t="n">
        <x:v>0.25</x:v>
      </x:c>
      <x:c r="K463" s="7" t="n">
        <x:v>13793.81</x:v>
      </x:c>
      <x:c r="L463" s="7" t="n">
        <x:v>270.9</x:v>
      </x:c>
      <x:c r="M463" s="3" t="str">
        <x:v>Debit Card</x:v>
      </x:c>
      <x:c r="N463" s="3" t="str">
        <x:f>TEXT(B463,"yyyy-mm")</x:f>
        <x:v>2024-05</x:v>
      </x:c>
      <x:c r="O463" s="3" t="str">
        <x:f>IF(J463=0,"No discount",IF(J463&lt;=0.1,"1-10%",IF(J463&lt;=0.15,"11-15%",IF(J463&lt;=0.2,"16-20%","21%+"))))</x:f>
        <x:v>21%+</x:v>
      </x:c>
      <x:c r="P463" s="9" t="n">
        <x:f>IF(K463=0,0,L463/K463)</x:f>
        <x:v>0.019639243979727137</x:v>
      </x:c>
      <x:c r="Q463" s="3" t="str">
        <x:f>IF(L463&lt;0,"Yes","No")</x:f>
        <x:v>No</x:v>
      </x:c>
    </x:row>
    <x:row r="464" ht="21" customHeight="1">
      <x:c r="A464" s="3" t="str">
        <x:v>ORD-101403</x:v>
      </x:c>
      <x:c r="B464" s="5" t="n">
        <x:v>45433</x:v>
      </x:c>
      <x:c r="C464" s="3" t="str">
        <x:v>CUST-00489</x:v>
      </x:c>
      <x:c r="D464" s="3" t="str">
        <x:v>South</x:v>
      </x:c>
      <x:c r="E464" s="3" t="str">
        <x:v>Beauty</x:v>
      </x:c>
      <x:c r="F464" s="3" t="str">
        <x:v>Skincare</x:v>
      </x:c>
      <x:c r="G464" s="3" t="str">
        <x:v>HydraBoost Moisturizer</x:v>
      </x:c>
      <x:c r="H464" s="3" t="n">
        <x:v>4</x:v>
      </x:c>
      <x:c r="I464" s="7" t="n">
        <x:v>1172.16</x:v>
      </x:c>
      <x:c r="J464" s="9" t="n">
        <x:v>0.15</x:v>
      </x:c>
      <x:c r="K464" s="7" t="n">
        <x:v>3985.34</x:v>
      </x:c>
      <x:c r="L464" s="7" t="n">
        <x:v>1651.59</x:v>
      </x:c>
      <x:c r="M464" s="3" t="str">
        <x:v>UPI</x:v>
      </x:c>
      <x:c r="N464" s="3" t="str">
        <x:f>TEXT(B464,"yyyy-mm")</x:f>
        <x:v>2024-05</x:v>
      </x:c>
      <x:c r="O464" s="3" t="str">
        <x:f>IF(J464=0,"No discount",IF(J464&lt;=0.1,"1-10%",IF(J464&lt;=0.15,"11-15%",IF(J464&lt;=0.2,"16-20%","21%+"))))</x:f>
        <x:v>11-15%</x:v>
      </x:c>
      <x:c r="P464" s="9" t="n">
        <x:f>IF(K464=0,0,L464/K464)</x:f>
        <x:v>0.41441633587096705</x:v>
      </x:c>
      <x:c r="Q464" s="3" t="str">
        <x:f>IF(L464&lt;0,"Yes","No")</x:f>
        <x:v>No</x:v>
      </x:c>
    </x:row>
    <x:row r="465" ht="21" customHeight="1">
      <x:c r="A465" s="3" t="str">
        <x:v>ORD-101891</x:v>
      </x:c>
      <x:c r="B465" s="5" t="n">
        <x:v>45433</x:v>
      </x:c>
      <x:c r="C465" s="3" t="str">
        <x:v>CUST-00530</x:v>
      </x:c>
      <x:c r="D465" s="3" t="str">
        <x:v>South</x:v>
      </x:c>
      <x:c r="E465" s="3" t="str">
        <x:v>Sports</x:v>
      </x:c>
      <x:c r="F465" s="3" t="str">
        <x:v>Fitness</x:v>
      </x:c>
      <x:c r="G465" s="3" t="str">
        <x:v>Adjustable Dumbbell 24kg</x:v>
      </x:c>
      <x:c r="H465" s="3" t="n">
        <x:v>1</x:v>
      </x:c>
      <x:c r="I465" s="7" t="n">
        <x:v>10182.94</x:v>
      </x:c>
      <x:c r="J465" s="9" t="n">
        <x:v>0</x:v>
      </x:c>
      <x:c r="K465" s="7" t="n">
        <x:v>10182.94</x:v>
      </x:c>
      <x:c r="L465" s="7" t="n">
        <x:v>3562.48</x:v>
      </x:c>
      <x:c r="M465" s="3" t="str">
        <x:v>UPI</x:v>
      </x:c>
      <x:c r="N465" s="3" t="str">
        <x:f>TEXT(B465,"yyyy-mm")</x:f>
        <x:v>2024-05</x:v>
      </x:c>
      <x:c r="O465" s="3" t="str">
        <x:f>IF(J465=0,"No discount",IF(J465&lt;=0.1,"1-10%",IF(J465&lt;=0.15,"11-15%",IF(J465&lt;=0.2,"16-20%","21%+"))))</x:f>
        <x:v>No discount</x:v>
      </x:c>
      <x:c r="P465" s="9" t="n">
        <x:f>IF(K465=0,0,L465/K465)</x:f>
        <x:v>0.3498478828314809</x:v>
      </x:c>
      <x:c r="Q465" s="3" t="str">
        <x:f>IF(L465&lt;0,"Yes","No")</x:f>
        <x:v>No</x:v>
      </x:c>
    </x:row>
    <x:row r="466" ht="21" customHeight="1">
      <x:c r="A466" s="3" t="str">
        <x:v>ORD-100127</x:v>
      </x:c>
      <x:c r="B466" s="5" t="n">
        <x:v>45434</x:v>
      </x:c>
      <x:c r="C466" s="3" t="str">
        <x:v>CUST-00506</x:v>
      </x:c>
      <x:c r="D466" s="3" t="str">
        <x:v>East</x:v>
      </x:c>
      <x:c r="E466" s="3" t="str">
        <x:v>Beauty</x:v>
      </x:c>
      <x:c r="F466" s="3" t="str">
        <x:v>Makeup</x:v>
      </x:c>
      <x:c r="G466" s="3" t="str">
        <x:v>HD Foundation Kit</x:v>
      </x:c>
      <x:c r="H466" s="3" t="n">
        <x:v>3</x:v>
      </x:c>
      <x:c r="I466" s="7" t="n">
        <x:v>1563.06</x:v>
      </x:c>
      <x:c r="J466" s="9" t="n">
        <x:v>0.15</x:v>
      </x:c>
      <x:c r="K466" s="7" t="n">
        <x:v>3985.8</x:v>
      </x:c>
      <x:c r="L466" s="7" t="n">
        <x:v>1548.55</x:v>
      </x:c>
      <x:c r="M466" s="3" t="str">
        <x:v>Credit Card</x:v>
      </x:c>
      <x:c r="N466" s="3" t="str">
        <x:f>TEXT(B466,"yyyy-mm")</x:f>
        <x:v>2024-05</x:v>
      </x:c>
      <x:c r="O466" s="3" t="str">
        <x:f>IF(J466=0,"No discount",IF(J466&lt;=0.1,"1-10%",IF(J466&lt;=0.15,"11-15%",IF(J466&lt;=0.2,"16-20%","21%+"))))</x:f>
        <x:v>11-15%</x:v>
      </x:c>
      <x:c r="P466" s="9" t="n">
        <x:f>IF(K466=0,0,L466/K466)</x:f>
        <x:v>0.38851673440714535</x:v>
      </x:c>
      <x:c r="Q466" s="3" t="str">
        <x:f>IF(L466&lt;0,"Yes","No")</x:f>
        <x:v>No</x:v>
      </x:c>
    </x:row>
    <x:row r="467" ht="21" customHeight="1">
      <x:c r="A467" s="3" t="str">
        <x:v>ORD-100188</x:v>
      </x:c>
      <x:c r="B467" s="5" t="n">
        <x:v>45434</x:v>
      </x:c>
      <x:c r="C467" s="3" t="str">
        <x:v>CUST-00248</x:v>
      </x:c>
      <x:c r="D467" s="3" t="str">
        <x:v>East</x:v>
      </x:c>
      <x:c r="E467" s="3" t="str">
        <x:v>Fashion</x:v>
      </x:c>
      <x:c r="F467" s="3" t="str">
        <x:v>Footwear</x:v>
      </x:c>
      <x:c r="G467" s="3" t="str">
        <x:v>RunFlex Sneakers</x:v>
      </x:c>
      <x:c r="H467" s="3" t="n">
        <x:v>2</x:v>
      </x:c>
      <x:c r="I467" s="7" t="n">
        <x:v>3134.86</x:v>
      </x:c>
      <x:c r="J467" s="9" t="n">
        <x:v>0.1</x:v>
      </x:c>
      <x:c r="K467" s="7" t="n">
        <x:v>5642.75</x:v>
      </x:c>
      <x:c r="L467" s="7" t="n">
        <x:v>1703.71</x:v>
      </x:c>
      <x:c r="M467" s="3" t="str">
        <x:v>Credit Card</x:v>
      </x:c>
      <x:c r="N467" s="3" t="str">
        <x:f>TEXT(B467,"yyyy-mm")</x:f>
        <x:v>2024-05</x:v>
      </x:c>
      <x:c r="O467" s="3" t="str">
        <x:f>IF(J467=0,"No discount",IF(J467&lt;=0.1,"1-10%",IF(J467&lt;=0.15,"11-15%",IF(J467&lt;=0.2,"16-20%","21%+"))))</x:f>
        <x:v>1-10%</x:v>
      </x:c>
      <x:c r="P467" s="9" t="n">
        <x:f>IF(K467=0,0,L467/K467)</x:f>
        <x:v>0.30192902396880955</x:v>
      </x:c>
      <x:c r="Q467" s="3" t="str">
        <x:f>IF(L467&lt;0,"Yes","No")</x:f>
        <x:v>No</x:v>
      </x:c>
    </x:row>
    <x:row r="468" ht="21" customHeight="1">
      <x:c r="A468" s="3" t="str">
        <x:v>ORD-100657</x:v>
      </x:c>
      <x:c r="B468" s="5" t="n">
        <x:v>45434</x:v>
      </x:c>
      <x:c r="C468" s="3" t="str">
        <x:v>CUST-00126</x:v>
      </x:c>
      <x:c r="D468" s="3" t="str">
        <x:v>West</x:v>
      </x:c>
      <x:c r="E468" s="3" t="str">
        <x:v>Sports</x:v>
      </x:c>
      <x:c r="F468" s="3" t="str">
        <x:v>Outdoor</x:v>
      </x:c>
      <x:c r="G468" s="3" t="str">
        <x:v>TrailHike Backpack 60L</x:v>
      </x:c>
      <x:c r="H468" s="3" t="n">
        <x:v>5</x:v>
      </x:c>
      <x:c r="I468" s="7" t="n">
        <x:v>3606.16</x:v>
      </x:c>
      <x:c r="J468" s="9" t="n">
        <x:v>0.2</x:v>
      </x:c>
      <x:c r="K468" s="7" t="n">
        <x:v>14424.64</x:v>
      </x:c>
      <x:c r="L468" s="7" t="n">
        <x:v>1590.27</x:v>
      </x:c>
      <x:c r="M468" s="3" t="str">
        <x:v>UPI</x:v>
      </x:c>
      <x:c r="N468" s="3" t="str">
        <x:f>TEXT(B468,"yyyy-mm")</x:f>
        <x:v>2024-05</x:v>
      </x:c>
      <x:c r="O468" s="3" t="str">
        <x:f>IF(J468=0,"No discount",IF(J468&lt;=0.1,"1-10%",IF(J468&lt;=0.15,"11-15%",IF(J468&lt;=0.2,"16-20%","21%+"))))</x:f>
        <x:v>16-20%</x:v>
      </x:c>
      <x:c r="P468" s="9" t="n">
        <x:f>IF(K468=0,0,L468/K468)</x:f>
        <x:v>0.11024677218980855</x:v>
      </x:c>
      <x:c r="Q468" s="3" t="str">
        <x:f>IF(L468&lt;0,"Yes","No")</x:f>
        <x:v>No</x:v>
      </x:c>
    </x:row>
    <x:row r="469" ht="21" customHeight="1">
      <x:c r="A469" s="3" t="str">
        <x:v>ORD-100724</x:v>
      </x:c>
      <x:c r="B469" s="5" t="n">
        <x:v>45434</x:v>
      </x:c>
      <x:c r="C469" s="3" t="str">
        <x:v>CUST-00148</x:v>
      </x:c>
      <x:c r="D469" s="3" t="str">
        <x:v>West</x:v>
      </x:c>
      <x:c r="E469" s="3" t="str">
        <x:v>Electronics</x:v>
      </x:c>
      <x:c r="F469" s="3" t="str">
        <x:v>Mobile</x:v>
      </x:c>
      <x:c r="G469" s="3" t="str">
        <x:v>Pixel Aura 12</x:v>
      </x:c>
      <x:c r="H469" s="3" t="n">
        <x:v>1</x:v>
      </x:c>
      <x:c r="I469" s="7" t="n">
        <x:v>31405.66</x:v>
      </x:c>
      <x:c r="J469" s="9" t="n">
        <x:v>0.4</x:v>
      </x:c>
      <x:c r="K469" s="7" t="n">
        <x:v>18843.4</x:v>
      </x:c>
      <x:c r="L469" s="7" t="n">
        <x:v>-5188.15</x:v>
      </x:c>
      <x:c r="M469" s="3" t="str">
        <x:v>Net Banking</x:v>
      </x:c>
      <x:c r="N469" s="3" t="str">
        <x:f>TEXT(B469,"yyyy-mm")</x:f>
        <x:v>2024-05</x:v>
      </x:c>
      <x:c r="O469" s="3" t="str">
        <x:f>IF(J469=0,"No discount",IF(J469&lt;=0.1,"1-10%",IF(J469&lt;=0.15,"11-15%",IF(J469&lt;=0.2,"16-20%","21%+"))))</x:f>
        <x:v>21%+</x:v>
      </x:c>
      <x:c r="P469" s="9" t="n">
        <x:f>IF(K469=0,0,L469/K469)</x:f>
        <x:v>-0.27532982370485154</x:v>
      </x:c>
      <x:c r="Q469" s="3" t="str">
        <x:f>IF(L469&lt;0,"Yes","No")</x:f>
        <x:v>Yes</x:v>
      </x:c>
    </x:row>
    <x:row r="470" ht="21" customHeight="1">
      <x:c r="A470" s="3" t="str">
        <x:v>ORD-101247</x:v>
      </x:c>
      <x:c r="B470" s="5" t="n">
        <x:v>45434</x:v>
      </x:c>
      <x:c r="C470" s="3" t="str">
        <x:v>CUST-00408</x:v>
      </x:c>
      <x:c r="D470" s="3" t="str">
        <x:v>East</x:v>
      </x:c>
      <x:c r="E470" s="3" t="str">
        <x:v>Beauty</x:v>
      </x:c>
      <x:c r="F470" s="3" t="str">
        <x:v>Makeup</x:v>
      </x:c>
      <x:c r="G470" s="3" t="str">
        <x:v>Matte Lipstick Set</x:v>
      </x:c>
      <x:c r="H470" s="3" t="n">
        <x:v>2</x:v>
      </x:c>
      <x:c r="I470" s="7" t="n">
        <x:v>964.07</x:v>
      </x:c>
      <x:c r="J470" s="9" t="n">
        <x:v>0.05</x:v>
      </x:c>
      <x:c r="K470" s="7" t="n">
        <x:v>1831.73</x:v>
      </x:c>
      <x:c r="L470" s="7" t="n">
        <x:v>839.53</x:v>
      </x:c>
      <x:c r="M470" s="3" t="str">
        <x:v>Cash on Delivery</x:v>
      </x:c>
      <x:c r="N470" s="3" t="str">
        <x:f>TEXT(B470,"yyyy-mm")</x:f>
        <x:v>2024-05</x:v>
      </x:c>
      <x:c r="O470" s="3" t="str">
        <x:f>IF(J470=0,"No discount",IF(J470&lt;=0.1,"1-10%",IF(J470&lt;=0.15,"11-15%",IF(J470&lt;=0.2,"16-20%","21%+"))))</x:f>
        <x:v>1-10%</x:v>
      </x:c>
      <x:c r="P470" s="9" t="n">
        <x:f>IF(K470=0,0,L470/K470)</x:f>
        <x:v>0.4583262817118243</x:v>
      </x:c>
      <x:c r="Q470" s="3" t="str">
        <x:f>IF(L470&lt;0,"Yes","No")</x:f>
        <x:v>No</x:v>
      </x:c>
    </x:row>
    <x:row r="471" ht="21" customHeight="1">
      <x:c r="A471" s="3" t="str">
        <x:v>ORD-101310</x:v>
      </x:c>
      <x:c r="B471" s="5" t="n">
        <x:v>45434</x:v>
      </x:c>
      <x:c r="C471" s="3" t="str">
        <x:v>CUST-00479</x:v>
      </x:c>
      <x:c r="D471" s="3" t="str">
        <x:v>West</x:v>
      </x:c>
      <x:c r="E471" s="3" t="str">
        <x:v>Beauty</x:v>
      </x:c>
      <x:c r="F471" s="3" t="str">
        <x:v>Skincare</x:v>
      </x:c>
      <x:c r="G471" s="3" t="str">
        <x:v>HydraBoost Moisturizer</x:v>
      </x:c>
      <x:c r="H471" s="3" t="n">
        <x:v>3</x:v>
      </x:c>
      <x:c r="I471" s="7" t="n">
        <x:v>1237.67</x:v>
      </x:c>
      <x:c r="J471" s="9" t="n">
        <x:v>0</x:v>
      </x:c>
      <x:c r="K471" s="7" t="n">
        <x:v>3713.01</x:v>
      </x:c>
      <x:c r="L471" s="7" t="n">
        <x:v>1972.09</x:v>
      </x:c>
      <x:c r="M471" s="3" t="str">
        <x:v>Debit Card</x:v>
      </x:c>
      <x:c r="N471" s="3" t="str">
        <x:f>TEXT(B471,"yyyy-mm")</x:f>
        <x:v>2024-05</x:v>
      </x:c>
      <x:c r="O471" s="3" t="str">
        <x:f>IF(J471=0,"No discount",IF(J471&lt;=0.1,"1-10%",IF(J471&lt;=0.15,"11-15%",IF(J471&lt;=0.2,"16-20%","21%+"))))</x:f>
        <x:v>No discount</x:v>
      </x:c>
      <x:c r="P471" s="9" t="n">
        <x:f>IF(K471=0,0,L471/K471)</x:f>
        <x:v>0.5311297303266083</x:v>
      </x:c>
      <x:c r="Q471" s="3" t="str">
        <x:f>IF(L471&lt;0,"Yes","No")</x:f>
        <x:v>No</x:v>
      </x:c>
    </x:row>
    <x:row r="472" ht="21" customHeight="1">
      <x:c r="A472" s="3" t="str">
        <x:v>ORD-101592</x:v>
      </x:c>
      <x:c r="B472" s="5" t="n">
        <x:v>45434</x:v>
      </x:c>
      <x:c r="C472" s="3" t="str">
        <x:v>CUST-00340</x:v>
      </x:c>
      <x:c r="D472" s="3" t="str">
        <x:v>North</x:v>
      </x:c>
      <x:c r="E472" s="3" t="str">
        <x:v>Fashion</x:v>
      </x:c>
      <x:c r="F472" s="3" t="str">
        <x:v>Women</x:v>
      </x:c>
      <x:c r="G472" s="3" t="str">
        <x:v>Knit Winter Sweater</x:v>
      </x:c>
      <x:c r="H472" s="3" t="n">
        <x:v>1</x:v>
      </x:c>
      <x:c r="I472" s="7" t="n">
        <x:v>2164.79</x:v>
      </x:c>
      <x:c r="J472" s="9" t="n">
        <x:v>0.25</x:v>
      </x:c>
      <x:c r="K472" s="7" t="n">
        <x:v>1623.59</x:v>
      </x:c>
      <x:c r="L472" s="7" t="n">
        <x:v>209.21</x:v>
      </x:c>
      <x:c r="M472" s="3" t="str">
        <x:v>UPI</x:v>
      </x:c>
      <x:c r="N472" s="3" t="str">
        <x:f>TEXT(B472,"yyyy-mm")</x:f>
        <x:v>2024-05</x:v>
      </x:c>
      <x:c r="O472" s="3" t="str">
        <x:f>IF(J472=0,"No discount",IF(J472&lt;=0.1,"1-10%",IF(J472&lt;=0.15,"11-15%",IF(J472&lt;=0.2,"16-20%","21%+"))))</x:f>
        <x:v>21%+</x:v>
      </x:c>
      <x:c r="P472" s="9" t="n">
        <x:f>IF(K472=0,0,L472/K472)</x:f>
        <x:v>0.1288564231117462</x:v>
      </x:c>
      <x:c r="Q472" s="3" t="str">
        <x:f>IF(L472&lt;0,"Yes","No")</x:f>
        <x:v>No</x:v>
      </x:c>
    </x:row>
    <x:row r="473" ht="21" customHeight="1">
      <x:c r="A473" s="3" t="str">
        <x:v>ORD-101743</x:v>
      </x:c>
      <x:c r="B473" s="5" t="n">
        <x:v>45434</x:v>
      </x:c>
      <x:c r="C473" s="3" t="str">
        <x:v>CUST-00434</x:v>
      </x:c>
      <x:c r="D473" s="3" t="str">
        <x:v>South</x:v>
      </x:c>
      <x:c r="E473" s="3" t="str">
        <x:v>Beauty</x:v>
      </x:c>
      <x:c r="F473" s="3" t="str">
        <x:v>Makeup</x:v>
      </x:c>
      <x:c r="G473" s="3" t="str">
        <x:v>Matte Lipstick Set</x:v>
      </x:c>
      <x:c r="H473" s="3" t="n">
        <x:v>1</x:v>
      </x:c>
      <x:c r="I473" s="7" t="n">
        <x:v>950.26</x:v>
      </x:c>
      <x:c r="J473" s="9" t="n">
        <x:v>0.05</x:v>
      </x:c>
      <x:c r="K473" s="7" t="n">
        <x:v>902.75</x:v>
      </x:c>
      <x:c r="L473" s="7" t="n">
        <x:v>478.51</x:v>
      </x:c>
      <x:c r="M473" s="3" t="str">
        <x:v>Debit Card</x:v>
      </x:c>
      <x:c r="N473" s="3" t="str">
        <x:f>TEXT(B473,"yyyy-mm")</x:f>
        <x:v>2024-05</x:v>
      </x:c>
      <x:c r="O473" s="3" t="str">
        <x:f>IF(J473=0,"No discount",IF(J473&lt;=0.1,"1-10%",IF(J473&lt;=0.15,"11-15%",IF(J473&lt;=0.2,"16-20%","21%+"))))</x:f>
        <x:v>1-10%</x:v>
      </x:c>
      <x:c r="P473" s="9" t="n">
        <x:f>IF(K473=0,0,L473/K473)</x:f>
        <x:v>0.530058155635558</x:v>
      </x:c>
      <x:c r="Q473" s="3" t="str">
        <x:f>IF(L473&lt;0,"Yes","No")</x:f>
        <x:v>No</x:v>
      </x:c>
    </x:row>
    <x:row r="474" ht="21" customHeight="1">
      <x:c r="A474" s="3" t="str">
        <x:v>ORD-100452</x:v>
      </x:c>
      <x:c r="B474" s="5" t="n">
        <x:v>45435</x:v>
      </x:c>
      <x:c r="C474" s="3" t="str">
        <x:v>CUST-00026</x:v>
      </x:c>
      <x:c r="D474" s="3" t="str">
        <x:v>East</x:v>
      </x:c>
      <x:c r="E474" s="3" t="str">
        <x:v>Beauty</x:v>
      </x:c>
      <x:c r="F474" s="3" t="str">
        <x:v>Skincare</x:v>
      </x:c>
      <x:c r="G474" s="3" t="str">
        <x:v>HydraBoost Moisturizer</x:v>
      </x:c>
      <x:c r="H474" s="3" t="n">
        <x:v>2</x:v>
      </x:c>
      <x:c r="I474" s="7" t="n">
        <x:v>1185.82</x:v>
      </x:c>
      <x:c r="J474" s="9" t="n">
        <x:v>0</x:v>
      </x:c>
      <x:c r="K474" s="7" t="n">
        <x:v>2371.64</x:v>
      </x:c>
      <x:c r="L474" s="7" t="n">
        <x:v>1229.79</x:v>
      </x:c>
      <x:c r="M474" s="3" t="str">
        <x:v>Credit Card</x:v>
      </x:c>
      <x:c r="N474" s="3" t="str">
        <x:f>TEXT(B474,"yyyy-mm")</x:f>
        <x:v>2024-05</x:v>
      </x:c>
      <x:c r="O474" s="3" t="str">
        <x:f>IF(J474=0,"No discount",IF(J474&lt;=0.1,"1-10%",IF(J474&lt;=0.15,"11-15%",IF(J474&lt;=0.2,"16-20%","21%+"))))</x:f>
        <x:v>No discount</x:v>
      </x:c>
      <x:c r="P474" s="9" t="n">
        <x:f>IF(K474=0,0,L474/K474)</x:f>
        <x:v>0.5185399133089339</x:v>
      </x:c>
      <x:c r="Q474" s="3" t="str">
        <x:f>IF(L474&lt;0,"Yes","No")</x:f>
        <x:v>No</x:v>
      </x:c>
    </x:row>
    <x:row r="475" ht="21" customHeight="1">
      <x:c r="A475" s="3" t="str">
        <x:v>ORD-101105</x:v>
      </x:c>
      <x:c r="B475" s="5" t="n">
        <x:v>45435</x:v>
      </x:c>
      <x:c r="C475" s="3" t="str">
        <x:v>CUST-00371</x:v>
      </x:c>
      <x:c r="D475" s="3" t="str">
        <x:v>South</x:v>
      </x:c>
      <x:c r="E475" s="3" t="str">
        <x:v>Fashion</x:v>
      </x:c>
      <x:c r="F475" s="3" t="str">
        <x:v>Women</x:v>
      </x:c>
      <x:c r="G475" s="3" t="str">
        <x:v>Floral Summer Dress</x:v>
      </x:c>
      <x:c r="H475" s="3" t="n">
        <x:v>5</x:v>
      </x:c>
      <x:c r="I475" s="7" t="n">
        <x:v>1797.12</x:v>
      </x:c>
      <x:c r="J475" s="9" t="n">
        <x:v>0.1</x:v>
      </x:c>
      <x:c r="K475" s="7" t="n">
        <x:v>8087.04</x:v>
      </x:c>
      <x:c r="L475" s="7" t="n">
        <x:v>2212.99</x:v>
      </x:c>
      <x:c r="M475" s="3" t="str">
        <x:v>UPI</x:v>
      </x:c>
      <x:c r="N475" s="3" t="str">
        <x:f>TEXT(B475,"yyyy-mm")</x:f>
        <x:v>2024-05</x:v>
      </x:c>
      <x:c r="O475" s="3" t="str">
        <x:f>IF(J475=0,"No discount",IF(J475&lt;=0.1,"1-10%",IF(J475&lt;=0.15,"11-15%",IF(J475&lt;=0.2,"16-20%","21%+"))))</x:f>
        <x:v>1-10%</x:v>
      </x:c>
      <x:c r="P475" s="9" t="n">
        <x:f>IF(K475=0,0,L475/K475)</x:f>
        <x:v>0.27364647633744854</x:v>
      </x:c>
      <x:c r="Q475" s="3" t="str">
        <x:f>IF(L475&lt;0,"Yes","No")</x:f>
        <x:v>No</x:v>
      </x:c>
    </x:row>
    <x:row r="476" ht="21" customHeight="1">
      <x:c r="A476" s="3" t="str">
        <x:v>ORD-101124</x:v>
      </x:c>
      <x:c r="B476" s="5" t="n">
        <x:v>45435</x:v>
      </x:c>
      <x:c r="C476" s="3" t="str">
        <x:v>CUST-00310</x:v>
      </x:c>
      <x:c r="D476" s="3" t="str">
        <x:v>East</x:v>
      </x:c>
      <x:c r="E476" s="3" t="str">
        <x:v>Home &amp; Kitchen</x:v>
      </x:c>
      <x:c r="F476" s="3" t="str">
        <x:v>Furniture</x:v>
      </x:c>
      <x:c r="G476" s="3" t="str">
        <x:v>ErgoComfort Chair</x:v>
      </x:c>
      <x:c r="H476" s="3" t="n">
        <x:v>1</x:v>
      </x:c>
      <x:c r="I476" s="7" t="n">
        <x:v>8743.04</x:v>
      </x:c>
      <x:c r="J476" s="9" t="n">
        <x:v>0.15</x:v>
      </x:c>
      <x:c r="K476" s="7" t="n">
        <x:v>7431.58</x:v>
      </x:c>
      <x:c r="L476" s="7" t="n">
        <x:v>1334.01</x:v>
      </x:c>
      <x:c r="M476" s="3" t="str">
        <x:v>Credit Card</x:v>
      </x:c>
      <x:c r="N476" s="3" t="str">
        <x:f>TEXT(B476,"yyyy-mm")</x:f>
        <x:v>2024-05</x:v>
      </x:c>
      <x:c r="O476" s="3" t="str">
        <x:f>IF(J476=0,"No discount",IF(J476&lt;=0.1,"1-10%",IF(J476&lt;=0.15,"11-15%",IF(J476&lt;=0.2,"16-20%","21%+"))))</x:f>
        <x:v>11-15%</x:v>
      </x:c>
      <x:c r="P476" s="9" t="n">
        <x:f>IF(K476=0,0,L476/K476)</x:f>
        <x:v>0.1795055694751318</x:v>
      </x:c>
      <x:c r="Q476" s="3" t="str">
        <x:f>IF(L476&lt;0,"Yes","No")</x:f>
        <x:v>No</x:v>
      </x:c>
    </x:row>
    <x:row r="477" ht="21" customHeight="1">
      <x:c r="A477" s="3" t="str">
        <x:v>ORD-101657</x:v>
      </x:c>
      <x:c r="B477" s="5" t="n">
        <x:v>45435</x:v>
      </x:c>
      <x:c r="C477" s="3" t="str">
        <x:v>CUST-00130</x:v>
      </x:c>
      <x:c r="D477" s="3" t="str">
        <x:v>South</x:v>
      </x:c>
      <x:c r="E477" s="3" t="str">
        <x:v>Electronics</x:v>
      </x:c>
      <x:c r="F477" s="3" t="str">
        <x:v>Audio</x:v>
      </x:c>
      <x:c r="G477" s="3" t="str">
        <x:v>SoundPods Pro</x:v>
      </x:c>
      <x:c r="H477" s="3" t="n">
        <x:v>1</x:v>
      </x:c>
      <x:c r="I477" s="7" t="n">
        <x:v>4773.73</x:v>
      </x:c>
      <x:c r="J477" s="9" t="n">
        <x:v>0.1</x:v>
      </x:c>
      <x:c r="K477" s="7" t="n">
        <x:v>4296.36</x:v>
      </x:c>
      <x:c r="L477" s="7" t="n">
        <x:v>400.03</x:v>
      </x:c>
      <x:c r="M477" s="3" t="str">
        <x:v>Credit Card</x:v>
      </x:c>
      <x:c r="N477" s="3" t="str">
        <x:f>TEXT(B477,"yyyy-mm")</x:f>
        <x:v>2024-05</x:v>
      </x:c>
      <x:c r="O477" s="3" t="str">
        <x:f>IF(J477=0,"No discount",IF(J477&lt;=0.1,"1-10%",IF(J477&lt;=0.15,"11-15%",IF(J477&lt;=0.2,"16-20%","21%+"))))</x:f>
        <x:v>1-10%</x:v>
      </x:c>
      <x:c r="P477" s="9" t="n">
        <x:f>IF(K477=0,0,L477/K477)</x:f>
        <x:v>0.09310905045201054</x:v>
      </x:c>
      <x:c r="Q477" s="3" t="str">
        <x:f>IF(L477&lt;0,"Yes","No")</x:f>
        <x:v>No</x:v>
      </x:c>
    </x:row>
    <x:row r="478" ht="21" customHeight="1">
      <x:c r="A478" s="3" t="str">
        <x:v>ORD-101174</x:v>
      </x:c>
      <x:c r="B478" s="5" t="n">
        <x:v>45436</x:v>
      </x:c>
      <x:c r="C478" s="3" t="str">
        <x:v>CUST-00182</x:v>
      </x:c>
      <x:c r="D478" s="3" t="str">
        <x:v>South</x:v>
      </x:c>
      <x:c r="E478" s="3" t="str">
        <x:v>Electronics</x:v>
      </x:c>
      <x:c r="F478" s="3" t="str">
        <x:v>Laptop</x:v>
      </x:c>
      <x:c r="G478" s="3" t="str">
        <x:v>AirBook Slim</x:v>
      </x:c>
      <x:c r="H478" s="3" t="n">
        <x:v>1</x:v>
      </x:c>
      <x:c r="I478" s="7" t="n">
        <x:v>81635.12</x:v>
      </x:c>
      <x:c r="J478" s="9" t="n">
        <x:v>0.15</x:v>
      </x:c>
      <x:c r="K478" s="7" t="n">
        <x:v>69389.85</x:v>
      </x:c>
      <x:c r="L478" s="7" t="n">
        <x:v>1898.92</x:v>
      </x:c>
      <x:c r="M478" s="3" t="str">
        <x:v>UPI</x:v>
      </x:c>
      <x:c r="N478" s="3" t="str">
        <x:f>TEXT(B478,"yyyy-mm")</x:f>
        <x:v>2024-05</x:v>
      </x:c>
      <x:c r="O478" s="3" t="str">
        <x:f>IF(J478=0,"No discount",IF(J478&lt;=0.1,"1-10%",IF(J478&lt;=0.15,"11-15%",IF(J478&lt;=0.2,"16-20%","21%+"))))</x:f>
        <x:v>11-15%</x:v>
      </x:c>
      <x:c r="P478" s="9" t="n">
        <x:f>IF(K478=0,0,L478/K478)</x:f>
        <x:v>0.027365962024705343</x:v>
      </x:c>
      <x:c r="Q478" s="3" t="str">
        <x:f>IF(L478&lt;0,"Yes","No")</x:f>
        <x:v>No</x:v>
      </x:c>
    </x:row>
    <x:row r="479" ht="21" customHeight="1">
      <x:c r="A479" s="3" t="str">
        <x:v>ORD-101753</x:v>
      </x:c>
      <x:c r="B479" s="5" t="n">
        <x:v>45436</x:v>
      </x:c>
      <x:c r="C479" s="3" t="str">
        <x:v>CUST-00245</x:v>
      </x:c>
      <x:c r="D479" s="3" t="str">
        <x:v>East</x:v>
      </x:c>
      <x:c r="E479" s="3" t="str">
        <x:v>Home &amp; Kitchen</x:v>
      </x:c>
      <x:c r="F479" s="3" t="str">
        <x:v>Furniture</x:v>
      </x:c>
      <x:c r="G479" s="3" t="str">
        <x:v>ErgoComfort Chair</x:v>
      </x:c>
      <x:c r="H479" s="3" t="n">
        <x:v>1</x:v>
      </x:c>
      <x:c r="I479" s="7" t="n">
        <x:v>9388.7</x:v>
      </x:c>
      <x:c r="J479" s="9" t="n">
        <x:v>0</x:v>
      </x:c>
      <x:c r="K479" s="7" t="n">
        <x:v>9388.7</x:v>
      </x:c>
      <x:c r="L479" s="7" t="n">
        <x:v>2842.49</x:v>
      </x:c>
      <x:c r="M479" s="3" t="str">
        <x:v>Net Banking</x:v>
      </x:c>
      <x:c r="N479" s="3" t="str">
        <x:f>TEXT(B479,"yyyy-mm")</x:f>
        <x:v>2024-05</x:v>
      </x:c>
      <x:c r="O479" s="3" t="str">
        <x:f>IF(J479=0,"No discount",IF(J479&lt;=0.1,"1-10%",IF(J479&lt;=0.15,"11-15%",IF(J479&lt;=0.2,"16-20%","21%+"))))</x:f>
        <x:v>No discount</x:v>
      </x:c>
      <x:c r="P479" s="9" t="n">
        <x:f>IF(K479=0,0,L479/K479)</x:f>
        <x:v>0.3027565051604588</x:v>
      </x:c>
      <x:c r="Q479" s="3" t="str">
        <x:f>IF(L479&lt;0,"Yes","No")</x:f>
        <x:v>No</x:v>
      </x:c>
    </x:row>
    <x:row r="480" ht="21" customHeight="1">
      <x:c r="A480" s="3" t="str">
        <x:v>ORD-100211</x:v>
      </x:c>
      <x:c r="B480" s="5" t="n">
        <x:v>45438</x:v>
      </x:c>
      <x:c r="C480" s="3" t="str">
        <x:v>CUST-00577</x:v>
      </x:c>
      <x:c r="D480" s="3" t="str">
        <x:v>West</x:v>
      </x:c>
      <x:c r="E480" s="3" t="str">
        <x:v>Electronics</x:v>
      </x:c>
      <x:c r="F480" s="3" t="str">
        <x:v>Audio</x:v>
      </x:c>
      <x:c r="G480" s="3" t="str">
        <x:v>SoundPods Pro</x:v>
      </x:c>
      <x:c r="H480" s="3" t="n">
        <x:v>1</x:v>
      </x:c>
      <x:c r="I480" s="7" t="n">
        <x:v>4898.65</x:v>
      </x:c>
      <x:c r="J480" s="9" t="n">
        <x:v>0.05</x:v>
      </x:c>
      <x:c r="K480" s="7" t="n">
        <x:v>4653.72</x:v>
      </x:c>
      <x:c r="L480" s="7" t="n">
        <x:v>526.42</x:v>
      </x:c>
      <x:c r="M480" s="3" t="str">
        <x:v>Net Banking</x:v>
      </x:c>
      <x:c r="N480" s="3" t="str">
        <x:f>TEXT(B480,"yyyy-mm")</x:f>
        <x:v>2024-05</x:v>
      </x:c>
      <x:c r="O480" s="3" t="str">
        <x:f>IF(J480=0,"No discount",IF(J480&lt;=0.1,"1-10%",IF(J480&lt;=0.15,"11-15%",IF(J480&lt;=0.2,"16-20%","21%+"))))</x:f>
        <x:v>1-10%</x:v>
      </x:c>
      <x:c r="P480" s="9" t="n">
        <x:f>IF(K480=0,0,L480/K480)</x:f>
        <x:v>0.1131181076644061</x:v>
      </x:c>
      <x:c r="Q480" s="3" t="str">
        <x:f>IF(L480&lt;0,"Yes","No")</x:f>
        <x:v>No</x:v>
      </x:c>
    </x:row>
    <x:row r="481" ht="21" customHeight="1">
      <x:c r="A481" s="3" t="str">
        <x:v>ORD-100651</x:v>
      </x:c>
      <x:c r="B481" s="5" t="n">
        <x:v>45438</x:v>
      </x:c>
      <x:c r="C481" s="3" t="str">
        <x:v>CUST-00215</x:v>
      </x:c>
      <x:c r="D481" s="3" t="str">
        <x:v>East</x:v>
      </x:c>
      <x:c r="E481" s="3" t="str">
        <x:v>Beauty</x:v>
      </x:c>
      <x:c r="F481" s="3" t="str">
        <x:v>Makeup</x:v>
      </x:c>
      <x:c r="G481" s="3" t="str">
        <x:v>HD Foundation Kit</x:v>
      </x:c>
      <x:c r="H481" s="3" t="n">
        <x:v>2</x:v>
      </x:c>
      <x:c r="I481" s="7" t="n">
        <x:v>1554.38</x:v>
      </x:c>
      <x:c r="J481" s="9" t="n">
        <x:v>0.25</x:v>
      </x:c>
      <x:c r="K481" s="7" t="n">
        <x:v>2331.57</x:v>
      </x:c>
      <x:c r="L481" s="7" t="n">
        <x:v>539.16</x:v>
      </x:c>
      <x:c r="M481" s="3" t="str">
        <x:v>Debit Card</x:v>
      </x:c>
      <x:c r="N481" s="3" t="str">
        <x:f>TEXT(B481,"yyyy-mm")</x:f>
        <x:v>2024-05</x:v>
      </x:c>
      <x:c r="O481" s="3" t="str">
        <x:f>IF(J481=0,"No discount",IF(J481&lt;=0.1,"1-10%",IF(J481&lt;=0.15,"11-15%",IF(J481&lt;=0.2,"16-20%","21%+"))))</x:f>
        <x:v>21%+</x:v>
      </x:c>
      <x:c r="P481" s="9" t="n">
        <x:f>IF(K481=0,0,L481/K481)</x:f>
        <x:v>0.2312433253129865</x:v>
      </x:c>
      <x:c r="Q481" s="3" t="str">
        <x:f>IF(L481&lt;0,"Yes","No")</x:f>
        <x:v>No</x:v>
      </x:c>
    </x:row>
    <x:row r="482" ht="21" customHeight="1">
      <x:c r="A482" s="3" t="str">
        <x:v>ORD-101219</x:v>
      </x:c>
      <x:c r="B482" s="5" t="n">
        <x:v>45438</x:v>
      </x:c>
      <x:c r="C482" s="3" t="str">
        <x:v>CUST-00538</x:v>
      </x:c>
      <x:c r="D482" s="3" t="str">
        <x:v>West</x:v>
      </x:c>
      <x:c r="E482" s="3" t="str">
        <x:v>Home &amp; Kitchen</x:v>
      </x:c>
      <x:c r="F482" s="3" t="str">
        <x:v>Furniture</x:v>
      </x:c>
      <x:c r="G482" s="3" t="str">
        <x:v>ErgoComfort Chair</x:v>
      </x:c>
      <x:c r="H482" s="3" t="n">
        <x:v>1</x:v>
      </x:c>
      <x:c r="I482" s="7" t="n">
        <x:v>9063.83</x:v>
      </x:c>
      <x:c r="J482" s="9" t="n">
        <x:v>0</x:v>
      </x:c>
      <x:c r="K482" s="7" t="n">
        <x:v>9063.83</x:v>
      </x:c>
      <x:c r="L482" s="7" t="n">
        <x:v>2980.47</x:v>
      </x:c>
      <x:c r="M482" s="3" t="str">
        <x:v>Credit Card</x:v>
      </x:c>
      <x:c r="N482" s="3" t="str">
        <x:f>TEXT(B482,"yyyy-mm")</x:f>
        <x:v>2024-05</x:v>
      </x:c>
      <x:c r="O482" s="3" t="str">
        <x:f>IF(J482=0,"No discount",IF(J482&lt;=0.1,"1-10%",IF(J482&lt;=0.15,"11-15%",IF(J482&lt;=0.2,"16-20%","21%+"))))</x:f>
        <x:v>No discount</x:v>
      </x:c>
      <x:c r="P482" s="9" t="n">
        <x:f>IF(K482=0,0,L482/K482)</x:f>
        <x:v>0.32883118946405654</x:v>
      </x:c>
      <x:c r="Q482" s="3" t="str">
        <x:f>IF(L482&lt;0,"Yes","No")</x:f>
        <x:v>No</x:v>
      </x:c>
    </x:row>
    <x:row r="483" ht="21" customHeight="1">
      <x:c r="A483" s="3" t="str">
        <x:v>ORD-100756</x:v>
      </x:c>
      <x:c r="B483" s="5" t="n">
        <x:v>45439</x:v>
      </x:c>
      <x:c r="C483" s="3" t="str">
        <x:v>CUST-00594</x:v>
      </x:c>
      <x:c r="D483" s="3" t="str">
        <x:v>North</x:v>
      </x:c>
      <x:c r="E483" s="3" t="str">
        <x:v>Home &amp; Kitchen</x:v>
      </x:c>
      <x:c r="F483" s="3" t="str">
        <x:v>Furniture</x:v>
      </x:c>
      <x:c r="G483" s="3" t="str">
        <x:v>Oakwood Study Desk</x:v>
      </x:c>
      <x:c r="H483" s="3" t="n">
        <x:v>2</x:v>
      </x:c>
      <x:c r="I483" s="7" t="n">
        <x:v>12840.55</x:v>
      </x:c>
      <x:c r="J483" s="9" t="n">
        <x:v>0.15</x:v>
      </x:c>
      <x:c r="K483" s="7" t="n">
        <x:v>21828.93</x:v>
      </x:c>
      <x:c r="L483" s="7" t="n">
        <x:v>3019.78</x:v>
      </x:c>
      <x:c r="M483" s="3" t="str">
        <x:v>UPI</x:v>
      </x:c>
      <x:c r="N483" s="3" t="str">
        <x:f>TEXT(B483,"yyyy-mm")</x:f>
        <x:v>2024-05</x:v>
      </x:c>
      <x:c r="O483" s="3" t="str">
        <x:f>IF(J483=0,"No discount",IF(J483&lt;=0.1,"1-10%",IF(J483&lt;=0.15,"11-15%",IF(J483&lt;=0.2,"16-20%","21%+"))))</x:f>
        <x:v>11-15%</x:v>
      </x:c>
      <x:c r="P483" s="9" t="n">
        <x:f>IF(K483=0,0,L483/K483)</x:f>
        <x:v>0.13833843436210572</x:v>
      </x:c>
      <x:c r="Q483" s="3" t="str">
        <x:f>IF(L483&lt;0,"Yes","No")</x:f>
        <x:v>No</x:v>
      </x:c>
    </x:row>
    <x:row r="484" ht="21" customHeight="1">
      <x:c r="A484" s="3" t="str">
        <x:v>ORD-101022</x:v>
      </x:c>
      <x:c r="B484" s="5" t="n">
        <x:v>45439</x:v>
      </x:c>
      <x:c r="C484" s="3" t="str">
        <x:v>CUST-00421</x:v>
      </x:c>
      <x:c r="D484" s="3" t="str">
        <x:v>West</x:v>
      </x:c>
      <x:c r="E484" s="3" t="str">
        <x:v>Sports</x:v>
      </x:c>
      <x:c r="F484" s="3" t="str">
        <x:v>Outdoor</x:v>
      </x:c>
      <x:c r="G484" s="3" t="str">
        <x:v>TrailHike Backpack 60L</x:v>
      </x:c>
      <x:c r="H484" s="3" t="n">
        <x:v>1</x:v>
      </x:c>
      <x:c r="I484" s="7" t="n">
        <x:v>3385.06</x:v>
      </x:c>
      <x:c r="J484" s="9" t="n">
        <x:v>0.1</x:v>
      </x:c>
      <x:c r="K484" s="7" t="n">
        <x:v>3046.55</x:v>
      </x:c>
      <x:c r="L484" s="7" t="n">
        <x:v>921.25</x:v>
      </x:c>
      <x:c r="M484" s="3" t="str">
        <x:v>Net Banking</x:v>
      </x:c>
      <x:c r="N484" s="3" t="str">
        <x:f>TEXT(B484,"yyyy-mm")</x:f>
        <x:v>2024-05</x:v>
      </x:c>
      <x:c r="O484" s="3" t="str">
        <x:f>IF(J484=0,"No discount",IF(J484&lt;=0.1,"1-10%",IF(J484&lt;=0.15,"11-15%",IF(J484&lt;=0.2,"16-20%","21%+"))))</x:f>
        <x:v>1-10%</x:v>
      </x:c>
      <x:c r="P484" s="9" t="n">
        <x:f>IF(K484=0,0,L484/K484)</x:f>
        <x:v>0.30239122942344615</x:v>
      </x:c>
      <x:c r="Q484" s="3" t="str">
        <x:f>IF(L484&lt;0,"Yes","No")</x:f>
        <x:v>No</x:v>
      </x:c>
    </x:row>
    <x:row r="485" ht="21" customHeight="1">
      <x:c r="A485" s="3" t="str">
        <x:v>ORD-101574</x:v>
      </x:c>
      <x:c r="B485" s="5" t="n">
        <x:v>45439</x:v>
      </x:c>
      <x:c r="C485" s="3" t="str">
        <x:v>CUST-00220</x:v>
      </x:c>
      <x:c r="D485" s="3" t="str">
        <x:v>North</x:v>
      </x:c>
      <x:c r="E485" s="3" t="str">
        <x:v>Fashion</x:v>
      </x:c>
      <x:c r="F485" s="3" t="str">
        <x:v>Women</x:v>
      </x:c>
      <x:c r="G485" s="3" t="str">
        <x:v>Knit Winter Sweater</x:v>
      </x:c>
      <x:c r="H485" s="3" t="n">
        <x:v>3</x:v>
      </x:c>
      <x:c r="I485" s="7" t="n">
        <x:v>2118.02</x:v>
      </x:c>
      <x:c r="J485" s="9" t="n">
        <x:v>0.25</x:v>
      </x:c>
      <x:c r="K485" s="7" t="n">
        <x:v>4765.55</x:v>
      </x:c>
      <x:c r="L485" s="7" t="n">
        <x:v>578.27</x:v>
      </x:c>
      <x:c r="M485" s="3" t="str">
        <x:v>UPI</x:v>
      </x:c>
      <x:c r="N485" s="3" t="str">
        <x:f>TEXT(B485,"yyyy-mm")</x:f>
        <x:v>2024-05</x:v>
      </x:c>
      <x:c r="O485" s="3" t="str">
        <x:f>IF(J485=0,"No discount",IF(J485&lt;=0.1,"1-10%",IF(J485&lt;=0.15,"11-15%",IF(J485&lt;=0.2,"16-20%","21%+"))))</x:f>
        <x:v>21%+</x:v>
      </x:c>
      <x:c r="P485" s="9" t="n">
        <x:f>IF(K485=0,0,L485/K485)</x:f>
        <x:v>0.12134381131244032</x:v>
      </x:c>
      <x:c r="Q485" s="3" t="str">
        <x:f>IF(L485&lt;0,"Yes","No")</x:f>
        <x:v>No</x:v>
      </x:c>
    </x:row>
    <x:row r="486" ht="21" customHeight="1">
      <x:c r="A486" s="3" t="str">
        <x:v>ORD-100523</x:v>
      </x:c>
      <x:c r="B486" s="5" t="n">
        <x:v>45440</x:v>
      </x:c>
      <x:c r="C486" s="3" t="str">
        <x:v>CUST-00377</x:v>
      </x:c>
      <x:c r="D486" s="3" t="str">
        <x:v>South</x:v>
      </x:c>
      <x:c r="E486" s="3" t="str">
        <x:v>Beauty</x:v>
      </x:c>
      <x:c r="F486" s="3" t="str">
        <x:v>Skincare</x:v>
      </x:c>
      <x:c r="G486" s="3" t="str">
        <x:v>HydraBoost Moisturizer</x:v>
      </x:c>
      <x:c r="H486" s="3" t="n">
        <x:v>1</x:v>
      </x:c>
      <x:c r="I486" s="7" t="n">
        <x:v>1152.59</x:v>
      </x:c>
      <x:c r="J486" s="9" t="n">
        <x:v>0.1</x:v>
      </x:c>
      <x:c r="K486" s="7" t="n">
        <x:v>1037.33</x:v>
      </x:c>
      <x:c r="L486" s="7" t="n">
        <x:v>455.03</x:v>
      </x:c>
      <x:c r="M486" s="3" t="str">
        <x:v>UPI</x:v>
      </x:c>
      <x:c r="N486" s="3" t="str">
        <x:f>TEXT(B486,"yyyy-mm")</x:f>
        <x:v>2024-05</x:v>
      </x:c>
      <x:c r="O486" s="3" t="str">
        <x:f>IF(J486=0,"No discount",IF(J486&lt;=0.1,"1-10%",IF(J486&lt;=0.15,"11-15%",IF(J486&lt;=0.2,"16-20%","21%+"))))</x:f>
        <x:v>1-10%</x:v>
      </x:c>
      <x:c r="P486" s="9" t="n">
        <x:f>IF(K486=0,0,L486/K486)</x:f>
        <x:v>0.4386550085315184</x:v>
      </x:c>
      <x:c r="Q486" s="3" t="str">
        <x:f>IF(L486&lt;0,"Yes","No")</x:f>
        <x:v>No</x:v>
      </x:c>
    </x:row>
    <x:row r="487" ht="21" customHeight="1">
      <x:c r="A487" s="3" t="str">
        <x:v>ORD-101176</x:v>
      </x:c>
      <x:c r="B487" s="5" t="n">
        <x:v>45440</x:v>
      </x:c>
      <x:c r="C487" s="3" t="str">
        <x:v>CUST-00380</x:v>
      </x:c>
      <x:c r="D487" s="3" t="str">
        <x:v>West</x:v>
      </x:c>
      <x:c r="E487" s="3" t="str">
        <x:v>Fashion</x:v>
      </x:c>
      <x:c r="F487" s="3" t="str">
        <x:v>Women</x:v>
      </x:c>
      <x:c r="G487" s="3" t="str">
        <x:v>Floral Summer Dress</x:v>
      </x:c>
      <x:c r="H487" s="3" t="n">
        <x:v>1</x:v>
      </x:c>
      <x:c r="I487" s="7" t="n">
        <x:v>1796.46</x:v>
      </x:c>
      <x:c r="J487" s="9" t="n">
        <x:v>0</x:v>
      </x:c>
      <x:c r="K487" s="7" t="n">
        <x:v>1796.46</x:v>
      </x:c>
      <x:c r="L487" s="7" t="n">
        <x:v>714.11</x:v>
      </x:c>
      <x:c r="M487" s="3" t="str">
        <x:v>Credit Card</x:v>
      </x:c>
      <x:c r="N487" s="3" t="str">
        <x:f>TEXT(B487,"yyyy-mm")</x:f>
        <x:v>2024-05</x:v>
      </x:c>
      <x:c r="O487" s="3" t="str">
        <x:f>IF(J487=0,"No discount",IF(J487&lt;=0.1,"1-10%",IF(J487&lt;=0.15,"11-15%",IF(J487&lt;=0.2,"16-20%","21%+"))))</x:f>
        <x:v>No discount</x:v>
      </x:c>
      <x:c r="P487" s="9" t="n">
        <x:f>IF(K487=0,0,L487/K487)</x:f>
        <x:v>0.3975095465526647</x:v>
      </x:c>
      <x:c r="Q487" s="3" t="str">
        <x:f>IF(L487&lt;0,"Yes","No")</x:f>
        <x:v>No</x:v>
      </x:c>
    </x:row>
    <x:row r="488" ht="21" customHeight="1">
      <x:c r="A488" s="3" t="str">
        <x:v>ORD-101618</x:v>
      </x:c>
      <x:c r="B488" s="5" t="n">
        <x:v>45440</x:v>
      </x:c>
      <x:c r="C488" s="3" t="str">
        <x:v>CUST-00005</x:v>
      </x:c>
      <x:c r="D488" s="3" t="str">
        <x:v>North</x:v>
      </x:c>
      <x:c r="E488" s="3" t="str">
        <x:v>Fashion</x:v>
      </x:c>
      <x:c r="F488" s="3" t="str">
        <x:v>Footwear</x:v>
      </x:c>
      <x:c r="G488" s="3" t="str">
        <x:v>UrbanLoafers</x:v>
      </x:c>
      <x:c r="H488" s="3" t="n">
        <x:v>2</x:v>
      </x:c>
      <x:c r="I488" s="7" t="n">
        <x:v>3654.12</x:v>
      </x:c>
      <x:c r="J488" s="9" t="n">
        <x:v>0.25</x:v>
      </x:c>
      <x:c r="K488" s="7" t="n">
        <x:v>5481.18</x:v>
      </x:c>
      <x:c r="L488" s="7" t="n">
        <x:v>546.23</x:v>
      </x:c>
      <x:c r="M488" s="3" t="str">
        <x:v>UPI</x:v>
      </x:c>
      <x:c r="N488" s="3" t="str">
        <x:f>TEXT(B488,"yyyy-mm")</x:f>
        <x:v>2024-05</x:v>
      </x:c>
      <x:c r="O488" s="3" t="str">
        <x:f>IF(J488=0,"No discount",IF(J488&lt;=0.1,"1-10%",IF(J488&lt;=0.15,"11-15%",IF(J488&lt;=0.2,"16-20%","21%+"))))</x:f>
        <x:v>21%+</x:v>
      </x:c>
      <x:c r="P488" s="9" t="n">
        <x:f>IF(K488=0,0,L488/K488)</x:f>
        <x:v>0.09965554862274181</x:v>
      </x:c>
      <x:c r="Q488" s="3" t="str">
        <x:f>IF(L488&lt;0,"Yes","No")</x:f>
        <x:v>No</x:v>
      </x:c>
    </x:row>
    <x:row r="489" ht="21" customHeight="1">
      <x:c r="A489" s="3" t="str">
        <x:v>ORD-100070</x:v>
      </x:c>
      <x:c r="B489" s="5" t="n">
        <x:v>45441</x:v>
      </x:c>
      <x:c r="C489" s="3" t="str">
        <x:v>CUST-00422</x:v>
      </x:c>
      <x:c r="D489" s="3" t="str">
        <x:v>North</x:v>
      </x:c>
      <x:c r="E489" s="3" t="str">
        <x:v>Electronics</x:v>
      </x:c>
      <x:c r="F489" s="3" t="str">
        <x:v>Laptop</x:v>
      </x:c>
      <x:c r="G489" s="3" t="str">
        <x:v>ThinkPro 14</x:v>
      </x:c>
      <x:c r="H489" s="3" t="n">
        <x:v>2</x:v>
      </x:c>
      <x:c r="I489" s="7" t="n">
        <x:v>52502</x:v>
      </x:c>
      <x:c r="J489" s="9" t="n">
        <x:v>0.25</x:v>
      </x:c>
      <x:c r="K489" s="7" t="n">
        <x:v>78753</x:v>
      </x:c>
      <x:c r="L489" s="7" t="n">
        <x:v>-6600.17</x:v>
      </x:c>
      <x:c r="M489" s="3" t="str">
        <x:v>UPI</x:v>
      </x:c>
      <x:c r="N489" s="3" t="str">
        <x:f>TEXT(B489,"yyyy-mm")</x:f>
        <x:v>2024-05</x:v>
      </x:c>
      <x:c r="O489" s="3" t="str">
        <x:f>IF(J489=0,"No discount",IF(J489&lt;=0.1,"1-10%",IF(J489&lt;=0.15,"11-15%",IF(J489&lt;=0.2,"16-20%","21%+"))))</x:f>
        <x:v>21%+</x:v>
      </x:c>
      <x:c r="P489" s="9" t="n">
        <x:f>IF(K489=0,0,L489/K489)</x:f>
        <x:v>-0.08380848983530786</x:v>
      </x:c>
      <x:c r="Q489" s="3" t="str">
        <x:f>IF(L489&lt;0,"Yes","No")</x:f>
        <x:v>Yes</x:v>
      </x:c>
    </x:row>
    <x:row r="490" ht="21" customHeight="1">
      <x:c r="A490" s="3" t="str">
        <x:v>ORD-100113</x:v>
      </x:c>
      <x:c r="B490" s="5" t="n">
        <x:v>45441</x:v>
      </x:c>
      <x:c r="C490" s="3" t="str">
        <x:v>CUST-00294</x:v>
      </x:c>
      <x:c r="D490" s="3" t="str">
        <x:v>West</x:v>
      </x:c>
      <x:c r="E490" s="3" t="str">
        <x:v>Home &amp; Kitchen</x:v>
      </x:c>
      <x:c r="F490" s="3" t="str">
        <x:v>Furniture</x:v>
      </x:c>
      <x:c r="G490" s="3" t="str">
        <x:v>ErgoComfort Chair</x:v>
      </x:c>
      <x:c r="H490" s="3" t="n">
        <x:v>5</x:v>
      </x:c>
      <x:c r="I490" s="7" t="n">
        <x:v>8574.42</x:v>
      </x:c>
      <x:c r="J490" s="9" t="n">
        <x:v>0.05</x:v>
      </x:c>
      <x:c r="K490" s="7" t="n">
        <x:v>40728.49</x:v>
      </x:c>
      <x:c r="L490" s="7" t="n">
        <x:v>12502.26</x:v>
      </x:c>
      <x:c r="M490" s="3" t="str">
        <x:v>Credit Card</x:v>
      </x:c>
      <x:c r="N490" s="3" t="str">
        <x:f>TEXT(B490,"yyyy-mm")</x:f>
        <x:v>2024-05</x:v>
      </x:c>
      <x:c r="O490" s="3" t="str">
        <x:f>IF(J490=0,"No discount",IF(J490&lt;=0.1,"1-10%",IF(J490&lt;=0.15,"11-15%",IF(J490&lt;=0.2,"16-20%","21%+"))))</x:f>
        <x:v>1-10%</x:v>
      </x:c>
      <x:c r="P490" s="9" t="n">
        <x:f>IF(K490=0,0,L490/K490)</x:f>
        <x:v>0.30696595920938885</x:v>
      </x:c>
      <x:c r="Q490" s="3" t="str">
        <x:f>IF(L490&lt;0,"Yes","No")</x:f>
        <x:v>No</x:v>
      </x:c>
    </x:row>
    <x:row r="491" ht="21" customHeight="1">
      <x:c r="A491" s="3" t="str">
        <x:v>ORD-100146</x:v>
      </x:c>
      <x:c r="B491" s="5" t="n">
        <x:v>45441</x:v>
      </x:c>
      <x:c r="C491" s="3" t="str">
        <x:v>CUST-00295</x:v>
      </x:c>
      <x:c r="D491" s="3" t="str">
        <x:v>East</x:v>
      </x:c>
      <x:c r="E491" s="3" t="str">
        <x:v>Home &amp; Kitchen</x:v>
      </x:c>
      <x:c r="F491" s="3" t="str">
        <x:v>Decor</x:v>
      </x:c>
      <x:c r="G491" s="3" t="str">
        <x:v>LED Wall Lamp</x:v>
      </x:c>
      <x:c r="H491" s="3" t="n">
        <x:v>2</x:v>
      </x:c>
      <x:c r="I491" s="7" t="n">
        <x:v>1021.14</x:v>
      </x:c>
      <x:c r="J491" s="9" t="n">
        <x:v>0.25</x:v>
      </x:c>
      <x:c r="K491" s="7" t="n">
        <x:v>1531.71</x:v>
      </x:c>
      <x:c r="L491" s="7" t="n">
        <x:v>39.09</x:v>
      </x:c>
      <x:c r="M491" s="3" t="str">
        <x:v>Credit Card</x:v>
      </x:c>
      <x:c r="N491" s="3" t="str">
        <x:f>TEXT(B491,"yyyy-mm")</x:f>
        <x:v>2024-05</x:v>
      </x:c>
      <x:c r="O491" s="3" t="str">
        <x:f>IF(J491=0,"No discount",IF(J491&lt;=0.1,"1-10%",IF(J491&lt;=0.15,"11-15%",IF(J491&lt;=0.2,"16-20%","21%+"))))</x:f>
        <x:v>21%+</x:v>
      </x:c>
      <x:c r="P491" s="9" t="n">
        <x:f>IF(K491=0,0,L491/K491)</x:f>
        <x:v>0.02552049669976693</x:v>
      </x:c>
      <x:c r="Q491" s="3" t="str">
        <x:f>IF(L491&lt;0,"Yes","No")</x:f>
        <x:v>No</x:v>
      </x:c>
    </x:row>
    <x:row r="492" ht="21" customHeight="1">
      <x:c r="A492" s="3" t="str">
        <x:v>ORD-100359</x:v>
      </x:c>
      <x:c r="B492" s="5" t="n">
        <x:v>45441</x:v>
      </x:c>
      <x:c r="C492" s="3" t="str">
        <x:v>CUST-00402</x:v>
      </x:c>
      <x:c r="D492" s="3" t="str">
        <x:v>East</x:v>
      </x:c>
      <x:c r="E492" s="3" t="str">
        <x:v>Sports</x:v>
      </x:c>
      <x:c r="F492" s="3" t="str">
        <x:v>Fitness</x:v>
      </x:c>
      <x:c r="G492" s="3" t="str">
        <x:v>Adjustable Dumbbell 24kg</x:v>
      </x:c>
      <x:c r="H492" s="3" t="n">
        <x:v>1</x:v>
      </x:c>
      <x:c r="I492" s="7" t="n">
        <x:v>9997.4</x:v>
      </x:c>
      <x:c r="J492" s="9" t="n">
        <x:v>0.15</x:v>
      </x:c>
      <x:c r="K492" s="7" t="n">
        <x:v>8497.79</x:v>
      </x:c>
      <x:c r="L492" s="7" t="n">
        <x:v>1675.86</x:v>
      </x:c>
      <x:c r="M492" s="3" t="str">
        <x:v>UPI</x:v>
      </x:c>
      <x:c r="N492" s="3" t="str">
        <x:f>TEXT(B492,"yyyy-mm")</x:f>
        <x:v>2024-05</x:v>
      </x:c>
      <x:c r="O492" s="3" t="str">
        <x:f>IF(J492=0,"No discount",IF(J492&lt;=0.1,"1-10%",IF(J492&lt;=0.15,"11-15%",IF(J492&lt;=0.2,"16-20%","21%+"))))</x:f>
        <x:v>11-15%</x:v>
      </x:c>
      <x:c r="P492" s="9" t="n">
        <x:f>IF(K492=0,0,L492/K492)</x:f>
        <x:v>0.19721127493148216</x:v>
      </x:c>
      <x:c r="Q492" s="3" t="str">
        <x:f>IF(L492&lt;0,"Yes","No")</x:f>
        <x:v>No</x:v>
      </x:c>
    </x:row>
    <x:row r="493" ht="21" customHeight="1">
      <x:c r="A493" s="3" t="str">
        <x:v>ORD-100741</x:v>
      </x:c>
      <x:c r="B493" s="5" t="n">
        <x:v>45441</x:v>
      </x:c>
      <x:c r="C493" s="3" t="str">
        <x:v>CUST-00328</x:v>
      </x:c>
      <x:c r="D493" s="3" t="str">
        <x:v>South</x:v>
      </x:c>
      <x:c r="E493" s="3" t="str">
        <x:v>Home &amp; Kitchen</x:v>
      </x:c>
      <x:c r="F493" s="3" t="str">
        <x:v>Decor</x:v>
      </x:c>
      <x:c r="G493" s="3" t="str">
        <x:v>LED Wall Lamp</x:v>
      </x:c>
      <x:c r="H493" s="3" t="n">
        <x:v>1</x:v>
      </x:c>
      <x:c r="I493" s="7" t="n">
        <x:v>960.47</x:v>
      </x:c>
      <x:c r="J493" s="9" t="n">
        <x:v>0.15</x:v>
      </x:c>
      <x:c r="K493" s="7" t="n">
        <x:v>816.4</x:v>
      </x:c>
      <x:c r="L493" s="7" t="n">
        <x:v>125.62</x:v>
      </x:c>
      <x:c r="M493" s="3" t="str">
        <x:v>Cash on Delivery</x:v>
      </x:c>
      <x:c r="N493" s="3" t="str">
        <x:f>TEXT(B493,"yyyy-mm")</x:f>
        <x:v>2024-05</x:v>
      </x:c>
      <x:c r="O493" s="3" t="str">
        <x:f>IF(J493=0,"No discount",IF(J493&lt;=0.1,"1-10%",IF(J493&lt;=0.15,"11-15%",IF(J493&lt;=0.2,"16-20%","21%+"))))</x:f>
        <x:v>11-15%</x:v>
      </x:c>
      <x:c r="P493" s="9" t="n">
        <x:f>IF(K493=0,0,L493/K493)</x:f>
        <x:v>0.1538706516413523</x:v>
      </x:c>
      <x:c r="Q493" s="3" t="str">
        <x:f>IF(L493&lt;0,"Yes","No")</x:f>
        <x:v>No</x:v>
      </x:c>
    </x:row>
    <x:row r="494" ht="21" customHeight="1">
      <x:c r="A494" s="3" t="str">
        <x:v>ORD-101076</x:v>
      </x:c>
      <x:c r="B494" s="5" t="n">
        <x:v>45441</x:v>
      </x:c>
      <x:c r="C494" s="3" t="str">
        <x:v>CUST-00356</x:v>
      </x:c>
      <x:c r="D494" s="3" t="str">
        <x:v>South</x:v>
      </x:c>
      <x:c r="E494" s="3" t="str">
        <x:v>Fashion</x:v>
      </x:c>
      <x:c r="F494" s="3" t="str">
        <x:v>Footwear</x:v>
      </x:c>
      <x:c r="G494" s="3" t="str">
        <x:v>RunFlex Sneakers</x:v>
      </x:c>
      <x:c r="H494" s="3" t="n">
        <x:v>1</x:v>
      </x:c>
      <x:c r="I494" s="7" t="n">
        <x:v>2959.2</x:v>
      </x:c>
      <x:c r="J494" s="9" t="n">
        <x:v>0</x:v>
      </x:c>
      <x:c r="K494" s="7" t="n">
        <x:v>2959.2</x:v>
      </x:c>
      <x:c r="L494" s="7" t="n">
        <x:v>1318.79</x:v>
      </x:c>
      <x:c r="M494" s="3" t="str">
        <x:v>UPI</x:v>
      </x:c>
      <x:c r="N494" s="3" t="str">
        <x:f>TEXT(B494,"yyyy-mm")</x:f>
        <x:v>2024-05</x:v>
      </x:c>
      <x:c r="O494" s="3" t="str">
        <x:f>IF(J494=0,"No discount",IF(J494&lt;=0.1,"1-10%",IF(J494&lt;=0.15,"11-15%",IF(J494&lt;=0.2,"16-20%","21%+"))))</x:f>
        <x:v>No discount</x:v>
      </x:c>
      <x:c r="P494" s="9" t="n">
        <x:f>IF(K494=0,0,L494/K494)</x:f>
        <x:v>0.44565761016490946</x:v>
      </x:c>
      <x:c r="Q494" s="3" t="str">
        <x:f>IF(L494&lt;0,"Yes","No")</x:f>
        <x:v>No</x:v>
      </x:c>
    </x:row>
    <x:row r="495" ht="21" customHeight="1">
      <x:c r="A495" s="3" t="str">
        <x:v>ORD-101458</x:v>
      </x:c>
      <x:c r="B495" s="5" t="n">
        <x:v>45441</x:v>
      </x:c>
      <x:c r="C495" s="3" t="str">
        <x:v>CUST-00337</x:v>
      </x:c>
      <x:c r="D495" s="3" t="str">
        <x:v>East</x:v>
      </x:c>
      <x:c r="E495" s="3" t="str">
        <x:v>Home &amp; Kitchen</x:v>
      </x:c>
      <x:c r="F495" s="3" t="str">
        <x:v>Furniture</x:v>
      </x:c>
      <x:c r="G495" s="3" t="str">
        <x:v>ErgoComfort Chair</x:v>
      </x:c>
      <x:c r="H495" s="3" t="n">
        <x:v>3</x:v>
      </x:c>
      <x:c r="I495" s="7" t="n">
        <x:v>9022.24</x:v>
      </x:c>
      <x:c r="J495" s="9" t="n">
        <x:v>0</x:v>
      </x:c>
      <x:c r="K495" s="7" t="n">
        <x:v>27066.72</x:v>
      </x:c>
      <x:c r="L495" s="7" t="n">
        <x:v>9313.16</x:v>
      </x:c>
      <x:c r="M495" s="3" t="str">
        <x:v>Credit Card</x:v>
      </x:c>
      <x:c r="N495" s="3" t="str">
        <x:f>TEXT(B495,"yyyy-mm")</x:f>
        <x:v>2024-05</x:v>
      </x:c>
      <x:c r="O495" s="3" t="str">
        <x:f>IF(J495=0,"No discount",IF(J495&lt;=0.1,"1-10%",IF(J495&lt;=0.15,"11-15%",IF(J495&lt;=0.2,"16-20%","21%+"))))</x:f>
        <x:v>No discount</x:v>
      </x:c>
      <x:c r="P495" s="9" t="n">
        <x:f>IF(K495=0,0,L495/K495)</x:f>
        <x:v>0.3440815880165753</x:v>
      </x:c>
      <x:c r="Q495" s="3" t="str">
        <x:f>IF(L495&lt;0,"Yes","No")</x:f>
        <x:v>No</x:v>
      </x:c>
    </x:row>
    <x:row r="496" ht="21" customHeight="1">
      <x:c r="A496" s="3" t="str">
        <x:v>ORD-101982</x:v>
      </x:c>
      <x:c r="B496" s="5" t="n">
        <x:v>45441</x:v>
      </x:c>
      <x:c r="C496" s="3" t="str">
        <x:v>CUST-00435</x:v>
      </x:c>
      <x:c r="D496" s="3" t="str">
        <x:v>East</x:v>
      </x:c>
      <x:c r="E496" s="3" t="str">
        <x:v>Home &amp; Kitchen</x:v>
      </x:c>
      <x:c r="F496" s="3" t="str">
        <x:v>Furniture</x:v>
      </x:c>
      <x:c r="G496" s="3" t="str">
        <x:v>Oakwood Study Desk</x:v>
      </x:c>
      <x:c r="H496" s="3" t="n">
        <x:v>1</x:v>
      </x:c>
      <x:c r="I496" s="7" t="n">
        <x:v>12946.01</x:v>
      </x:c>
      <x:c r="J496" s="9" t="n">
        <x:v>0.1</x:v>
      </x:c>
      <x:c r="K496" s="7" t="n">
        <x:v>11651.41</x:v>
      </x:c>
      <x:c r="L496" s="7" t="n">
        <x:v>2363.36</x:v>
      </x:c>
      <x:c r="M496" s="3" t="str">
        <x:v>Credit Card</x:v>
      </x:c>
      <x:c r="N496" s="3" t="str">
        <x:f>TEXT(B496,"yyyy-mm")</x:f>
        <x:v>2024-05</x:v>
      </x:c>
      <x:c r="O496" s="3" t="str">
        <x:f>IF(J496=0,"No discount",IF(J496&lt;=0.1,"1-10%",IF(J496&lt;=0.15,"11-15%",IF(J496&lt;=0.2,"16-20%","21%+"))))</x:f>
        <x:v>1-10%</x:v>
      </x:c>
      <x:c r="P496" s="9" t="n">
        <x:f>IF(K496=0,0,L496/K496)</x:f>
        <x:v>0.2028389697040959</x:v>
      </x:c>
      <x:c r="Q496" s="3" t="str">
        <x:f>IF(L496&lt;0,"Yes","No")</x:f>
        <x:v>No</x:v>
      </x:c>
    </x:row>
    <x:row r="497" ht="21" customHeight="1">
      <x:c r="A497" s="3" t="str">
        <x:v>ORD-100252</x:v>
      </x:c>
      <x:c r="B497" s="5" t="n">
        <x:v>45442</x:v>
      </x:c>
      <x:c r="C497" s="3" t="str">
        <x:v>CUST-00460</x:v>
      </x:c>
      <x:c r="D497" s="3" t="str">
        <x:v>East</x:v>
      </x:c>
      <x:c r="E497" s="3" t="str">
        <x:v>Sports</x:v>
      </x:c>
      <x:c r="F497" s="3" t="str">
        <x:v>Fitness</x:v>
      </x:c>
      <x:c r="G497" s="3" t="str">
        <x:v>Adjustable Dumbbell 24kg</x:v>
      </x:c>
      <x:c r="H497" s="3" t="n">
        <x:v>1</x:v>
      </x:c>
      <x:c r="I497" s="7" t="n">
        <x:v>10352.9</x:v>
      </x:c>
      <x:c r="J497" s="9" t="n">
        <x:v>0.05</x:v>
      </x:c>
      <x:c r="K497" s="7" t="n">
        <x:v>9835.25</x:v>
      </x:c>
      <x:c r="L497" s="7" t="n">
        <x:v>2805.78</x:v>
      </x:c>
      <x:c r="M497" s="3" t="str">
        <x:v>Credit Card</x:v>
      </x:c>
      <x:c r="N497" s="3" t="str">
        <x:f>TEXT(B497,"yyyy-mm")</x:f>
        <x:v>2024-05</x:v>
      </x:c>
      <x:c r="O497" s="3" t="str">
        <x:f>IF(J497=0,"No discount",IF(J497&lt;=0.1,"1-10%",IF(J497&lt;=0.15,"11-15%",IF(J497&lt;=0.2,"16-20%","21%+"))))</x:f>
        <x:v>1-10%</x:v>
      </x:c>
      <x:c r="P497" s="9" t="n">
        <x:f>IF(K497=0,0,L497/K497)</x:f>
        <x:v>0.28527795429704383</x:v>
      </x:c>
      <x:c r="Q497" s="3" t="str">
        <x:f>IF(L497&lt;0,"Yes","No")</x:f>
        <x:v>No</x:v>
      </x:c>
    </x:row>
    <x:row r="498" ht="21" customHeight="1">
      <x:c r="A498" s="3" t="str">
        <x:v>ORD-101228</x:v>
      </x:c>
      <x:c r="B498" s="5" t="n">
        <x:v>45442</x:v>
      </x:c>
      <x:c r="C498" s="3" t="str">
        <x:v>CUST-00273</x:v>
      </x:c>
      <x:c r="D498" s="3" t="str">
        <x:v>East</x:v>
      </x:c>
      <x:c r="E498" s="3" t="str">
        <x:v>Fashion</x:v>
      </x:c>
      <x:c r="F498" s="3" t="str">
        <x:v>Footwear</x:v>
      </x:c>
      <x:c r="G498" s="3" t="str">
        <x:v>UrbanLoafers</x:v>
      </x:c>
      <x:c r="H498" s="3" t="n">
        <x:v>1</x:v>
      </x:c>
      <x:c r="I498" s="7" t="n">
        <x:v>3621.11</x:v>
      </x:c>
      <x:c r="J498" s="9" t="n">
        <x:v>0.1</x:v>
      </x:c>
      <x:c r="K498" s="7" t="n">
        <x:v>3259</x:v>
      </x:c>
      <x:c r="L498" s="7" t="n">
        <x:v>902.02</x:v>
      </x:c>
      <x:c r="M498" s="3" t="str">
        <x:v>UPI</x:v>
      </x:c>
      <x:c r="N498" s="3" t="str">
        <x:f>TEXT(B498,"yyyy-mm")</x:f>
        <x:v>2024-05</x:v>
      </x:c>
      <x:c r="O498" s="3" t="str">
        <x:f>IF(J498=0,"No discount",IF(J498&lt;=0.1,"1-10%",IF(J498&lt;=0.15,"11-15%",IF(J498&lt;=0.2,"16-20%","21%+"))))</x:f>
        <x:v>1-10%</x:v>
      </x:c>
      <x:c r="P498" s="9" t="n">
        <x:f>IF(K498=0,0,L498/K498)</x:f>
        <x:v>0.2767781528076097</x:v>
      </x:c>
      <x:c r="Q498" s="3" t="str">
        <x:f>IF(L498&lt;0,"Yes","No")</x:f>
        <x:v>No</x:v>
      </x:c>
    </x:row>
    <x:row r="499" ht="21" customHeight="1">
      <x:c r="A499" s="3" t="str">
        <x:v>ORD-101838</x:v>
      </x:c>
      <x:c r="B499" s="5" t="n">
        <x:v>45442</x:v>
      </x:c>
      <x:c r="C499" s="3" t="str">
        <x:v>CUST-00482</x:v>
      </x:c>
      <x:c r="D499" s="3" t="str">
        <x:v>East</x:v>
      </x:c>
      <x:c r="E499" s="3" t="str">
        <x:v>Home &amp; Kitchen</x:v>
      </x:c>
      <x:c r="F499" s="3" t="str">
        <x:v>Decor</x:v>
      </x:c>
      <x:c r="G499" s="3" t="str">
        <x:v>LED Wall Lamp</x:v>
      </x:c>
      <x:c r="H499" s="3" t="n">
        <x:v>1</x:v>
      </x:c>
      <x:c r="I499" s="7" t="n">
        <x:v>1015.86</x:v>
      </x:c>
      <x:c r="J499" s="9" t="n">
        <x:v>0.05</x:v>
      </x:c>
      <x:c r="K499" s="7" t="n">
        <x:v>965.07</x:v>
      </x:c>
      <x:c r="L499" s="7" t="n">
        <x:v>226.4</x:v>
      </x:c>
      <x:c r="M499" s="3" t="str">
        <x:v>UPI</x:v>
      </x:c>
      <x:c r="N499" s="3" t="str">
        <x:f>TEXT(B499,"yyyy-mm")</x:f>
        <x:v>2024-05</x:v>
      </x:c>
      <x:c r="O499" s="3" t="str">
        <x:f>IF(J499=0,"No discount",IF(J499&lt;=0.1,"1-10%",IF(J499&lt;=0.15,"11-15%",IF(J499&lt;=0.2,"16-20%","21%+"))))</x:f>
        <x:v>1-10%</x:v>
      </x:c>
      <x:c r="P499" s="9" t="n">
        <x:f>IF(K499=0,0,L499/K499)</x:f>
        <x:v>0.23459438175469136</x:v>
      </x:c>
      <x:c r="Q499" s="3" t="str">
        <x:f>IF(L499&lt;0,"Yes","No")</x:f>
        <x:v>No</x:v>
      </x:c>
    </x:row>
    <x:row r="500" ht="21" customHeight="1">
      <x:c r="A500" s="3" t="str">
        <x:v>ORD-100024</x:v>
      </x:c>
      <x:c r="B500" s="5" t="n">
        <x:v>45443</x:v>
      </x:c>
      <x:c r="C500" s="3" t="str">
        <x:v>CUST-00043</x:v>
      </x:c>
      <x:c r="D500" s="3" t="str">
        <x:v>West</x:v>
      </x:c>
      <x:c r="E500" s="3" t="str">
        <x:v>Home &amp; Kitchen</x:v>
      </x:c>
      <x:c r="F500" s="3" t="str">
        <x:v>Furniture</x:v>
      </x:c>
      <x:c r="G500" s="3" t="str">
        <x:v>ErgoComfort Chair</x:v>
      </x:c>
      <x:c r="H500" s="3" t="n">
        <x:v>2</x:v>
      </x:c>
      <x:c r="I500" s="7" t="n">
        <x:v>8557.75</x:v>
      </x:c>
      <x:c r="J500" s="9" t="n">
        <x:v>0.05</x:v>
      </x:c>
      <x:c r="K500" s="7" t="n">
        <x:v>16259.72</x:v>
      </x:c>
      <x:c r="L500" s="7" t="n">
        <x:v>3878.26</x:v>
      </x:c>
      <x:c r="M500" s="3" t="str">
        <x:v>Net Banking</x:v>
      </x:c>
      <x:c r="N500" s="3" t="str">
        <x:f>TEXT(B500,"yyyy-mm")</x:f>
        <x:v>2024-05</x:v>
      </x:c>
      <x:c r="O500" s="3" t="str">
        <x:f>IF(J500=0,"No discount",IF(J500&lt;=0.1,"1-10%",IF(J500&lt;=0.15,"11-15%",IF(J500&lt;=0.2,"16-20%","21%+"))))</x:f>
        <x:v>1-10%</x:v>
      </x:c>
      <x:c r="P500" s="9" t="n">
        <x:f>IF(K500=0,0,L500/K500)</x:f>
        <x:v>0.23851948250031368</x:v>
      </x:c>
      <x:c r="Q500" s="3" t="str">
        <x:f>IF(L500&lt;0,"Yes","No")</x:f>
        <x:v>No</x:v>
      </x:c>
    </x:row>
    <x:row r="501" ht="21" customHeight="1">
      <x:c r="A501" s="3" t="str">
        <x:v>ORD-100670</x:v>
      </x:c>
      <x:c r="B501" s="5" t="n">
        <x:v>45443</x:v>
      </x:c>
      <x:c r="C501" s="3" t="str">
        <x:v>CUST-00438</x:v>
      </x:c>
      <x:c r="D501" s="3" t="str">
        <x:v>East</x:v>
      </x:c>
      <x:c r="E501" s="3" t="str">
        <x:v>Fashion</x:v>
      </x:c>
      <x:c r="F501" s="3" t="str">
        <x:v>Women</x:v>
      </x:c>
      <x:c r="G501" s="3" t="str">
        <x:v>Knit Winter Sweater</x:v>
      </x:c>
      <x:c r="H501" s="3" t="n">
        <x:v>1</x:v>
      </x:c>
      <x:c r="I501" s="7" t="n">
        <x:v>2137.02</x:v>
      </x:c>
      <x:c r="J501" s="9" t="n">
        <x:v>0</x:v>
      </x:c>
      <x:c r="K501" s="7" t="n">
        <x:v>2137.02</x:v>
      </x:c>
      <x:c r="L501" s="7" t="n">
        <x:v>940.01</x:v>
      </x:c>
      <x:c r="M501" s="3" t="str">
        <x:v>UPI</x:v>
      </x:c>
      <x:c r="N501" s="3" t="str">
        <x:f>TEXT(B501,"yyyy-mm")</x:f>
        <x:v>2024-05</x:v>
      </x:c>
      <x:c r="O501" s="3" t="str">
        <x:f>IF(J501=0,"No discount",IF(J501&lt;=0.1,"1-10%",IF(J501&lt;=0.15,"11-15%",IF(J501&lt;=0.2,"16-20%","21%+"))))</x:f>
        <x:v>No discount</x:v>
      </x:c>
      <x:c r="P501" s="9" t="n">
        <x:f>IF(K501=0,0,L501/K501)</x:f>
        <x:v>0.439869537954722</x:v>
      </x:c>
      <x:c r="Q501" s="3" t="str">
        <x:f>IF(L501&lt;0,"Yes","No")</x:f>
        <x:v>No</x:v>
      </x:c>
    </x:row>
    <x:row r="502" ht="21" customHeight="1">
      <x:c r="A502" s="3" t="str">
        <x:v>ORD-100994</x:v>
      </x:c>
      <x:c r="B502" s="5" t="n">
        <x:v>45443</x:v>
      </x:c>
      <x:c r="C502" s="3" t="str">
        <x:v>CUST-00363</x:v>
      </x:c>
      <x:c r="D502" s="3" t="str">
        <x:v>North</x:v>
      </x:c>
      <x:c r="E502" s="3" t="str">
        <x:v>Sports</x:v>
      </x:c>
      <x:c r="F502" s="3" t="str">
        <x:v>Outdoor</x:v>
      </x:c>
      <x:c r="G502" s="3" t="str">
        <x:v>TrailHike Backpack 60L</x:v>
      </x:c>
      <x:c r="H502" s="3" t="n">
        <x:v>4</x:v>
      </x:c>
      <x:c r="I502" s="7" t="n">
        <x:v>3519.98</x:v>
      </x:c>
      <x:c r="J502" s="9" t="n">
        <x:v>0</x:v>
      </x:c>
      <x:c r="K502" s="7" t="n">
        <x:v>14079.92</x:v>
      </x:c>
      <x:c r="L502" s="7" t="n">
        <x:v>5416.82</x:v>
      </x:c>
      <x:c r="M502" s="3" t="str">
        <x:v>UPI</x:v>
      </x:c>
      <x:c r="N502" s="3" t="str">
        <x:f>TEXT(B502,"yyyy-mm")</x:f>
        <x:v>2024-05</x:v>
      </x:c>
      <x:c r="O502" s="3" t="str">
        <x:f>IF(J502=0,"No discount",IF(J502&lt;=0.1,"1-10%",IF(J502&lt;=0.15,"11-15%",IF(J502&lt;=0.2,"16-20%","21%+"))))</x:f>
        <x:v>No discount</x:v>
      </x:c>
      <x:c r="P502" s="9" t="n">
        <x:f>IF(K502=0,0,L502/K502)</x:f>
        <x:v>0.38471951545179234</x:v>
      </x:c>
      <x:c r="Q502" s="3" t="str">
        <x:f>IF(L502&lt;0,"Yes","No")</x:f>
        <x:v>No</x:v>
      </x:c>
    </x:row>
    <x:row r="503" ht="21" customHeight="1">
      <x:c r="A503" s="3" t="str">
        <x:v>ORD-101143</x:v>
      </x:c>
      <x:c r="B503" s="5" t="n">
        <x:v>45443</x:v>
      </x:c>
      <x:c r="C503" s="3" t="str">
        <x:v>CUST-00460</x:v>
      </x:c>
      <x:c r="D503" s="3" t="str">
        <x:v>North</x:v>
      </x:c>
      <x:c r="E503" s="3" t="str">
        <x:v>Home &amp; Kitchen</x:v>
      </x:c>
      <x:c r="F503" s="3" t="str">
        <x:v>Appliances</x:v>
      </x:c>
      <x:c r="G503" s="3" t="str">
        <x:v>ColdBrew Coffee Maker</x:v>
      </x:c>
      <x:c r="H503" s="3" t="n">
        <x:v>1</x:v>
      </x:c>
      <x:c r="I503" s="7" t="n">
        <x:v>6631.08</x:v>
      </x:c>
      <x:c r="J503" s="9" t="n">
        <x:v>0.05</x:v>
      </x:c>
      <x:c r="K503" s="7" t="n">
        <x:v>6299.53</x:v>
      </x:c>
      <x:c r="L503" s="7" t="n">
        <x:v>1483.19</x:v>
      </x:c>
      <x:c r="M503" s="3" t="str">
        <x:v>Net Banking</x:v>
      </x:c>
      <x:c r="N503" s="3" t="str">
        <x:f>TEXT(B503,"yyyy-mm")</x:f>
        <x:v>2024-05</x:v>
      </x:c>
      <x:c r="O503" s="3" t="str">
        <x:f>IF(J503=0,"No discount",IF(J503&lt;=0.1,"1-10%",IF(J503&lt;=0.15,"11-15%",IF(J503&lt;=0.2,"16-20%","21%+"))))</x:f>
        <x:v>1-10%</x:v>
      </x:c>
      <x:c r="P503" s="9" t="n">
        <x:f>IF(K503=0,0,L503/K503)</x:f>
        <x:v>0.2354445490377854</x:v>
      </x:c>
      <x:c r="Q503" s="3" t="str">
        <x:f>IF(L503&lt;0,"Yes","No")</x:f>
        <x:v>No</x:v>
      </x:c>
    </x:row>
    <x:row r="504" ht="21" customHeight="1">
      <x:c r="A504" s="3" t="str">
        <x:v>ORD-101146</x:v>
      </x:c>
      <x:c r="B504" s="5" t="n">
        <x:v>45443</x:v>
      </x:c>
      <x:c r="C504" s="3" t="str">
        <x:v>CUST-00144</x:v>
      </x:c>
      <x:c r="D504" s="3" t="str">
        <x:v>South</x:v>
      </x:c>
      <x:c r="E504" s="3" t="str">
        <x:v>Sports</x:v>
      </x:c>
      <x:c r="F504" s="3" t="str">
        <x:v>Outdoor</x:v>
      </x:c>
      <x:c r="G504" s="3" t="str">
        <x:v>TrailHike Backpack 60L</x:v>
      </x:c>
      <x:c r="H504" s="3" t="n">
        <x:v>1</x:v>
      </x:c>
      <x:c r="I504" s="7" t="n">
        <x:v>3657.96</x:v>
      </x:c>
      <x:c r="J504" s="9" t="n">
        <x:v>0.15</x:v>
      </x:c>
      <x:c r="K504" s="7" t="n">
        <x:v>3109.27</x:v>
      </x:c>
      <x:c r="L504" s="7" t="n">
        <x:v>624.23</x:v>
      </x:c>
      <x:c r="M504" s="3" t="str">
        <x:v>Cash on Delivery</x:v>
      </x:c>
      <x:c r="N504" s="3" t="str">
        <x:f>TEXT(B504,"yyyy-mm")</x:f>
        <x:v>2024-05</x:v>
      </x:c>
      <x:c r="O504" s="3" t="str">
        <x:f>IF(J504=0,"No discount",IF(J504&lt;=0.1,"1-10%",IF(J504&lt;=0.15,"11-15%",IF(J504&lt;=0.2,"16-20%","21%+"))))</x:f>
        <x:v>11-15%</x:v>
      </x:c>
      <x:c r="P504" s="9" t="n">
        <x:f>IF(K504=0,0,L504/K504)</x:f>
        <x:v>0.20076416650853737</x:v>
      </x:c>
      <x:c r="Q504" s="3" t="str">
        <x:f>IF(L504&lt;0,"Yes","No")</x:f>
        <x:v>No</x:v>
      </x:c>
    </x:row>
    <x:row r="505" ht="21" customHeight="1">
      <x:c r="A505" s="3" t="str">
        <x:v>ORD-101428</x:v>
      </x:c>
      <x:c r="B505" s="5" t="n">
        <x:v>45443</x:v>
      </x:c>
      <x:c r="C505" s="3" t="str">
        <x:v>CUST-00456</x:v>
      </x:c>
      <x:c r="D505" s="3" t="str">
        <x:v>South</x:v>
      </x:c>
      <x:c r="E505" s="3" t="str">
        <x:v>Fashion</x:v>
      </x:c>
      <x:c r="F505" s="3" t="str">
        <x:v>Footwear</x:v>
      </x:c>
      <x:c r="G505" s="3" t="str">
        <x:v>RunFlex Sneakers</x:v>
      </x:c>
      <x:c r="H505" s="3" t="n">
        <x:v>3</x:v>
      </x:c>
      <x:c r="I505" s="7" t="n">
        <x:v>3051.99</x:v>
      </x:c>
      <x:c r="J505" s="9" t="n">
        <x:v>0.25</x:v>
      </x:c>
      <x:c r="K505" s="7" t="n">
        <x:v>6866.98</x:v>
      </x:c>
      <x:c r="L505" s="7" t="n">
        <x:v>1015.08</x:v>
      </x:c>
      <x:c r="M505" s="3" t="str">
        <x:v>UPI</x:v>
      </x:c>
      <x:c r="N505" s="3" t="str">
        <x:f>TEXT(B505,"yyyy-mm")</x:f>
        <x:v>2024-05</x:v>
      </x:c>
      <x:c r="O505" s="3" t="str">
        <x:f>IF(J505=0,"No discount",IF(J505&lt;=0.1,"1-10%",IF(J505&lt;=0.15,"11-15%",IF(J505&lt;=0.2,"16-20%","21%+"))))</x:f>
        <x:v>21%+</x:v>
      </x:c>
      <x:c r="P505" s="9" t="n">
        <x:f>IF(K505=0,0,L505/K505)</x:f>
        <x:v>0.14782043926150945</x:v>
      </x:c>
      <x:c r="Q505" s="3" t="str">
        <x:f>IF(L505&lt;0,"Yes","No")</x:f>
        <x:v>No</x:v>
      </x:c>
    </x:row>
    <x:row r="506" ht="21" customHeight="1">
      <x:c r="A506" s="3" t="str">
        <x:v>ORD-101477</x:v>
      </x:c>
      <x:c r="B506" s="5" t="n">
        <x:v>45443</x:v>
      </x:c>
      <x:c r="C506" s="3" t="str">
        <x:v>CUST-00066</x:v>
      </x:c>
      <x:c r="D506" s="3" t="str">
        <x:v>North</x:v>
      </x:c>
      <x:c r="E506" s="3" t="str">
        <x:v>Home &amp; Kitchen</x:v>
      </x:c>
      <x:c r="F506" s="3" t="str">
        <x:v>Furniture</x:v>
      </x:c>
      <x:c r="G506" s="3" t="str">
        <x:v>ErgoComfort Chair</x:v>
      </x:c>
      <x:c r="H506" s="3" t="n">
        <x:v>1</x:v>
      </x:c>
      <x:c r="I506" s="7" t="n">
        <x:v>9032.14</x:v>
      </x:c>
      <x:c r="J506" s="9" t="n">
        <x:v>0.1</x:v>
      </x:c>
      <x:c r="K506" s="7" t="n">
        <x:v>8128.93</x:v>
      </x:c>
      <x:c r="L506" s="7" t="n">
        <x:v>2021.18</x:v>
      </x:c>
      <x:c r="M506" s="3" t="str">
        <x:v>Credit Card</x:v>
      </x:c>
      <x:c r="N506" s="3" t="str">
        <x:f>TEXT(B506,"yyyy-mm")</x:f>
        <x:v>2024-05</x:v>
      </x:c>
      <x:c r="O506" s="3" t="str">
        <x:f>IF(J506=0,"No discount",IF(J506&lt;=0.1,"1-10%",IF(J506&lt;=0.15,"11-15%",IF(J506&lt;=0.2,"16-20%","21%+"))))</x:f>
        <x:v>1-10%</x:v>
      </x:c>
      <x:c r="P506" s="9" t="n">
        <x:f>IF(K506=0,0,L506/K506)</x:f>
        <x:v>0.24864034995995782</x:v>
      </x:c>
      <x:c r="Q506" s="3" t="str">
        <x:f>IF(L506&lt;0,"Yes","No")</x:f>
        <x:v>No</x:v>
      </x:c>
    </x:row>
    <x:row r="507" ht="21" customHeight="1">
      <x:c r="A507" s="3" t="str">
        <x:v>ORD-100065</x:v>
      </x:c>
      <x:c r="B507" s="5" t="n">
        <x:v>45444</x:v>
      </x:c>
      <x:c r="C507" s="3" t="str">
        <x:v>CUST-00496</x:v>
      </x:c>
      <x:c r="D507" s="3" t="str">
        <x:v>West</x:v>
      </x:c>
      <x:c r="E507" s="3" t="str">
        <x:v>Home &amp; Kitchen</x:v>
      </x:c>
      <x:c r="F507" s="3" t="str">
        <x:v>Appliances</x:v>
      </x:c>
      <x:c r="G507" s="3" t="str">
        <x:v>ColdBrew Coffee Maker</x:v>
      </x:c>
      <x:c r="H507" s="3" t="n">
        <x:v>3</x:v>
      </x:c>
      <x:c r="I507" s="7" t="n">
        <x:v>6368.08</x:v>
      </x:c>
      <x:c r="J507" s="9" t="n">
        <x:v>0</x:v>
      </x:c>
      <x:c r="K507" s="7" t="n">
        <x:v>19104.24</x:v>
      </x:c>
      <x:c r="L507" s="7" t="n">
        <x:v>6437.27</x:v>
      </x:c>
      <x:c r="M507" s="3" t="str">
        <x:v>Credit Card</x:v>
      </x:c>
      <x:c r="N507" s="3" t="str">
        <x:f>TEXT(B507,"yyyy-mm")</x:f>
        <x:v>2024-06</x:v>
      </x:c>
      <x:c r="O507" s="3" t="str">
        <x:f>IF(J507=0,"No discount",IF(J507&lt;=0.1,"1-10%",IF(J507&lt;=0.15,"11-15%",IF(J507&lt;=0.2,"16-20%","21%+"))))</x:f>
        <x:v>No discount</x:v>
      </x:c>
      <x:c r="P507" s="9" t="n">
        <x:f>IF(K507=0,0,L507/K507)</x:f>
        <x:v>0.33695504244084035</x:v>
      </x:c>
      <x:c r="Q507" s="3" t="str">
        <x:f>IF(L507&lt;0,"Yes","No")</x:f>
        <x:v>No</x:v>
      </x:c>
    </x:row>
    <x:row r="508" ht="21" customHeight="1">
      <x:c r="A508" s="3" t="str">
        <x:v>ORD-101047</x:v>
      </x:c>
      <x:c r="B508" s="5" t="n">
        <x:v>45444</x:v>
      </x:c>
      <x:c r="C508" s="3" t="str">
        <x:v>CUST-00015</x:v>
      </x:c>
      <x:c r="D508" s="3" t="str">
        <x:v>South</x:v>
      </x:c>
      <x:c r="E508" s="3" t="str">
        <x:v>Home &amp; Kitchen</x:v>
      </x:c>
      <x:c r="F508" s="3" t="str">
        <x:v>Decor</x:v>
      </x:c>
      <x:c r="G508" s="3" t="str">
        <x:v>LED Wall Lamp</x:v>
      </x:c>
      <x:c r="H508" s="3" t="n">
        <x:v>3</x:v>
      </x:c>
      <x:c r="I508" s="7" t="n">
        <x:v>964.3</x:v>
      </x:c>
      <x:c r="J508" s="9" t="n">
        <x:v>0.05</x:v>
      </x:c>
      <x:c r="K508" s="7" t="n">
        <x:v>2748.25</x:v>
      </x:c>
      <x:c r="L508" s="7" t="n">
        <x:v>801.19</x:v>
      </x:c>
      <x:c r="M508" s="3" t="str">
        <x:v>Cash on Delivery</x:v>
      </x:c>
      <x:c r="N508" s="3" t="str">
        <x:f>TEXT(B508,"yyyy-mm")</x:f>
        <x:v>2024-06</x:v>
      </x:c>
      <x:c r="O508" s="3" t="str">
        <x:f>IF(J508=0,"No discount",IF(J508&lt;=0.1,"1-10%",IF(J508&lt;=0.15,"11-15%",IF(J508&lt;=0.2,"16-20%","21%+"))))</x:f>
        <x:v>1-10%</x:v>
      </x:c>
      <x:c r="P508" s="9" t="n">
        <x:f>IF(K508=0,0,L508/K508)</x:f>
        <x:v>0.2915273355771855</x:v>
      </x:c>
      <x:c r="Q508" s="3" t="str">
        <x:f>IF(L508&lt;0,"Yes","No")</x:f>
        <x:v>No</x:v>
      </x:c>
    </x:row>
    <x:row r="509" ht="21" customHeight="1">
      <x:c r="A509" s="3" t="str">
        <x:v>ORD-101230</x:v>
      </x:c>
      <x:c r="B509" s="5" t="n">
        <x:v>45444</x:v>
      </x:c>
      <x:c r="C509" s="3" t="str">
        <x:v>CUST-00319</x:v>
      </x:c>
      <x:c r="D509" s="3" t="str">
        <x:v>North</x:v>
      </x:c>
      <x:c r="E509" s="3" t="str">
        <x:v>Fashion</x:v>
      </x:c>
      <x:c r="F509" s="3" t="str">
        <x:v>Footwear</x:v>
      </x:c>
      <x:c r="G509" s="3" t="str">
        <x:v>UrbanLoafers</x:v>
      </x:c>
      <x:c r="H509" s="3" t="n">
        <x:v>2</x:v>
      </x:c>
      <x:c r="I509" s="7" t="n">
        <x:v>3586.62</x:v>
      </x:c>
      <x:c r="J509" s="9" t="n">
        <x:v>0.4</x:v>
      </x:c>
      <x:c r="K509" s="7" t="n">
        <x:v>4303.94</x:v>
      </x:c>
      <x:c r="L509" s="7" t="n">
        <x:v>-257.57</x:v>
      </x:c>
      <x:c r="M509" s="3" t="str">
        <x:v>UPI</x:v>
      </x:c>
      <x:c r="N509" s="3" t="str">
        <x:f>TEXT(B509,"yyyy-mm")</x:f>
        <x:v>2024-06</x:v>
      </x:c>
      <x:c r="O509" s="3" t="str">
        <x:f>IF(J509=0,"No discount",IF(J509&lt;=0.1,"1-10%",IF(J509&lt;=0.15,"11-15%",IF(J509&lt;=0.2,"16-20%","21%+"))))</x:f>
        <x:v>21%+</x:v>
      </x:c>
      <x:c r="P509" s="9" t="n">
        <x:f>IF(K509=0,0,L509/K509)</x:f>
        <x:v>-0.05984516512776666</x:v>
      </x:c>
      <x:c r="Q509" s="3" t="str">
        <x:f>IF(L509&lt;0,"Yes","No")</x:f>
        <x:v>Yes</x:v>
      </x:c>
    </x:row>
    <x:row r="510" ht="21" customHeight="1">
      <x:c r="A510" s="3" t="str">
        <x:v>ORD-101406</x:v>
      </x:c>
      <x:c r="B510" s="5" t="n">
        <x:v>45444</x:v>
      </x:c>
      <x:c r="C510" s="3" t="str">
        <x:v>CUST-00135</x:v>
      </x:c>
      <x:c r="D510" s="3" t="str">
        <x:v>East</x:v>
      </x:c>
      <x:c r="E510" s="3" t="str">
        <x:v>Beauty</x:v>
      </x:c>
      <x:c r="F510" s="3" t="str">
        <x:v>Skincare</x:v>
      </x:c>
      <x:c r="G510" s="3" t="str">
        <x:v>Vitamin C Serum</x:v>
      </x:c>
      <x:c r="H510" s="3" t="n">
        <x:v>2</x:v>
      </x:c>
      <x:c r="I510" s="7" t="n">
        <x:v>920.11</x:v>
      </x:c>
      <x:c r="J510" s="9" t="n">
        <x:v>0.15</x:v>
      </x:c>
      <x:c r="K510" s="7" t="n">
        <x:v>1564.19</x:v>
      </x:c>
      <x:c r="L510" s="7" t="n">
        <x:v>543.88</x:v>
      </x:c>
      <x:c r="M510" s="3" t="str">
        <x:v>Cash on Delivery</x:v>
      </x:c>
      <x:c r="N510" s="3" t="str">
        <x:f>TEXT(B510,"yyyy-mm")</x:f>
        <x:v>2024-06</x:v>
      </x:c>
      <x:c r="O510" s="3" t="str">
        <x:f>IF(J510=0,"No discount",IF(J510&lt;=0.1,"1-10%",IF(J510&lt;=0.15,"11-15%",IF(J510&lt;=0.2,"16-20%","21%+"))))</x:f>
        <x:v>11-15%</x:v>
      </x:c>
      <x:c r="P510" s="9" t="n">
        <x:f>IF(K510=0,0,L510/K510)</x:f>
        <x:v>0.34770711997903064</x:v>
      </x:c>
      <x:c r="Q510" s="3" t="str">
        <x:f>IF(L510&lt;0,"Yes","No")</x:f>
        <x:v>No</x:v>
      </x:c>
    </x:row>
    <x:row r="511" ht="21" customHeight="1">
      <x:c r="A511" s="3" t="str">
        <x:v>ORD-101598</x:v>
      </x:c>
      <x:c r="B511" s="5" t="n">
        <x:v>45444</x:v>
      </x:c>
      <x:c r="C511" s="3" t="str">
        <x:v>CUST-00359</x:v>
      </x:c>
      <x:c r="D511" s="3" t="str">
        <x:v>West</x:v>
      </x:c>
      <x:c r="E511" s="3" t="str">
        <x:v>Home &amp; Kitchen</x:v>
      </x:c>
      <x:c r="F511" s="3" t="str">
        <x:v>Furniture</x:v>
      </x:c>
      <x:c r="G511" s="3" t="str">
        <x:v>Oakwood Study Desk</x:v>
      </x:c>
      <x:c r="H511" s="3" t="n">
        <x:v>1</x:v>
      </x:c>
      <x:c r="I511" s="7" t="n">
        <x:v>13387.08</x:v>
      </x:c>
      <x:c r="J511" s="9" t="n">
        <x:v>0.15</x:v>
      </x:c>
      <x:c r="K511" s="7" t="n">
        <x:v>11379.02</x:v>
      </x:c>
      <x:c r="L511" s="7" t="n">
        <x:v>2231.91</x:v>
      </x:c>
      <x:c r="M511" s="3" t="str">
        <x:v>UPI</x:v>
      </x:c>
      <x:c r="N511" s="3" t="str">
        <x:f>TEXT(B511,"yyyy-mm")</x:f>
        <x:v>2024-06</x:v>
      </x:c>
      <x:c r="O511" s="3" t="str">
        <x:f>IF(J511=0,"No discount",IF(J511&lt;=0.1,"1-10%",IF(J511&lt;=0.15,"11-15%",IF(J511&lt;=0.2,"16-20%","21%+"))))</x:f>
        <x:v>11-15%</x:v>
      </x:c>
      <x:c r="P511" s="9" t="n">
        <x:f>IF(K511=0,0,L511/K511)</x:f>
        <x:v>0.19614255006142883</x:v>
      </x:c>
      <x:c r="Q511" s="3" t="str">
        <x:f>IF(L511&lt;0,"Yes","No")</x:f>
        <x:v>No</x:v>
      </x:c>
    </x:row>
    <x:row r="512" ht="21" customHeight="1">
      <x:c r="A512" s="3" t="str">
        <x:v>ORD-100105</x:v>
      </x:c>
      <x:c r="B512" s="5" t="n">
        <x:v>45445</x:v>
      </x:c>
      <x:c r="C512" s="3" t="str">
        <x:v>CUST-00597</x:v>
      </x:c>
      <x:c r="D512" s="3" t="str">
        <x:v>East</x:v>
      </x:c>
      <x:c r="E512" s="3" t="str">
        <x:v>Beauty</x:v>
      </x:c>
      <x:c r="F512" s="3" t="str">
        <x:v>Skincare</x:v>
      </x:c>
      <x:c r="G512" s="3" t="str">
        <x:v>HydraBoost Moisturizer</x:v>
      </x:c>
      <x:c r="H512" s="3" t="n">
        <x:v>1</x:v>
      </x:c>
      <x:c r="I512" s="7" t="n">
        <x:v>1220.39</x:v>
      </x:c>
      <x:c r="J512" s="9" t="n">
        <x:v>0</x:v>
      </x:c>
      <x:c r="K512" s="7" t="n">
        <x:v>1220.39</x:v>
      </x:c>
      <x:c r="L512" s="7" t="n">
        <x:v>650.14</x:v>
      </x:c>
      <x:c r="M512" s="3" t="str">
        <x:v>Credit Card</x:v>
      </x:c>
      <x:c r="N512" s="3" t="str">
        <x:f>TEXT(B512,"yyyy-mm")</x:f>
        <x:v>2024-06</x:v>
      </x:c>
      <x:c r="O512" s="3" t="str">
        <x:f>IF(J512=0,"No discount",IF(J512&lt;=0.1,"1-10%",IF(J512&lt;=0.15,"11-15%",IF(J512&lt;=0.2,"16-20%","21%+"))))</x:f>
        <x:v>No discount</x:v>
      </x:c>
      <x:c r="P512" s="9" t="n">
        <x:f>IF(K512=0,0,L512/K512)</x:f>
        <x:v>0.5327313399814813</x:v>
      </x:c>
      <x:c r="Q512" s="3" t="str">
        <x:f>IF(L512&lt;0,"Yes","No")</x:f>
        <x:v>No</x:v>
      </x:c>
    </x:row>
    <x:row r="513" ht="21" customHeight="1">
      <x:c r="A513" s="3" t="str">
        <x:v>ORD-100324</x:v>
      </x:c>
      <x:c r="B513" s="5" t="n">
        <x:v>45445</x:v>
      </x:c>
      <x:c r="C513" s="3" t="str">
        <x:v>CUST-00182</x:v>
      </x:c>
      <x:c r="D513" s="3" t="str">
        <x:v>West</x:v>
      </x:c>
      <x:c r="E513" s="3" t="str">
        <x:v>Sports</x:v>
      </x:c>
      <x:c r="F513" s="3" t="str">
        <x:v>Fitness</x:v>
      </x:c>
      <x:c r="G513" s="3" t="str">
        <x:v>ProYoga Mat</x:v>
      </x:c>
      <x:c r="H513" s="3" t="n">
        <x:v>1</x:v>
      </x:c>
      <x:c r="I513" s="7" t="n">
        <x:v>1236.2</x:v>
      </x:c>
      <x:c r="J513" s="9" t="n">
        <x:v>0</x:v>
      </x:c>
      <x:c r="K513" s="7" t="n">
        <x:v>1236.2</x:v>
      </x:c>
      <x:c r="L513" s="7" t="n">
        <x:v>472</x:v>
      </x:c>
      <x:c r="M513" s="3" t="str">
        <x:v>Credit Card</x:v>
      </x:c>
      <x:c r="N513" s="3" t="str">
        <x:f>TEXT(B513,"yyyy-mm")</x:f>
        <x:v>2024-06</x:v>
      </x:c>
      <x:c r="O513" s="3" t="str">
        <x:f>IF(J513=0,"No discount",IF(J513&lt;=0.1,"1-10%",IF(J513&lt;=0.15,"11-15%",IF(J513&lt;=0.2,"16-20%","21%+"))))</x:f>
        <x:v>No discount</x:v>
      </x:c>
      <x:c r="P513" s="9" t="n">
        <x:f>IF(K513=0,0,L513/K513)</x:f>
        <x:v>0.38181524025238633</x:v>
      </x:c>
      <x:c r="Q513" s="3" t="str">
        <x:f>IF(L513&lt;0,"Yes","No")</x:f>
        <x:v>No</x:v>
      </x:c>
    </x:row>
    <x:row r="514" ht="21" customHeight="1">
      <x:c r="A514" s="3" t="str">
        <x:v>ORD-100344</x:v>
      </x:c>
      <x:c r="B514" s="5" t="n">
        <x:v>45445</x:v>
      </x:c>
      <x:c r="C514" s="3" t="str">
        <x:v>CUST-00010</x:v>
      </x:c>
      <x:c r="D514" s="3" t="str">
        <x:v>West</x:v>
      </x:c>
      <x:c r="E514" s="3" t="str">
        <x:v>Fashion</x:v>
      </x:c>
      <x:c r="F514" s="3" t="str">
        <x:v>Footwear</x:v>
      </x:c>
      <x:c r="G514" s="3" t="str">
        <x:v>RunFlex Sneakers</x:v>
      </x:c>
      <x:c r="H514" s="3" t="n">
        <x:v>3</x:v>
      </x:c>
      <x:c r="I514" s="7" t="n">
        <x:v>3090.2</x:v>
      </x:c>
      <x:c r="J514" s="9" t="n">
        <x:v>0.15</x:v>
      </x:c>
      <x:c r="K514" s="7" t="n">
        <x:v>7880.01</x:v>
      </x:c>
      <x:c r="L514" s="7" t="n">
        <x:v>1985.19</x:v>
      </x:c>
      <x:c r="M514" s="3" t="str">
        <x:v>UPI</x:v>
      </x:c>
      <x:c r="N514" s="3" t="str">
        <x:f>TEXT(B514,"yyyy-mm")</x:f>
        <x:v>2024-06</x:v>
      </x:c>
      <x:c r="O514" s="3" t="str">
        <x:f>IF(J514=0,"No discount",IF(J514&lt;=0.1,"1-10%",IF(J514&lt;=0.15,"11-15%",IF(J514&lt;=0.2,"16-20%","21%+"))))</x:f>
        <x:v>11-15%</x:v>
      </x:c>
      <x:c r="P514" s="9" t="n">
        <x:f>IF(K514=0,0,L514/K514)</x:f>
        <x:v>0.25192734526986643</x:v>
      </x:c>
      <x:c r="Q514" s="3" t="str">
        <x:f>IF(L514&lt;0,"Yes","No")</x:f>
        <x:v>No</x:v>
      </x:c>
    </x:row>
    <x:row r="515" ht="21" customHeight="1">
      <x:c r="A515" s="3" t="str">
        <x:v>ORD-100733</x:v>
      </x:c>
      <x:c r="B515" s="5" t="n">
        <x:v>45445</x:v>
      </x:c>
      <x:c r="C515" s="3" t="str">
        <x:v>CUST-00392</x:v>
      </x:c>
      <x:c r="D515" s="3" t="str">
        <x:v>North</x:v>
      </x:c>
      <x:c r="E515" s="3" t="str">
        <x:v>Sports</x:v>
      </x:c>
      <x:c r="F515" s="3" t="str">
        <x:v>Outdoor</x:v>
      </x:c>
      <x:c r="G515" s="3" t="str">
        <x:v>TrailHike Backpack 60L</x:v>
      </x:c>
      <x:c r="H515" s="3" t="n">
        <x:v>2</x:v>
      </x:c>
      <x:c r="I515" s="7" t="n">
        <x:v>3466.56</x:v>
      </x:c>
      <x:c r="J515" s="9" t="n">
        <x:v>0</x:v>
      </x:c>
      <x:c r="K515" s="7" t="n">
        <x:v>6933.12</x:v>
      </x:c>
      <x:c r="L515" s="7" t="n">
        <x:v>2768.51</x:v>
      </x:c>
      <x:c r="M515" s="3" t="str">
        <x:v>Debit Card</x:v>
      </x:c>
      <x:c r="N515" s="3" t="str">
        <x:f>TEXT(B515,"yyyy-mm")</x:f>
        <x:v>2024-06</x:v>
      </x:c>
      <x:c r="O515" s="3" t="str">
        <x:f>IF(J515=0,"No discount",IF(J515&lt;=0.1,"1-10%",IF(J515&lt;=0.15,"11-15%",IF(J515&lt;=0.2,"16-20%","21%+"))))</x:f>
        <x:v>No discount</x:v>
      </x:c>
      <x:c r="P515" s="9" t="n">
        <x:f>IF(K515=0,0,L515/K515)</x:f>
        <x:v>0.39931661358811044</x:v>
      </x:c>
      <x:c r="Q515" s="3" t="str">
        <x:f>IF(L515&lt;0,"Yes","No")</x:f>
        <x:v>No</x:v>
      </x:c>
    </x:row>
    <x:row r="516" ht="21" customHeight="1">
      <x:c r="A516" s="3" t="str">
        <x:v>ORD-100719</x:v>
      </x:c>
      <x:c r="B516" s="5" t="n">
        <x:v>45446</x:v>
      </x:c>
      <x:c r="C516" s="3" t="str">
        <x:v>CUST-00544</x:v>
      </x:c>
      <x:c r="D516" s="3" t="str">
        <x:v>West</x:v>
      </x:c>
      <x:c r="E516" s="3" t="str">
        <x:v>Fashion</x:v>
      </x:c>
      <x:c r="F516" s="3" t="str">
        <x:v>Men</x:v>
      </x:c>
      <x:c r="G516" s="3" t="str">
        <x:v>Oxford Casual Shirt</x:v>
      </x:c>
      <x:c r="H516" s="3" t="n">
        <x:v>1</x:v>
      </x:c>
      <x:c r="I516" s="7" t="n">
        <x:v>1249.42</x:v>
      </x:c>
      <x:c r="J516" s="9" t="n">
        <x:v>0.1</x:v>
      </x:c>
      <x:c r="K516" s="7" t="n">
        <x:v>1124.48</x:v>
      </x:c>
      <x:c r="L516" s="7" t="n">
        <x:v>381.05</x:v>
      </x:c>
      <x:c r="M516" s="3" t="str">
        <x:v>Net Banking</x:v>
      </x:c>
      <x:c r="N516" s="3" t="str">
        <x:f>TEXT(B516,"yyyy-mm")</x:f>
        <x:v>2024-06</x:v>
      </x:c>
      <x:c r="O516" s="3" t="str">
        <x:f>IF(J516=0,"No discount",IF(J516&lt;=0.1,"1-10%",IF(J516&lt;=0.15,"11-15%",IF(J516&lt;=0.2,"16-20%","21%+"))))</x:f>
        <x:v>1-10%</x:v>
      </x:c>
      <x:c r="P516" s="9" t="n">
        <x:f>IF(K516=0,0,L516/K516)</x:f>
        <x:v>0.33886774331246444</x:v>
      </x:c>
      <x:c r="Q516" s="3" t="str">
        <x:f>IF(L516&lt;0,"Yes","No")</x:f>
        <x:v>No</x:v>
      </x:c>
    </x:row>
    <x:row r="517" ht="21" customHeight="1">
      <x:c r="A517" s="3" t="str">
        <x:v>ORD-101714</x:v>
      </x:c>
      <x:c r="B517" s="5" t="n">
        <x:v>45446</x:v>
      </x:c>
      <x:c r="C517" s="3" t="str">
        <x:v>CUST-00188</x:v>
      </x:c>
      <x:c r="D517" s="3" t="str">
        <x:v>North</x:v>
      </x:c>
      <x:c r="E517" s="3" t="str">
        <x:v>Sports</x:v>
      </x:c>
      <x:c r="F517" s="3" t="str">
        <x:v>Outdoor</x:v>
      </x:c>
      <x:c r="G517" s="3" t="str">
        <x:v>AllWeather Tent 4P</x:v>
      </x:c>
      <x:c r="H517" s="3" t="n">
        <x:v>1</x:v>
      </x:c>
      <x:c r="I517" s="7" t="n">
        <x:v>12199.54</x:v>
      </x:c>
      <x:c r="J517" s="9" t="n">
        <x:v>0.15</x:v>
      </x:c>
      <x:c r="K517" s="7" t="n">
        <x:v>10369.61</x:v>
      </x:c>
      <x:c r="L517" s="7" t="n">
        <x:v>2315.36</x:v>
      </x:c>
      <x:c r="M517" s="3" t="str">
        <x:v>UPI</x:v>
      </x:c>
      <x:c r="N517" s="3" t="str">
        <x:f>TEXT(B517,"yyyy-mm")</x:f>
        <x:v>2024-06</x:v>
      </x:c>
      <x:c r="O517" s="3" t="str">
        <x:f>IF(J517=0,"No discount",IF(J517&lt;=0.1,"1-10%",IF(J517&lt;=0.15,"11-15%",IF(J517&lt;=0.2,"16-20%","21%+"))))</x:f>
        <x:v>11-15%</x:v>
      </x:c>
      <x:c r="P517" s="9" t="n">
        <x:f>IF(K517=0,0,L517/K517)</x:f>
        <x:v>0.22328322858815328</x:v>
      </x:c>
      <x:c r="Q517" s="3" t="str">
        <x:f>IF(L517&lt;0,"Yes","No")</x:f>
        <x:v>No</x:v>
      </x:c>
    </x:row>
    <x:row r="518" ht="21" customHeight="1">
      <x:c r="A518" s="3" t="str">
        <x:v>ORD-101836</x:v>
      </x:c>
      <x:c r="B518" s="5" t="n">
        <x:v>45446</x:v>
      </x:c>
      <x:c r="C518" s="3" t="str">
        <x:v>CUST-00347</x:v>
      </x:c>
      <x:c r="D518" s="3" t="str">
        <x:v>South</x:v>
      </x:c>
      <x:c r="E518" s="3" t="str">
        <x:v>Beauty</x:v>
      </x:c>
      <x:c r="F518" s="3" t="str">
        <x:v>Makeup</x:v>
      </x:c>
      <x:c r="G518" s="3" t="str">
        <x:v>Matte Lipstick Set</x:v>
      </x:c>
      <x:c r="H518" s="3" t="n">
        <x:v>1</x:v>
      </x:c>
      <x:c r="I518" s="7" t="n">
        <x:v>1040.04</x:v>
      </x:c>
      <x:c r="J518" s="9" t="n">
        <x:v>0</x:v>
      </x:c>
      <x:c r="K518" s="7" t="n">
        <x:v>1040.04</x:v>
      </x:c>
      <x:c r="L518" s="7" t="n">
        <x:v>593.24</x:v>
      </x:c>
      <x:c r="M518" s="3" t="str">
        <x:v>Net Banking</x:v>
      </x:c>
      <x:c r="N518" s="3" t="str">
        <x:f>TEXT(B518,"yyyy-mm")</x:f>
        <x:v>2024-06</x:v>
      </x:c>
      <x:c r="O518" s="3" t="str">
        <x:f>IF(J518=0,"No discount",IF(J518&lt;=0.1,"1-10%",IF(J518&lt;=0.15,"11-15%",IF(J518&lt;=0.2,"16-20%","21%+"))))</x:f>
        <x:v>No discount</x:v>
      </x:c>
      <x:c r="P518" s="9" t="n">
        <x:f>IF(K518=0,0,L518/K518)</x:f>
        <x:v>0.5704011384177532</x:v>
      </x:c>
      <x:c r="Q518" s="3" t="str">
        <x:f>IF(L518&lt;0,"Yes","No")</x:f>
        <x:v>No</x:v>
      </x:c>
    </x:row>
    <x:row r="519" ht="21" customHeight="1">
      <x:c r="A519" s="3" t="str">
        <x:v>ORD-101849</x:v>
      </x:c>
      <x:c r="B519" s="5" t="n">
        <x:v>45446</x:v>
      </x:c>
      <x:c r="C519" s="3" t="str">
        <x:v>CUST-00428</x:v>
      </x:c>
      <x:c r="D519" s="3" t="str">
        <x:v>North</x:v>
      </x:c>
      <x:c r="E519" s="3" t="str">
        <x:v>Home &amp; Kitchen</x:v>
      </x:c>
      <x:c r="F519" s="3" t="str">
        <x:v>Appliances</x:v>
      </x:c>
      <x:c r="G519" s="3" t="str">
        <x:v>AirFryer Deluxe</x:v>
      </x:c>
      <x:c r="H519" s="3" t="n">
        <x:v>3</x:v>
      </x:c>
      <x:c r="I519" s="7" t="n">
        <x:v>7848.26</x:v>
      </x:c>
      <x:c r="J519" s="9" t="n">
        <x:v>0</x:v>
      </x:c>
      <x:c r="K519" s="7" t="n">
        <x:v>23544.78</x:v>
      </x:c>
      <x:c r="L519" s="7" t="n">
        <x:v>8521.25</x:v>
      </x:c>
      <x:c r="M519" s="3" t="str">
        <x:v>Net Banking</x:v>
      </x:c>
      <x:c r="N519" s="3" t="str">
        <x:f>TEXT(B519,"yyyy-mm")</x:f>
        <x:v>2024-06</x:v>
      </x:c>
      <x:c r="O519" s="3" t="str">
        <x:f>IF(J519=0,"No discount",IF(J519&lt;=0.1,"1-10%",IF(J519&lt;=0.15,"11-15%",IF(J519&lt;=0.2,"16-20%","21%+"))))</x:f>
        <x:v>No discount</x:v>
      </x:c>
      <x:c r="P519" s="9" t="n">
        <x:f>IF(K519=0,0,L519/K519)</x:f>
        <x:v>0.3619167390818687</x:v>
      </x:c>
      <x:c r="Q519" s="3" t="str">
        <x:f>IF(L519&lt;0,"Yes","No")</x:f>
        <x:v>No</x:v>
      </x:c>
    </x:row>
    <x:row r="520" ht="21" customHeight="1">
      <x:c r="A520" s="3" t="str">
        <x:v>ORD-100449</x:v>
      </x:c>
      <x:c r="B520" s="5" t="n">
        <x:v>45447</x:v>
      </x:c>
      <x:c r="C520" s="3" t="str">
        <x:v>CUST-00401</x:v>
      </x:c>
      <x:c r="D520" s="3" t="str">
        <x:v>North</x:v>
      </x:c>
      <x:c r="E520" s="3" t="str">
        <x:v>Beauty</x:v>
      </x:c>
      <x:c r="F520" s="3" t="str">
        <x:v>Makeup</x:v>
      </x:c>
      <x:c r="G520" s="3" t="str">
        <x:v>HD Foundation Kit</x:v>
      </x:c>
      <x:c r="H520" s="3" t="n">
        <x:v>1</x:v>
      </x:c>
      <x:c r="I520" s="7" t="n">
        <x:v>1521.91</x:v>
      </x:c>
      <x:c r="J520" s="9" t="n">
        <x:v>0.05</x:v>
      </x:c>
      <x:c r="K520" s="7" t="n">
        <x:v>1445.81</x:v>
      </x:c>
      <x:c r="L520" s="7" t="n">
        <x:v>654.33</x:v>
      </x:c>
      <x:c r="M520" s="3" t="str">
        <x:v>UPI</x:v>
      </x:c>
      <x:c r="N520" s="3" t="str">
        <x:f>TEXT(B520,"yyyy-mm")</x:f>
        <x:v>2024-06</x:v>
      </x:c>
      <x:c r="O520" s="3" t="str">
        <x:f>IF(J520=0,"No discount",IF(J520&lt;=0.1,"1-10%",IF(J520&lt;=0.15,"11-15%",IF(J520&lt;=0.2,"16-20%","21%+"))))</x:f>
        <x:v>1-10%</x:v>
      </x:c>
      <x:c r="P520" s="9" t="n">
        <x:f>IF(K520=0,0,L520/K520)</x:f>
        <x:v>0.4525698397438115</x:v>
      </x:c>
      <x:c r="Q520" s="3" t="str">
        <x:f>IF(L520&lt;0,"Yes","No")</x:f>
        <x:v>No</x:v>
      </x:c>
    </x:row>
    <x:row r="521" ht="21" customHeight="1">
      <x:c r="A521" s="3" t="str">
        <x:v>ORD-100950</x:v>
      </x:c>
      <x:c r="B521" s="5" t="n">
        <x:v>45447</x:v>
      </x:c>
      <x:c r="C521" s="3" t="str">
        <x:v>CUST-00075</x:v>
      </x:c>
      <x:c r="D521" s="3" t="str">
        <x:v>South</x:v>
      </x:c>
      <x:c r="E521" s="3" t="str">
        <x:v>Electronics</x:v>
      </x:c>
      <x:c r="F521" s="3" t="str">
        <x:v>Audio</x:v>
      </x:c>
      <x:c r="G521" s="3" t="str">
        <x:v>BassBoom Speaker</x:v>
      </x:c>
      <x:c r="H521" s="3" t="n">
        <x:v>2</x:v>
      </x:c>
      <x:c r="I521" s="7" t="n">
        <x:v>9225.69</x:v>
      </x:c>
      <x:c r="J521" s="9" t="n">
        <x:v>0.4</x:v>
      </x:c>
      <x:c r="K521" s="7" t="n">
        <x:v>11070.83</x:v>
      </x:c>
      <x:c r="L521" s="7" t="n">
        <x:v>-2863.26</x:v>
      </x:c>
      <x:c r="M521" s="3" t="str">
        <x:v>UPI</x:v>
      </x:c>
      <x:c r="N521" s="3" t="str">
        <x:f>TEXT(B521,"yyyy-mm")</x:f>
        <x:v>2024-06</x:v>
      </x:c>
      <x:c r="O521" s="3" t="str">
        <x:f>IF(J521=0,"No discount",IF(J521&lt;=0.1,"1-10%",IF(J521&lt;=0.15,"11-15%",IF(J521&lt;=0.2,"16-20%","21%+"))))</x:f>
        <x:v>21%+</x:v>
      </x:c>
      <x:c r="P521" s="9" t="n">
        <x:f>IF(K521=0,0,L521/K521)</x:f>
        <x:v>-0.25863101501874747</x:v>
      </x:c>
      <x:c r="Q521" s="3" t="str">
        <x:f>IF(L521&lt;0,"Yes","No")</x:f>
        <x:v>Yes</x:v>
      </x:c>
    </x:row>
    <x:row r="522" ht="21" customHeight="1">
      <x:c r="A522" s="3" t="str">
        <x:v>ORD-100972</x:v>
      </x:c>
      <x:c r="B522" s="5" t="n">
        <x:v>45447</x:v>
      </x:c>
      <x:c r="C522" s="3" t="str">
        <x:v>CUST-00435</x:v>
      </x:c>
      <x:c r="D522" s="3" t="str">
        <x:v>East</x:v>
      </x:c>
      <x:c r="E522" s="3" t="str">
        <x:v>Home &amp; Kitchen</x:v>
      </x:c>
      <x:c r="F522" s="3" t="str">
        <x:v>Appliances</x:v>
      </x:c>
      <x:c r="G522" s="3" t="str">
        <x:v>AirFryer Deluxe</x:v>
      </x:c>
      <x:c r="H522" s="3" t="n">
        <x:v>2</x:v>
      </x:c>
      <x:c r="I522" s="7" t="n">
        <x:v>7732.44</x:v>
      </x:c>
      <x:c r="J522" s="9" t="n">
        <x:v>0.4</x:v>
      </x:c>
      <x:c r="K522" s="7" t="n">
        <x:v>9278.93</x:v>
      </x:c>
      <x:c r="L522" s="7" t="n">
        <x:v>-1459.58</x:v>
      </x:c>
      <x:c r="M522" s="3" t="str">
        <x:v>Credit Card</x:v>
      </x:c>
      <x:c r="N522" s="3" t="str">
        <x:f>TEXT(B522,"yyyy-mm")</x:f>
        <x:v>2024-06</x:v>
      </x:c>
      <x:c r="O522" s="3" t="str">
        <x:f>IF(J522=0,"No discount",IF(J522&lt;=0.1,"1-10%",IF(J522&lt;=0.15,"11-15%",IF(J522&lt;=0.2,"16-20%","21%+"))))</x:f>
        <x:v>21%+</x:v>
      </x:c>
      <x:c r="P522" s="9" t="n">
        <x:f>IF(K522=0,0,L522/K522)</x:f>
        <x:v>-0.15730046460098307</x:v>
      </x:c>
      <x:c r="Q522" s="3" t="str">
        <x:f>IF(L522&lt;0,"Yes","No")</x:f>
        <x:v>Yes</x:v>
      </x:c>
    </x:row>
    <x:row r="523" ht="21" customHeight="1">
      <x:c r="A523" s="3" t="str">
        <x:v>ORD-101430</x:v>
      </x:c>
      <x:c r="B523" s="5" t="n">
        <x:v>45447</x:v>
      </x:c>
      <x:c r="C523" s="3" t="str">
        <x:v>CUST-00183</x:v>
      </x:c>
      <x:c r="D523" s="3" t="str">
        <x:v>North</x:v>
      </x:c>
      <x:c r="E523" s="3" t="str">
        <x:v>Beauty</x:v>
      </x:c>
      <x:c r="F523" s="3" t="str">
        <x:v>Skincare</x:v>
      </x:c>
      <x:c r="G523" s="3" t="str">
        <x:v>Vitamin C Serum</x:v>
      </x:c>
      <x:c r="H523" s="3" t="n">
        <x:v>4</x:v>
      </x:c>
      <x:c r="I523" s="7" t="n">
        <x:v>912.4</x:v>
      </x:c>
      <x:c r="J523" s="9" t="n">
        <x:v>0.05</x:v>
      </x:c>
      <x:c r="K523" s="7" t="n">
        <x:v>3467.12</x:v>
      </x:c>
      <x:c r="L523" s="7" t="n">
        <x:v>1751.46</x:v>
      </x:c>
      <x:c r="M523" s="3" t="str">
        <x:v>UPI</x:v>
      </x:c>
      <x:c r="N523" s="3" t="str">
        <x:f>TEXT(B523,"yyyy-mm")</x:f>
        <x:v>2024-06</x:v>
      </x:c>
      <x:c r="O523" s="3" t="str">
        <x:f>IF(J523=0,"No discount",IF(J523&lt;=0.1,"1-10%",IF(J523&lt;=0.15,"11-15%",IF(J523&lt;=0.2,"16-20%","21%+"))))</x:f>
        <x:v>1-10%</x:v>
      </x:c>
      <x:c r="P523" s="9" t="n">
        <x:f>IF(K523=0,0,L523/K523)</x:f>
        <x:v>0.5051627864048548</x:v>
      </x:c>
      <x:c r="Q523" s="3" t="str">
        <x:f>IF(L523&lt;0,"Yes","No")</x:f>
        <x:v>No</x:v>
      </x:c>
    </x:row>
    <x:row r="524" ht="21" customHeight="1">
      <x:c r="A524" s="3" t="str">
        <x:v>ORD-100391</x:v>
      </x:c>
      <x:c r="B524" s="5" t="n">
        <x:v>45448</x:v>
      </x:c>
      <x:c r="C524" s="3" t="str">
        <x:v>CUST-00320</x:v>
      </x:c>
      <x:c r="D524" s="3" t="str">
        <x:v>East</x:v>
      </x:c>
      <x:c r="E524" s="3" t="str">
        <x:v>Sports</x:v>
      </x:c>
      <x:c r="F524" s="3" t="str">
        <x:v>Fitness</x:v>
      </x:c>
      <x:c r="G524" s="3" t="str">
        <x:v>ProYoga Mat</x:v>
      </x:c>
      <x:c r="H524" s="3" t="n">
        <x:v>2</x:v>
      </x:c>
      <x:c r="I524" s="7" t="n">
        <x:v>1322.12</x:v>
      </x:c>
      <x:c r="J524" s="9" t="n">
        <x:v>0.1</x:v>
      </x:c>
      <x:c r="K524" s="7" t="n">
        <x:v>2379.82</x:v>
      </x:c>
      <x:c r="L524" s="7" t="n">
        <x:v>701.61</x:v>
      </x:c>
      <x:c r="M524" s="3" t="str">
        <x:v>UPI</x:v>
      </x:c>
      <x:c r="N524" s="3" t="str">
        <x:f>TEXT(B524,"yyyy-mm")</x:f>
        <x:v>2024-06</x:v>
      </x:c>
      <x:c r="O524" s="3" t="str">
        <x:f>IF(J524=0,"No discount",IF(J524&lt;=0.1,"1-10%",IF(J524&lt;=0.15,"11-15%",IF(J524&lt;=0.2,"16-20%","21%+"))))</x:f>
        <x:v>1-10%</x:v>
      </x:c>
      <x:c r="P524" s="9" t="n">
        <x:f>IF(K524=0,0,L524/K524)</x:f>
        <x:v>0.294816414686825</x:v>
      </x:c>
      <x:c r="Q524" s="3" t="str">
        <x:f>IF(L524&lt;0,"Yes","No")</x:f>
        <x:v>No</x:v>
      </x:c>
    </x:row>
    <x:row r="525" ht="21" customHeight="1">
      <x:c r="A525" s="3" t="str">
        <x:v>ORD-100506</x:v>
      </x:c>
      <x:c r="B525" s="5" t="n">
        <x:v>45448</x:v>
      </x:c>
      <x:c r="C525" s="3" t="str">
        <x:v>CUST-00099</x:v>
      </x:c>
      <x:c r="D525" s="3" t="str">
        <x:v>South</x:v>
      </x:c>
      <x:c r="E525" s="3" t="str">
        <x:v>Electronics</x:v>
      </x:c>
      <x:c r="F525" s="3" t="str">
        <x:v>Mobile</x:v>
      </x:c>
      <x:c r="G525" s="3" t="str">
        <x:v>iPhone Zeta</x:v>
      </x:c>
      <x:c r="H525" s="3" t="n">
        <x:v>1</x:v>
      </x:c>
      <x:c r="I525" s="7" t="n">
        <x:v>71245.73</x:v>
      </x:c>
      <x:c r="J525" s="9" t="n">
        <x:v>0</x:v>
      </x:c>
      <x:c r="K525" s="7" t="n">
        <x:v>71245.73</x:v>
      </x:c>
      <x:c r="L525" s="7" t="n">
        <x:v>15514.88</x:v>
      </x:c>
      <x:c r="M525" s="3" t="str">
        <x:v>Credit Card</x:v>
      </x:c>
      <x:c r="N525" s="3" t="str">
        <x:f>TEXT(B525,"yyyy-mm")</x:f>
        <x:v>2024-06</x:v>
      </x:c>
      <x:c r="O525" s="3" t="str">
        <x:f>IF(J525=0,"No discount",IF(J525&lt;=0.1,"1-10%",IF(J525&lt;=0.15,"11-15%",IF(J525&lt;=0.2,"16-20%","21%+"))))</x:f>
        <x:v>No discount</x:v>
      </x:c>
      <x:c r="P525" s="9" t="n">
        <x:f>IF(K525=0,0,L525/K525)</x:f>
        <x:v>0.21776575241772383</x:v>
      </x:c>
      <x:c r="Q525" s="3" t="str">
        <x:f>IF(L525&lt;0,"Yes","No")</x:f>
        <x:v>No</x:v>
      </x:c>
    </x:row>
    <x:row r="526" ht="21" customHeight="1">
      <x:c r="A526" s="3" t="str">
        <x:v>ORD-101073</x:v>
      </x:c>
      <x:c r="B526" s="5" t="n">
        <x:v>45448</x:v>
      </x:c>
      <x:c r="C526" s="3" t="str">
        <x:v>CUST-00408</x:v>
      </x:c>
      <x:c r="D526" s="3" t="str">
        <x:v>North</x:v>
      </x:c>
      <x:c r="E526" s="3" t="str">
        <x:v>Electronics</x:v>
      </x:c>
      <x:c r="F526" s="3" t="str">
        <x:v>Audio</x:v>
      </x:c>
      <x:c r="G526" s="3" t="str">
        <x:v>SoundPods Pro</x:v>
      </x:c>
      <x:c r="H526" s="3" t="n">
        <x:v>1</x:v>
      </x:c>
      <x:c r="I526" s="7" t="n">
        <x:v>5096.44</x:v>
      </x:c>
      <x:c r="J526" s="9" t="n">
        <x:v>0.2</x:v>
      </x:c>
      <x:c r="K526" s="7" t="n">
        <x:v>4077.15</x:v>
      </x:c>
      <x:c r="L526" s="7" t="n">
        <x:v>-277.85</x:v>
      </x:c>
      <x:c r="M526" s="3" t="str">
        <x:v>Credit Card</x:v>
      </x:c>
      <x:c r="N526" s="3" t="str">
        <x:f>TEXT(B526,"yyyy-mm")</x:f>
        <x:v>2024-06</x:v>
      </x:c>
      <x:c r="O526" s="3" t="str">
        <x:f>IF(J526=0,"No discount",IF(J526&lt;=0.1,"1-10%",IF(J526&lt;=0.15,"11-15%",IF(J526&lt;=0.2,"16-20%","21%+"))))</x:f>
        <x:v>16-20%</x:v>
      </x:c>
      <x:c r="P526" s="9" t="n">
        <x:f>IF(K526=0,0,L526/K526)</x:f>
        <x:v>-0.06814809364384436</x:v>
      </x:c>
      <x:c r="Q526" s="3" t="str">
        <x:f>IF(L526&lt;0,"Yes","No")</x:f>
        <x:v>Yes</x:v>
      </x:c>
    </x:row>
    <x:row r="527" ht="21" customHeight="1">
      <x:c r="A527" s="3" t="str">
        <x:v>ORD-101438</x:v>
      </x:c>
      <x:c r="B527" s="5" t="n">
        <x:v>45448</x:v>
      </x:c>
      <x:c r="C527" s="3" t="str">
        <x:v>CUST-00166</x:v>
      </x:c>
      <x:c r="D527" s="3" t="str">
        <x:v>West</x:v>
      </x:c>
      <x:c r="E527" s="3" t="str">
        <x:v>Sports</x:v>
      </x:c>
      <x:c r="F527" s="3" t="str">
        <x:v>Outdoor</x:v>
      </x:c>
      <x:c r="G527" s="3" t="str">
        <x:v>TrailHike Backpack 60L</x:v>
      </x:c>
      <x:c r="H527" s="3" t="n">
        <x:v>1</x:v>
      </x:c>
      <x:c r="I527" s="7" t="n">
        <x:v>3369.9</x:v>
      </x:c>
      <x:c r="J527" s="9" t="n">
        <x:v>0.15</x:v>
      </x:c>
      <x:c r="K527" s="7" t="n">
        <x:v>2864.41</x:v>
      </x:c>
      <x:c r="L527" s="7" t="n">
        <x:v>527.87</x:v>
      </x:c>
      <x:c r="M527" s="3" t="str">
        <x:v>UPI</x:v>
      </x:c>
      <x:c r="N527" s="3" t="str">
        <x:f>TEXT(B527,"yyyy-mm")</x:f>
        <x:v>2024-06</x:v>
      </x:c>
      <x:c r="O527" s="3" t="str">
        <x:f>IF(J527=0,"No discount",IF(J527&lt;=0.1,"1-10%",IF(J527&lt;=0.15,"11-15%",IF(J527&lt;=0.2,"16-20%","21%+"))))</x:f>
        <x:v>11-15%</x:v>
      </x:c>
      <x:c r="P527" s="9" t="n">
        <x:f>IF(K527=0,0,L527/K527)</x:f>
        <x:v>0.1842857691461767</x:v>
      </x:c>
      <x:c r="Q527" s="3" t="str">
        <x:f>IF(L527&lt;0,"Yes","No")</x:f>
        <x:v>No</x:v>
      </x:c>
    </x:row>
    <x:row r="528" ht="21" customHeight="1">
      <x:c r="A528" s="3" t="str">
        <x:v>ORD-100063</x:v>
      </x:c>
      <x:c r="B528" s="5" t="n">
        <x:v>45449</x:v>
      </x:c>
      <x:c r="C528" s="3" t="str">
        <x:v>CUST-00299</x:v>
      </x:c>
      <x:c r="D528" s="3" t="str">
        <x:v>South</x:v>
      </x:c>
      <x:c r="E528" s="3" t="str">
        <x:v>Fashion</x:v>
      </x:c>
      <x:c r="F528" s="3" t="str">
        <x:v>Women</x:v>
      </x:c>
      <x:c r="G528" s="3" t="str">
        <x:v>Floral Summer Dress</x:v>
      </x:c>
      <x:c r="H528" s="3" t="n">
        <x:v>2</x:v>
      </x:c>
      <x:c r="I528" s="7" t="n">
        <x:v>1887.56</x:v>
      </x:c>
      <x:c r="J528" s="9" t="n">
        <x:v>0</x:v>
      </x:c>
      <x:c r="K528" s="7" t="n">
        <x:v>3775.12</x:v>
      </x:c>
      <x:c r="L528" s="7" t="n">
        <x:v>1710.26</x:v>
      </x:c>
      <x:c r="M528" s="3" t="str">
        <x:v>UPI</x:v>
      </x:c>
      <x:c r="N528" s="3" t="str">
        <x:f>TEXT(B528,"yyyy-mm")</x:f>
        <x:v>2024-06</x:v>
      </x:c>
      <x:c r="O528" s="3" t="str">
        <x:f>IF(J528=0,"No discount",IF(J528&lt;=0.1,"1-10%",IF(J528&lt;=0.15,"11-15%",IF(J528&lt;=0.2,"16-20%","21%+"))))</x:f>
        <x:v>No discount</x:v>
      </x:c>
      <x:c r="P528" s="9" t="n">
        <x:f>IF(K528=0,0,L528/K528)</x:f>
        <x:v>0.4530346055224735</x:v>
      </x:c>
      <x:c r="Q528" s="3" t="str">
        <x:f>IF(L528&lt;0,"Yes","No")</x:f>
        <x:v>No</x:v>
      </x:c>
    </x:row>
    <x:row r="529" ht="21" customHeight="1">
      <x:c r="A529" s="3" t="str">
        <x:v>ORD-100364</x:v>
      </x:c>
      <x:c r="B529" s="5" t="n">
        <x:v>45449</x:v>
      </x:c>
      <x:c r="C529" s="3" t="str">
        <x:v>CUST-00110</x:v>
      </x:c>
      <x:c r="D529" s="3" t="str">
        <x:v>East</x:v>
      </x:c>
      <x:c r="E529" s="3" t="str">
        <x:v>Fashion</x:v>
      </x:c>
      <x:c r="F529" s="3" t="str">
        <x:v>Men</x:v>
      </x:c>
      <x:c r="G529" s="3" t="str">
        <x:v>Oxford Casual Shirt</x:v>
      </x:c>
      <x:c r="H529" s="3" t="n">
        <x:v>1</x:v>
      </x:c>
      <x:c r="I529" s="7" t="n">
        <x:v>1354.97</x:v>
      </x:c>
      <x:c r="J529" s="9" t="n">
        <x:v>0.1</x:v>
      </x:c>
      <x:c r="K529" s="7" t="n">
        <x:v>1219.47</x:v>
      </x:c>
      <x:c r="L529" s="7" t="n">
        <x:v>420.42</x:v>
      </x:c>
      <x:c r="M529" s="3" t="str">
        <x:v>UPI</x:v>
      </x:c>
      <x:c r="N529" s="3" t="str">
        <x:f>TEXT(B529,"yyyy-mm")</x:f>
        <x:v>2024-06</x:v>
      </x:c>
      <x:c r="O529" s="3" t="str">
        <x:f>IF(J529=0,"No discount",IF(J529&lt;=0.1,"1-10%",IF(J529&lt;=0.15,"11-15%",IF(J529&lt;=0.2,"16-20%","21%+"))))</x:f>
        <x:v>1-10%</x:v>
      </x:c>
      <x:c r="P529" s="9" t="n">
        <x:f>IF(K529=0,0,L529/K529)</x:f>
        <x:v>0.3447563285689685</x:v>
      </x:c>
      <x:c r="Q529" s="3" t="str">
        <x:f>IF(L529&lt;0,"Yes","No")</x:f>
        <x:v>No</x:v>
      </x:c>
    </x:row>
    <x:row r="530" ht="21" customHeight="1">
      <x:c r="A530" s="3" t="str">
        <x:v>ORD-100631</x:v>
      </x:c>
      <x:c r="B530" s="5" t="n">
        <x:v>45449</x:v>
      </x:c>
      <x:c r="C530" s="3" t="str">
        <x:v>CUST-00183</x:v>
      </x:c>
      <x:c r="D530" s="3" t="str">
        <x:v>North</x:v>
      </x:c>
      <x:c r="E530" s="3" t="str">
        <x:v>Fashion</x:v>
      </x:c>
      <x:c r="F530" s="3" t="str">
        <x:v>Men</x:v>
      </x:c>
      <x:c r="G530" s="3" t="str">
        <x:v>SlimFit Denim Jeans</x:v>
      </x:c>
      <x:c r="H530" s="3" t="n">
        <x:v>2</x:v>
      </x:c>
      <x:c r="I530" s="7" t="n">
        <x:v>1923.87</x:v>
      </x:c>
      <x:c r="J530" s="9" t="n">
        <x:v>0</x:v>
      </x:c>
      <x:c r="K530" s="7" t="n">
        <x:v>3847.74</x:v>
      </x:c>
      <x:c r="L530" s="7" t="n">
        <x:v>1690.37</x:v>
      </x:c>
      <x:c r="M530" s="3" t="str">
        <x:v>Credit Card</x:v>
      </x:c>
      <x:c r="N530" s="3" t="str">
        <x:f>TEXT(B530,"yyyy-mm")</x:f>
        <x:v>2024-06</x:v>
      </x:c>
      <x:c r="O530" s="3" t="str">
        <x:f>IF(J530=0,"No discount",IF(J530&lt;=0.1,"1-10%",IF(J530&lt;=0.15,"11-15%",IF(J530&lt;=0.2,"16-20%","21%+"))))</x:f>
        <x:v>No discount</x:v>
      </x:c>
      <x:c r="P530" s="9" t="n">
        <x:f>IF(K530=0,0,L530/K530)</x:f>
        <x:v>0.43931502648307835</x:v>
      </x:c>
      <x:c r="Q530" s="3" t="str">
        <x:f>IF(L530&lt;0,"Yes","No")</x:f>
        <x:v>No</x:v>
      </x:c>
    </x:row>
    <x:row r="531" ht="21" customHeight="1">
      <x:c r="A531" s="3" t="str">
        <x:v>ORD-101187</x:v>
      </x:c>
      <x:c r="B531" s="5" t="n">
        <x:v>45449</x:v>
      </x:c>
      <x:c r="C531" s="3" t="str">
        <x:v>CUST-00446</x:v>
      </x:c>
      <x:c r="D531" s="3" t="str">
        <x:v>East</x:v>
      </x:c>
      <x:c r="E531" s="3" t="str">
        <x:v>Fashion</x:v>
      </x:c>
      <x:c r="F531" s="3" t="str">
        <x:v>Women</x:v>
      </x:c>
      <x:c r="G531" s="3" t="str">
        <x:v>Floral Summer Dress</x:v>
      </x:c>
      <x:c r="H531" s="3" t="n">
        <x:v>1</x:v>
      </x:c>
      <x:c r="I531" s="7" t="n">
        <x:v>1869.68</x:v>
      </x:c>
      <x:c r="J531" s="9" t="n">
        <x:v>0.1</x:v>
      </x:c>
      <x:c r="K531" s="7" t="n">
        <x:v>1682.71</x:v>
      </x:c>
      <x:c r="L531" s="7" t="n">
        <x:v>460.53</x:v>
      </x:c>
      <x:c r="M531" s="3" t="str">
        <x:v>UPI</x:v>
      </x:c>
      <x:c r="N531" s="3" t="str">
        <x:f>TEXT(B531,"yyyy-mm")</x:f>
        <x:v>2024-06</x:v>
      </x:c>
      <x:c r="O531" s="3" t="str">
        <x:f>IF(J531=0,"No discount",IF(J531&lt;=0.1,"1-10%",IF(J531&lt;=0.15,"11-15%",IF(J531&lt;=0.2,"16-20%","21%+"))))</x:f>
        <x:v>1-10%</x:v>
      </x:c>
      <x:c r="P531" s="9" t="n">
        <x:f>IF(K531=0,0,L531/K531)</x:f>
        <x:v>0.27368352241325006</x:v>
      </x:c>
      <x:c r="Q531" s="3" t="str">
        <x:f>IF(L531&lt;0,"Yes","No")</x:f>
        <x:v>No</x:v>
      </x:c>
    </x:row>
    <x:row r="532" ht="21" customHeight="1">
      <x:c r="A532" s="3" t="str">
        <x:v>ORD-101439</x:v>
      </x:c>
      <x:c r="B532" s="5" t="n">
        <x:v>45449</x:v>
      </x:c>
      <x:c r="C532" s="3" t="str">
        <x:v>CUST-00189</x:v>
      </x:c>
      <x:c r="D532" s="3" t="str">
        <x:v>West</x:v>
      </x:c>
      <x:c r="E532" s="3" t="str">
        <x:v>Beauty</x:v>
      </x:c>
      <x:c r="F532" s="3" t="str">
        <x:v>Skincare</x:v>
      </x:c>
      <x:c r="G532" s="3" t="str">
        <x:v>Vitamin C Serum</x:v>
      </x:c>
      <x:c r="H532" s="3" t="n">
        <x:v>2</x:v>
      </x:c>
      <x:c r="I532" s="7" t="n">
        <x:v>943.69</x:v>
      </x:c>
      <x:c r="J532" s="9" t="n">
        <x:v>0</x:v>
      </x:c>
      <x:c r="K532" s="7" t="n">
        <x:v>1887.38</x:v>
      </x:c>
      <x:c r="L532" s="7" t="n">
        <x:v>1014.82</x:v>
      </x:c>
      <x:c r="M532" s="3" t="str">
        <x:v>Net Banking</x:v>
      </x:c>
      <x:c r="N532" s="3" t="str">
        <x:f>TEXT(B532,"yyyy-mm")</x:f>
        <x:v>2024-06</x:v>
      </x:c>
      <x:c r="O532" s="3" t="str">
        <x:f>IF(J532=0,"No discount",IF(J532&lt;=0.1,"1-10%",IF(J532&lt;=0.15,"11-15%",IF(J532&lt;=0.2,"16-20%","21%+"))))</x:f>
        <x:v>No discount</x:v>
      </x:c>
      <x:c r="P532" s="9" t="n">
        <x:f>IF(K532=0,0,L532/K532)</x:f>
        <x:v>0.5376871642170628</x:v>
      </x:c>
      <x:c r="Q532" s="3" t="str">
        <x:f>IF(L532&lt;0,"Yes","No")</x:f>
        <x:v>No</x:v>
      </x:c>
    </x:row>
    <x:row r="533" ht="21" customHeight="1">
      <x:c r="A533" s="3" t="str">
        <x:v>ORD-101487</x:v>
      </x:c>
      <x:c r="B533" s="5" t="n">
        <x:v>45449</x:v>
      </x:c>
      <x:c r="C533" s="3" t="str">
        <x:v>CUST-00083</x:v>
      </x:c>
      <x:c r="D533" s="3" t="str">
        <x:v>North</x:v>
      </x:c>
      <x:c r="E533" s="3" t="str">
        <x:v>Sports</x:v>
      </x:c>
      <x:c r="F533" s="3" t="str">
        <x:v>Fitness</x:v>
      </x:c>
      <x:c r="G533" s="3" t="str">
        <x:v>Adjustable Dumbbell 24kg</x:v>
      </x:c>
      <x:c r="H533" s="3" t="n">
        <x:v>1</x:v>
      </x:c>
      <x:c r="I533" s="7" t="n">
        <x:v>9973.17</x:v>
      </x:c>
      <x:c r="J533" s="9" t="n">
        <x:v>0.25</x:v>
      </x:c>
      <x:c r="K533" s="7" t="n">
        <x:v>7479.88</x:v>
      </x:c>
      <x:c r="L533" s="7" t="n">
        <x:v>868.29</x:v>
      </x:c>
      <x:c r="M533" s="3" t="str">
        <x:v>UPI</x:v>
      </x:c>
      <x:c r="N533" s="3" t="str">
        <x:f>TEXT(B533,"yyyy-mm")</x:f>
        <x:v>2024-06</x:v>
      </x:c>
      <x:c r="O533" s="3" t="str">
        <x:f>IF(J533=0,"No discount",IF(J533&lt;=0.1,"1-10%",IF(J533&lt;=0.15,"11-15%",IF(J533&lt;=0.2,"16-20%","21%+"))))</x:f>
        <x:v>21%+</x:v>
      </x:c>
      <x:c r="P533" s="9" t="n">
        <x:f>IF(K533=0,0,L533/K533)</x:f>
        <x:v>0.116083413102884</x:v>
      </x:c>
      <x:c r="Q533" s="3" t="str">
        <x:f>IF(L533&lt;0,"Yes","No")</x:f>
        <x:v>No</x:v>
      </x:c>
    </x:row>
    <x:row r="534" ht="21" customHeight="1">
      <x:c r="A534" s="3" t="str">
        <x:v>ORD-101489</x:v>
      </x:c>
      <x:c r="B534" s="5" t="n">
        <x:v>45449</x:v>
      </x:c>
      <x:c r="C534" s="3" t="str">
        <x:v>CUST-00177</x:v>
      </x:c>
      <x:c r="D534" s="3" t="str">
        <x:v>South</x:v>
      </x:c>
      <x:c r="E534" s="3" t="str">
        <x:v>Sports</x:v>
      </x:c>
      <x:c r="F534" s="3" t="str">
        <x:v>Fitness</x:v>
      </x:c>
      <x:c r="G534" s="3" t="str">
        <x:v>ProYoga Mat</x:v>
      </x:c>
      <x:c r="H534" s="3" t="n">
        <x:v>1</x:v>
      </x:c>
      <x:c r="I534" s="7" t="n">
        <x:v>1332.44</x:v>
      </x:c>
      <x:c r="J534" s="9" t="n">
        <x:v>0.05</x:v>
      </x:c>
      <x:c r="K534" s="7" t="n">
        <x:v>1265.82</x:v>
      </x:c>
      <x:c r="L534" s="7" t="n">
        <x:v>428.59</x:v>
      </x:c>
      <x:c r="M534" s="3" t="str">
        <x:v>Credit Card</x:v>
      </x:c>
      <x:c r="N534" s="3" t="str">
        <x:f>TEXT(B534,"yyyy-mm")</x:f>
        <x:v>2024-06</x:v>
      </x:c>
      <x:c r="O534" s="3" t="str">
        <x:f>IF(J534=0,"No discount",IF(J534&lt;=0.1,"1-10%",IF(J534&lt;=0.15,"11-15%",IF(J534&lt;=0.2,"16-20%","21%+"))))</x:f>
        <x:v>1-10%</x:v>
      </x:c>
      <x:c r="P534" s="9" t="n">
        <x:f>IF(K534=0,0,L534/K534)</x:f>
        <x:v>0.3385868448910588</x:v>
      </x:c>
      <x:c r="Q534" s="3" t="str">
        <x:f>IF(L534&lt;0,"Yes","No")</x:f>
        <x:v>No</x:v>
      </x:c>
    </x:row>
    <x:row r="535" ht="21" customHeight="1">
      <x:c r="A535" s="3" t="str">
        <x:v>ORD-101770</x:v>
      </x:c>
      <x:c r="B535" s="5" t="n">
        <x:v>45449</x:v>
      </x:c>
      <x:c r="C535" s="3" t="str">
        <x:v>CUST-00123</x:v>
      </x:c>
      <x:c r="D535" s="3" t="str">
        <x:v>East</x:v>
      </x:c>
      <x:c r="E535" s="3" t="str">
        <x:v>Beauty</x:v>
      </x:c>
      <x:c r="F535" s="3" t="str">
        <x:v>Makeup</x:v>
      </x:c>
      <x:c r="G535" s="3" t="str">
        <x:v>HD Foundation Kit</x:v>
      </x:c>
      <x:c r="H535" s="3" t="n">
        <x:v>1</x:v>
      </x:c>
      <x:c r="I535" s="7" t="n">
        <x:v>1460.24</x:v>
      </x:c>
      <x:c r="J535" s="9" t="n">
        <x:v>0.1</x:v>
      </x:c>
      <x:c r="K535" s="7" t="n">
        <x:v>1314.22</x:v>
      </x:c>
      <x:c r="L535" s="7" t="n">
        <x:v>519.51</x:v>
      </x:c>
      <x:c r="M535" s="3" t="str">
        <x:v>Net Banking</x:v>
      </x:c>
      <x:c r="N535" s="3" t="str">
        <x:f>TEXT(B535,"yyyy-mm")</x:f>
        <x:v>2024-06</x:v>
      </x:c>
      <x:c r="O535" s="3" t="str">
        <x:f>IF(J535=0,"No discount",IF(J535&lt;=0.1,"1-10%",IF(J535&lt;=0.15,"11-15%",IF(J535&lt;=0.2,"16-20%","21%+"))))</x:f>
        <x:v>1-10%</x:v>
      </x:c>
      <x:c r="P535" s="9" t="n">
        <x:f>IF(K535=0,0,L535/K535)</x:f>
        <x:v>0.395299112781726</x:v>
      </x:c>
      <x:c r="Q535" s="3" t="str">
        <x:f>IF(L535&lt;0,"Yes","No")</x:f>
        <x:v>No</x:v>
      </x:c>
    </x:row>
    <x:row r="536" ht="21" customHeight="1">
      <x:c r="A536" s="3" t="str">
        <x:v>ORD-101825</x:v>
      </x:c>
      <x:c r="B536" s="5" t="n">
        <x:v>45449</x:v>
      </x:c>
      <x:c r="C536" s="3" t="str">
        <x:v>CUST-00419</x:v>
      </x:c>
      <x:c r="D536" s="3" t="str">
        <x:v>North</x:v>
      </x:c>
      <x:c r="E536" s="3" t="str">
        <x:v>Home &amp; Kitchen</x:v>
      </x:c>
      <x:c r="F536" s="3" t="str">
        <x:v>Appliances</x:v>
      </x:c>
      <x:c r="G536" s="3" t="str">
        <x:v>AirFryer Deluxe</x:v>
      </x:c>
      <x:c r="H536" s="3" t="n">
        <x:v>2</x:v>
      </x:c>
      <x:c r="I536" s="7" t="n">
        <x:v>7709.52</x:v>
      </x:c>
      <x:c r="J536" s="9" t="n">
        <x:v>0.25</x:v>
      </x:c>
      <x:c r="K536" s="7" t="n">
        <x:v>11564.28</x:v>
      </x:c>
      <x:c r="L536" s="7" t="n">
        <x:v>295.64</x:v>
      </x:c>
      <x:c r="M536" s="3" t="str">
        <x:v>UPI</x:v>
      </x:c>
      <x:c r="N536" s="3" t="str">
        <x:f>TEXT(B536,"yyyy-mm")</x:f>
        <x:v>2024-06</x:v>
      </x:c>
      <x:c r="O536" s="3" t="str">
        <x:f>IF(J536=0,"No discount",IF(J536&lt;=0.1,"1-10%",IF(J536&lt;=0.15,"11-15%",IF(J536&lt;=0.2,"16-20%","21%+"))))</x:f>
        <x:v>21%+</x:v>
      </x:c>
      <x:c r="P536" s="9" t="n">
        <x:f>IF(K536=0,0,L536/K536)</x:f>
        <x:v>0.02556492924764879</x:v>
      </x:c>
      <x:c r="Q536" s="3" t="str">
        <x:f>IF(L536&lt;0,"Yes","No")</x:f>
        <x:v>No</x:v>
      </x:c>
    </x:row>
    <x:row r="537" ht="21" customHeight="1">
      <x:c r="A537" s="3" t="str">
        <x:v>ORD-100299</x:v>
      </x:c>
      <x:c r="B537" s="5" t="n">
        <x:v>45450</x:v>
      </x:c>
      <x:c r="C537" s="3" t="str">
        <x:v>CUST-00331</x:v>
      </x:c>
      <x:c r="D537" s="3" t="str">
        <x:v>West</x:v>
      </x:c>
      <x:c r="E537" s="3" t="str">
        <x:v>Beauty</x:v>
      </x:c>
      <x:c r="F537" s="3" t="str">
        <x:v>Skincare</x:v>
      </x:c>
      <x:c r="G537" s="3" t="str">
        <x:v>HydraBoost Moisturizer</x:v>
      </x:c>
      <x:c r="H537" s="3" t="n">
        <x:v>1</x:v>
      </x:c>
      <x:c r="I537" s="7" t="n">
        <x:v>1170.73</x:v>
      </x:c>
      <x:c r="J537" s="9" t="n">
        <x:v>0</x:v>
      </x:c>
      <x:c r="K537" s="7" t="n">
        <x:v>1170.73</x:v>
      </x:c>
      <x:c r="L537" s="7" t="n">
        <x:v>612.14</x:v>
      </x:c>
      <x:c r="M537" s="3" t="str">
        <x:v>UPI</x:v>
      </x:c>
      <x:c r="N537" s="3" t="str">
        <x:f>TEXT(B537,"yyyy-mm")</x:f>
        <x:v>2024-06</x:v>
      </x:c>
      <x:c r="O537" s="3" t="str">
        <x:f>IF(J537=0,"No discount",IF(J537&lt;=0.1,"1-10%",IF(J537&lt;=0.15,"11-15%",IF(J537&lt;=0.2,"16-20%","21%+"))))</x:f>
        <x:v>No discount</x:v>
      </x:c>
      <x:c r="P537" s="9" t="n">
        <x:f>IF(K537=0,0,L537/K537)</x:f>
        <x:v>0.5228703458525877</x:v>
      </x:c>
      <x:c r="Q537" s="3" t="str">
        <x:f>IF(L537&lt;0,"Yes","No")</x:f>
        <x:v>No</x:v>
      </x:c>
    </x:row>
    <x:row r="538" ht="21" customHeight="1">
      <x:c r="A538" s="3" t="str">
        <x:v>ORD-100363</x:v>
      </x:c>
      <x:c r="B538" s="5" t="n">
        <x:v>45450</x:v>
      </x:c>
      <x:c r="C538" s="3" t="str">
        <x:v>CUST-00092</x:v>
      </x:c>
      <x:c r="D538" s="3" t="str">
        <x:v>East</x:v>
      </x:c>
      <x:c r="E538" s="3" t="str">
        <x:v>Electronics</x:v>
      </x:c>
      <x:c r="F538" s="3" t="str">
        <x:v>Mobile</x:v>
      </x:c>
      <x:c r="G538" s="3" t="str">
        <x:v>Pixel Aura 12</x:v>
      </x:c>
      <x:c r="H538" s="3" t="n">
        <x:v>2</x:v>
      </x:c>
      <x:c r="I538" s="7" t="n">
        <x:v>32151.22</x:v>
      </x:c>
      <x:c r="J538" s="9" t="n">
        <x:v>0.05</x:v>
      </x:c>
      <x:c r="K538" s="7" t="n">
        <x:v>61087.32</x:v>
      </x:c>
      <x:c r="L538" s="7" t="n">
        <x:v>9774.39</x:v>
      </x:c>
      <x:c r="M538" s="3" t="str">
        <x:v>Credit Card</x:v>
      </x:c>
      <x:c r="N538" s="3" t="str">
        <x:f>TEXT(B538,"yyyy-mm")</x:f>
        <x:v>2024-06</x:v>
      </x:c>
      <x:c r="O538" s="3" t="str">
        <x:f>IF(J538=0,"No discount",IF(J538&lt;=0.1,"1-10%",IF(J538&lt;=0.15,"11-15%",IF(J538&lt;=0.2,"16-20%","21%+"))))</x:f>
        <x:v>1-10%</x:v>
      </x:c>
      <x:c r="P538" s="9" t="n">
        <x:f>IF(K538=0,0,L538/K538)</x:f>
        <x:v>0.16000685575991874</x:v>
      </x:c>
      <x:c r="Q538" s="3" t="str">
        <x:f>IF(L538&lt;0,"Yes","No")</x:f>
        <x:v>No</x:v>
      </x:c>
    </x:row>
    <x:row r="539" ht="21" customHeight="1">
      <x:c r="A539" s="3" t="str">
        <x:v>ORD-100799</x:v>
      </x:c>
      <x:c r="B539" s="5" t="n">
        <x:v>45450</x:v>
      </x:c>
      <x:c r="C539" s="3" t="str">
        <x:v>CUST-00319</x:v>
      </x:c>
      <x:c r="D539" s="3" t="str">
        <x:v>West</x:v>
      </x:c>
      <x:c r="E539" s="3" t="str">
        <x:v>Beauty</x:v>
      </x:c>
      <x:c r="F539" s="3" t="str">
        <x:v>Skincare</x:v>
      </x:c>
      <x:c r="G539" s="3" t="str">
        <x:v>Vitamin C Serum</x:v>
      </x:c>
      <x:c r="H539" s="3" t="n">
        <x:v>1</x:v>
      </x:c>
      <x:c r="I539" s="7" t="n">
        <x:v>941.01</x:v>
      </x:c>
      <x:c r="J539" s="9" t="n">
        <x:v>0.1</x:v>
      </x:c>
      <x:c r="K539" s="7" t="n">
        <x:v>846.91</x:v>
      </x:c>
      <x:c r="L539" s="7" t="n">
        <x:v>343.77</x:v>
      </x:c>
      <x:c r="M539" s="3" t="str">
        <x:v>Credit Card</x:v>
      </x:c>
      <x:c r="N539" s="3" t="str">
        <x:f>TEXT(B539,"yyyy-mm")</x:f>
        <x:v>2024-06</x:v>
      </x:c>
      <x:c r="O539" s="3" t="str">
        <x:f>IF(J539=0,"No discount",IF(J539&lt;=0.1,"1-10%",IF(J539&lt;=0.15,"11-15%",IF(J539&lt;=0.2,"16-20%","21%+"))))</x:f>
        <x:v>1-10%</x:v>
      </x:c>
      <x:c r="P539" s="9" t="n">
        <x:f>IF(K539=0,0,L539/K539)</x:f>
        <x:v>0.4059108996233366</x:v>
      </x:c>
      <x:c r="Q539" s="3" t="str">
        <x:f>IF(L539&lt;0,"Yes","No")</x:f>
        <x:v>No</x:v>
      </x:c>
    </x:row>
    <x:row r="540" ht="21" customHeight="1">
      <x:c r="A540" s="3" t="str">
        <x:v>ORD-100940</x:v>
      </x:c>
      <x:c r="B540" s="5" t="n">
        <x:v>45450</x:v>
      </x:c>
      <x:c r="C540" s="3" t="str">
        <x:v>CUST-00197</x:v>
      </x:c>
      <x:c r="D540" s="3" t="str">
        <x:v>South</x:v>
      </x:c>
      <x:c r="E540" s="3" t="str">
        <x:v>Fashion</x:v>
      </x:c>
      <x:c r="F540" s="3" t="str">
        <x:v>Men</x:v>
      </x:c>
      <x:c r="G540" s="3" t="str">
        <x:v>Oxford Casual Shirt</x:v>
      </x:c>
      <x:c r="H540" s="3" t="n">
        <x:v>1</x:v>
      </x:c>
      <x:c r="I540" s="7" t="n">
        <x:v>1302.95</x:v>
      </x:c>
      <x:c r="J540" s="9" t="n">
        <x:v>0.05</x:v>
      </x:c>
      <x:c r="K540" s="7" t="n">
        <x:v>1237.8</x:v>
      </x:c>
      <x:c r="L540" s="7" t="n">
        <x:v>409.38</x:v>
      </x:c>
      <x:c r="M540" s="3" t="str">
        <x:v>Credit Card</x:v>
      </x:c>
      <x:c r="N540" s="3" t="str">
        <x:f>TEXT(B540,"yyyy-mm")</x:f>
        <x:v>2024-06</x:v>
      </x:c>
      <x:c r="O540" s="3" t="str">
        <x:f>IF(J540=0,"No discount",IF(J540&lt;=0.1,"1-10%",IF(J540&lt;=0.15,"11-15%",IF(J540&lt;=0.2,"16-20%","21%+"))))</x:f>
        <x:v>1-10%</x:v>
      </x:c>
      <x:c r="P540" s="9" t="n">
        <x:f>IF(K540=0,0,L540/K540)</x:f>
        <x:v>0.330731943771207</x:v>
      </x:c>
      <x:c r="Q540" s="3" t="str">
        <x:f>IF(L540&lt;0,"Yes","No")</x:f>
        <x:v>No</x:v>
      </x:c>
    </x:row>
    <x:row r="541" ht="21" customHeight="1">
      <x:c r="A541" s="3" t="str">
        <x:v>ORD-100022</x:v>
      </x:c>
      <x:c r="B541" s="5" t="n">
        <x:v>45451</x:v>
      </x:c>
      <x:c r="C541" s="3" t="str">
        <x:v>CUST-00216</x:v>
      </x:c>
      <x:c r="D541" s="3" t="str">
        <x:v>West</x:v>
      </x:c>
      <x:c r="E541" s="3" t="str">
        <x:v>Beauty</x:v>
      </x:c>
      <x:c r="F541" s="3" t="str">
        <x:v>Makeup</x:v>
      </x:c>
      <x:c r="G541" s="3" t="str">
        <x:v>Matte Lipstick Set</x:v>
      </x:c>
      <x:c r="H541" s="3" t="n">
        <x:v>2</x:v>
      </x:c>
      <x:c r="I541" s="7" t="n">
        <x:v>1042.13</x:v>
      </x:c>
      <x:c r="J541" s="9" t="n">
        <x:v>0.1</x:v>
      </x:c>
      <x:c r="K541" s="7" t="n">
        <x:v>1875.83</x:v>
      </x:c>
      <x:c r="L541" s="7" t="n">
        <x:v>756.5</x:v>
      </x:c>
      <x:c r="M541" s="3" t="str">
        <x:v>UPI</x:v>
      </x:c>
      <x:c r="N541" s="3" t="str">
        <x:f>TEXT(B541,"yyyy-mm")</x:f>
        <x:v>2024-06</x:v>
      </x:c>
      <x:c r="O541" s="3" t="str">
        <x:f>IF(J541=0,"No discount",IF(J541&lt;=0.1,"1-10%",IF(J541&lt;=0.15,"11-15%",IF(J541&lt;=0.2,"16-20%","21%+"))))</x:f>
        <x:v>1-10%</x:v>
      </x:c>
      <x:c r="P541" s="9" t="n">
        <x:f>IF(K541=0,0,L541/K541)</x:f>
        <x:v>0.40328814444805766</x:v>
      </x:c>
      <x:c r="Q541" s="3" t="str">
        <x:f>IF(L541&lt;0,"Yes","No")</x:f>
        <x:v>No</x:v>
      </x:c>
    </x:row>
    <x:row r="542" ht="21" customHeight="1">
      <x:c r="A542" s="3" t="str">
        <x:v>ORD-100228</x:v>
      </x:c>
      <x:c r="B542" s="5" t="n">
        <x:v>45451</x:v>
      </x:c>
      <x:c r="C542" s="3" t="str">
        <x:v>CUST-00461</x:v>
      </x:c>
      <x:c r="D542" s="3" t="str">
        <x:v>East</x:v>
      </x:c>
      <x:c r="E542" s="3" t="str">
        <x:v>Home &amp; Kitchen</x:v>
      </x:c>
      <x:c r="F542" s="3" t="str">
        <x:v>Decor</x:v>
      </x:c>
      <x:c r="G542" s="3" t="str">
        <x:v>LED Wall Lamp</x:v>
      </x:c>
      <x:c r="H542" s="3" t="n">
        <x:v>1</x:v>
      </x:c>
      <x:c r="I542" s="7" t="n">
        <x:v>956.51</x:v>
      </x:c>
      <x:c r="J542" s="9" t="n">
        <x:v>0</x:v>
      </x:c>
      <x:c r="K542" s="7" t="n">
        <x:v>956.51</x:v>
      </x:c>
      <x:c r="L542" s="7" t="n">
        <x:v>292.9</x:v>
      </x:c>
      <x:c r="M542" s="3" t="str">
        <x:v>Credit Card</x:v>
      </x:c>
      <x:c r="N542" s="3" t="str">
        <x:f>TEXT(B542,"yyyy-mm")</x:f>
        <x:v>2024-06</x:v>
      </x:c>
      <x:c r="O542" s="3" t="str">
        <x:f>IF(J542=0,"No discount",IF(J542&lt;=0.1,"1-10%",IF(J542&lt;=0.15,"11-15%",IF(J542&lt;=0.2,"16-20%","21%+"))))</x:f>
        <x:v>No discount</x:v>
      </x:c>
      <x:c r="P542" s="9" t="n">
        <x:f>IF(K542=0,0,L542/K542)</x:f>
        <x:v>0.30621739448620505</x:v>
      </x:c>
      <x:c r="Q542" s="3" t="str">
        <x:f>IF(L542&lt;0,"Yes","No")</x:f>
        <x:v>No</x:v>
      </x:c>
    </x:row>
    <x:row r="543" ht="21" customHeight="1">
      <x:c r="A543" s="3" t="str">
        <x:v>ORD-100481</x:v>
      </x:c>
      <x:c r="B543" s="5" t="n">
        <x:v>45451</x:v>
      </x:c>
      <x:c r="C543" s="3" t="str">
        <x:v>CUST-00560</x:v>
      </x:c>
      <x:c r="D543" s="3" t="str">
        <x:v>West</x:v>
      </x:c>
      <x:c r="E543" s="3" t="str">
        <x:v>Home &amp; Kitchen</x:v>
      </x:c>
      <x:c r="F543" s="3" t="str">
        <x:v>Decor</x:v>
      </x:c>
      <x:c r="G543" s="3" t="str">
        <x:v>Ceramic Vase Set</x:v>
      </x:c>
      <x:c r="H543" s="3" t="n">
        <x:v>1</x:v>
      </x:c>
      <x:c r="I543" s="7" t="n">
        <x:v>1448.42</x:v>
      </x:c>
      <x:c r="J543" s="9" t="n">
        <x:v>0.1</x:v>
      </x:c>
      <x:c r="K543" s="7" t="n">
        <x:v>1303.58</x:v>
      </x:c>
      <x:c r="L543" s="7" t="n">
        <x:v>259.58</x:v>
      </x:c>
      <x:c r="M543" s="3" t="str">
        <x:v>UPI</x:v>
      </x:c>
      <x:c r="N543" s="3" t="str">
        <x:f>TEXT(B543,"yyyy-mm")</x:f>
        <x:v>2024-06</x:v>
      </x:c>
      <x:c r="O543" s="3" t="str">
        <x:f>IF(J543=0,"No discount",IF(J543&lt;=0.1,"1-10%",IF(J543&lt;=0.15,"11-15%",IF(J543&lt;=0.2,"16-20%","21%+"))))</x:f>
        <x:v>1-10%</x:v>
      </x:c>
      <x:c r="P543" s="9" t="n">
        <x:f>IF(K543=0,0,L543/K543)</x:f>
        <x:v>0.1991285536752635</x:v>
      </x:c>
      <x:c r="Q543" s="3" t="str">
        <x:f>IF(L543&lt;0,"Yes","No")</x:f>
        <x:v>No</x:v>
      </x:c>
    </x:row>
    <x:row r="544" ht="21" customHeight="1">
      <x:c r="A544" s="3" t="str">
        <x:v>ORD-101696</x:v>
      </x:c>
      <x:c r="B544" s="5" t="n">
        <x:v>45451</x:v>
      </x:c>
      <x:c r="C544" s="3" t="str">
        <x:v>CUST-00306</x:v>
      </x:c>
      <x:c r="D544" s="3" t="str">
        <x:v>South</x:v>
      </x:c>
      <x:c r="E544" s="3" t="str">
        <x:v>Beauty</x:v>
      </x:c>
      <x:c r="F544" s="3" t="str">
        <x:v>Skincare</x:v>
      </x:c>
      <x:c r="G544" s="3" t="str">
        <x:v>Vitamin C Serum</x:v>
      </x:c>
      <x:c r="H544" s="3" t="n">
        <x:v>1</x:v>
      </x:c>
      <x:c r="I544" s="7" t="n">
        <x:v>894.39</x:v>
      </x:c>
      <x:c r="J544" s="9" t="n">
        <x:v>0</x:v>
      </x:c>
      <x:c r="K544" s="7" t="n">
        <x:v>894.39</x:v>
      </x:c>
      <x:c r="L544" s="7" t="n">
        <x:v>459.46</x:v>
      </x:c>
      <x:c r="M544" s="3" t="str">
        <x:v>Cash on Delivery</x:v>
      </x:c>
      <x:c r="N544" s="3" t="str">
        <x:f>TEXT(B544,"yyyy-mm")</x:f>
        <x:v>2024-06</x:v>
      </x:c>
      <x:c r="O544" s="3" t="str">
        <x:f>IF(J544=0,"No discount",IF(J544&lt;=0.1,"1-10%",IF(J544&lt;=0.15,"11-15%",IF(J544&lt;=0.2,"16-20%","21%+"))))</x:f>
        <x:v>No discount</x:v>
      </x:c>
      <x:c r="P544" s="9" t="n">
        <x:f>IF(K544=0,0,L544/K544)</x:f>
        <x:v>0.5137132570802446</x:v>
      </x:c>
      <x:c r="Q544" s="3" t="str">
        <x:f>IF(L544&lt;0,"Yes","No")</x:f>
        <x:v>No</x:v>
      </x:c>
    </x:row>
    <x:row r="545" ht="21" customHeight="1">
      <x:c r="A545" s="3" t="str">
        <x:v>ORD-101864</x:v>
      </x:c>
      <x:c r="B545" s="5" t="n">
        <x:v>45451</x:v>
      </x:c>
      <x:c r="C545" s="3" t="str">
        <x:v>CUST-00367</x:v>
      </x:c>
      <x:c r="D545" s="3" t="str">
        <x:v>South</x:v>
      </x:c>
      <x:c r="E545" s="3" t="str">
        <x:v>Fashion</x:v>
      </x:c>
      <x:c r="F545" s="3" t="str">
        <x:v>Men</x:v>
      </x:c>
      <x:c r="G545" s="3" t="str">
        <x:v>SlimFit Denim Jeans</x:v>
      </x:c>
      <x:c r="H545" s="3" t="n">
        <x:v>2</x:v>
      </x:c>
      <x:c r="I545" s="7" t="n">
        <x:v>2010.21</x:v>
      </x:c>
      <x:c r="J545" s="9" t="n">
        <x:v>0</x:v>
      </x:c>
      <x:c r="K545" s="7" t="n">
        <x:v>4020.42</x:v>
      </x:c>
      <x:c r="L545" s="7" t="n">
        <x:v>1619.07</x:v>
      </x:c>
      <x:c r="M545" s="3" t="str">
        <x:v>Credit Card</x:v>
      </x:c>
      <x:c r="N545" s="3" t="str">
        <x:f>TEXT(B545,"yyyy-mm")</x:f>
        <x:v>2024-06</x:v>
      </x:c>
      <x:c r="O545" s="3" t="str">
        <x:f>IF(J545=0,"No discount",IF(J545&lt;=0.1,"1-10%",IF(J545&lt;=0.15,"11-15%",IF(J545&lt;=0.2,"16-20%","21%+"))))</x:f>
        <x:v>No discount</x:v>
      </x:c>
      <x:c r="P545" s="9" t="n">
        <x:f>IF(K545=0,0,L545/K545)</x:f>
        <x:v>0.4027116569910606</x:v>
      </x:c>
      <x:c r="Q545" s="3" t="str">
        <x:f>IF(L545&lt;0,"Yes","No")</x:f>
        <x:v>No</x:v>
      </x:c>
    </x:row>
    <x:row r="546" ht="21" customHeight="1">
      <x:c r="A546" s="3" t="str">
        <x:v>ORD-100307</x:v>
      </x:c>
      <x:c r="B546" s="5" t="n">
        <x:v>45452</x:v>
      </x:c>
      <x:c r="C546" s="3" t="str">
        <x:v>CUST-00140</x:v>
      </x:c>
      <x:c r="D546" s="3" t="str">
        <x:v>West</x:v>
      </x:c>
      <x:c r="E546" s="3" t="str">
        <x:v>Electronics</x:v>
      </x:c>
      <x:c r="F546" s="3" t="str">
        <x:v>Laptop</x:v>
      </x:c>
      <x:c r="G546" s="3" t="str">
        <x:v>AirBook Slim</x:v>
      </x:c>
      <x:c r="H546" s="3" t="n">
        <x:v>2</x:v>
      </x:c>
      <x:c r="I546" s="7" t="n">
        <x:v>82369.82</x:v>
      </x:c>
      <x:c r="J546" s="9" t="n">
        <x:v>0</x:v>
      </x:c>
      <x:c r="K546" s="7" t="n">
        <x:v>164739.64</x:v>
      </x:c>
      <x:c r="L546" s="7" t="n">
        <x:v>28090.26</x:v>
      </x:c>
      <x:c r="M546" s="3" t="str">
        <x:v>UPI</x:v>
      </x:c>
      <x:c r="N546" s="3" t="str">
        <x:f>TEXT(B546,"yyyy-mm")</x:f>
        <x:v>2024-06</x:v>
      </x:c>
      <x:c r="O546" s="3" t="str">
        <x:f>IF(J546=0,"No discount",IF(J546&lt;=0.1,"1-10%",IF(J546&lt;=0.15,"11-15%",IF(J546&lt;=0.2,"16-20%","21%+"))))</x:f>
        <x:v>No discount</x:v>
      </x:c>
      <x:c r="P546" s="9" t="n">
        <x:f>IF(K546=0,0,L546/K546)</x:f>
        <x:v>0.17051305927340862</x:v>
      </x:c>
      <x:c r="Q546" s="3" t="str">
        <x:f>IF(L546&lt;0,"Yes","No")</x:f>
        <x:v>No</x:v>
      </x:c>
    </x:row>
    <x:row r="547" ht="21" customHeight="1">
      <x:c r="A547" s="3" t="str">
        <x:v>ORD-100728</x:v>
      </x:c>
      <x:c r="B547" s="5" t="n">
        <x:v>45452</x:v>
      </x:c>
      <x:c r="C547" s="3" t="str">
        <x:v>CUST-00095</x:v>
      </x:c>
      <x:c r="D547" s="3" t="str">
        <x:v>East</x:v>
      </x:c>
      <x:c r="E547" s="3" t="str">
        <x:v>Sports</x:v>
      </x:c>
      <x:c r="F547" s="3" t="str">
        <x:v>Outdoor</x:v>
      </x:c>
      <x:c r="G547" s="3" t="str">
        <x:v>AllWeather Tent 4P</x:v>
      </x:c>
      <x:c r="H547" s="3" t="n">
        <x:v>2</x:v>
      </x:c>
      <x:c r="I547" s="7" t="n">
        <x:v>12501.94</x:v>
      </x:c>
      <x:c r="J547" s="9" t="n">
        <x:v>0.2</x:v>
      </x:c>
      <x:c r="K547" s="7" t="n">
        <x:v>20003.1</x:v>
      </x:c>
      <x:c r="L547" s="7" t="n">
        <x:v>3003.46</x:v>
      </x:c>
      <x:c r="M547" s="3" t="str">
        <x:v>Credit Card</x:v>
      </x:c>
      <x:c r="N547" s="3" t="str">
        <x:f>TEXT(B547,"yyyy-mm")</x:f>
        <x:v>2024-06</x:v>
      </x:c>
      <x:c r="O547" s="3" t="str">
        <x:f>IF(J547=0,"No discount",IF(J547&lt;=0.1,"1-10%",IF(J547&lt;=0.15,"11-15%",IF(J547&lt;=0.2,"16-20%","21%+"))))</x:f>
        <x:v>16-20%</x:v>
      </x:c>
      <x:c r="P547" s="9" t="n">
        <x:f>IF(K547=0,0,L547/K547)</x:f>
        <x:v>0.1501497267923472</x:v>
      </x:c>
      <x:c r="Q547" s="3" t="str">
        <x:f>IF(L547&lt;0,"Yes","No")</x:f>
        <x:v>No</x:v>
      </x:c>
    </x:row>
    <x:row r="548" ht="21" customHeight="1">
      <x:c r="A548" s="3" t="str">
        <x:v>ORD-101491</x:v>
      </x:c>
      <x:c r="B548" s="5" t="n">
        <x:v>45452</x:v>
      </x:c>
      <x:c r="C548" s="3" t="str">
        <x:v>CUST-00086</x:v>
      </x:c>
      <x:c r="D548" s="3" t="str">
        <x:v>West</x:v>
      </x:c>
      <x:c r="E548" s="3" t="str">
        <x:v>Electronics</x:v>
      </x:c>
      <x:c r="F548" s="3" t="str">
        <x:v>Mobile</x:v>
      </x:c>
      <x:c r="G548" s="3" t="str">
        <x:v>iPhone Zeta</x:v>
      </x:c>
      <x:c r="H548" s="3" t="n">
        <x:v>1</x:v>
      </x:c>
      <x:c r="I548" s="7" t="n">
        <x:v>66804.31</x:v>
      </x:c>
      <x:c r="J548" s="9" t="n">
        <x:v>0.2</x:v>
      </x:c>
      <x:c r="K548" s="7" t="n">
        <x:v>53443.45</x:v>
      </x:c>
      <x:c r="L548" s="7" t="n">
        <x:v>-2356.23</x:v>
      </x:c>
      <x:c r="M548" s="3" t="str">
        <x:v>UPI</x:v>
      </x:c>
      <x:c r="N548" s="3" t="str">
        <x:f>TEXT(B548,"yyyy-mm")</x:f>
        <x:v>2024-06</x:v>
      </x:c>
      <x:c r="O548" s="3" t="str">
        <x:f>IF(J548=0,"No discount",IF(J548&lt;=0.1,"1-10%",IF(J548&lt;=0.15,"11-15%",IF(J548&lt;=0.2,"16-20%","21%+"))))</x:f>
        <x:v>16-20%</x:v>
      </x:c>
      <x:c r="P548" s="9" t="n">
        <x:f>IF(K548=0,0,L548/K548)</x:f>
        <x:v>-0.04408828397118824</x:v>
      </x:c>
      <x:c r="Q548" s="3" t="str">
        <x:f>IF(L548&lt;0,"Yes","No")</x:f>
        <x:v>Yes</x:v>
      </x:c>
    </x:row>
    <x:row r="549" ht="21" customHeight="1">
      <x:c r="A549" s="3" t="str">
        <x:v>ORD-101619</x:v>
      </x:c>
      <x:c r="B549" s="5" t="n">
        <x:v>45452</x:v>
      </x:c>
      <x:c r="C549" s="3" t="str">
        <x:v>CUST-00217</x:v>
      </x:c>
      <x:c r="D549" s="3" t="str">
        <x:v>South</x:v>
      </x:c>
      <x:c r="E549" s="3" t="str">
        <x:v>Sports</x:v>
      </x:c>
      <x:c r="F549" s="3" t="str">
        <x:v>Fitness</x:v>
      </x:c>
      <x:c r="G549" s="3" t="str">
        <x:v>ProYoga Mat</x:v>
      </x:c>
      <x:c r="H549" s="3" t="n">
        <x:v>1</x:v>
      </x:c>
      <x:c r="I549" s="7" t="n">
        <x:v>1356.29</x:v>
      </x:c>
      <x:c r="J549" s="9" t="n">
        <x:v>0</x:v>
      </x:c>
      <x:c r="K549" s="7" t="n">
        <x:v>1356.29</x:v>
      </x:c>
      <x:c r="L549" s="7" t="n">
        <x:v>549.39</x:v>
      </x:c>
      <x:c r="M549" s="3" t="str">
        <x:v>UPI</x:v>
      </x:c>
      <x:c r="N549" s="3" t="str">
        <x:f>TEXT(B549,"yyyy-mm")</x:f>
        <x:v>2024-06</x:v>
      </x:c>
      <x:c r="O549" s="3" t="str">
        <x:f>IF(J549=0,"No discount",IF(J549&lt;=0.1,"1-10%",IF(J549&lt;=0.15,"11-15%",IF(J549&lt;=0.2,"16-20%","21%+"))))</x:f>
        <x:v>No discount</x:v>
      </x:c>
      <x:c r="P549" s="9" t="n">
        <x:f>IF(K549=0,0,L549/K549)</x:f>
        <x:v>0.40506823761879834</x:v>
      </x:c>
      <x:c r="Q549" s="3" t="str">
        <x:f>IF(L549&lt;0,"Yes","No")</x:f>
        <x:v>No</x:v>
      </x:c>
    </x:row>
    <x:row r="550" ht="21" customHeight="1">
      <x:c r="A550" s="3" t="str">
        <x:v>ORD-101975</x:v>
      </x:c>
      <x:c r="B550" s="5" t="n">
        <x:v>45452</x:v>
      </x:c>
      <x:c r="C550" s="3" t="str">
        <x:v>CUST-00600</x:v>
      </x:c>
      <x:c r="D550" s="3" t="str">
        <x:v>North</x:v>
      </x:c>
      <x:c r="E550" s="3" t="str">
        <x:v>Home &amp; Kitchen</x:v>
      </x:c>
      <x:c r="F550" s="3" t="str">
        <x:v>Furniture</x:v>
      </x:c>
      <x:c r="G550" s="3" t="str">
        <x:v>ErgoComfort Chair</x:v>
      </x:c>
      <x:c r="H550" s="3" t="n">
        <x:v>3</x:v>
      </x:c>
      <x:c r="I550" s="7" t="n">
        <x:v>9372.77</x:v>
      </x:c>
      <x:c r="J550" s="9" t="n">
        <x:v>0.05</x:v>
      </x:c>
      <x:c r="K550" s="7" t="n">
        <x:v>26712.39</x:v>
      </x:c>
      <x:c r="L550" s="7" t="n">
        <x:v>6391.33</x:v>
      </x:c>
      <x:c r="M550" s="3" t="str">
        <x:v>Credit Card</x:v>
      </x:c>
      <x:c r="N550" s="3" t="str">
        <x:f>TEXT(B550,"yyyy-mm")</x:f>
        <x:v>2024-06</x:v>
      </x:c>
      <x:c r="O550" s="3" t="str">
        <x:f>IF(J550=0,"No discount",IF(J550&lt;=0.1,"1-10%",IF(J550&lt;=0.15,"11-15%",IF(J550&lt;=0.2,"16-20%","21%+"))))</x:f>
        <x:v>1-10%</x:v>
      </x:c>
      <x:c r="P550" s="9" t="n">
        <x:f>IF(K550=0,0,L550/K550)</x:f>
        <x:v>0.23926462589083194</x:v>
      </x:c>
      <x:c r="Q550" s="3" t="str">
        <x:f>IF(L550&lt;0,"Yes","No")</x:f>
        <x:v>No</x:v>
      </x:c>
    </x:row>
    <x:row r="551" ht="21" customHeight="1">
      <x:c r="A551" s="3" t="str">
        <x:v>ORD-100148</x:v>
      </x:c>
      <x:c r="B551" s="5" t="n">
        <x:v>45453</x:v>
      </x:c>
      <x:c r="C551" s="3" t="str">
        <x:v>CUST-00488</x:v>
      </x:c>
      <x:c r="D551" s="3" t="str">
        <x:v>North</x:v>
      </x:c>
      <x:c r="E551" s="3" t="str">
        <x:v>Fashion</x:v>
      </x:c>
      <x:c r="F551" s="3" t="str">
        <x:v>Men</x:v>
      </x:c>
      <x:c r="G551" s="3" t="str">
        <x:v>SlimFit Denim Jeans</x:v>
      </x:c>
      <x:c r="H551" s="3" t="n">
        <x:v>2</x:v>
      </x:c>
      <x:c r="I551" s="7" t="n">
        <x:v>1981.67</x:v>
      </x:c>
      <x:c r="J551" s="9" t="n">
        <x:v>0</x:v>
      </x:c>
      <x:c r="K551" s="7" t="n">
        <x:v>3963.34</x:v>
      </x:c>
      <x:c r="L551" s="7" t="n">
        <x:v>1733.52</x:v>
      </x:c>
      <x:c r="M551" s="3" t="str">
        <x:v>Debit Card</x:v>
      </x:c>
      <x:c r="N551" s="3" t="str">
        <x:f>TEXT(B551,"yyyy-mm")</x:f>
        <x:v>2024-06</x:v>
      </x:c>
      <x:c r="O551" s="3" t="str">
        <x:f>IF(J551=0,"No discount",IF(J551&lt;=0.1,"1-10%",IF(J551&lt;=0.15,"11-15%",IF(J551&lt;=0.2,"16-20%","21%+"))))</x:f>
        <x:v>No discount</x:v>
      </x:c>
      <x:c r="P551" s="9" t="n">
        <x:f>IF(K551=0,0,L551/K551)</x:f>
        <x:v>0.4373886671342857</x:v>
      </x:c>
      <x:c r="Q551" s="3" t="str">
        <x:f>IF(L551&lt;0,"Yes","No")</x:f>
        <x:v>No</x:v>
      </x:c>
    </x:row>
    <x:row r="552" ht="21" customHeight="1">
      <x:c r="A552" s="3" t="str">
        <x:v>ORD-100361</x:v>
      </x:c>
      <x:c r="B552" s="5" t="n">
        <x:v>45454</x:v>
      </x:c>
      <x:c r="C552" s="3" t="str">
        <x:v>CUST-00044</x:v>
      </x:c>
      <x:c r="D552" s="3" t="str">
        <x:v>North</x:v>
      </x:c>
      <x:c r="E552" s="3" t="str">
        <x:v>Fashion</x:v>
      </x:c>
      <x:c r="F552" s="3" t="str">
        <x:v>Footwear</x:v>
      </x:c>
      <x:c r="G552" s="3" t="str">
        <x:v>RunFlex Sneakers</x:v>
      </x:c>
      <x:c r="H552" s="3" t="n">
        <x:v>1</x:v>
      </x:c>
      <x:c r="I552" s="7" t="n">
        <x:v>2877.23</x:v>
      </x:c>
      <x:c r="J552" s="9" t="n">
        <x:v>0.15</x:v>
      </x:c>
      <x:c r="K552" s="7" t="n">
        <x:v>2445.65</x:v>
      </x:c>
      <x:c r="L552" s="7" t="n">
        <x:v>637.78</x:v>
      </x:c>
      <x:c r="M552" s="3" t="str">
        <x:v>UPI</x:v>
      </x:c>
      <x:c r="N552" s="3" t="str">
        <x:f>TEXT(B552,"yyyy-mm")</x:f>
        <x:v>2024-06</x:v>
      </x:c>
      <x:c r="O552" s="3" t="str">
        <x:f>IF(J552=0,"No discount",IF(J552&lt;=0.1,"1-10%",IF(J552&lt;=0.15,"11-15%",IF(J552&lt;=0.2,"16-20%","21%+"))))</x:f>
        <x:v>11-15%</x:v>
      </x:c>
      <x:c r="P552" s="9" t="n">
        <x:f>IF(K552=0,0,L552/K552)</x:f>
        <x:v>0.2607813873612332</x:v>
      </x:c>
      <x:c r="Q552" s="3" t="str">
        <x:f>IF(L552&lt;0,"Yes","No")</x:f>
        <x:v>No</x:v>
      </x:c>
    </x:row>
    <x:row r="553" ht="21" customHeight="1">
      <x:c r="A553" s="3" t="str">
        <x:v>ORD-101186</x:v>
      </x:c>
      <x:c r="B553" s="5" t="n">
        <x:v>45454</x:v>
      </x:c>
      <x:c r="C553" s="3" t="str">
        <x:v>CUST-00008</x:v>
      </x:c>
      <x:c r="D553" s="3" t="str">
        <x:v>South</x:v>
      </x:c>
      <x:c r="E553" s="3" t="str">
        <x:v>Electronics</x:v>
      </x:c>
      <x:c r="F553" s="3" t="str">
        <x:v>Audio</x:v>
      </x:c>
      <x:c r="G553" s="3" t="str">
        <x:v>SoundPods Pro</x:v>
      </x:c>
      <x:c r="H553" s="3" t="n">
        <x:v>1</x:v>
      </x:c>
      <x:c r="I553" s="7" t="n">
        <x:v>5129.52</x:v>
      </x:c>
      <x:c r="J553" s="9" t="n">
        <x:v>0.15</x:v>
      </x:c>
      <x:c r="K553" s="7" t="n">
        <x:v>4360.09</x:v>
      </x:c>
      <x:c r="L553" s="7" t="n">
        <x:v>149.46</x:v>
      </x:c>
      <x:c r="M553" s="3" t="str">
        <x:v>Credit Card</x:v>
      </x:c>
      <x:c r="N553" s="3" t="str">
        <x:f>TEXT(B553,"yyyy-mm")</x:f>
        <x:v>2024-06</x:v>
      </x:c>
      <x:c r="O553" s="3" t="str">
        <x:f>IF(J553=0,"No discount",IF(J553&lt;=0.1,"1-10%",IF(J553&lt;=0.15,"11-15%",IF(J553&lt;=0.2,"16-20%","21%+"))))</x:f>
        <x:v>11-15%</x:v>
      </x:c>
      <x:c r="P553" s="9" t="n">
        <x:f>IF(K553=0,0,L553/K553)</x:f>
        <x:v>0.03427910891747647</x:v>
      </x:c>
      <x:c r="Q553" s="3" t="str">
        <x:f>IF(L553&lt;0,"Yes","No")</x:f>
        <x:v>No</x:v>
      </x:c>
    </x:row>
    <x:row r="554" ht="21" customHeight="1">
      <x:c r="A554" s="3" t="str">
        <x:v>ORD-100001</x:v>
      </x:c>
      <x:c r="B554" s="5" t="n">
        <x:v>45455</x:v>
      </x:c>
      <x:c r="C554" s="3" t="str">
        <x:v>CUST-00349</x:v>
      </x:c>
      <x:c r="D554" s="3" t="str">
        <x:v>South</x:v>
      </x:c>
      <x:c r="E554" s="3" t="str">
        <x:v>Fashion</x:v>
      </x:c>
      <x:c r="F554" s="3" t="str">
        <x:v>Men</x:v>
      </x:c>
      <x:c r="G554" s="3" t="str">
        <x:v>SlimFit Denim Jeans</x:v>
      </x:c>
      <x:c r="H554" s="3" t="n">
        <x:v>2</x:v>
      </x:c>
      <x:c r="I554" s="7" t="n">
        <x:v>2039.24</x:v>
      </x:c>
      <x:c r="J554" s="9" t="n">
        <x:v>0.15</x:v>
      </x:c>
      <x:c r="K554" s="7" t="n">
        <x:v>3466.71</x:v>
      </x:c>
      <x:c r="L554" s="7" t="n">
        <x:v>835.69</x:v>
      </x:c>
      <x:c r="M554" s="3" t="str">
        <x:v>UPI</x:v>
      </x:c>
      <x:c r="N554" s="3" t="str">
        <x:f>TEXT(B554,"yyyy-mm")</x:f>
        <x:v>2024-06</x:v>
      </x:c>
      <x:c r="O554" s="3" t="str">
        <x:f>IF(J554=0,"No discount",IF(J554&lt;=0.1,"1-10%",IF(J554&lt;=0.15,"11-15%",IF(J554&lt;=0.2,"16-20%","21%+"))))</x:f>
        <x:v>11-15%</x:v>
      </x:c>
      <x:c r="P554" s="9" t="n">
        <x:f>IF(K554=0,0,L554/K554)</x:f>
        <x:v>0.24106140980930046</x:v>
      </x:c>
      <x:c r="Q554" s="3" t="str">
        <x:f>IF(L554&lt;0,"Yes","No")</x:f>
        <x:v>No</x:v>
      </x:c>
    </x:row>
    <x:row r="555" ht="21" customHeight="1">
      <x:c r="A555" s="3" t="str">
        <x:v>ORD-100401</x:v>
      </x:c>
      <x:c r="B555" s="5" t="n">
        <x:v>45455</x:v>
      </x:c>
      <x:c r="C555" s="3" t="str">
        <x:v>CUST-00390</x:v>
      </x:c>
      <x:c r="D555" s="3" t="str">
        <x:v>East</x:v>
      </x:c>
      <x:c r="E555" s="3" t="str">
        <x:v>Electronics</x:v>
      </x:c>
      <x:c r="F555" s="3" t="str">
        <x:v>Mobile</x:v>
      </x:c>
      <x:c r="G555" s="3" t="str">
        <x:v>Galaxy Nova X5</x:v>
      </x:c>
      <x:c r="H555" s="3" t="n">
        <x:v>2</x:v>
      </x:c>
      <x:c r="I555" s="7" t="n">
        <x:v>23962.31</x:v>
      </x:c>
      <x:c r="J555" s="9" t="n">
        <x:v>0.1</x:v>
      </x:c>
      <x:c r="K555" s="7" t="n">
        <x:v>43132.16</x:v>
      </x:c>
      <x:c r="L555" s="7" t="n">
        <x:v>3518.82</x:v>
      </x:c>
      <x:c r="M555" s="3" t="str">
        <x:v>Cash on Delivery</x:v>
      </x:c>
      <x:c r="N555" s="3" t="str">
        <x:f>TEXT(B555,"yyyy-mm")</x:f>
        <x:v>2024-06</x:v>
      </x:c>
      <x:c r="O555" s="3" t="str">
        <x:f>IF(J555=0,"No discount",IF(J555&lt;=0.1,"1-10%",IF(J555&lt;=0.15,"11-15%",IF(J555&lt;=0.2,"16-20%","21%+"))))</x:f>
        <x:v>1-10%</x:v>
      </x:c>
      <x:c r="P555" s="9" t="n">
        <x:f>IF(K555=0,0,L555/K555)</x:f>
        <x:v>0.08158228106359616</x:v>
      </x:c>
      <x:c r="Q555" s="3" t="str">
        <x:f>IF(L555&lt;0,"Yes","No")</x:f>
        <x:v>No</x:v>
      </x:c>
    </x:row>
    <x:row r="556" ht="21" customHeight="1">
      <x:c r="A556" s="3" t="str">
        <x:v>ORD-101380</x:v>
      </x:c>
      <x:c r="B556" s="5" t="n">
        <x:v>45455</x:v>
      </x:c>
      <x:c r="C556" s="3" t="str">
        <x:v>CUST-00188</x:v>
      </x:c>
      <x:c r="D556" s="3" t="str">
        <x:v>North</x:v>
      </x:c>
      <x:c r="E556" s="3" t="str">
        <x:v>Sports</x:v>
      </x:c>
      <x:c r="F556" s="3" t="str">
        <x:v>Outdoor</x:v>
      </x:c>
      <x:c r="G556" s="3" t="str">
        <x:v>AllWeather Tent 4P</x:v>
      </x:c>
      <x:c r="H556" s="3" t="n">
        <x:v>2</x:v>
      </x:c>
      <x:c r="I556" s="7" t="n">
        <x:v>11937.79</x:v>
      </x:c>
      <x:c r="J556" s="9" t="n">
        <x:v>0.05</x:v>
      </x:c>
      <x:c r="K556" s="7" t="n">
        <x:v>22681.8</x:v>
      </x:c>
      <x:c r="L556" s="7" t="n">
        <x:v>7016.5</x:v>
      </x:c>
      <x:c r="M556" s="3" t="str">
        <x:v>Cash on Delivery</x:v>
      </x:c>
      <x:c r="N556" s="3" t="str">
        <x:f>TEXT(B556,"yyyy-mm")</x:f>
        <x:v>2024-06</x:v>
      </x:c>
      <x:c r="O556" s="3" t="str">
        <x:f>IF(J556=0,"No discount",IF(J556&lt;=0.1,"1-10%",IF(J556&lt;=0.15,"11-15%",IF(J556&lt;=0.2,"16-20%","21%+"))))</x:f>
        <x:v>1-10%</x:v>
      </x:c>
      <x:c r="P556" s="9" t="n">
        <x:f>IF(K556=0,0,L556/K556)</x:f>
        <x:v>0.3093449373506512</x:v>
      </x:c>
      <x:c r="Q556" s="3" t="str">
        <x:f>IF(L556&lt;0,"Yes","No")</x:f>
        <x:v>No</x:v>
      </x:c>
    </x:row>
    <x:row r="557" ht="21" customHeight="1">
      <x:c r="A557" s="3" t="str">
        <x:v>ORD-101834</x:v>
      </x:c>
      <x:c r="B557" s="5" t="n">
        <x:v>45455</x:v>
      </x:c>
      <x:c r="C557" s="3" t="str">
        <x:v>CUST-00453</x:v>
      </x:c>
      <x:c r="D557" s="3" t="str">
        <x:v>West</x:v>
      </x:c>
      <x:c r="E557" s="3" t="str">
        <x:v>Sports</x:v>
      </x:c>
      <x:c r="F557" s="3" t="str">
        <x:v>Outdoor</x:v>
      </x:c>
      <x:c r="G557" s="3" t="str">
        <x:v>TrailHike Backpack 60L</x:v>
      </x:c>
      <x:c r="H557" s="3" t="n">
        <x:v>1</x:v>
      </x:c>
      <x:c r="I557" s="7" t="n">
        <x:v>3453.33</x:v>
      </x:c>
      <x:c r="J557" s="9" t="n">
        <x:v>0.15</x:v>
      </x:c>
      <x:c r="K557" s="7" t="n">
        <x:v>2935.33</x:v>
      </x:c>
      <x:c r="L557" s="7" t="n">
        <x:v>550.19</x:v>
      </x:c>
      <x:c r="M557" s="3" t="str">
        <x:v>Credit Card</x:v>
      </x:c>
      <x:c r="N557" s="3" t="str">
        <x:f>TEXT(B557,"yyyy-mm")</x:f>
        <x:v>2024-06</x:v>
      </x:c>
      <x:c r="O557" s="3" t="str">
        <x:f>IF(J557=0,"No discount",IF(J557&lt;=0.1,"1-10%",IF(J557&lt;=0.15,"11-15%",IF(J557&lt;=0.2,"16-20%","21%+"))))</x:f>
        <x:v>11-15%</x:v>
      </x:c>
      <x:c r="P557" s="9" t="n">
        <x:f>IF(K557=0,0,L557/K557)</x:f>
        <x:v>0.18743718764159398</x:v>
      </x:c>
      <x:c r="Q557" s="3" t="str">
        <x:f>IF(L557&lt;0,"Yes","No")</x:f>
        <x:v>No</x:v>
      </x:c>
    </x:row>
    <x:row r="558" ht="21" customHeight="1">
      <x:c r="A558" s="3" t="str">
        <x:v>ORD-100060</x:v>
      </x:c>
      <x:c r="B558" s="5" t="n">
        <x:v>45456</x:v>
      </x:c>
      <x:c r="C558" s="3" t="str">
        <x:v>CUST-00508</x:v>
      </x:c>
      <x:c r="D558" s="3" t="str">
        <x:v>South</x:v>
      </x:c>
      <x:c r="E558" s="3" t="str">
        <x:v>Home &amp; Kitchen</x:v>
      </x:c>
      <x:c r="F558" s="3" t="str">
        <x:v>Furniture</x:v>
      </x:c>
      <x:c r="G558" s="3" t="str">
        <x:v>ErgoComfort Chair</x:v>
      </x:c>
      <x:c r="H558" s="3" t="n">
        <x:v>2</x:v>
      </x:c>
      <x:c r="I558" s="7" t="n">
        <x:v>8631.16</x:v>
      </x:c>
      <x:c r="J558" s="9" t="n">
        <x:v>0.05</x:v>
      </x:c>
      <x:c r="K558" s="7" t="n">
        <x:v>16399.2</x:v>
      </x:c>
      <x:c r="L558" s="7" t="n">
        <x:v>4269.32</x:v>
      </x:c>
      <x:c r="M558" s="3" t="str">
        <x:v>Credit Card</x:v>
      </x:c>
      <x:c r="N558" s="3" t="str">
        <x:f>TEXT(B558,"yyyy-mm")</x:f>
        <x:v>2024-06</x:v>
      </x:c>
      <x:c r="O558" s="3" t="str">
        <x:f>IF(J558=0,"No discount",IF(J558&lt;=0.1,"1-10%",IF(J558&lt;=0.15,"11-15%",IF(J558&lt;=0.2,"16-20%","21%+"))))</x:f>
        <x:v>1-10%</x:v>
      </x:c>
      <x:c r="P558" s="9" t="n">
        <x:f>IF(K558=0,0,L558/K558)</x:f>
        <x:v>0.2603370896141275</x:v>
      </x:c>
      <x:c r="Q558" s="3" t="str">
        <x:f>IF(L558&lt;0,"Yes","No")</x:f>
        <x:v>No</x:v>
      </x:c>
    </x:row>
    <x:row r="559" ht="21" customHeight="1">
      <x:c r="A559" s="3" t="str">
        <x:v>ORD-100366</x:v>
      </x:c>
      <x:c r="B559" s="5" t="n">
        <x:v>45456</x:v>
      </x:c>
      <x:c r="C559" s="3" t="str">
        <x:v>CUST-00159</x:v>
      </x:c>
      <x:c r="D559" s="3" t="str">
        <x:v>East</x:v>
      </x:c>
      <x:c r="E559" s="3" t="str">
        <x:v>Fashion</x:v>
      </x:c>
      <x:c r="F559" s="3" t="str">
        <x:v>Footwear</x:v>
      </x:c>
      <x:c r="G559" s="3" t="str">
        <x:v>RunFlex Sneakers</x:v>
      </x:c>
      <x:c r="H559" s="3" t="n">
        <x:v>1</x:v>
      </x:c>
      <x:c r="I559" s="7" t="n">
        <x:v>2989.52</x:v>
      </x:c>
      <x:c r="J559" s="9" t="n">
        <x:v>0.05</x:v>
      </x:c>
      <x:c r="K559" s="7" t="n">
        <x:v>2840.04</x:v>
      </x:c>
      <x:c r="L559" s="7" t="n">
        <x:v>1113.05</x:v>
      </x:c>
      <x:c r="M559" s="3" t="str">
        <x:v>Net Banking</x:v>
      </x:c>
      <x:c r="N559" s="3" t="str">
        <x:f>TEXT(B559,"yyyy-mm")</x:f>
        <x:v>2024-06</x:v>
      </x:c>
      <x:c r="O559" s="3" t="str">
        <x:f>IF(J559=0,"No discount",IF(J559&lt;=0.1,"1-10%",IF(J559&lt;=0.15,"11-15%",IF(J559&lt;=0.2,"16-20%","21%+"))))</x:f>
        <x:v>1-10%</x:v>
      </x:c>
      <x:c r="P559" s="9" t="n">
        <x:f>IF(K559=0,0,L559/K559)</x:f>
        <x:v>0.39191349417613836</x:v>
      </x:c>
      <x:c r="Q559" s="3" t="str">
        <x:f>IF(L559&lt;0,"Yes","No")</x:f>
        <x:v>No</x:v>
      </x:c>
    </x:row>
    <x:row r="560" ht="21" customHeight="1">
      <x:c r="A560" s="3" t="str">
        <x:v>ORD-100479</x:v>
      </x:c>
      <x:c r="B560" s="5" t="n">
        <x:v>45456</x:v>
      </x:c>
      <x:c r="C560" s="3" t="str">
        <x:v>CUST-00293</x:v>
      </x:c>
      <x:c r="D560" s="3" t="str">
        <x:v>South</x:v>
      </x:c>
      <x:c r="E560" s="3" t="str">
        <x:v>Fashion</x:v>
      </x:c>
      <x:c r="F560" s="3" t="str">
        <x:v>Women</x:v>
      </x:c>
      <x:c r="G560" s="3" t="str">
        <x:v>Knit Winter Sweater</x:v>
      </x:c>
      <x:c r="H560" s="3" t="n">
        <x:v>5</x:v>
      </x:c>
      <x:c r="I560" s="7" t="n">
        <x:v>2099.46</x:v>
      </x:c>
      <x:c r="J560" s="9" t="n">
        <x:v>0.15</x:v>
      </x:c>
      <x:c r="K560" s="7" t="n">
        <x:v>8922.7</x:v>
      </x:c>
      <x:c r="L560" s="7" t="n">
        <x:v>2103.52</x:v>
      </x:c>
      <x:c r="M560" s="3" t="str">
        <x:v>UPI</x:v>
      </x:c>
      <x:c r="N560" s="3" t="str">
        <x:f>TEXT(B560,"yyyy-mm")</x:f>
        <x:v>2024-06</x:v>
      </x:c>
      <x:c r="O560" s="3" t="str">
        <x:f>IF(J560=0,"No discount",IF(J560&lt;=0.1,"1-10%",IF(J560&lt;=0.15,"11-15%",IF(J560&lt;=0.2,"16-20%","21%+"))))</x:f>
        <x:v>11-15%</x:v>
      </x:c>
      <x:c r="P560" s="9" t="n">
        <x:f>IF(K560=0,0,L560/K560)</x:f>
        <x:v>0.23574926871910967</x:v>
      </x:c>
      <x:c r="Q560" s="3" t="str">
        <x:f>IF(L560&lt;0,"Yes","No")</x:f>
        <x:v>No</x:v>
      </x:c>
    </x:row>
    <x:row r="561" ht="21" customHeight="1">
      <x:c r="A561" s="3" t="str">
        <x:v>ORD-101108</x:v>
      </x:c>
      <x:c r="B561" s="5" t="n">
        <x:v>45456</x:v>
      </x:c>
      <x:c r="C561" s="3" t="str">
        <x:v>CUST-00277</x:v>
      </x:c>
      <x:c r="D561" s="3" t="str">
        <x:v>South</x:v>
      </x:c>
      <x:c r="E561" s="3" t="str">
        <x:v>Electronics</x:v>
      </x:c>
      <x:c r="F561" s="3" t="str">
        <x:v>Audio</x:v>
      </x:c>
      <x:c r="G561" s="3" t="str">
        <x:v>BassBoom Speaker</x:v>
      </x:c>
      <x:c r="H561" s="3" t="n">
        <x:v>2</x:v>
      </x:c>
      <x:c r="I561" s="7" t="n">
        <x:v>9418.71</x:v>
      </x:c>
      <x:c r="J561" s="9" t="n">
        <x:v>0</x:v>
      </x:c>
      <x:c r="K561" s="7" t="n">
        <x:v>18837.42</x:v>
      </x:c>
      <x:c r="L561" s="7" t="n">
        <x:v>3214.83</x:v>
      </x:c>
      <x:c r="M561" s="3" t="str">
        <x:v>UPI</x:v>
      </x:c>
      <x:c r="N561" s="3" t="str">
        <x:f>TEXT(B561,"yyyy-mm")</x:f>
        <x:v>2024-06</x:v>
      </x:c>
      <x:c r="O561" s="3" t="str">
        <x:f>IF(J561=0,"No discount",IF(J561&lt;=0.1,"1-10%",IF(J561&lt;=0.15,"11-15%",IF(J561&lt;=0.2,"16-20%","21%+"))))</x:f>
        <x:v>No discount</x:v>
      </x:c>
      <x:c r="P561" s="9" t="n">
        <x:f>IF(K561=0,0,L561/K561)</x:f>
        <x:v>0.17066190592979294</x:v>
      </x:c>
      <x:c r="Q561" s="3" t="str">
        <x:f>IF(L561&lt;0,"Yes","No")</x:f>
        <x:v>No</x:v>
      </x:c>
    </x:row>
    <x:row r="562" ht="21" customHeight="1">
      <x:c r="A562" s="3" t="str">
        <x:v>ORD-100329</x:v>
      </x:c>
      <x:c r="B562" s="5" t="n">
        <x:v>45457</x:v>
      </x:c>
      <x:c r="C562" s="3" t="str">
        <x:v>CUST-00521</x:v>
      </x:c>
      <x:c r="D562" s="3" t="str">
        <x:v>North</x:v>
      </x:c>
      <x:c r="E562" s="3" t="str">
        <x:v>Beauty</x:v>
      </x:c>
      <x:c r="F562" s="3" t="str">
        <x:v>Makeup</x:v>
      </x:c>
      <x:c r="G562" s="3" t="str">
        <x:v>HD Foundation Kit</x:v>
      </x:c>
      <x:c r="H562" s="3" t="n">
        <x:v>5</x:v>
      </x:c>
      <x:c r="I562" s="7" t="n">
        <x:v>1540.1</x:v>
      </x:c>
      <x:c r="J562" s="9" t="n">
        <x:v>0.1</x:v>
      </x:c>
      <x:c r="K562" s="7" t="n">
        <x:v>6930.45</x:v>
      </x:c>
      <x:c r="L562" s="7" t="n">
        <x:v>2958.27</x:v>
      </x:c>
      <x:c r="M562" s="3" t="str">
        <x:v>Net Banking</x:v>
      </x:c>
      <x:c r="N562" s="3" t="str">
        <x:f>TEXT(B562,"yyyy-mm")</x:f>
        <x:v>2024-06</x:v>
      </x:c>
      <x:c r="O562" s="3" t="str">
        <x:f>IF(J562=0,"No discount",IF(J562&lt;=0.1,"1-10%",IF(J562&lt;=0.15,"11-15%",IF(J562&lt;=0.2,"16-20%","21%+"))))</x:f>
        <x:v>1-10%</x:v>
      </x:c>
      <x:c r="P562" s="9" t="n">
        <x:f>IF(K562=0,0,L562/K562)</x:f>
        <x:v>0.42685107027682184</x:v>
      </x:c>
      <x:c r="Q562" s="3" t="str">
        <x:f>IF(L562&lt;0,"Yes","No")</x:f>
        <x:v>No</x:v>
      </x:c>
    </x:row>
    <x:row r="563" ht="21" customHeight="1">
      <x:c r="A563" s="3" t="str">
        <x:v>ORD-100556</x:v>
      </x:c>
      <x:c r="B563" s="5" t="n">
        <x:v>45457</x:v>
      </x:c>
      <x:c r="C563" s="3" t="str">
        <x:v>CUST-00290</x:v>
      </x:c>
      <x:c r="D563" s="3" t="str">
        <x:v>East</x:v>
      </x:c>
      <x:c r="E563" s="3" t="str">
        <x:v>Fashion</x:v>
      </x:c>
      <x:c r="F563" s="3" t="str">
        <x:v>Women</x:v>
      </x:c>
      <x:c r="G563" s="3" t="str">
        <x:v>Knit Winter Sweater</x:v>
      </x:c>
      <x:c r="H563" s="3" t="n">
        <x:v>4</x:v>
      </x:c>
      <x:c r="I563" s="7" t="n">
        <x:v>2237.07</x:v>
      </x:c>
      <x:c r="J563" s="9" t="n">
        <x:v>0.2</x:v>
      </x:c>
      <x:c r="K563" s="7" t="n">
        <x:v>7158.62</x:v>
      </x:c>
      <x:c r="L563" s="7" t="n">
        <x:v>1494.48</x:v>
      </x:c>
      <x:c r="M563" s="3" t="str">
        <x:v>Debit Card</x:v>
      </x:c>
      <x:c r="N563" s="3" t="str">
        <x:f>TEXT(B563,"yyyy-mm")</x:f>
        <x:v>2024-06</x:v>
      </x:c>
      <x:c r="O563" s="3" t="str">
        <x:f>IF(J563=0,"No discount",IF(J563&lt;=0.1,"1-10%",IF(J563&lt;=0.15,"11-15%",IF(J563&lt;=0.2,"16-20%","21%+"))))</x:f>
        <x:v>16-20%</x:v>
      </x:c>
      <x:c r="P563" s="9" t="n">
        <x:f>IF(K563=0,0,L563/K563)</x:f>
        <x:v>0.20876649410081832</x:v>
      </x:c>
      <x:c r="Q563" s="3" t="str">
        <x:f>IF(L563&lt;0,"Yes","No")</x:f>
        <x:v>No</x:v>
      </x:c>
    </x:row>
    <x:row r="564" ht="21" customHeight="1">
      <x:c r="A564" s="3" t="str">
        <x:v>ORD-100649</x:v>
      </x:c>
      <x:c r="B564" s="5" t="n">
        <x:v>45457</x:v>
      </x:c>
      <x:c r="C564" s="3" t="str">
        <x:v>CUST-00095</x:v>
      </x:c>
      <x:c r="D564" s="3" t="str">
        <x:v>East</x:v>
      </x:c>
      <x:c r="E564" s="3" t="str">
        <x:v>Home &amp; Kitchen</x:v>
      </x:c>
      <x:c r="F564" s="3" t="str">
        <x:v>Appliances</x:v>
      </x:c>
      <x:c r="G564" s="3" t="str">
        <x:v>AirFryer Deluxe</x:v>
      </x:c>
      <x:c r="H564" s="3" t="n">
        <x:v>2</x:v>
      </x:c>
      <x:c r="I564" s="7" t="n">
        <x:v>7808.09</x:v>
      </x:c>
      <x:c r="J564" s="9" t="n">
        <x:v>0.1</x:v>
      </x:c>
      <x:c r="K564" s="7" t="n">
        <x:v>14054.56</x:v>
      </x:c>
      <x:c r="L564" s="7" t="n">
        <x:v>2971.66</x:v>
      </x:c>
      <x:c r="M564" s="3" t="str">
        <x:v>UPI</x:v>
      </x:c>
      <x:c r="N564" s="3" t="str">
        <x:f>TEXT(B564,"yyyy-mm")</x:f>
        <x:v>2024-06</x:v>
      </x:c>
      <x:c r="O564" s="3" t="str">
        <x:f>IF(J564=0,"No discount",IF(J564&lt;=0.1,"1-10%",IF(J564&lt;=0.15,"11-15%",IF(J564&lt;=0.2,"16-20%","21%+"))))</x:f>
        <x:v>1-10%</x:v>
      </x:c>
      <x:c r="P564" s="9" t="n">
        <x:f>IF(K564=0,0,L564/K564)</x:f>
        <x:v>0.21143742671417676</x:v>
      </x:c>
      <x:c r="Q564" s="3" t="str">
        <x:f>IF(L564&lt;0,"Yes","No")</x:f>
        <x:v>No</x:v>
      </x:c>
    </x:row>
    <x:row r="565" ht="21" customHeight="1">
      <x:c r="A565" s="3" t="str">
        <x:v>ORD-101943</x:v>
      </x:c>
      <x:c r="B565" s="5" t="n">
        <x:v>45457</x:v>
      </x:c>
      <x:c r="C565" s="3" t="str">
        <x:v>CUST-00412</x:v>
      </x:c>
      <x:c r="D565" s="3" t="str">
        <x:v>East</x:v>
      </x:c>
      <x:c r="E565" s="3" t="str">
        <x:v>Sports</x:v>
      </x:c>
      <x:c r="F565" s="3" t="str">
        <x:v>Fitness</x:v>
      </x:c>
      <x:c r="G565" s="3" t="str">
        <x:v>Adjustable Dumbbell 24kg</x:v>
      </x:c>
      <x:c r="H565" s="3" t="n">
        <x:v>1</x:v>
      </x:c>
      <x:c r="I565" s="7" t="n">
        <x:v>10165.75</x:v>
      </x:c>
      <x:c r="J565" s="9" t="n">
        <x:v>0.25</x:v>
      </x:c>
      <x:c r="K565" s="7" t="n">
        <x:v>7624.31</x:v>
      </x:c>
      <x:c r="L565" s="7" t="n">
        <x:v>415.27</x:v>
      </x:c>
      <x:c r="M565" s="3" t="str">
        <x:v>UPI</x:v>
      </x:c>
      <x:c r="N565" s="3" t="str">
        <x:f>TEXT(B565,"yyyy-mm")</x:f>
        <x:v>2024-06</x:v>
      </x:c>
      <x:c r="O565" s="3" t="str">
        <x:f>IF(J565=0,"No discount",IF(J565&lt;=0.1,"1-10%",IF(J565&lt;=0.15,"11-15%",IF(J565&lt;=0.2,"16-20%","21%+"))))</x:f>
        <x:v>21%+</x:v>
      </x:c>
      <x:c r="P565" s="9" t="n">
        <x:f>IF(K565=0,0,L565/K565)</x:f>
        <x:v>0.05446656812223007</x:v>
      </x:c>
      <x:c r="Q565" s="3" t="str">
        <x:f>IF(L565&lt;0,"Yes","No")</x:f>
        <x:v>No</x:v>
      </x:c>
    </x:row>
    <x:row r="566" ht="21" customHeight="1">
      <x:c r="A566" s="3" t="str">
        <x:v>ORD-100647</x:v>
      </x:c>
      <x:c r="B566" s="5" t="n">
        <x:v>45458</x:v>
      </x:c>
      <x:c r="C566" s="3" t="str">
        <x:v>CUST-00447</x:v>
      </x:c>
      <x:c r="D566" s="3" t="str">
        <x:v>North</x:v>
      </x:c>
      <x:c r="E566" s="3" t="str">
        <x:v>Sports</x:v>
      </x:c>
      <x:c r="F566" s="3" t="str">
        <x:v>Outdoor</x:v>
      </x:c>
      <x:c r="G566" s="3" t="str">
        <x:v>AllWeather Tent 4P</x:v>
      </x:c>
      <x:c r="H566" s="3" t="n">
        <x:v>1</x:v>
      </x:c>
      <x:c r="I566" s="7" t="n">
        <x:v>12104.96</x:v>
      </x:c>
      <x:c r="J566" s="9" t="n">
        <x:v>0.1</x:v>
      </x:c>
      <x:c r="K566" s="7" t="n">
        <x:v>10894.46</x:v>
      </x:c>
      <x:c r="L566" s="7" t="n">
        <x:v>2807.54</x:v>
      </x:c>
      <x:c r="M566" s="3" t="str">
        <x:v>Net Banking</x:v>
      </x:c>
      <x:c r="N566" s="3" t="str">
        <x:f>TEXT(B566,"yyyy-mm")</x:f>
        <x:v>2024-06</x:v>
      </x:c>
      <x:c r="O566" s="3" t="str">
        <x:f>IF(J566=0,"No discount",IF(J566&lt;=0.1,"1-10%",IF(J566&lt;=0.15,"11-15%",IF(J566&lt;=0.2,"16-20%","21%+"))))</x:f>
        <x:v>1-10%</x:v>
      </x:c>
      <x:c r="P566" s="9" t="n">
        <x:f>IF(K566=0,0,L566/K566)</x:f>
        <x:v>0.2577034566192358</x:v>
      </x:c>
      <x:c r="Q566" s="3" t="str">
        <x:f>IF(L566&lt;0,"Yes","No")</x:f>
        <x:v>No</x:v>
      </x:c>
    </x:row>
    <x:row r="567" ht="21" customHeight="1">
      <x:c r="A567" s="3" t="str">
        <x:v>ORD-100004</x:v>
      </x:c>
      <x:c r="B567" s="5" t="n">
        <x:v>45459</x:v>
      </x:c>
      <x:c r="C567" s="3" t="str">
        <x:v>CUST-00277</x:v>
      </x:c>
      <x:c r="D567" s="3" t="str">
        <x:v>North</x:v>
      </x:c>
      <x:c r="E567" s="3" t="str">
        <x:v>Home &amp; Kitchen</x:v>
      </x:c>
      <x:c r="F567" s="3" t="str">
        <x:v>Furniture</x:v>
      </x:c>
      <x:c r="G567" s="3" t="str">
        <x:v>ErgoComfort Chair</x:v>
      </x:c>
      <x:c r="H567" s="3" t="n">
        <x:v>1</x:v>
      </x:c>
      <x:c r="I567" s="7" t="n">
        <x:v>9180.62</x:v>
      </x:c>
      <x:c r="J567" s="9" t="n">
        <x:v>0.1</x:v>
      </x:c>
      <x:c r="K567" s="7" t="n">
        <x:v>8262.56</x:v>
      </x:c>
      <x:c r="L567" s="7" t="n">
        <x:v>1897.78</x:v>
      </x:c>
      <x:c r="M567" s="3" t="str">
        <x:v>Credit Card</x:v>
      </x:c>
      <x:c r="N567" s="3" t="str">
        <x:f>TEXT(B567,"yyyy-mm")</x:f>
        <x:v>2024-06</x:v>
      </x:c>
      <x:c r="O567" s="3" t="str">
        <x:f>IF(J567=0,"No discount",IF(J567&lt;=0.1,"1-10%",IF(J567&lt;=0.15,"11-15%",IF(J567&lt;=0.2,"16-20%","21%+"))))</x:f>
        <x:v>1-10%</x:v>
      </x:c>
      <x:c r="P567" s="9" t="n">
        <x:f>IF(K567=0,0,L567/K567)</x:f>
        <x:v>0.22968426250459906</x:v>
      </x:c>
      <x:c r="Q567" s="3" t="str">
        <x:f>IF(L567&lt;0,"Yes","No")</x:f>
        <x:v>No</x:v>
      </x:c>
    </x:row>
    <x:row r="568" ht="21" customHeight="1">
      <x:c r="A568" s="3" t="str">
        <x:v>ORD-101238</x:v>
      </x:c>
      <x:c r="B568" s="5" t="n">
        <x:v>45459</x:v>
      </x:c>
      <x:c r="C568" s="3" t="str">
        <x:v>CUST-00116</x:v>
      </x:c>
      <x:c r="D568" s="3" t="str">
        <x:v>East</x:v>
      </x:c>
      <x:c r="E568" s="3" t="str">
        <x:v>Electronics</x:v>
      </x:c>
      <x:c r="F568" s="3" t="str">
        <x:v>Laptop</x:v>
      </x:c>
      <x:c r="G568" s="3" t="str">
        <x:v>ThinkPro 14</x:v>
      </x:c>
      <x:c r="H568" s="3" t="n">
        <x:v>1</x:v>
      </x:c>
      <x:c r="I568" s="7" t="n">
        <x:v>57727.56</x:v>
      </x:c>
      <x:c r="J568" s="9" t="n">
        <x:v>0</x:v>
      </x:c>
      <x:c r="K568" s="7" t="n">
        <x:v>57727.56</x:v>
      </x:c>
      <x:c r="L568" s="7" t="n">
        <x:v>12273.52</x:v>
      </x:c>
      <x:c r="M568" s="3" t="str">
        <x:v>UPI</x:v>
      </x:c>
      <x:c r="N568" s="3" t="str">
        <x:f>TEXT(B568,"yyyy-mm")</x:f>
        <x:v>2024-06</x:v>
      </x:c>
      <x:c r="O568" s="3" t="str">
        <x:f>IF(J568=0,"No discount",IF(J568&lt;=0.1,"1-10%",IF(J568&lt;=0.15,"11-15%",IF(J568&lt;=0.2,"16-20%","21%+"))))</x:f>
        <x:v>No discount</x:v>
      </x:c>
      <x:c r="P568" s="9" t="n">
        <x:f>IF(K568=0,0,L568/K568)</x:f>
        <x:v>0.21261109944712717</x:v>
      </x:c>
      <x:c r="Q568" s="3" t="str">
        <x:f>IF(L568&lt;0,"Yes","No")</x:f>
        <x:v>No</x:v>
      </x:c>
    </x:row>
    <x:row r="569" ht="21" customHeight="1">
      <x:c r="A569" s="3" t="str">
        <x:v>ORD-101469</x:v>
      </x:c>
      <x:c r="B569" s="5" t="n">
        <x:v>45459</x:v>
      </x:c>
      <x:c r="C569" s="3" t="str">
        <x:v>CUST-00573</x:v>
      </x:c>
      <x:c r="D569" s="3" t="str">
        <x:v>North</x:v>
      </x:c>
      <x:c r="E569" s="3" t="str">
        <x:v>Electronics</x:v>
      </x:c>
      <x:c r="F569" s="3" t="str">
        <x:v>Laptop</x:v>
      </x:c>
      <x:c r="G569" s="3" t="str">
        <x:v>AirBook Slim</x:v>
      </x:c>
      <x:c r="H569" s="3" t="n">
        <x:v>1</x:v>
      </x:c>
      <x:c r="I569" s="7" t="n">
        <x:v>76690.96</x:v>
      </x:c>
      <x:c r="J569" s="9" t="n">
        <x:v>0</x:v>
      </x:c>
      <x:c r="K569" s="7" t="n">
        <x:v>76690.96</x:v>
      </x:c>
      <x:c r="L569" s="7" t="n">
        <x:v>12691.05</x:v>
      </x:c>
      <x:c r="M569" s="3" t="str">
        <x:v>Credit Card</x:v>
      </x:c>
      <x:c r="N569" s="3" t="str">
        <x:f>TEXT(B569,"yyyy-mm")</x:f>
        <x:v>2024-06</x:v>
      </x:c>
      <x:c r="O569" s="3" t="str">
        <x:f>IF(J569=0,"No discount",IF(J569&lt;=0.1,"1-10%",IF(J569&lt;=0.15,"11-15%",IF(J569&lt;=0.2,"16-20%","21%+"))))</x:f>
        <x:v>No discount</x:v>
      </x:c>
      <x:c r="P569" s="9" t="n">
        <x:f>IF(K569=0,0,L569/K569)</x:f>
        <x:v>0.16548299825690013</x:v>
      </x:c>
      <x:c r="Q569" s="3" t="str">
        <x:f>IF(L569&lt;0,"Yes","No")</x:f>
        <x:v>No</x:v>
      </x:c>
    </x:row>
    <x:row r="570" ht="21" customHeight="1">
      <x:c r="A570" s="3" t="str">
        <x:v>ORD-101766</x:v>
      </x:c>
      <x:c r="B570" s="5" t="n">
        <x:v>45459</x:v>
      </x:c>
      <x:c r="C570" s="3" t="str">
        <x:v>CUST-00198</x:v>
      </x:c>
      <x:c r="D570" s="3" t="str">
        <x:v>South</x:v>
      </x:c>
      <x:c r="E570" s="3" t="str">
        <x:v>Beauty</x:v>
      </x:c>
      <x:c r="F570" s="3" t="str">
        <x:v>Makeup</x:v>
      </x:c>
      <x:c r="G570" s="3" t="str">
        <x:v>Matte Lipstick Set</x:v>
      </x:c>
      <x:c r="H570" s="3" t="n">
        <x:v>1</x:v>
      </x:c>
      <x:c r="I570" s="7" t="n">
        <x:v>956.37</x:v>
      </x:c>
      <x:c r="J570" s="9" t="n">
        <x:v>0</x:v>
      </x:c>
      <x:c r="K570" s="7" t="n">
        <x:v>956.37</x:v>
      </x:c>
      <x:c r="L570" s="7" t="n">
        <x:v>540.16</x:v>
      </x:c>
      <x:c r="M570" s="3" t="str">
        <x:v>Credit Card</x:v>
      </x:c>
      <x:c r="N570" s="3" t="str">
        <x:f>TEXT(B570,"yyyy-mm")</x:f>
        <x:v>2024-06</x:v>
      </x:c>
      <x:c r="O570" s="3" t="str">
        <x:f>IF(J570=0,"No discount",IF(J570&lt;=0.1,"1-10%",IF(J570&lt;=0.15,"11-15%",IF(J570&lt;=0.2,"16-20%","21%+"))))</x:f>
        <x:v>No discount</x:v>
      </x:c>
      <x:c r="P570" s="9" t="n">
        <x:f>IF(K570=0,0,L570/K570)</x:f>
        <x:v>0.5648023254598116</x:v>
      </x:c>
      <x:c r="Q570" s="3" t="str">
        <x:f>IF(L570&lt;0,"Yes","No")</x:f>
        <x:v>No</x:v>
      </x:c>
    </x:row>
    <x:row r="571" ht="21" customHeight="1">
      <x:c r="A571" s="3" t="str">
        <x:v>ORD-100076</x:v>
      </x:c>
      <x:c r="B571" s="5" t="n">
        <x:v>45460</x:v>
      </x:c>
      <x:c r="C571" s="3" t="str">
        <x:v>CUST-00494</x:v>
      </x:c>
      <x:c r="D571" s="3" t="str">
        <x:v>South</x:v>
      </x:c>
      <x:c r="E571" s="3" t="str">
        <x:v>Home &amp; Kitchen</x:v>
      </x:c>
      <x:c r="F571" s="3" t="str">
        <x:v>Appliances</x:v>
      </x:c>
      <x:c r="G571" s="3" t="str">
        <x:v>ColdBrew Coffee Maker</x:v>
      </x:c>
      <x:c r="H571" s="3" t="n">
        <x:v>1</x:v>
      </x:c>
      <x:c r="I571" s="7" t="n">
        <x:v>6524.61</x:v>
      </x:c>
      <x:c r="J571" s="9" t="n">
        <x:v>0</x:v>
      </x:c>
      <x:c r="K571" s="7" t="n">
        <x:v>6524.61</x:v>
      </x:c>
      <x:c r="L571" s="7" t="n">
        <x:v>2399.22</x:v>
      </x:c>
      <x:c r="M571" s="3" t="str">
        <x:v>Net Banking</x:v>
      </x:c>
      <x:c r="N571" s="3" t="str">
        <x:f>TEXT(B571,"yyyy-mm")</x:f>
        <x:v>2024-06</x:v>
      </x:c>
      <x:c r="O571" s="3" t="str">
        <x:f>IF(J571=0,"No discount",IF(J571&lt;=0.1,"1-10%",IF(J571&lt;=0.15,"11-15%",IF(J571&lt;=0.2,"16-20%","21%+"))))</x:f>
        <x:v>No discount</x:v>
      </x:c>
      <x:c r="P571" s="9" t="n">
        <x:f>IF(K571=0,0,L571/K571)</x:f>
        <x:v>0.36771853030296064</x:v>
      </x:c>
      <x:c r="Q571" s="3" t="str">
        <x:f>IF(L571&lt;0,"Yes","No")</x:f>
        <x:v>No</x:v>
      </x:c>
    </x:row>
    <x:row r="572" ht="21" customHeight="1">
      <x:c r="A572" s="3" t="str">
        <x:v>ORD-100875</x:v>
      </x:c>
      <x:c r="B572" s="5" t="n">
        <x:v>45460</x:v>
      </x:c>
      <x:c r="C572" s="3" t="str">
        <x:v>CUST-00001</x:v>
      </x:c>
      <x:c r="D572" s="3" t="str">
        <x:v>West</x:v>
      </x:c>
      <x:c r="E572" s="3" t="str">
        <x:v>Beauty</x:v>
      </x:c>
      <x:c r="F572" s="3" t="str">
        <x:v>Makeup</x:v>
      </x:c>
      <x:c r="G572" s="3" t="str">
        <x:v>Matte Lipstick Set</x:v>
      </x:c>
      <x:c r="H572" s="3" t="n">
        <x:v>1</x:v>
      </x:c>
      <x:c r="I572" s="7" t="n">
        <x:v>1047.86</x:v>
      </x:c>
      <x:c r="J572" s="9" t="n">
        <x:v>0.15</x:v>
      </x:c>
      <x:c r="K572" s="7" t="n">
        <x:v>890.68</x:v>
      </x:c>
      <x:c r="L572" s="7" t="n">
        <x:v>307.11</x:v>
      </x:c>
      <x:c r="M572" s="3" t="str">
        <x:v>UPI</x:v>
      </x:c>
      <x:c r="N572" s="3" t="str">
        <x:f>TEXT(B572,"yyyy-mm")</x:f>
        <x:v>2024-06</x:v>
      </x:c>
      <x:c r="O572" s="3" t="str">
        <x:f>IF(J572=0,"No discount",IF(J572&lt;=0.1,"1-10%",IF(J572&lt;=0.15,"11-15%",IF(J572&lt;=0.2,"16-20%","21%+"))))</x:f>
        <x:v>11-15%</x:v>
      </x:c>
      <x:c r="P572" s="9" t="n">
        <x:f>IF(K572=0,0,L572/K572)</x:f>
        <x:v>0.34480397000044916</x:v>
      </x:c>
      <x:c r="Q572" s="3" t="str">
        <x:f>IF(L572&lt;0,"Yes","No")</x:f>
        <x:v>No</x:v>
      </x:c>
    </x:row>
    <x:row r="573" ht="21" customHeight="1">
      <x:c r="A573" s="3" t="str">
        <x:v>ORD-101193</x:v>
      </x:c>
      <x:c r="B573" s="5" t="n">
        <x:v>45460</x:v>
      </x:c>
      <x:c r="C573" s="3" t="str">
        <x:v>CUST-00346</x:v>
      </x:c>
      <x:c r="D573" s="3" t="str">
        <x:v>East</x:v>
      </x:c>
      <x:c r="E573" s="3" t="str">
        <x:v>Electronics</x:v>
      </x:c>
      <x:c r="F573" s="3" t="str">
        <x:v>Audio</x:v>
      </x:c>
      <x:c r="G573" s="3" t="str">
        <x:v>SoundPods Pro</x:v>
      </x:c>
      <x:c r="H573" s="3" t="n">
        <x:v>2</x:v>
      </x:c>
      <x:c r="I573" s="7" t="n">
        <x:v>5109.44</x:v>
      </x:c>
      <x:c r="J573" s="9" t="n">
        <x:v>0</x:v>
      </x:c>
      <x:c r="K573" s="7" t="n">
        <x:v>10218.88</x:v>
      </x:c>
      <x:c r="L573" s="7" t="n">
        <x:v>1877.6</x:v>
      </x:c>
      <x:c r="M573" s="3" t="str">
        <x:v>UPI</x:v>
      </x:c>
      <x:c r="N573" s="3" t="str">
        <x:f>TEXT(B573,"yyyy-mm")</x:f>
        <x:v>2024-06</x:v>
      </x:c>
      <x:c r="O573" s="3" t="str">
        <x:f>IF(J573=0,"No discount",IF(J573&lt;=0.1,"1-10%",IF(J573&lt;=0.15,"11-15%",IF(J573&lt;=0.2,"16-20%","21%+"))))</x:f>
        <x:v>No discount</x:v>
      </x:c>
      <x:c r="P573" s="9" t="n">
        <x:f>IF(K573=0,0,L573/K573)</x:f>
        <x:v>0.18373833531659048</x:v>
      </x:c>
      <x:c r="Q573" s="3" t="str">
        <x:f>IF(L573&lt;0,"Yes","No")</x:f>
        <x:v>No</x:v>
      </x:c>
    </x:row>
    <x:row r="574" ht="21" customHeight="1">
      <x:c r="A574" s="3" t="str">
        <x:v>ORD-101256</x:v>
      </x:c>
      <x:c r="B574" s="5" t="n">
        <x:v>45460</x:v>
      </x:c>
      <x:c r="C574" s="3" t="str">
        <x:v>CUST-00336</x:v>
      </x:c>
      <x:c r="D574" s="3" t="str">
        <x:v>West</x:v>
      </x:c>
      <x:c r="E574" s="3" t="str">
        <x:v>Home &amp; Kitchen</x:v>
      </x:c>
      <x:c r="F574" s="3" t="str">
        <x:v>Decor</x:v>
      </x:c>
      <x:c r="G574" s="3" t="str">
        <x:v>Ceramic Vase Set</x:v>
      </x:c>
      <x:c r="H574" s="3" t="n">
        <x:v>3</x:v>
      </x:c>
      <x:c r="I574" s="7" t="n">
        <x:v>1568.03</x:v>
      </x:c>
      <x:c r="J574" s="9" t="n">
        <x:v>0</x:v>
      </x:c>
      <x:c r="K574" s="7" t="n">
        <x:v>4704.09</x:v>
      </x:c>
      <x:c r="L574" s="7" t="n">
        <x:v>1711.83</x:v>
      </x:c>
      <x:c r="M574" s="3" t="str">
        <x:v>UPI</x:v>
      </x:c>
      <x:c r="N574" s="3" t="str">
        <x:f>TEXT(B574,"yyyy-mm")</x:f>
        <x:v>2024-06</x:v>
      </x:c>
      <x:c r="O574" s="3" t="str">
        <x:f>IF(J574=0,"No discount",IF(J574&lt;=0.1,"1-10%",IF(J574&lt;=0.15,"11-15%",IF(J574&lt;=0.2,"16-20%","21%+"))))</x:f>
        <x:v>No discount</x:v>
      </x:c>
      <x:c r="P574" s="9" t="n">
        <x:f>IF(K574=0,0,L574/K574)</x:f>
        <x:v>0.36390247635568196</x:v>
      </x:c>
      <x:c r="Q574" s="3" t="str">
        <x:f>IF(L574&lt;0,"Yes","No")</x:f>
        <x:v>No</x:v>
      </x:c>
    </x:row>
    <x:row r="575" ht="21" customHeight="1">
      <x:c r="A575" s="3" t="str">
        <x:v>ORD-101339</x:v>
      </x:c>
      <x:c r="B575" s="5" t="n">
        <x:v>45460</x:v>
      </x:c>
      <x:c r="C575" s="3" t="str">
        <x:v>CUST-00436</x:v>
      </x:c>
      <x:c r="D575" s="3" t="str">
        <x:v>South</x:v>
      </x:c>
      <x:c r="E575" s="3" t="str">
        <x:v>Fashion</x:v>
      </x:c>
      <x:c r="F575" s="3" t="str">
        <x:v>Footwear</x:v>
      </x:c>
      <x:c r="G575" s="3" t="str">
        <x:v>UrbanLoafers</x:v>
      </x:c>
      <x:c r="H575" s="3" t="n">
        <x:v>1</x:v>
      </x:c>
      <x:c r="I575" s="7" t="n">
        <x:v>3328.82</x:v>
      </x:c>
      <x:c r="J575" s="9" t="n">
        <x:v>0.15</x:v>
      </x:c>
      <x:c r="K575" s="7" t="n">
        <x:v>2829.5</x:v>
      </x:c>
      <x:c r="L575" s="7" t="n">
        <x:v>768.64</x:v>
      </x:c>
      <x:c r="M575" s="3" t="str">
        <x:v>Cash on Delivery</x:v>
      </x:c>
      <x:c r="N575" s="3" t="str">
        <x:f>TEXT(B575,"yyyy-mm")</x:f>
        <x:v>2024-06</x:v>
      </x:c>
      <x:c r="O575" s="3" t="str">
        <x:f>IF(J575=0,"No discount",IF(J575&lt;=0.1,"1-10%",IF(J575&lt;=0.15,"11-15%",IF(J575&lt;=0.2,"16-20%","21%+"))))</x:f>
        <x:v>11-15%</x:v>
      </x:c>
      <x:c r="P575" s="9" t="n">
        <x:f>IF(K575=0,0,L575/K575)</x:f>
        <x:v>0.2716522353772751</x:v>
      </x:c>
      <x:c r="Q575" s="3" t="str">
        <x:f>IF(L575&lt;0,"Yes","No")</x:f>
        <x:v>No</x:v>
      </x:c>
    </x:row>
    <x:row r="576" ht="21" customHeight="1">
      <x:c r="A576" s="3" t="str">
        <x:v>ORD-100011</x:v>
      </x:c>
      <x:c r="B576" s="5" t="n">
        <x:v>45461</x:v>
      </x:c>
      <x:c r="C576" s="3" t="str">
        <x:v>CUST-00434</x:v>
      </x:c>
      <x:c r="D576" s="3" t="str">
        <x:v>North</x:v>
      </x:c>
      <x:c r="E576" s="3" t="str">
        <x:v>Electronics</x:v>
      </x:c>
      <x:c r="F576" s="3" t="str">
        <x:v>Mobile</x:v>
      </x:c>
      <x:c r="G576" s="3" t="str">
        <x:v>iPhone Zeta</x:v>
      </x:c>
      <x:c r="H576" s="3" t="n">
        <x:v>1</x:v>
      </x:c>
      <x:c r="I576" s="7" t="n">
        <x:v>71823.19</x:v>
      </x:c>
      <x:c r="J576" s="9" t="n">
        <x:v>0</x:v>
      </x:c>
      <x:c r="K576" s="7" t="n">
        <x:v>71823.19</x:v>
      </x:c>
      <x:c r="L576" s="7" t="n">
        <x:v>14455.62</x:v>
      </x:c>
      <x:c r="M576" s="3" t="str">
        <x:v>Credit Card</x:v>
      </x:c>
      <x:c r="N576" s="3" t="str">
        <x:f>TEXT(B576,"yyyy-mm")</x:f>
        <x:v>2024-06</x:v>
      </x:c>
      <x:c r="O576" s="3" t="str">
        <x:f>IF(J576=0,"No discount",IF(J576&lt;=0.1,"1-10%",IF(J576&lt;=0.15,"11-15%",IF(J576&lt;=0.2,"16-20%","21%+"))))</x:f>
        <x:v>No discount</x:v>
      </x:c>
      <x:c r="P576" s="9" t="n">
        <x:f>IF(K576=0,0,L576/K576)</x:f>
        <x:v>0.20126674963893973</x:v>
      </x:c>
      <x:c r="Q576" s="3" t="str">
        <x:f>IF(L576&lt;0,"Yes","No")</x:f>
        <x:v>No</x:v>
      </x:c>
    </x:row>
    <x:row r="577" ht="21" customHeight="1">
      <x:c r="A577" s="3" t="str">
        <x:v>ORD-100577</x:v>
      </x:c>
      <x:c r="B577" s="5" t="n">
        <x:v>45461</x:v>
      </x:c>
      <x:c r="C577" s="3" t="str">
        <x:v>CUST-00586</x:v>
      </x:c>
      <x:c r="D577" s="3" t="str">
        <x:v>North</x:v>
      </x:c>
      <x:c r="E577" s="3" t="str">
        <x:v>Sports</x:v>
      </x:c>
      <x:c r="F577" s="3" t="str">
        <x:v>Fitness</x:v>
      </x:c>
      <x:c r="G577" s="3" t="str">
        <x:v>Adjustable Dumbbell 24kg</x:v>
      </x:c>
      <x:c r="H577" s="3" t="n">
        <x:v>1</x:v>
      </x:c>
      <x:c r="I577" s="7" t="n">
        <x:v>10169.43</x:v>
      </x:c>
      <x:c r="J577" s="9" t="n">
        <x:v>0</x:v>
      </x:c>
      <x:c r="K577" s="7" t="n">
        <x:v>10169.43</x:v>
      </x:c>
      <x:c r="L577" s="7" t="n">
        <x:v>3818.09</x:v>
      </x:c>
      <x:c r="M577" s="3" t="str">
        <x:v>UPI</x:v>
      </x:c>
      <x:c r="N577" s="3" t="str">
        <x:f>TEXT(B577,"yyyy-mm")</x:f>
        <x:v>2024-06</x:v>
      </x:c>
      <x:c r="O577" s="3" t="str">
        <x:f>IF(J577=0,"No discount",IF(J577&lt;=0.1,"1-10%",IF(J577&lt;=0.15,"11-15%",IF(J577&lt;=0.2,"16-20%","21%+"))))</x:f>
        <x:v>No discount</x:v>
      </x:c>
      <x:c r="P577" s="9" t="n">
        <x:f>IF(K577=0,0,L577/K577)</x:f>
        <x:v>0.37544778812578483</x:v>
      </x:c>
      <x:c r="Q577" s="3" t="str">
        <x:f>IF(L577&lt;0,"Yes","No")</x:f>
        <x:v>No</x:v>
      </x:c>
    </x:row>
    <x:row r="578" ht="21" customHeight="1">
      <x:c r="A578" s="3" t="str">
        <x:v>ORD-101222</x:v>
      </x:c>
      <x:c r="B578" s="5" t="n">
        <x:v>45461</x:v>
      </x:c>
      <x:c r="C578" s="3" t="str">
        <x:v>CUST-00587</x:v>
      </x:c>
      <x:c r="D578" s="3" t="str">
        <x:v>West</x:v>
      </x:c>
      <x:c r="E578" s="3" t="str">
        <x:v>Beauty</x:v>
      </x:c>
      <x:c r="F578" s="3" t="str">
        <x:v>Skincare</x:v>
      </x:c>
      <x:c r="G578" s="3" t="str">
        <x:v>HydraBoost Moisturizer</x:v>
      </x:c>
      <x:c r="H578" s="3" t="n">
        <x:v>1</x:v>
      </x:c>
      <x:c r="I578" s="7" t="n">
        <x:v>1140.94</x:v>
      </x:c>
      <x:c r="J578" s="9" t="n">
        <x:v>0</x:v>
      </x:c>
      <x:c r="K578" s="7" t="n">
        <x:v>1140.94</x:v>
      </x:c>
      <x:c r="L578" s="7" t="n">
        <x:v>672.73</x:v>
      </x:c>
      <x:c r="M578" s="3" t="str">
        <x:v>Credit Card</x:v>
      </x:c>
      <x:c r="N578" s="3" t="str">
        <x:f>TEXT(B578,"yyyy-mm")</x:f>
        <x:v>2024-06</x:v>
      </x:c>
      <x:c r="O578" s="3" t="str">
        <x:f>IF(J578=0,"No discount",IF(J578&lt;=0.1,"1-10%",IF(J578&lt;=0.15,"11-15%",IF(J578&lt;=0.2,"16-20%","21%+"))))</x:f>
        <x:v>No discount</x:v>
      </x:c>
      <x:c r="P578" s="9" t="n">
        <x:f>IF(K578=0,0,L578/K578)</x:f>
        <x:v>0.5896278507195821</x:v>
      </x:c>
      <x:c r="Q578" s="3" t="str">
        <x:f>IF(L578&lt;0,"Yes","No")</x:f>
        <x:v>No</x:v>
      </x:c>
    </x:row>
    <x:row r="579" ht="21" customHeight="1">
      <x:c r="A579" s="3" t="str">
        <x:v>ORD-100281</x:v>
      </x:c>
      <x:c r="B579" s="5" t="n">
        <x:v>45462</x:v>
      </x:c>
      <x:c r="C579" s="3" t="str">
        <x:v>CUST-00061</x:v>
      </x:c>
      <x:c r="D579" s="3" t="str">
        <x:v>South</x:v>
      </x:c>
      <x:c r="E579" s="3" t="str">
        <x:v>Fashion</x:v>
      </x:c>
      <x:c r="F579" s="3" t="str">
        <x:v>Men</x:v>
      </x:c>
      <x:c r="G579" s="3" t="str">
        <x:v>Oxford Casual Shirt</x:v>
      </x:c>
      <x:c r="H579" s="3" t="n">
        <x:v>1</x:v>
      </x:c>
      <x:c r="I579" s="7" t="n">
        <x:v>1342.61</x:v>
      </x:c>
      <x:c r="J579" s="9" t="n">
        <x:v>0.05</x:v>
      </x:c>
      <x:c r="K579" s="7" t="n">
        <x:v>1275.48</x:v>
      </x:c>
      <x:c r="L579" s="7" t="n">
        <x:v>481.74</x:v>
      </x:c>
      <x:c r="M579" s="3" t="str">
        <x:v>Credit Card</x:v>
      </x:c>
      <x:c r="N579" s="3" t="str">
        <x:f>TEXT(B579,"yyyy-mm")</x:f>
        <x:v>2024-06</x:v>
      </x:c>
      <x:c r="O579" s="3" t="str">
        <x:f>IF(J579=0,"No discount",IF(J579&lt;=0.1,"1-10%",IF(J579&lt;=0.15,"11-15%",IF(J579&lt;=0.2,"16-20%","21%+"))))</x:f>
        <x:v>1-10%</x:v>
      </x:c>
      <x:c r="P579" s="9" t="n">
        <x:f>IF(K579=0,0,L579/K579)</x:f>
        <x:v>0.3776931037726973</x:v>
      </x:c>
      <x:c r="Q579" s="3" t="str">
        <x:f>IF(L579&lt;0,"Yes","No")</x:f>
        <x:v>No</x:v>
      </x:c>
    </x:row>
    <x:row r="580" ht="21" customHeight="1">
      <x:c r="A580" s="3" t="str">
        <x:v>ORD-100706</x:v>
      </x:c>
      <x:c r="B580" s="5" t="n">
        <x:v>45462</x:v>
      </x:c>
      <x:c r="C580" s="3" t="str">
        <x:v>CUST-00133</x:v>
      </x:c>
      <x:c r="D580" s="3" t="str">
        <x:v>North</x:v>
      </x:c>
      <x:c r="E580" s="3" t="str">
        <x:v>Home &amp; Kitchen</x:v>
      </x:c>
      <x:c r="F580" s="3" t="str">
        <x:v>Appliances</x:v>
      </x:c>
      <x:c r="G580" s="3" t="str">
        <x:v>ColdBrew Coffee Maker</x:v>
      </x:c>
      <x:c r="H580" s="3" t="n">
        <x:v>4</x:v>
      </x:c>
      <x:c r="I580" s="7" t="n">
        <x:v>6640.24</x:v>
      </x:c>
      <x:c r="J580" s="9" t="n">
        <x:v>0.05</x:v>
      </x:c>
      <x:c r="K580" s="7" t="n">
        <x:v>25232.91</x:v>
      </x:c>
      <x:c r="L580" s="7" t="n">
        <x:v>7705.32</x:v>
      </x:c>
      <x:c r="M580" s="3" t="str">
        <x:v>UPI</x:v>
      </x:c>
      <x:c r="N580" s="3" t="str">
        <x:f>TEXT(B580,"yyyy-mm")</x:f>
        <x:v>2024-06</x:v>
      </x:c>
      <x:c r="O580" s="3" t="str">
        <x:f>IF(J580=0,"No discount",IF(J580&lt;=0.1,"1-10%",IF(J580&lt;=0.15,"11-15%",IF(J580&lt;=0.2,"16-20%","21%+"))))</x:f>
        <x:v>1-10%</x:v>
      </x:c>
      <x:c r="P580" s="9" t="n">
        <x:f>IF(K580=0,0,L580/K580)</x:f>
        <x:v>0.3053678707687698</x:v>
      </x:c>
      <x:c r="Q580" s="3" t="str">
        <x:f>IF(L580&lt;0,"Yes","No")</x:f>
        <x:v>No</x:v>
      </x:c>
    </x:row>
    <x:row r="581" ht="21" customHeight="1">
      <x:c r="A581" s="3" t="str">
        <x:v>ORD-101344</x:v>
      </x:c>
      <x:c r="B581" s="5" t="n">
        <x:v>45462</x:v>
      </x:c>
      <x:c r="C581" s="3" t="str">
        <x:v>CUST-00032</x:v>
      </x:c>
      <x:c r="D581" s="3" t="str">
        <x:v>East</x:v>
      </x:c>
      <x:c r="E581" s="3" t="str">
        <x:v>Beauty</x:v>
      </x:c>
      <x:c r="F581" s="3" t="str">
        <x:v>Makeup</x:v>
      </x:c>
      <x:c r="G581" s="3" t="str">
        <x:v>Matte Lipstick Set</x:v>
      </x:c>
      <x:c r="H581" s="3" t="n">
        <x:v>1</x:v>
      </x:c>
      <x:c r="I581" s="7" t="n">
        <x:v>988.82</x:v>
      </x:c>
      <x:c r="J581" s="9" t="n">
        <x:v>0.25</x:v>
      </x:c>
      <x:c r="K581" s="7" t="n">
        <x:v>741.62</x:v>
      </x:c>
      <x:c r="L581" s="7" t="n">
        <x:v>177.25</x:v>
      </x:c>
      <x:c r="M581" s="3" t="str">
        <x:v>Credit Card</x:v>
      </x:c>
      <x:c r="N581" s="3" t="str">
        <x:f>TEXT(B581,"yyyy-mm")</x:f>
        <x:v>2024-06</x:v>
      </x:c>
      <x:c r="O581" s="3" t="str">
        <x:f>IF(J581=0,"No discount",IF(J581&lt;=0.1,"1-10%",IF(J581&lt;=0.15,"11-15%",IF(J581&lt;=0.2,"16-20%","21%+"))))</x:f>
        <x:v>21%+</x:v>
      </x:c>
      <x:c r="P581" s="9" t="n">
        <x:f>IF(K581=0,0,L581/K581)</x:f>
        <x:v>0.2390038024864486</x:v>
      </x:c>
      <x:c r="Q581" s="3" t="str">
        <x:f>IF(L581&lt;0,"Yes","No")</x:f>
        <x:v>No</x:v>
      </x:c>
    </x:row>
    <x:row r="582" ht="21" customHeight="1">
      <x:c r="A582" s="3" t="str">
        <x:v>ORD-100492</x:v>
      </x:c>
      <x:c r="B582" s="5" t="n">
        <x:v>45463</x:v>
      </x:c>
      <x:c r="C582" s="3" t="str">
        <x:v>CUST-00324</x:v>
      </x:c>
      <x:c r="D582" s="3" t="str">
        <x:v>North</x:v>
      </x:c>
      <x:c r="E582" s="3" t="str">
        <x:v>Electronics</x:v>
      </x:c>
      <x:c r="F582" s="3" t="str">
        <x:v>Laptop</x:v>
      </x:c>
      <x:c r="G582" s="3" t="str">
        <x:v>AirBook Slim</x:v>
      </x:c>
      <x:c r="H582" s="3" t="n">
        <x:v>1</x:v>
      </x:c>
      <x:c r="I582" s="7" t="n">
        <x:v>79108.54</x:v>
      </x:c>
      <x:c r="J582" s="9" t="n">
        <x:v>0.25</x:v>
      </x:c>
      <x:c r="K582" s="7" t="n">
        <x:v>59331.4</x:v>
      </x:c>
      <x:c r="L582" s="7" t="n">
        <x:v>-5113.45</x:v>
      </x:c>
      <x:c r="M582" s="3" t="str">
        <x:v>UPI</x:v>
      </x:c>
      <x:c r="N582" s="3" t="str">
        <x:f>TEXT(B582,"yyyy-mm")</x:f>
        <x:v>2024-06</x:v>
      </x:c>
      <x:c r="O582" s="3" t="str">
        <x:f>IF(J582=0,"No discount",IF(J582&lt;=0.1,"1-10%",IF(J582&lt;=0.15,"11-15%",IF(J582&lt;=0.2,"16-20%","21%+"))))</x:f>
        <x:v>21%+</x:v>
      </x:c>
      <x:c r="P582" s="9" t="n">
        <x:f>IF(K582=0,0,L582/K582)</x:f>
        <x:v>-0.08618454983364626</x:v>
      </x:c>
      <x:c r="Q582" s="3" t="str">
        <x:f>IF(L582&lt;0,"Yes","No")</x:f>
        <x:v>Yes</x:v>
      </x:c>
    </x:row>
    <x:row r="583" ht="21" customHeight="1">
      <x:c r="A583" s="3" t="str">
        <x:v>ORD-101997</x:v>
      </x:c>
      <x:c r="B583" s="5" t="n">
        <x:v>45463</x:v>
      </x:c>
      <x:c r="C583" s="3" t="str">
        <x:v>CUST-00060</x:v>
      </x:c>
      <x:c r="D583" s="3" t="str">
        <x:v>East</x:v>
      </x:c>
      <x:c r="E583" s="3" t="str">
        <x:v>Sports</x:v>
      </x:c>
      <x:c r="F583" s="3" t="str">
        <x:v>Fitness</x:v>
      </x:c>
      <x:c r="G583" s="3" t="str">
        <x:v>ProYoga Mat</x:v>
      </x:c>
      <x:c r="H583" s="3" t="n">
        <x:v>2</x:v>
      </x:c>
      <x:c r="I583" s="7" t="n">
        <x:v>1257.58</x:v>
      </x:c>
      <x:c r="J583" s="9" t="n">
        <x:v>0.1</x:v>
      </x:c>
      <x:c r="K583" s="7" t="n">
        <x:v>2263.64</x:v>
      </x:c>
      <x:c r="L583" s="7" t="n">
        <x:v>681.73</x:v>
      </x:c>
      <x:c r="M583" s="3" t="str">
        <x:v>Debit Card</x:v>
      </x:c>
      <x:c r="N583" s="3" t="str">
        <x:f>TEXT(B583,"yyyy-mm")</x:f>
        <x:v>2024-06</x:v>
      </x:c>
      <x:c r="O583" s="3" t="str">
        <x:f>IF(J583=0,"No discount",IF(J583&lt;=0.1,"1-10%",IF(J583&lt;=0.15,"11-15%",IF(J583&lt;=0.2,"16-20%","21%+"))))</x:f>
        <x:v>1-10%</x:v>
      </x:c>
      <x:c r="P583" s="9" t="n">
        <x:f>IF(K583=0,0,L583/K583)</x:f>
        <x:v>0.30116537965400864</x:v>
      </x:c>
      <x:c r="Q583" s="3" t="str">
        <x:f>IF(L583&lt;0,"Yes","No")</x:f>
        <x:v>No</x:v>
      </x:c>
    </x:row>
    <x:row r="584" ht="21" customHeight="1">
      <x:c r="A584" s="3" t="str">
        <x:v>ORD-100203</x:v>
      </x:c>
      <x:c r="B584" s="5" t="n">
        <x:v>45464</x:v>
      </x:c>
      <x:c r="C584" s="3" t="str">
        <x:v>CUST-00300</x:v>
      </x:c>
      <x:c r="D584" s="3" t="str">
        <x:v>East</x:v>
      </x:c>
      <x:c r="E584" s="3" t="str">
        <x:v>Beauty</x:v>
      </x:c>
      <x:c r="F584" s="3" t="str">
        <x:v>Makeup</x:v>
      </x:c>
      <x:c r="G584" s="3" t="str">
        <x:v>Matte Lipstick Set</x:v>
      </x:c>
      <x:c r="H584" s="3" t="n">
        <x:v>2</x:v>
      </x:c>
      <x:c r="I584" s="7" t="n">
        <x:v>1030.32</x:v>
      </x:c>
      <x:c r="J584" s="9" t="n">
        <x:v>0.15</x:v>
      </x:c>
      <x:c r="K584" s="7" t="n">
        <x:v>1751.54</x:v>
      </x:c>
      <x:c r="L584" s="7" t="n">
        <x:v>704.01</x:v>
      </x:c>
      <x:c r="M584" s="3" t="str">
        <x:v>Credit Card</x:v>
      </x:c>
      <x:c r="N584" s="3" t="str">
        <x:f>TEXT(B584,"yyyy-mm")</x:f>
        <x:v>2024-06</x:v>
      </x:c>
      <x:c r="O584" s="3" t="str">
        <x:f>IF(J584=0,"No discount",IF(J584&lt;=0.1,"1-10%",IF(J584&lt;=0.15,"11-15%",IF(J584&lt;=0.2,"16-20%","21%+"))))</x:f>
        <x:v>11-15%</x:v>
      </x:c>
      <x:c r="P584" s="9" t="n">
        <x:f>IF(K584=0,0,L584/K584)</x:f>
        <x:v>0.4019377233748587</x:v>
      </x:c>
      <x:c r="Q584" s="3" t="str">
        <x:f>IF(L584&lt;0,"Yes","No")</x:f>
        <x:v>No</x:v>
      </x:c>
    </x:row>
    <x:row r="585" ht="21" customHeight="1">
      <x:c r="A585" s="3" t="str">
        <x:v>ORD-100271</x:v>
      </x:c>
      <x:c r="B585" s="5" t="n">
        <x:v>45464</x:v>
      </x:c>
      <x:c r="C585" s="3" t="str">
        <x:v>CUST-00163</x:v>
      </x:c>
      <x:c r="D585" s="3" t="str">
        <x:v>North</x:v>
      </x:c>
      <x:c r="E585" s="3" t="str">
        <x:v>Electronics</x:v>
      </x:c>
      <x:c r="F585" s="3" t="str">
        <x:v>Laptop</x:v>
      </x:c>
      <x:c r="G585" s="3" t="str">
        <x:v>AirBook Slim</x:v>
      </x:c>
      <x:c r="H585" s="3" t="n">
        <x:v>2</x:v>
      </x:c>
      <x:c r="I585" s="7" t="n">
        <x:v>80061.53</x:v>
      </x:c>
      <x:c r="J585" s="9" t="n">
        <x:v>0</x:v>
      </x:c>
      <x:c r="K585" s="7" t="n">
        <x:v>160123.06</x:v>
      </x:c>
      <x:c r="L585" s="7" t="n">
        <x:v>22477.61</x:v>
      </x:c>
      <x:c r="M585" s="3" t="str">
        <x:v>Debit Card</x:v>
      </x:c>
      <x:c r="N585" s="3" t="str">
        <x:f>TEXT(B585,"yyyy-mm")</x:f>
        <x:v>2024-06</x:v>
      </x:c>
      <x:c r="O585" s="3" t="str">
        <x:f>IF(J585=0,"No discount",IF(J585&lt;=0.1,"1-10%",IF(J585&lt;=0.15,"11-15%",IF(J585&lt;=0.2,"16-20%","21%+"))))</x:f>
        <x:v>No discount</x:v>
      </x:c>
      <x:c r="P585" s="9" t="n">
        <x:f>IF(K585=0,0,L585/K585)</x:f>
        <x:v>0.14037709496683365</x:v>
      </x:c>
      <x:c r="Q585" s="3" t="str">
        <x:f>IF(L585&lt;0,"Yes","No")</x:f>
        <x:v>No</x:v>
      </x:c>
    </x:row>
    <x:row r="586" ht="21" customHeight="1">
      <x:c r="A586" s="3" t="str">
        <x:v>ORD-100312</x:v>
      </x:c>
      <x:c r="B586" s="5" t="n">
        <x:v>45464</x:v>
      </x:c>
      <x:c r="C586" s="3" t="str">
        <x:v>CUST-00253</x:v>
      </x:c>
      <x:c r="D586" s="3" t="str">
        <x:v>South</x:v>
      </x:c>
      <x:c r="E586" s="3" t="str">
        <x:v>Fashion</x:v>
      </x:c>
      <x:c r="F586" s="3" t="str">
        <x:v>Women</x:v>
      </x:c>
      <x:c r="G586" s="3" t="str">
        <x:v>Knit Winter Sweater</x:v>
      </x:c>
      <x:c r="H586" s="3" t="n">
        <x:v>1</x:v>
      </x:c>
      <x:c r="I586" s="7" t="n">
        <x:v>2156.27</x:v>
      </x:c>
      <x:c r="J586" s="9" t="n">
        <x:v>0.1</x:v>
      </x:c>
      <x:c r="K586" s="7" t="n">
        <x:v>1940.64</x:v>
      </x:c>
      <x:c r="L586" s="7" t="n">
        <x:v>604.96</x:v>
      </x:c>
      <x:c r="M586" s="3" t="str">
        <x:v>UPI</x:v>
      </x:c>
      <x:c r="N586" s="3" t="str">
        <x:f>TEXT(B586,"yyyy-mm")</x:f>
        <x:v>2024-06</x:v>
      </x:c>
      <x:c r="O586" s="3" t="str">
        <x:f>IF(J586=0,"No discount",IF(J586&lt;=0.1,"1-10%",IF(J586&lt;=0.15,"11-15%",IF(J586&lt;=0.2,"16-20%","21%+"))))</x:f>
        <x:v>1-10%</x:v>
      </x:c>
      <x:c r="P586" s="9" t="n">
        <x:f>IF(K586=0,0,L586/K586)</x:f>
        <x:v>0.31173221205375545</x:v>
      </x:c>
      <x:c r="Q586" s="3" t="str">
        <x:f>IF(L586&lt;0,"Yes","No")</x:f>
        <x:v>No</x:v>
      </x:c>
    </x:row>
    <x:row r="587" ht="21" customHeight="1">
      <x:c r="A587" s="3" t="str">
        <x:v>ORD-100457</x:v>
      </x:c>
      <x:c r="B587" s="5" t="n">
        <x:v>45464</x:v>
      </x:c>
      <x:c r="C587" s="3" t="str">
        <x:v>CUST-00567</x:v>
      </x:c>
      <x:c r="D587" s="3" t="str">
        <x:v>South</x:v>
      </x:c>
      <x:c r="E587" s="3" t="str">
        <x:v>Beauty</x:v>
      </x:c>
      <x:c r="F587" s="3" t="str">
        <x:v>Skincare</x:v>
      </x:c>
      <x:c r="G587" s="3" t="str">
        <x:v>HydraBoost Moisturizer</x:v>
      </x:c>
      <x:c r="H587" s="3" t="n">
        <x:v>3</x:v>
      </x:c>
      <x:c r="I587" s="7" t="n">
        <x:v>1230.68</x:v>
      </x:c>
      <x:c r="J587" s="9" t="n">
        <x:v>0.15</x:v>
      </x:c>
      <x:c r="K587" s="7" t="n">
        <x:v>3138.23</x:v>
      </x:c>
      <x:c r="L587" s="7" t="n">
        <x:v>1208.05</x:v>
      </x:c>
      <x:c r="M587" s="3" t="str">
        <x:v>UPI</x:v>
      </x:c>
      <x:c r="N587" s="3" t="str">
        <x:f>TEXT(B587,"yyyy-mm")</x:f>
        <x:v>2024-06</x:v>
      </x:c>
      <x:c r="O587" s="3" t="str">
        <x:f>IF(J587=0,"No discount",IF(J587&lt;=0.1,"1-10%",IF(J587&lt;=0.15,"11-15%",IF(J587&lt;=0.2,"16-20%","21%+"))))</x:f>
        <x:v>11-15%</x:v>
      </x:c>
      <x:c r="P587" s="9" t="n">
        <x:f>IF(K587=0,0,L587/K587)</x:f>
        <x:v>0.3849462913808102</x:v>
      </x:c>
      <x:c r="Q587" s="3" t="str">
        <x:f>IF(L587&lt;0,"Yes","No")</x:f>
        <x:v>No</x:v>
      </x:c>
    </x:row>
    <x:row r="588" ht="21" customHeight="1">
      <x:c r="A588" s="3" t="str">
        <x:v>ORD-100503</x:v>
      </x:c>
      <x:c r="B588" s="5" t="n">
        <x:v>45464</x:v>
      </x:c>
      <x:c r="C588" s="3" t="str">
        <x:v>CUST-00204</x:v>
      </x:c>
      <x:c r="D588" s="3" t="str">
        <x:v>East</x:v>
      </x:c>
      <x:c r="E588" s="3" t="str">
        <x:v>Electronics</x:v>
      </x:c>
      <x:c r="F588" s="3" t="str">
        <x:v>Laptop</x:v>
      </x:c>
      <x:c r="G588" s="3" t="str">
        <x:v>AirBook Slim</x:v>
      </x:c>
      <x:c r="H588" s="3" t="n">
        <x:v>1</x:v>
      </x:c>
      <x:c r="I588" s="7" t="n">
        <x:v>75990.86</x:v>
      </x:c>
      <x:c r="J588" s="9" t="n">
        <x:v>0.1</x:v>
      </x:c>
      <x:c r="K588" s="7" t="n">
        <x:v>68391.77</x:v>
      </x:c>
      <x:c r="L588" s="7" t="n">
        <x:v>3869.94</x:v>
      </x:c>
      <x:c r="M588" s="3" t="str">
        <x:v>Cash on Delivery</x:v>
      </x:c>
      <x:c r="N588" s="3" t="str">
        <x:f>TEXT(B588,"yyyy-mm")</x:f>
        <x:v>2024-06</x:v>
      </x:c>
      <x:c r="O588" s="3" t="str">
        <x:f>IF(J588=0,"No discount",IF(J588&lt;=0.1,"1-10%",IF(J588&lt;=0.15,"11-15%",IF(J588&lt;=0.2,"16-20%","21%+"))))</x:f>
        <x:v>1-10%</x:v>
      </x:c>
      <x:c r="P588" s="9" t="n">
        <x:f>IF(K588=0,0,L588/K588)</x:f>
        <x:v>0.05658487856068062</x:v>
      </x:c>
      <x:c r="Q588" s="3" t="str">
        <x:f>IF(L588&lt;0,"Yes","No")</x:f>
        <x:v>No</x:v>
      </x:c>
    </x:row>
    <x:row r="589" ht="21" customHeight="1">
      <x:c r="A589" s="3" t="str">
        <x:v>ORD-100986</x:v>
      </x:c>
      <x:c r="B589" s="5" t="n">
        <x:v>45464</x:v>
      </x:c>
      <x:c r="C589" s="3" t="str">
        <x:v>CUST-00115</x:v>
      </x:c>
      <x:c r="D589" s="3" t="str">
        <x:v>South</x:v>
      </x:c>
      <x:c r="E589" s="3" t="str">
        <x:v>Beauty</x:v>
      </x:c>
      <x:c r="F589" s="3" t="str">
        <x:v>Makeup</x:v>
      </x:c>
      <x:c r="G589" s="3" t="str">
        <x:v>Matte Lipstick Set</x:v>
      </x:c>
      <x:c r="H589" s="3" t="n">
        <x:v>2</x:v>
      </x:c>
      <x:c r="I589" s="7" t="n">
        <x:v>1034.56</x:v>
      </x:c>
      <x:c r="J589" s="9" t="n">
        <x:v>0</x:v>
      </x:c>
      <x:c r="K589" s="7" t="n">
        <x:v>2069.12</x:v>
      </x:c>
      <x:c r="L589" s="7" t="n">
        <x:v>1135.61</x:v>
      </x:c>
      <x:c r="M589" s="3" t="str">
        <x:v>Credit Card</x:v>
      </x:c>
      <x:c r="N589" s="3" t="str">
        <x:f>TEXT(B589,"yyyy-mm")</x:f>
        <x:v>2024-06</x:v>
      </x:c>
      <x:c r="O589" s="3" t="str">
        <x:f>IF(J589=0,"No discount",IF(J589&lt;=0.1,"1-10%",IF(J589&lt;=0.15,"11-15%",IF(J589&lt;=0.2,"16-20%","21%+"))))</x:f>
        <x:v>No discount</x:v>
      </x:c>
      <x:c r="P589" s="9" t="n">
        <x:f>IF(K589=0,0,L589/K589)</x:f>
        <x:v>0.5488371868233838</x:v>
      </x:c>
      <x:c r="Q589" s="3" t="str">
        <x:f>IF(L589&lt;0,"Yes","No")</x:f>
        <x:v>No</x:v>
      </x:c>
    </x:row>
    <x:row r="590" ht="21" customHeight="1">
      <x:c r="A590" s="3" t="str">
        <x:v>ORD-101399</x:v>
      </x:c>
      <x:c r="B590" s="5" t="n">
        <x:v>45464</x:v>
      </x:c>
      <x:c r="C590" s="3" t="str">
        <x:v>CUST-00176</x:v>
      </x:c>
      <x:c r="D590" s="3" t="str">
        <x:v>North</x:v>
      </x:c>
      <x:c r="E590" s="3" t="str">
        <x:v>Electronics</x:v>
      </x:c>
      <x:c r="F590" s="3" t="str">
        <x:v>Mobile</x:v>
      </x:c>
      <x:c r="G590" s="3" t="str">
        <x:v>Pixel Aura 12</x:v>
      </x:c>
      <x:c r="H590" s="3" t="n">
        <x:v>3</x:v>
      </x:c>
      <x:c r="I590" s="7" t="n">
        <x:v>33830.36</x:v>
      </x:c>
      <x:c r="J590" s="9" t="n">
        <x:v>0</x:v>
      </x:c>
      <x:c r="K590" s="7" t="n">
        <x:v>101491.08</x:v>
      </x:c>
      <x:c r="L590" s="7" t="n">
        <x:v>14258.43</x:v>
      </x:c>
      <x:c r="M590" s="3" t="str">
        <x:v>Debit Card</x:v>
      </x:c>
      <x:c r="N590" s="3" t="str">
        <x:f>TEXT(B590,"yyyy-mm")</x:f>
        <x:v>2024-06</x:v>
      </x:c>
      <x:c r="O590" s="3" t="str">
        <x:f>IF(J590=0,"No discount",IF(J590&lt;=0.1,"1-10%",IF(J590&lt;=0.15,"11-15%",IF(J590&lt;=0.2,"16-20%","21%+"))))</x:f>
        <x:v>No discount</x:v>
      </x:c>
      <x:c r="P590" s="9" t="n">
        <x:f>IF(K590=0,0,L590/K590)</x:f>
        <x:v>0.14048948932260846</x:v>
      </x:c>
      <x:c r="Q590" s="3" t="str">
        <x:f>IF(L590&lt;0,"Yes","No")</x:f>
        <x:v>No</x:v>
      </x:c>
    </x:row>
    <x:row r="591" ht="21" customHeight="1">
      <x:c r="A591" s="3" t="str">
        <x:v>ORD-101674</x:v>
      </x:c>
      <x:c r="B591" s="5" t="n">
        <x:v>45464</x:v>
      </x:c>
      <x:c r="C591" s="3" t="str">
        <x:v>CUST-00225</x:v>
      </x:c>
      <x:c r="D591" s="3" t="str">
        <x:v>North</x:v>
      </x:c>
      <x:c r="E591" s="3" t="str">
        <x:v>Sports</x:v>
      </x:c>
      <x:c r="F591" s="3" t="str">
        <x:v>Fitness</x:v>
      </x:c>
      <x:c r="G591" s="3" t="str">
        <x:v>ProYoga Mat</x:v>
      </x:c>
      <x:c r="H591" s="3" t="n">
        <x:v>3</x:v>
      </x:c>
      <x:c r="I591" s="7" t="n">
        <x:v>1314</x:v>
      </x:c>
      <x:c r="J591" s="9" t="n">
        <x:v>0.05</x:v>
      </x:c>
      <x:c r="K591" s="7" t="n">
        <x:v>3744.9</x:v>
      </x:c>
      <x:c r="L591" s="7" t="n">
        <x:v>1114.49</x:v>
      </x:c>
      <x:c r="M591" s="3" t="str">
        <x:v>UPI</x:v>
      </x:c>
      <x:c r="N591" s="3" t="str">
        <x:f>TEXT(B591,"yyyy-mm")</x:f>
        <x:v>2024-06</x:v>
      </x:c>
      <x:c r="O591" s="3" t="str">
        <x:f>IF(J591=0,"No discount",IF(J591&lt;=0.1,"1-10%",IF(J591&lt;=0.15,"11-15%",IF(J591&lt;=0.2,"16-20%","21%+"))))</x:f>
        <x:v>1-10%</x:v>
      </x:c>
      <x:c r="P591" s="9" t="n">
        <x:f>IF(K591=0,0,L591/K591)</x:f>
        <x:v>0.29760207215145934</x:v>
      </x:c>
      <x:c r="Q591" s="3" t="str">
        <x:f>IF(L591&lt;0,"Yes","No")</x:f>
        <x:v>No</x:v>
      </x:c>
    </x:row>
    <x:row r="592" ht="21" customHeight="1">
      <x:c r="A592" s="3" t="str">
        <x:v>ORD-100332</x:v>
      </x:c>
      <x:c r="B592" s="5" t="n">
        <x:v>45465</x:v>
      </x:c>
      <x:c r="C592" s="3" t="str">
        <x:v>CUST-00369</x:v>
      </x:c>
      <x:c r="D592" s="3" t="str">
        <x:v>South</x:v>
      </x:c>
      <x:c r="E592" s="3" t="str">
        <x:v>Electronics</x:v>
      </x:c>
      <x:c r="F592" s="3" t="str">
        <x:v>Mobile</x:v>
      </x:c>
      <x:c r="G592" s="3" t="str">
        <x:v>iPhone Zeta</x:v>
      </x:c>
      <x:c r="H592" s="3" t="n">
        <x:v>4</x:v>
      </x:c>
      <x:c r="I592" s="7" t="n">
        <x:v>67862.26</x:v>
      </x:c>
      <x:c r="J592" s="9" t="n">
        <x:v>0.05</x:v>
      </x:c>
      <x:c r="K592" s="7" t="n">
        <x:v>257876.59</x:v>
      </x:c>
      <x:c r="L592" s="7" t="n">
        <x:v>37448</x:v>
      </x:c>
      <x:c r="M592" s="3" t="str">
        <x:v>Credit Card</x:v>
      </x:c>
      <x:c r="N592" s="3" t="str">
        <x:f>TEXT(B592,"yyyy-mm")</x:f>
        <x:v>2024-06</x:v>
      </x:c>
      <x:c r="O592" s="3" t="str">
        <x:f>IF(J592=0,"No discount",IF(J592&lt;=0.1,"1-10%",IF(J592&lt;=0.15,"11-15%",IF(J592&lt;=0.2,"16-20%","21%+"))))</x:f>
        <x:v>1-10%</x:v>
      </x:c>
      <x:c r="P592" s="9" t="n">
        <x:f>IF(K592=0,0,L592/K592)</x:f>
        <x:v>0.14521674883323066</x:v>
      </x:c>
      <x:c r="Q592" s="3" t="str">
        <x:f>IF(L592&lt;0,"Yes","No")</x:f>
        <x:v>No</x:v>
      </x:c>
    </x:row>
    <x:row r="593" ht="21" customHeight="1">
      <x:c r="A593" s="3" t="str">
        <x:v>ORD-100535</x:v>
      </x:c>
      <x:c r="B593" s="5" t="n">
        <x:v>45465</x:v>
      </x:c>
      <x:c r="C593" s="3" t="str">
        <x:v>CUST-00348</x:v>
      </x:c>
      <x:c r="D593" s="3" t="str">
        <x:v>North</x:v>
      </x:c>
      <x:c r="E593" s="3" t="str">
        <x:v>Beauty</x:v>
      </x:c>
      <x:c r="F593" s="3" t="str">
        <x:v>Makeup</x:v>
      </x:c>
      <x:c r="G593" s="3" t="str">
        <x:v>HD Foundation Kit</x:v>
      </x:c>
      <x:c r="H593" s="3" t="n">
        <x:v>5</x:v>
      </x:c>
      <x:c r="I593" s="7" t="n">
        <x:v>1443.87</x:v>
      </x:c>
      <x:c r="J593" s="9" t="n">
        <x:v>0.1</x:v>
      </x:c>
      <x:c r="K593" s="7" t="n">
        <x:v>6497.41</x:v>
      </x:c>
      <x:c r="L593" s="7" t="n">
        <x:v>3030.25</x:v>
      </x:c>
      <x:c r="M593" s="3" t="str">
        <x:v>UPI</x:v>
      </x:c>
      <x:c r="N593" s="3" t="str">
        <x:f>TEXT(B593,"yyyy-mm")</x:f>
        <x:v>2024-06</x:v>
      </x:c>
      <x:c r="O593" s="3" t="str">
        <x:f>IF(J593=0,"No discount",IF(J593&lt;=0.1,"1-10%",IF(J593&lt;=0.15,"11-15%",IF(J593&lt;=0.2,"16-20%","21%+"))))</x:f>
        <x:v>1-10%</x:v>
      </x:c>
      <x:c r="P593" s="9" t="n">
        <x:f>IF(K593=0,0,L593/K593)</x:f>
        <x:v>0.4663781414440523</x:v>
      </x:c>
      <x:c r="Q593" s="3" t="str">
        <x:f>IF(L593&lt;0,"Yes","No")</x:f>
        <x:v>No</x:v>
      </x:c>
    </x:row>
    <x:row r="594" ht="21" customHeight="1">
      <x:c r="A594" s="3" t="str">
        <x:v>ORD-100581</x:v>
      </x:c>
      <x:c r="B594" s="5" t="n">
        <x:v>45465</x:v>
      </x:c>
      <x:c r="C594" s="3" t="str">
        <x:v>CUST-00334</x:v>
      </x:c>
      <x:c r="D594" s="3" t="str">
        <x:v>North</x:v>
      </x:c>
      <x:c r="E594" s="3" t="str">
        <x:v>Electronics</x:v>
      </x:c>
      <x:c r="F594" s="3" t="str">
        <x:v>Mobile</x:v>
      </x:c>
      <x:c r="G594" s="3" t="str">
        <x:v>Galaxy Nova X5</x:v>
      </x:c>
      <x:c r="H594" s="3" t="n">
        <x:v>1</x:v>
      </x:c>
      <x:c r="I594" s="7" t="n">
        <x:v>24205.7</x:v>
      </x:c>
      <x:c r="J594" s="9" t="n">
        <x:v>0</x:v>
      </x:c>
      <x:c r="K594" s="7" t="n">
        <x:v>24205.7</x:v>
      </x:c>
      <x:c r="L594" s="7" t="n">
        <x:v>4876.59</x:v>
      </x:c>
      <x:c r="M594" s="3" t="str">
        <x:v>Cash on Delivery</x:v>
      </x:c>
      <x:c r="N594" s="3" t="str">
        <x:f>TEXT(B594,"yyyy-mm")</x:f>
        <x:v>2024-06</x:v>
      </x:c>
      <x:c r="O594" s="3" t="str">
        <x:f>IF(J594=0,"No discount",IF(J594&lt;=0.1,"1-10%",IF(J594&lt;=0.15,"11-15%",IF(J594&lt;=0.2,"16-20%","21%+"))))</x:f>
        <x:v>No discount</x:v>
      </x:c>
      <x:c r="P594" s="9" t="n">
        <x:f>IF(K594=0,0,L594/K594)</x:f>
        <x:v>0.20146453108152212</x:v>
      </x:c>
      <x:c r="Q594" s="3" t="str">
        <x:f>IF(L594&lt;0,"Yes","No")</x:f>
        <x:v>No</x:v>
      </x:c>
    </x:row>
    <x:row r="595" ht="21" customHeight="1">
      <x:c r="A595" s="3" t="str">
        <x:v>ORD-100142</x:v>
      </x:c>
      <x:c r="B595" s="5" t="n">
        <x:v>45466</x:v>
      </x:c>
      <x:c r="C595" s="3" t="str">
        <x:v>CUST-00390</x:v>
      </x:c>
      <x:c r="D595" s="3" t="str">
        <x:v>East</x:v>
      </x:c>
      <x:c r="E595" s="3" t="str">
        <x:v>Beauty</x:v>
      </x:c>
      <x:c r="F595" s="3" t="str">
        <x:v>Makeup</x:v>
      </x:c>
      <x:c r="G595" s="3" t="str">
        <x:v>HD Foundation Kit</x:v>
      </x:c>
      <x:c r="H595" s="3" t="n">
        <x:v>5</x:v>
      </x:c>
      <x:c r="I595" s="7" t="n">
        <x:v>1540.4</x:v>
      </x:c>
      <x:c r="J595" s="9" t="n">
        <x:v>0.15</x:v>
      </x:c>
      <x:c r="K595" s="7" t="n">
        <x:v>6546.7</x:v>
      </x:c>
      <x:c r="L595" s="7" t="n">
        <x:v>2512.04</x:v>
      </x:c>
      <x:c r="M595" s="3" t="str">
        <x:v>Credit Card</x:v>
      </x:c>
      <x:c r="N595" s="3" t="str">
        <x:f>TEXT(B595,"yyyy-mm")</x:f>
        <x:v>2024-06</x:v>
      </x:c>
      <x:c r="O595" s="3" t="str">
        <x:f>IF(J595=0,"No discount",IF(J595&lt;=0.1,"1-10%",IF(J595&lt;=0.15,"11-15%",IF(J595&lt;=0.2,"16-20%","21%+"))))</x:f>
        <x:v>11-15%</x:v>
      </x:c>
      <x:c r="P595" s="9" t="n">
        <x:f>IF(K595=0,0,L595/K595)</x:f>
        <x:v>0.3837108772358593</x:v>
      </x:c>
      <x:c r="Q595" s="3" t="str">
        <x:f>IF(L595&lt;0,"Yes","No")</x:f>
        <x:v>No</x:v>
      </x:c>
    </x:row>
    <x:row r="596" ht="21" customHeight="1">
      <x:c r="A596" s="3" t="str">
        <x:v>ORD-100466</x:v>
      </x:c>
      <x:c r="B596" s="5" t="n">
        <x:v>45466</x:v>
      </x:c>
      <x:c r="C596" s="3" t="str">
        <x:v>CUST-00567</x:v>
      </x:c>
      <x:c r="D596" s="3" t="str">
        <x:v>South</x:v>
      </x:c>
      <x:c r="E596" s="3" t="str">
        <x:v>Beauty</x:v>
      </x:c>
      <x:c r="F596" s="3" t="str">
        <x:v>Skincare</x:v>
      </x:c>
      <x:c r="G596" s="3" t="str">
        <x:v>HydraBoost Moisturizer</x:v>
      </x:c>
      <x:c r="H596" s="3" t="n">
        <x:v>1</x:v>
      </x:c>
      <x:c r="I596" s="7" t="n">
        <x:v>1194.03</x:v>
      </x:c>
      <x:c r="J596" s="9" t="n">
        <x:v>0.2</x:v>
      </x:c>
      <x:c r="K596" s="7" t="n">
        <x:v>955.22</x:v>
      </x:c>
      <x:c r="L596" s="7" t="n">
        <x:v>280.54</x:v>
      </x:c>
      <x:c r="M596" s="3" t="str">
        <x:v>Net Banking</x:v>
      </x:c>
      <x:c r="N596" s="3" t="str">
        <x:f>TEXT(B596,"yyyy-mm")</x:f>
        <x:v>2024-06</x:v>
      </x:c>
      <x:c r="O596" s="3" t="str">
        <x:f>IF(J596=0,"No discount",IF(J596&lt;=0.1,"1-10%",IF(J596&lt;=0.15,"11-15%",IF(J596&lt;=0.2,"16-20%","21%+"))))</x:f>
        <x:v>16-20%</x:v>
      </x:c>
      <x:c r="P596" s="9" t="n">
        <x:f>IF(K596=0,0,L596/K596)</x:f>
        <x:v>0.2936915056217416</x:v>
      </x:c>
      <x:c r="Q596" s="3" t="str">
        <x:f>IF(L596&lt;0,"Yes","No")</x:f>
        <x:v>No</x:v>
      </x:c>
    </x:row>
    <x:row r="597" ht="21" customHeight="1">
      <x:c r="A597" s="3" t="str">
        <x:v>ORD-100683</x:v>
      </x:c>
      <x:c r="B597" s="5" t="n">
        <x:v>45466</x:v>
      </x:c>
      <x:c r="C597" s="3" t="str">
        <x:v>CUST-00399</x:v>
      </x:c>
      <x:c r="D597" s="3" t="str">
        <x:v>East</x:v>
      </x:c>
      <x:c r="E597" s="3" t="str">
        <x:v>Beauty</x:v>
      </x:c>
      <x:c r="F597" s="3" t="str">
        <x:v>Makeup</x:v>
      </x:c>
      <x:c r="G597" s="3" t="str">
        <x:v>Matte Lipstick Set</x:v>
      </x:c>
      <x:c r="H597" s="3" t="n">
        <x:v>1</x:v>
      </x:c>
      <x:c r="I597" s="7" t="n">
        <x:v>1035.5</x:v>
      </x:c>
      <x:c r="J597" s="9" t="n">
        <x:v>0.15</x:v>
      </x:c>
      <x:c r="K597" s="7" t="n">
        <x:v>880.17</x:v>
      </x:c>
      <x:c r="L597" s="7" t="n">
        <x:v>335.89</x:v>
      </x:c>
      <x:c r="M597" s="3" t="str">
        <x:v>Net Banking</x:v>
      </x:c>
      <x:c r="N597" s="3" t="str">
        <x:f>TEXT(B597,"yyyy-mm")</x:f>
        <x:v>2024-06</x:v>
      </x:c>
      <x:c r="O597" s="3" t="str">
        <x:f>IF(J597=0,"No discount",IF(J597&lt;=0.1,"1-10%",IF(J597&lt;=0.15,"11-15%",IF(J597&lt;=0.2,"16-20%","21%+"))))</x:f>
        <x:v>11-15%</x:v>
      </x:c>
      <x:c r="P597" s="9" t="n">
        <x:f>IF(K597=0,0,L597/K597)</x:f>
        <x:v>0.3816194598770692</x:v>
      </x:c>
      <x:c r="Q597" s="3" t="str">
        <x:f>IF(L597&lt;0,"Yes","No")</x:f>
        <x:v>No</x:v>
      </x:c>
    </x:row>
    <x:row r="598" ht="21" customHeight="1">
      <x:c r="A598" s="3" t="str">
        <x:v>ORD-100913</x:v>
      </x:c>
      <x:c r="B598" s="5" t="n">
        <x:v>45466</x:v>
      </x:c>
      <x:c r="C598" s="3" t="str">
        <x:v>CUST-00262</x:v>
      </x:c>
      <x:c r="D598" s="3" t="str">
        <x:v>East</x:v>
      </x:c>
      <x:c r="E598" s="3" t="str">
        <x:v>Beauty</x:v>
      </x:c>
      <x:c r="F598" s="3" t="str">
        <x:v>Skincare</x:v>
      </x:c>
      <x:c r="G598" s="3" t="str">
        <x:v>HydraBoost Moisturizer</x:v>
      </x:c>
      <x:c r="H598" s="3" t="n">
        <x:v>1</x:v>
      </x:c>
      <x:c r="I598" s="7" t="n">
        <x:v>1192.33</x:v>
      </x:c>
      <x:c r="J598" s="9" t="n">
        <x:v>0.05</x:v>
      </x:c>
      <x:c r="K598" s="7" t="n">
        <x:v>1132.71</x:v>
      </x:c>
      <x:c r="L598" s="7" t="n">
        <x:v>554.41</x:v>
      </x:c>
      <x:c r="M598" s="3" t="str">
        <x:v>UPI</x:v>
      </x:c>
      <x:c r="N598" s="3" t="str">
        <x:f>TEXT(B598,"yyyy-mm")</x:f>
        <x:v>2024-06</x:v>
      </x:c>
      <x:c r="O598" s="3" t="str">
        <x:f>IF(J598=0,"No discount",IF(J598&lt;=0.1,"1-10%",IF(J598&lt;=0.15,"11-15%",IF(J598&lt;=0.2,"16-20%","21%+"))))</x:f>
        <x:v>1-10%</x:v>
      </x:c>
      <x:c r="P598" s="9" t="n">
        <x:f>IF(K598=0,0,L598/K598)</x:f>
        <x:v>0.4894544940893962</x:v>
      </x:c>
      <x:c r="Q598" s="3" t="str">
        <x:f>IF(L598&lt;0,"Yes","No")</x:f>
        <x:v>No</x:v>
      </x:c>
    </x:row>
    <x:row r="599" ht="21" customHeight="1">
      <x:c r="A599" s="3" t="str">
        <x:v>ORD-101538</x:v>
      </x:c>
      <x:c r="B599" s="5" t="n">
        <x:v>45466</x:v>
      </x:c>
      <x:c r="C599" s="3" t="str">
        <x:v>CUST-00400</x:v>
      </x:c>
      <x:c r="D599" s="3" t="str">
        <x:v>East</x:v>
      </x:c>
      <x:c r="E599" s="3" t="str">
        <x:v>Beauty</x:v>
      </x:c>
      <x:c r="F599" s="3" t="str">
        <x:v>Makeup</x:v>
      </x:c>
      <x:c r="G599" s="3" t="str">
        <x:v>HD Foundation Kit</x:v>
      </x:c>
      <x:c r="H599" s="3" t="n">
        <x:v>1</x:v>
      </x:c>
      <x:c r="I599" s="7" t="n">
        <x:v>1559.85</x:v>
      </x:c>
      <x:c r="J599" s="9" t="n">
        <x:v>0</x:v>
      </x:c>
      <x:c r="K599" s="7" t="n">
        <x:v>1559.85</x:v>
      </x:c>
      <x:c r="L599" s="7" t="n">
        <x:v>899.43</x:v>
      </x:c>
      <x:c r="M599" s="3" t="str">
        <x:v>UPI</x:v>
      </x:c>
      <x:c r="N599" s="3" t="str">
        <x:f>TEXT(B599,"yyyy-mm")</x:f>
        <x:v>2024-06</x:v>
      </x:c>
      <x:c r="O599" s="3" t="str">
        <x:f>IF(J599=0,"No discount",IF(J599&lt;=0.1,"1-10%",IF(J599&lt;=0.15,"11-15%",IF(J599&lt;=0.2,"16-20%","21%+"))))</x:f>
        <x:v>No discount</x:v>
      </x:c>
      <x:c r="P599" s="9" t="n">
        <x:f>IF(K599=0,0,L599/K599)</x:f>
        <x:v>0.5766131358784499</x:v>
      </x:c>
      <x:c r="Q599" s="3" t="str">
        <x:f>IF(L599&lt;0,"Yes","No")</x:f>
        <x:v>No</x:v>
      </x:c>
    </x:row>
    <x:row r="600" ht="21" customHeight="1">
      <x:c r="A600" s="3" t="str">
        <x:v>ORD-101539</x:v>
      </x:c>
      <x:c r="B600" s="5" t="n">
        <x:v>45466</x:v>
      </x:c>
      <x:c r="C600" s="3" t="str">
        <x:v>CUST-00380</x:v>
      </x:c>
      <x:c r="D600" s="3" t="str">
        <x:v>South</x:v>
      </x:c>
      <x:c r="E600" s="3" t="str">
        <x:v>Home &amp; Kitchen</x:v>
      </x:c>
      <x:c r="F600" s="3" t="str">
        <x:v>Appliances</x:v>
      </x:c>
      <x:c r="G600" s="3" t="str">
        <x:v>ColdBrew Coffee Maker</x:v>
      </x:c>
      <x:c r="H600" s="3" t="n">
        <x:v>2</x:v>
      </x:c>
      <x:c r="I600" s="7" t="n">
        <x:v>6719.56</x:v>
      </x:c>
      <x:c r="J600" s="9" t="n">
        <x:v>0.25</x:v>
      </x:c>
      <x:c r="K600" s="7" t="n">
        <x:v>10079.34</x:v>
      </x:c>
      <x:c r="L600" s="7" t="n">
        <x:v>521.16</x:v>
      </x:c>
      <x:c r="M600" s="3" t="str">
        <x:v>UPI</x:v>
      </x:c>
      <x:c r="N600" s="3" t="str">
        <x:f>TEXT(B600,"yyyy-mm")</x:f>
        <x:v>2024-06</x:v>
      </x:c>
      <x:c r="O600" s="3" t="str">
        <x:f>IF(J600=0,"No discount",IF(J600&lt;=0.1,"1-10%",IF(J600&lt;=0.15,"11-15%",IF(J600&lt;=0.2,"16-20%","21%+"))))</x:f>
        <x:v>21%+</x:v>
      </x:c>
      <x:c r="P600" s="9" t="n">
        <x:f>IF(K600=0,0,L600/K600)</x:f>
        <x:v>0.05170576644899368</x:v>
      </x:c>
      <x:c r="Q600" s="3" t="str">
        <x:f>IF(L600&lt;0,"Yes","No")</x:f>
        <x:v>No</x:v>
      </x:c>
    </x:row>
    <x:row r="601" ht="21" customHeight="1">
      <x:c r="A601" s="3" t="str">
        <x:v>ORD-100176</x:v>
      </x:c>
      <x:c r="B601" s="5" t="n">
        <x:v>45467</x:v>
      </x:c>
      <x:c r="C601" s="3" t="str">
        <x:v>CUST-00445</x:v>
      </x:c>
      <x:c r="D601" s="3" t="str">
        <x:v>South</x:v>
      </x:c>
      <x:c r="E601" s="3" t="str">
        <x:v>Fashion</x:v>
      </x:c>
      <x:c r="F601" s="3" t="str">
        <x:v>Women</x:v>
      </x:c>
      <x:c r="G601" s="3" t="str">
        <x:v>Floral Summer Dress</x:v>
      </x:c>
      <x:c r="H601" s="3" t="n">
        <x:v>2</x:v>
      </x:c>
      <x:c r="I601" s="7" t="n">
        <x:v>1845.7</x:v>
      </x:c>
      <x:c r="J601" s="9" t="n">
        <x:v>0.2</x:v>
      </x:c>
      <x:c r="K601" s="7" t="n">
        <x:v>2953.12</x:v>
      </x:c>
      <x:c r="L601" s="7" t="n">
        <x:v>465.06</x:v>
      </x:c>
      <x:c r="M601" s="3" t="str">
        <x:v>Credit Card</x:v>
      </x:c>
      <x:c r="N601" s="3" t="str">
        <x:f>TEXT(B601,"yyyy-mm")</x:f>
        <x:v>2024-06</x:v>
      </x:c>
      <x:c r="O601" s="3" t="str">
        <x:f>IF(J601=0,"No discount",IF(J601&lt;=0.1,"1-10%",IF(J601&lt;=0.15,"11-15%",IF(J601&lt;=0.2,"16-20%","21%+"))))</x:f>
        <x:v>16-20%</x:v>
      </x:c>
      <x:c r="P601" s="9" t="n">
        <x:f>IF(K601=0,0,L601/K601)</x:f>
        <x:v>0.1574809015549656</x:v>
      </x:c>
      <x:c r="Q601" s="3" t="str">
        <x:f>IF(L601&lt;0,"Yes","No")</x:f>
        <x:v>No</x:v>
      </x:c>
    </x:row>
    <x:row r="602" ht="21" customHeight="1">
      <x:c r="A602" s="3" t="str">
        <x:v>ORD-100562</x:v>
      </x:c>
      <x:c r="B602" s="5" t="n">
        <x:v>45467</x:v>
      </x:c>
      <x:c r="C602" s="3" t="str">
        <x:v>CUST-00382</x:v>
      </x:c>
      <x:c r="D602" s="3" t="str">
        <x:v>South</x:v>
      </x:c>
      <x:c r="E602" s="3" t="str">
        <x:v>Electronics</x:v>
      </x:c>
      <x:c r="F602" s="3" t="str">
        <x:v>Mobile</x:v>
      </x:c>
      <x:c r="G602" s="3" t="str">
        <x:v>Pixel Aura 12</x:v>
      </x:c>
      <x:c r="H602" s="3" t="n">
        <x:v>5</x:v>
      </x:c>
      <x:c r="I602" s="7" t="n">
        <x:v>31370.79</x:v>
      </x:c>
      <x:c r="J602" s="9" t="n">
        <x:v>0.15</x:v>
      </x:c>
      <x:c r="K602" s="7" t="n">
        <x:v>133325.86</x:v>
      </x:c>
      <x:c r="L602" s="7" t="n">
        <x:v>4571.09</x:v>
      </x:c>
      <x:c r="M602" s="3" t="str">
        <x:v>UPI</x:v>
      </x:c>
      <x:c r="N602" s="3" t="str">
        <x:f>TEXT(B602,"yyyy-mm")</x:f>
        <x:v>2024-06</x:v>
      </x:c>
      <x:c r="O602" s="3" t="str">
        <x:f>IF(J602=0,"No discount",IF(J602&lt;=0.1,"1-10%",IF(J602&lt;=0.15,"11-15%",IF(J602&lt;=0.2,"16-20%","21%+"))))</x:f>
        <x:v>11-15%</x:v>
      </x:c>
      <x:c r="P602" s="9" t="n">
        <x:f>IF(K602=0,0,L602/K602)</x:f>
        <x:v>0.0342850966796689</x:v>
      </x:c>
      <x:c r="Q602" s="3" t="str">
        <x:f>IF(L602&lt;0,"Yes","No")</x:f>
        <x:v>No</x:v>
      </x:c>
    </x:row>
    <x:row r="603" ht="21" customHeight="1">
      <x:c r="A603" s="3" t="str">
        <x:v>ORD-101237</x:v>
      </x:c>
      <x:c r="B603" s="5" t="n">
        <x:v>45467</x:v>
      </x:c>
      <x:c r="C603" s="3" t="str">
        <x:v>CUST-00411</x:v>
      </x:c>
      <x:c r="D603" s="3" t="str">
        <x:v>North</x:v>
      </x:c>
      <x:c r="E603" s="3" t="str">
        <x:v>Beauty</x:v>
      </x:c>
      <x:c r="F603" s="3" t="str">
        <x:v>Makeup</x:v>
      </x:c>
      <x:c r="G603" s="3" t="str">
        <x:v>Matte Lipstick Set</x:v>
      </x:c>
      <x:c r="H603" s="3" t="n">
        <x:v>5</x:v>
      </x:c>
      <x:c r="I603" s="7" t="n">
        <x:v>994.39</x:v>
      </x:c>
      <x:c r="J603" s="9" t="n">
        <x:v>0</x:v>
      </x:c>
      <x:c r="K603" s="7" t="n">
        <x:v>4971.95</x:v>
      </x:c>
      <x:c r="L603" s="7" t="n">
        <x:v>2571.17</x:v>
      </x:c>
      <x:c r="M603" s="3" t="str">
        <x:v>Cash on Delivery</x:v>
      </x:c>
      <x:c r="N603" s="3" t="str">
        <x:f>TEXT(B603,"yyyy-mm")</x:f>
        <x:v>2024-06</x:v>
      </x:c>
      <x:c r="O603" s="3" t="str">
        <x:f>IF(J603=0,"No discount",IF(J603&lt;=0.1,"1-10%",IF(J603&lt;=0.15,"11-15%",IF(J603&lt;=0.2,"16-20%","21%+"))))</x:f>
        <x:v>No discount</x:v>
      </x:c>
      <x:c r="P603" s="9" t="n">
        <x:f>IF(K603=0,0,L603/K603)</x:f>
        <x:v>0.5171351280684641</x:v>
      </x:c>
      <x:c r="Q603" s="3" t="str">
        <x:f>IF(L603&lt;0,"Yes","No")</x:f>
        <x:v>No</x:v>
      </x:c>
    </x:row>
    <x:row r="604" ht="21" customHeight="1">
      <x:c r="A604" s="3" t="str">
        <x:v>ORD-101257</x:v>
      </x:c>
      <x:c r="B604" s="5" t="n">
        <x:v>45467</x:v>
      </x:c>
      <x:c r="C604" s="3" t="str">
        <x:v>CUST-00227</x:v>
      </x:c>
      <x:c r="D604" s="3" t="str">
        <x:v>South</x:v>
      </x:c>
      <x:c r="E604" s="3" t="str">
        <x:v>Fashion</x:v>
      </x:c>
      <x:c r="F604" s="3" t="str">
        <x:v>Footwear</x:v>
      </x:c>
      <x:c r="G604" s="3" t="str">
        <x:v>UrbanLoafers</x:v>
      </x:c>
      <x:c r="H604" s="3" t="n">
        <x:v>2</x:v>
      </x:c>
      <x:c r="I604" s="7" t="n">
        <x:v>3386.3</x:v>
      </x:c>
      <x:c r="J604" s="9" t="n">
        <x:v>0.25</x:v>
      </x:c>
      <x:c r="K604" s="7" t="n">
        <x:v>5079.45</x:v>
      </x:c>
      <x:c r="L604" s="7" t="n">
        <x:v>853.87</x:v>
      </x:c>
      <x:c r="M604" s="3" t="str">
        <x:v>Cash on Delivery</x:v>
      </x:c>
      <x:c r="N604" s="3" t="str">
        <x:f>TEXT(B604,"yyyy-mm")</x:f>
        <x:v>2024-06</x:v>
      </x:c>
      <x:c r="O604" s="3" t="str">
        <x:f>IF(J604=0,"No discount",IF(J604&lt;=0.1,"1-10%",IF(J604&lt;=0.15,"11-15%",IF(J604&lt;=0.2,"16-20%","21%+"))))</x:f>
        <x:v>21%+</x:v>
      </x:c>
      <x:c r="P604" s="9" t="n">
        <x:f>IF(K604=0,0,L604/K604)</x:f>
        <x:v>0.1681028457805471</x:v>
      </x:c>
      <x:c r="Q604" s="3" t="str">
        <x:f>IF(L604&lt;0,"Yes","No")</x:f>
        <x:v>No</x:v>
      </x:c>
    </x:row>
    <x:row r="605" ht="21" customHeight="1">
      <x:c r="A605" s="3" t="str">
        <x:v>ORD-101500</x:v>
      </x:c>
      <x:c r="B605" s="5" t="n">
        <x:v>45467</x:v>
      </x:c>
      <x:c r="C605" s="3" t="str">
        <x:v>CUST-00579</x:v>
      </x:c>
      <x:c r="D605" s="3" t="str">
        <x:v>West</x:v>
      </x:c>
      <x:c r="E605" s="3" t="str">
        <x:v>Home &amp; Kitchen</x:v>
      </x:c>
      <x:c r="F605" s="3" t="str">
        <x:v>Furniture</x:v>
      </x:c>
      <x:c r="G605" s="3" t="str">
        <x:v>ErgoComfort Chair</x:v>
      </x:c>
      <x:c r="H605" s="3" t="n">
        <x:v>1</x:v>
      </x:c>
      <x:c r="I605" s="7" t="n">
        <x:v>8760.48</x:v>
      </x:c>
      <x:c r="J605" s="9" t="n">
        <x:v>0.1</x:v>
      </x:c>
      <x:c r="K605" s="7" t="n">
        <x:v>7884.43</x:v>
      </x:c>
      <x:c r="L605" s="7" t="n">
        <x:v>1827.47</x:v>
      </x:c>
      <x:c r="M605" s="3" t="str">
        <x:v>Credit Card</x:v>
      </x:c>
      <x:c r="N605" s="3" t="str">
        <x:f>TEXT(B605,"yyyy-mm")</x:f>
        <x:v>2024-06</x:v>
      </x:c>
      <x:c r="O605" s="3" t="str">
        <x:f>IF(J605=0,"No discount",IF(J605&lt;=0.1,"1-10%",IF(J605&lt;=0.15,"11-15%",IF(J605&lt;=0.2,"16-20%","21%+"))))</x:f>
        <x:v>1-10%</x:v>
      </x:c>
      <x:c r="P605" s="9" t="n">
        <x:f>IF(K605=0,0,L605/K605)</x:f>
        <x:v>0.2317821326335575</x:v>
      </x:c>
      <x:c r="Q605" s="3" t="str">
        <x:f>IF(L605&lt;0,"Yes","No")</x:f>
        <x:v>No</x:v>
      </x:c>
    </x:row>
    <x:row r="606" ht="21" customHeight="1">
      <x:c r="A606" s="3" t="str">
        <x:v>ORD-101788</x:v>
      </x:c>
      <x:c r="B606" s="5" t="n">
        <x:v>45467</x:v>
      </x:c>
      <x:c r="C606" s="3" t="str">
        <x:v>CUST-00587</x:v>
      </x:c>
      <x:c r="D606" s="3" t="str">
        <x:v>East</x:v>
      </x:c>
      <x:c r="E606" s="3" t="str">
        <x:v>Beauty</x:v>
      </x:c>
      <x:c r="F606" s="3" t="str">
        <x:v>Skincare</x:v>
      </x:c>
      <x:c r="G606" s="3" t="str">
        <x:v>HydraBoost Moisturizer</x:v>
      </x:c>
      <x:c r="H606" s="3" t="n">
        <x:v>4</x:v>
      </x:c>
      <x:c r="I606" s="7" t="n">
        <x:v>1194.22</x:v>
      </x:c>
      <x:c r="J606" s="9" t="n">
        <x:v>0</x:v>
      </x:c>
      <x:c r="K606" s="7" t="n">
        <x:v>4776.88</x:v>
      </x:c>
      <x:c r="L606" s="7" t="n">
        <x:v>2491.4</x:v>
      </x:c>
      <x:c r="M606" s="3" t="str">
        <x:v>UPI</x:v>
      </x:c>
      <x:c r="N606" s="3" t="str">
        <x:f>TEXT(B606,"yyyy-mm")</x:f>
        <x:v>2024-06</x:v>
      </x:c>
      <x:c r="O606" s="3" t="str">
        <x:f>IF(J606=0,"No discount",IF(J606&lt;=0.1,"1-10%",IF(J606&lt;=0.15,"11-15%",IF(J606&lt;=0.2,"16-20%","21%+"))))</x:f>
        <x:v>No discount</x:v>
      </x:c>
      <x:c r="P606" s="9" t="n">
        <x:f>IF(K606=0,0,L606/K606)</x:f>
        <x:v>0.5215538175545544</x:v>
      </x:c>
      <x:c r="Q606" s="3" t="str">
        <x:f>IF(L606&lt;0,"Yes","No")</x:f>
        <x:v>No</x:v>
      </x:c>
    </x:row>
    <x:row r="607" ht="21" customHeight="1">
      <x:c r="A607" s="3" t="str">
        <x:v>ORD-101026</x:v>
      </x:c>
      <x:c r="B607" s="5" t="n">
        <x:v>45468</x:v>
      </x:c>
      <x:c r="C607" s="3" t="str">
        <x:v>CUST-00577</x:v>
      </x:c>
      <x:c r="D607" s="3" t="str">
        <x:v>North</x:v>
      </x:c>
      <x:c r="E607" s="3" t="str">
        <x:v>Home &amp; Kitchen</x:v>
      </x:c>
      <x:c r="F607" s="3" t="str">
        <x:v>Appliances</x:v>
      </x:c>
      <x:c r="G607" s="3" t="str">
        <x:v>AirFryer Deluxe</x:v>
      </x:c>
      <x:c r="H607" s="3" t="n">
        <x:v>2</x:v>
      </x:c>
      <x:c r="I607" s="7" t="n">
        <x:v>7944.43</x:v>
      </x:c>
      <x:c r="J607" s="9" t="n">
        <x:v>0.25</x:v>
      </x:c>
      <x:c r="K607" s="7" t="n">
        <x:v>11916.65</x:v>
      </x:c>
      <x:c r="L607" s="7" t="n">
        <x:v>928.97</x:v>
      </x:c>
      <x:c r="M607" s="3" t="str">
        <x:v>UPI</x:v>
      </x:c>
      <x:c r="N607" s="3" t="str">
        <x:f>TEXT(B607,"yyyy-mm")</x:f>
        <x:v>2024-06</x:v>
      </x:c>
      <x:c r="O607" s="3" t="str">
        <x:f>IF(J607=0,"No discount",IF(J607&lt;=0.1,"1-10%",IF(J607&lt;=0.15,"11-15%",IF(J607&lt;=0.2,"16-20%","21%+"))))</x:f>
        <x:v>21%+</x:v>
      </x:c>
      <x:c r="P607" s="9" t="n">
        <x:f>IF(K607=0,0,L607/K607)</x:f>
        <x:v>0.07795563350438253</x:v>
      </x:c>
      <x:c r="Q607" s="3" t="str">
        <x:f>IF(L607&lt;0,"Yes","No")</x:f>
        <x:v>No</x:v>
      </x:c>
    </x:row>
    <x:row r="608" ht="21" customHeight="1">
      <x:c r="A608" s="3" t="str">
        <x:v>ORD-100198</x:v>
      </x:c>
      <x:c r="B608" s="5" t="n">
        <x:v>45469</x:v>
      </x:c>
      <x:c r="C608" s="3" t="str">
        <x:v>CUST-00502</x:v>
      </x:c>
      <x:c r="D608" s="3" t="str">
        <x:v>South</x:v>
      </x:c>
      <x:c r="E608" s="3" t="str">
        <x:v>Electronics</x:v>
      </x:c>
      <x:c r="F608" s="3" t="str">
        <x:v>Mobile</x:v>
      </x:c>
      <x:c r="G608" s="3" t="str">
        <x:v>Pixel Aura 12</x:v>
      </x:c>
      <x:c r="H608" s="3" t="n">
        <x:v>2</x:v>
      </x:c>
      <x:c r="I608" s="7" t="n">
        <x:v>32729.2</x:v>
      </x:c>
      <x:c r="J608" s="9" t="n">
        <x:v>0.05</x:v>
      </x:c>
      <x:c r="K608" s="7" t="n">
        <x:v>62185.48</x:v>
      </x:c>
      <x:c r="L608" s="7" t="n">
        <x:v>5816.17</x:v>
      </x:c>
      <x:c r="M608" s="3" t="str">
        <x:v>UPI</x:v>
      </x:c>
      <x:c r="N608" s="3" t="str">
        <x:f>TEXT(B608,"yyyy-mm")</x:f>
        <x:v>2024-06</x:v>
      </x:c>
      <x:c r="O608" s="3" t="str">
        <x:f>IF(J608=0,"No discount",IF(J608&lt;=0.1,"1-10%",IF(J608&lt;=0.15,"11-15%",IF(J608&lt;=0.2,"16-20%","21%+"))))</x:f>
        <x:v>1-10%</x:v>
      </x:c>
      <x:c r="P608" s="9" t="n">
        <x:f>IF(K608=0,0,L608/K608)</x:f>
        <x:v>0.09352938981897381</x:v>
      </x:c>
      <x:c r="Q608" s="3" t="str">
        <x:f>IF(L608&lt;0,"Yes","No")</x:f>
        <x:v>No</x:v>
      </x:c>
    </x:row>
    <x:row r="609" ht="21" customHeight="1">
      <x:c r="A609" s="3" t="str">
        <x:v>ORD-100237</x:v>
      </x:c>
      <x:c r="B609" s="5" t="n">
        <x:v>45469</x:v>
      </x:c>
      <x:c r="C609" s="3" t="str">
        <x:v>CUST-00326</x:v>
      </x:c>
      <x:c r="D609" s="3" t="str">
        <x:v>South</x:v>
      </x:c>
      <x:c r="E609" s="3" t="str">
        <x:v>Home &amp; Kitchen</x:v>
      </x:c>
      <x:c r="F609" s="3" t="str">
        <x:v>Appliances</x:v>
      </x:c>
      <x:c r="G609" s="3" t="str">
        <x:v>AirFryer Deluxe</x:v>
      </x:c>
      <x:c r="H609" s="3" t="n">
        <x:v>2</x:v>
      </x:c>
      <x:c r="I609" s="7" t="n">
        <x:v>8059.55</x:v>
      </x:c>
      <x:c r="J609" s="9" t="n">
        <x:v>0.25</x:v>
      </x:c>
      <x:c r="K609" s="7" t="n">
        <x:v>12089.33</x:v>
      </x:c>
      <x:c r="L609" s="7" t="n">
        <x:v>980.6</x:v>
      </x:c>
      <x:c r="M609" s="3" t="str">
        <x:v>Cash on Delivery</x:v>
      </x:c>
      <x:c r="N609" s="3" t="str">
        <x:f>TEXT(B609,"yyyy-mm")</x:f>
        <x:v>2024-06</x:v>
      </x:c>
      <x:c r="O609" s="3" t="str">
        <x:f>IF(J609=0,"No discount",IF(J609&lt;=0.1,"1-10%",IF(J609&lt;=0.15,"11-15%",IF(J609&lt;=0.2,"16-20%","21%+"))))</x:f>
        <x:v>21%+</x:v>
      </x:c>
      <x:c r="P609" s="9" t="n">
        <x:f>IF(K609=0,0,L609/K609)</x:f>
        <x:v>0.0811128490991643</x:v>
      </x:c>
      <x:c r="Q609" s="3" t="str">
        <x:f>IF(L609&lt;0,"Yes","No")</x:f>
        <x:v>No</x:v>
      </x:c>
    </x:row>
    <x:row r="610" ht="21" customHeight="1">
      <x:c r="A610" s="3" t="str">
        <x:v>ORD-100431</x:v>
      </x:c>
      <x:c r="B610" s="5" t="n">
        <x:v>45469</x:v>
      </x:c>
      <x:c r="C610" s="3" t="str">
        <x:v>CUST-00193</x:v>
      </x:c>
      <x:c r="D610" s="3" t="str">
        <x:v>South</x:v>
      </x:c>
      <x:c r="E610" s="3" t="str">
        <x:v>Electronics</x:v>
      </x:c>
      <x:c r="F610" s="3" t="str">
        <x:v>Mobile</x:v>
      </x:c>
      <x:c r="G610" s="3" t="str">
        <x:v>Pixel Aura 12</x:v>
      </x:c>
      <x:c r="H610" s="3" t="n">
        <x:v>2</x:v>
      </x:c>
      <x:c r="I610" s="7" t="n">
        <x:v>32398.84</x:v>
      </x:c>
      <x:c r="J610" s="9" t="n">
        <x:v>0.05</x:v>
      </x:c>
      <x:c r="K610" s="7" t="n">
        <x:v>61557.8</x:v>
      </x:c>
      <x:c r="L610" s="7" t="n">
        <x:v>6963.61</x:v>
      </x:c>
      <x:c r="M610" s="3" t="str">
        <x:v>Credit Card</x:v>
      </x:c>
      <x:c r="N610" s="3" t="str">
        <x:f>TEXT(B610,"yyyy-mm")</x:f>
        <x:v>2024-06</x:v>
      </x:c>
      <x:c r="O610" s="3" t="str">
        <x:f>IF(J610=0,"No discount",IF(J610&lt;=0.1,"1-10%",IF(J610&lt;=0.15,"11-15%",IF(J610&lt;=0.2,"16-20%","21%+"))))</x:f>
        <x:v>1-10%</x:v>
      </x:c>
      <x:c r="P610" s="9" t="n">
        <x:f>IF(K610=0,0,L610/K610)</x:f>
        <x:v>0.11312311356156327</x:v>
      </x:c>
      <x:c r="Q610" s="3" t="str">
        <x:f>IF(L610&lt;0,"Yes","No")</x:f>
        <x:v>No</x:v>
      </x:c>
    </x:row>
    <x:row r="611" ht="21" customHeight="1">
      <x:c r="A611" s="3" t="str">
        <x:v>ORD-100727</x:v>
      </x:c>
      <x:c r="B611" s="5" t="n">
        <x:v>45469</x:v>
      </x:c>
      <x:c r="C611" s="3" t="str">
        <x:v>CUST-00012</x:v>
      </x:c>
      <x:c r="D611" s="3" t="str">
        <x:v>North</x:v>
      </x:c>
      <x:c r="E611" s="3" t="str">
        <x:v>Sports</x:v>
      </x:c>
      <x:c r="F611" s="3" t="str">
        <x:v>Fitness</x:v>
      </x:c>
      <x:c r="G611" s="3" t="str">
        <x:v>Adjustable Dumbbell 24kg</x:v>
      </x:c>
      <x:c r="H611" s="3" t="n">
        <x:v>1</x:v>
      </x:c>
      <x:c r="I611" s="7" t="n">
        <x:v>9942.98</x:v>
      </x:c>
      <x:c r="J611" s="9" t="n">
        <x:v>0.15</x:v>
      </x:c>
      <x:c r="K611" s="7" t="n">
        <x:v>8451.53</x:v>
      </x:c>
      <x:c r="L611" s="7" t="n">
        <x:v>1851.63</x:v>
      </x:c>
      <x:c r="M611" s="3" t="str">
        <x:v>UPI</x:v>
      </x:c>
      <x:c r="N611" s="3" t="str">
        <x:f>TEXT(B611,"yyyy-mm")</x:f>
        <x:v>2024-06</x:v>
      </x:c>
      <x:c r="O611" s="3" t="str">
        <x:f>IF(J611=0,"No discount",IF(J611&lt;=0.1,"1-10%",IF(J611&lt;=0.15,"11-15%",IF(J611&lt;=0.2,"16-20%","21%+"))))</x:f>
        <x:v>11-15%</x:v>
      </x:c>
      <x:c r="P611" s="9" t="n">
        <x:f>IF(K611=0,0,L611/K611)</x:f>
        <x:v>0.21908814143711255</x:v>
      </x:c>
      <x:c r="Q611" s="3" t="str">
        <x:f>IF(L611&lt;0,"Yes","No")</x:f>
        <x:v>No</x:v>
      </x:c>
    </x:row>
    <x:row r="612" ht="21" customHeight="1">
      <x:c r="A612" s="3" t="str">
        <x:v>ORD-101669</x:v>
      </x:c>
      <x:c r="B612" s="5" t="n">
        <x:v>45469</x:v>
      </x:c>
      <x:c r="C612" s="3" t="str">
        <x:v>CUST-00434</x:v>
      </x:c>
      <x:c r="D612" s="3" t="str">
        <x:v>East</x:v>
      </x:c>
      <x:c r="E612" s="3" t="str">
        <x:v>Fashion</x:v>
      </x:c>
      <x:c r="F612" s="3" t="str">
        <x:v>Women</x:v>
      </x:c>
      <x:c r="G612" s="3" t="str">
        <x:v>Knit Winter Sweater</x:v>
      </x:c>
      <x:c r="H612" s="3" t="n">
        <x:v>1</x:v>
      </x:c>
      <x:c r="I612" s="7" t="n">
        <x:v>2295.62</x:v>
      </x:c>
      <x:c r="J612" s="9" t="n">
        <x:v>0.1</x:v>
      </x:c>
      <x:c r="K612" s="7" t="n">
        <x:v>2066.06</x:v>
      </x:c>
      <x:c r="L612" s="7" t="n">
        <x:v>549.21</x:v>
      </x:c>
      <x:c r="M612" s="3" t="str">
        <x:v>UPI</x:v>
      </x:c>
      <x:c r="N612" s="3" t="str">
        <x:f>TEXT(B612,"yyyy-mm")</x:f>
        <x:v>2024-06</x:v>
      </x:c>
      <x:c r="O612" s="3" t="str">
        <x:f>IF(J612=0,"No discount",IF(J612&lt;=0.1,"1-10%",IF(J612&lt;=0.15,"11-15%",IF(J612&lt;=0.2,"16-20%","21%+"))))</x:f>
        <x:v>1-10%</x:v>
      </x:c>
      <x:c r="P612" s="9" t="n">
        <x:f>IF(K612=0,0,L612/K612)</x:f>
        <x:v>0.2658248066367869</x:v>
      </x:c>
      <x:c r="Q612" s="3" t="str">
        <x:f>IF(L612&lt;0,"Yes","No")</x:f>
        <x:v>No</x:v>
      </x:c>
    </x:row>
    <x:row r="613" ht="21" customHeight="1">
      <x:c r="A613" s="3" t="str">
        <x:v>ORD-101984</x:v>
      </x:c>
      <x:c r="B613" s="5" t="n">
        <x:v>45469</x:v>
      </x:c>
      <x:c r="C613" s="3" t="str">
        <x:v>CUST-00564</x:v>
      </x:c>
      <x:c r="D613" s="3" t="str">
        <x:v>South</x:v>
      </x:c>
      <x:c r="E613" s="3" t="str">
        <x:v>Home &amp; Kitchen</x:v>
      </x:c>
      <x:c r="F613" s="3" t="str">
        <x:v>Decor</x:v>
      </x:c>
      <x:c r="G613" s="3" t="str">
        <x:v>Ceramic Vase Set</x:v>
      </x:c>
      <x:c r="H613" s="3" t="n">
        <x:v>1</x:v>
      </x:c>
      <x:c r="I613" s="7" t="n">
        <x:v>1446.37</x:v>
      </x:c>
      <x:c r="J613" s="9" t="n">
        <x:v>0.05</x:v>
      </x:c>
      <x:c r="K613" s="7" t="n">
        <x:v>1374.05</x:v>
      </x:c>
      <x:c r="L613" s="7" t="n">
        <x:v>330.3</x:v>
      </x:c>
      <x:c r="M613" s="3" t="str">
        <x:v>Credit Card</x:v>
      </x:c>
      <x:c r="N613" s="3" t="str">
        <x:f>TEXT(B613,"yyyy-mm")</x:f>
        <x:v>2024-06</x:v>
      </x:c>
      <x:c r="O613" s="3" t="str">
        <x:f>IF(J613=0,"No discount",IF(J613&lt;=0.1,"1-10%",IF(J613&lt;=0.15,"11-15%",IF(J613&lt;=0.2,"16-20%","21%+"))))</x:f>
        <x:v>1-10%</x:v>
      </x:c>
      <x:c r="P613" s="9" t="n">
        <x:f>IF(K613=0,0,L613/K613)</x:f>
        <x:v>0.24038426549252212</x:v>
      </x:c>
      <x:c r="Q613" s="3" t="str">
        <x:f>IF(L613&lt;0,"Yes","No")</x:f>
        <x:v>No</x:v>
      </x:c>
    </x:row>
    <x:row r="614" ht="21" customHeight="1">
      <x:c r="A614" s="3" t="str">
        <x:v>ORD-101708</x:v>
      </x:c>
      <x:c r="B614" s="5" t="n">
        <x:v>45470</x:v>
      </x:c>
      <x:c r="C614" s="3" t="str">
        <x:v>CUST-00052</x:v>
      </x:c>
      <x:c r="D614" s="3" t="str">
        <x:v>West</x:v>
      </x:c>
      <x:c r="E614" s="3" t="str">
        <x:v>Sports</x:v>
      </x:c>
      <x:c r="F614" s="3" t="str">
        <x:v>Outdoor</x:v>
      </x:c>
      <x:c r="G614" s="3" t="str">
        <x:v>AllWeather Tent 4P</x:v>
      </x:c>
      <x:c r="H614" s="3" t="n">
        <x:v>1</x:v>
      </x:c>
      <x:c r="I614" s="7" t="n">
        <x:v>11846.41</x:v>
      </x:c>
      <x:c r="J614" s="9" t="n">
        <x:v>0</x:v>
      </x:c>
      <x:c r="K614" s="7" t="n">
        <x:v>11846.41</x:v>
      </x:c>
      <x:c r="L614" s="7" t="n">
        <x:v>4321.96</x:v>
      </x:c>
      <x:c r="M614" s="3" t="str">
        <x:v>Cash on Delivery</x:v>
      </x:c>
      <x:c r="N614" s="3" t="str">
        <x:f>TEXT(B614,"yyyy-mm")</x:f>
        <x:v>2024-06</x:v>
      </x:c>
      <x:c r="O614" s="3" t="str">
        <x:f>IF(J614=0,"No discount",IF(J614&lt;=0.1,"1-10%",IF(J614&lt;=0.15,"11-15%",IF(J614&lt;=0.2,"16-20%","21%+"))))</x:f>
        <x:v>No discount</x:v>
      </x:c>
      <x:c r="P614" s="9" t="n">
        <x:f>IF(K614=0,0,L614/K614)</x:f>
        <x:v>0.3648328903017876</x:v>
      </x:c>
      <x:c r="Q614" s="3" t="str">
        <x:f>IF(L614&lt;0,"Yes","No")</x:f>
        <x:v>No</x:v>
      </x:c>
    </x:row>
    <x:row r="615" ht="21" customHeight="1">
      <x:c r="A615" s="3" t="str">
        <x:v>ORD-100059</x:v>
      </x:c>
      <x:c r="B615" s="5" t="n">
        <x:v>45471</x:v>
      </x:c>
      <x:c r="C615" s="3" t="str">
        <x:v>CUST-00453</x:v>
      </x:c>
      <x:c r="D615" s="3" t="str">
        <x:v>East</x:v>
      </x:c>
      <x:c r="E615" s="3" t="str">
        <x:v>Electronics</x:v>
      </x:c>
      <x:c r="F615" s="3" t="str">
        <x:v>Mobile</x:v>
      </x:c>
      <x:c r="G615" s="3" t="str">
        <x:v>iPhone Zeta</x:v>
      </x:c>
      <x:c r="H615" s="3" t="n">
        <x:v>3</x:v>
      </x:c>
      <x:c r="I615" s="7" t="n">
        <x:v>73154.46</x:v>
      </x:c>
      <x:c r="J615" s="9" t="n">
        <x:v>0.1</x:v>
      </x:c>
      <x:c r="K615" s="7" t="n">
        <x:v>197517.04</x:v>
      </x:c>
      <x:c r="L615" s="7" t="n">
        <x:v>20732.53</x:v>
      </x:c>
      <x:c r="M615" s="3" t="str">
        <x:v>UPI</x:v>
      </x:c>
      <x:c r="N615" s="3" t="str">
        <x:f>TEXT(B615,"yyyy-mm")</x:f>
        <x:v>2024-06</x:v>
      </x:c>
      <x:c r="O615" s="3" t="str">
        <x:f>IF(J615=0,"No discount",IF(J615&lt;=0.1,"1-10%",IF(J615&lt;=0.15,"11-15%",IF(J615&lt;=0.2,"16-20%","21%+"))))</x:f>
        <x:v>1-10%</x:v>
      </x:c>
      <x:c r="P615" s="9" t="n">
        <x:f>IF(K615=0,0,L615/K615)</x:f>
        <x:v>0.10496577915505416</x:v>
      </x:c>
      <x:c r="Q615" s="3" t="str">
        <x:f>IF(L615&lt;0,"Yes","No")</x:f>
        <x:v>No</x:v>
      </x:c>
    </x:row>
    <x:row r="616" ht="21" customHeight="1">
      <x:c r="A616" s="3" t="str">
        <x:v>ORD-100149</x:v>
      </x:c>
      <x:c r="B616" s="5" t="n">
        <x:v>45471</x:v>
      </x:c>
      <x:c r="C616" s="3" t="str">
        <x:v>CUST-00181</x:v>
      </x:c>
      <x:c r="D616" s="3" t="str">
        <x:v>East</x:v>
      </x:c>
      <x:c r="E616" s="3" t="str">
        <x:v>Sports</x:v>
      </x:c>
      <x:c r="F616" s="3" t="str">
        <x:v>Fitness</x:v>
      </x:c>
      <x:c r="G616" s="3" t="str">
        <x:v>Adjustable Dumbbell 24kg</x:v>
      </x:c>
      <x:c r="H616" s="3" t="n">
        <x:v>1</x:v>
      </x:c>
      <x:c r="I616" s="7" t="n">
        <x:v>10406.9</x:v>
      </x:c>
      <x:c r="J616" s="9" t="n">
        <x:v>0.1</x:v>
      </x:c>
      <x:c r="K616" s="7" t="n">
        <x:v>9366.21</x:v>
      </x:c>
      <x:c r="L616" s="7" t="n">
        <x:v>2174.43</x:v>
      </x:c>
      <x:c r="M616" s="3" t="str">
        <x:v>Credit Card</x:v>
      </x:c>
      <x:c r="N616" s="3" t="str">
        <x:f>TEXT(B616,"yyyy-mm")</x:f>
        <x:v>2024-06</x:v>
      </x:c>
      <x:c r="O616" s="3" t="str">
        <x:f>IF(J616=0,"No discount",IF(J616&lt;=0.1,"1-10%",IF(J616&lt;=0.15,"11-15%",IF(J616&lt;=0.2,"16-20%","21%+"))))</x:f>
        <x:v>1-10%</x:v>
      </x:c>
      <x:c r="P616" s="9" t="n">
        <x:f>IF(K616=0,0,L616/K616)</x:f>
        <x:v>0.232156870281576</x:v>
      </x:c>
      <x:c r="Q616" s="3" t="str">
        <x:f>IF(L616&lt;0,"Yes","No")</x:f>
        <x:v>No</x:v>
      </x:c>
    </x:row>
    <x:row r="617" ht="21" customHeight="1">
      <x:c r="A617" s="3" t="str">
        <x:v>ORD-100218</x:v>
      </x:c>
      <x:c r="B617" s="5" t="n">
        <x:v>45471</x:v>
      </x:c>
      <x:c r="C617" s="3" t="str">
        <x:v>CUST-00141</x:v>
      </x:c>
      <x:c r="D617" s="3" t="str">
        <x:v>South</x:v>
      </x:c>
      <x:c r="E617" s="3" t="str">
        <x:v>Fashion</x:v>
      </x:c>
      <x:c r="F617" s="3" t="str">
        <x:v>Men</x:v>
      </x:c>
      <x:c r="G617" s="3" t="str">
        <x:v>SlimFit Denim Jeans</x:v>
      </x:c>
      <x:c r="H617" s="3" t="n">
        <x:v>1</x:v>
      </x:c>
      <x:c r="I617" s="7" t="n">
        <x:v>1989.68</x:v>
      </x:c>
      <x:c r="J617" s="9" t="n">
        <x:v>0.05</x:v>
      </x:c>
      <x:c r="K617" s="7" t="n">
        <x:v>1890.2</x:v>
      </x:c>
      <x:c r="L617" s="7" t="n">
        <x:v>701.65</x:v>
      </x:c>
      <x:c r="M617" s="3" t="str">
        <x:v>Debit Card</x:v>
      </x:c>
      <x:c r="N617" s="3" t="str">
        <x:f>TEXT(B617,"yyyy-mm")</x:f>
        <x:v>2024-06</x:v>
      </x:c>
      <x:c r="O617" s="3" t="str">
        <x:f>IF(J617=0,"No discount",IF(J617&lt;=0.1,"1-10%",IF(J617&lt;=0.15,"11-15%",IF(J617&lt;=0.2,"16-20%","21%+"))))</x:f>
        <x:v>1-10%</x:v>
      </x:c>
      <x:c r="P617" s="9" t="n">
        <x:f>IF(K617=0,0,L617/K617)</x:f>
        <x:v>0.37120410538567344</x:v>
      </x:c>
      <x:c r="Q617" s="3" t="str">
        <x:f>IF(L617&lt;0,"Yes","No")</x:f>
        <x:v>No</x:v>
      </x:c>
    </x:row>
    <x:row r="618" ht="21" customHeight="1">
      <x:c r="A618" s="3" t="str">
        <x:v>ORD-100331</x:v>
      </x:c>
      <x:c r="B618" s="5" t="n">
        <x:v>45471</x:v>
      </x:c>
      <x:c r="C618" s="3" t="str">
        <x:v>CUST-00450</x:v>
      </x:c>
      <x:c r="D618" s="3" t="str">
        <x:v>East</x:v>
      </x:c>
      <x:c r="E618" s="3" t="str">
        <x:v>Fashion</x:v>
      </x:c>
      <x:c r="F618" s="3" t="str">
        <x:v>Women</x:v>
      </x:c>
      <x:c r="G618" s="3" t="str">
        <x:v>Floral Summer Dress</x:v>
      </x:c>
      <x:c r="H618" s="3" t="n">
        <x:v>2</x:v>
      </x:c>
      <x:c r="I618" s="7" t="n">
        <x:v>1876.48</x:v>
      </x:c>
      <x:c r="J618" s="9" t="n">
        <x:v>0.15</x:v>
      </x:c>
      <x:c r="K618" s="7" t="n">
        <x:v>3190.02</x:v>
      </x:c>
      <x:c r="L618" s="7" t="n">
        <x:v>764.17</x:v>
      </x:c>
      <x:c r="M618" s="3" t="str">
        <x:v>UPI</x:v>
      </x:c>
      <x:c r="N618" s="3" t="str">
        <x:f>TEXT(B618,"yyyy-mm")</x:f>
        <x:v>2024-06</x:v>
      </x:c>
      <x:c r="O618" s="3" t="str">
        <x:f>IF(J618=0,"No discount",IF(J618&lt;=0.1,"1-10%",IF(J618&lt;=0.15,"11-15%",IF(J618&lt;=0.2,"16-20%","21%+"))))</x:f>
        <x:v>11-15%</x:v>
      </x:c>
      <x:c r="P618" s="9" t="n">
        <x:f>IF(K618=0,0,L618/K618)</x:f>
        <x:v>0.23955022225565983</x:v>
      </x:c>
      <x:c r="Q618" s="3" t="str">
        <x:f>IF(L618&lt;0,"Yes","No")</x:f>
        <x:v>No</x:v>
      </x:c>
    </x:row>
    <x:row r="619" ht="21" customHeight="1">
      <x:c r="A619" s="3" t="str">
        <x:v>ORD-100411</x:v>
      </x:c>
      <x:c r="B619" s="5" t="n">
        <x:v>45471</x:v>
      </x:c>
      <x:c r="C619" s="3" t="str">
        <x:v>CUST-00347</x:v>
      </x:c>
      <x:c r="D619" s="3" t="str">
        <x:v>South</x:v>
      </x:c>
      <x:c r="E619" s="3" t="str">
        <x:v>Home &amp; Kitchen</x:v>
      </x:c>
      <x:c r="F619" s="3" t="str">
        <x:v>Decor</x:v>
      </x:c>
      <x:c r="G619" s="3" t="str">
        <x:v>LED Wall Lamp</x:v>
      </x:c>
      <x:c r="H619" s="3" t="n">
        <x:v>2</x:v>
      </x:c>
      <x:c r="I619" s="7" t="n">
        <x:v>982.34</x:v>
      </x:c>
      <x:c r="J619" s="9" t="n">
        <x:v>0</x:v>
      </x:c>
      <x:c r="K619" s="7" t="n">
        <x:v>1964.68</x:v>
      </x:c>
      <x:c r="L619" s="7" t="n">
        <x:v>632.01</x:v>
      </x:c>
      <x:c r="M619" s="3" t="str">
        <x:v>Cash on Delivery</x:v>
      </x:c>
      <x:c r="N619" s="3" t="str">
        <x:f>TEXT(B619,"yyyy-mm")</x:f>
        <x:v>2024-06</x:v>
      </x:c>
      <x:c r="O619" s="3" t="str">
        <x:f>IF(J619=0,"No discount",IF(J619&lt;=0.1,"1-10%",IF(J619&lt;=0.15,"11-15%",IF(J619&lt;=0.2,"16-20%","21%+"))))</x:f>
        <x:v>No discount</x:v>
      </x:c>
      <x:c r="P619" s="9" t="n">
        <x:f>IF(K619=0,0,L619/K619)</x:f>
        <x:v>0.32168597430624835</x:v>
      </x:c>
      <x:c r="Q619" s="3" t="str">
        <x:f>IF(L619&lt;0,"Yes","No")</x:f>
        <x:v>No</x:v>
      </x:c>
    </x:row>
    <x:row r="620" ht="21" customHeight="1">
      <x:c r="A620" s="3" t="str">
        <x:v>ORD-100487</x:v>
      </x:c>
      <x:c r="B620" s="5" t="n">
        <x:v>45471</x:v>
      </x:c>
      <x:c r="C620" s="3" t="str">
        <x:v>CUST-00582</x:v>
      </x:c>
      <x:c r="D620" s="3" t="str">
        <x:v>East</x:v>
      </x:c>
      <x:c r="E620" s="3" t="str">
        <x:v>Sports</x:v>
      </x:c>
      <x:c r="F620" s="3" t="str">
        <x:v>Outdoor</x:v>
      </x:c>
      <x:c r="G620" s="3" t="str">
        <x:v>TrailHike Backpack 60L</x:v>
      </x:c>
      <x:c r="H620" s="3" t="n">
        <x:v>4</x:v>
      </x:c>
      <x:c r="I620" s="7" t="n">
        <x:v>3455.53</x:v>
      </x:c>
      <x:c r="J620" s="9" t="n">
        <x:v>0.1</x:v>
      </x:c>
      <x:c r="K620" s="7" t="n">
        <x:v>12439.91</x:v>
      </x:c>
      <x:c r="L620" s="7" t="n">
        <x:v>2805.57</x:v>
      </x:c>
      <x:c r="M620" s="3" t="str">
        <x:v>UPI</x:v>
      </x:c>
      <x:c r="N620" s="3" t="str">
        <x:f>TEXT(B620,"yyyy-mm")</x:f>
        <x:v>2024-06</x:v>
      </x:c>
      <x:c r="O620" s="3" t="str">
        <x:f>IF(J620=0,"No discount",IF(J620&lt;=0.1,"1-10%",IF(J620&lt;=0.15,"11-15%",IF(J620&lt;=0.2,"16-20%","21%+"))))</x:f>
        <x:v>1-10%</x:v>
      </x:c>
      <x:c r="P620" s="9" t="n">
        <x:f>IF(K620=0,0,L620/K620)</x:f>
        <x:v>0.2255297666944536</x:v>
      </x:c>
      <x:c r="Q620" s="3" t="str">
        <x:f>IF(L620&lt;0,"Yes","No")</x:f>
        <x:v>No</x:v>
      </x:c>
    </x:row>
    <x:row r="621" ht="21" customHeight="1">
      <x:c r="A621" s="3" t="str">
        <x:v>ORD-101341</x:v>
      </x:c>
      <x:c r="B621" s="5" t="n">
        <x:v>45471</x:v>
      </x:c>
      <x:c r="C621" s="3" t="str">
        <x:v>CUST-00127</x:v>
      </x:c>
      <x:c r="D621" s="3" t="str">
        <x:v>West</x:v>
      </x:c>
      <x:c r="E621" s="3" t="str">
        <x:v>Beauty</x:v>
      </x:c>
      <x:c r="F621" s="3" t="str">
        <x:v>Makeup</x:v>
      </x:c>
      <x:c r="G621" s="3" t="str">
        <x:v>Matte Lipstick Set</x:v>
      </x:c>
      <x:c r="H621" s="3" t="n">
        <x:v>1</x:v>
      </x:c>
      <x:c r="I621" s="7" t="n">
        <x:v>1030.87</x:v>
      </x:c>
      <x:c r="J621" s="9" t="n">
        <x:v>0.05</x:v>
      </x:c>
      <x:c r="K621" s="7" t="n">
        <x:v>979.33</x:v>
      </x:c>
      <x:c r="L621" s="7" t="n">
        <x:v>456.37</x:v>
      </x:c>
      <x:c r="M621" s="3" t="str">
        <x:v>Cash on Delivery</x:v>
      </x:c>
      <x:c r="N621" s="3" t="str">
        <x:f>TEXT(B621,"yyyy-mm")</x:f>
        <x:v>2024-06</x:v>
      </x:c>
      <x:c r="O621" s="3" t="str">
        <x:f>IF(J621=0,"No discount",IF(J621&lt;=0.1,"1-10%",IF(J621&lt;=0.15,"11-15%",IF(J621&lt;=0.2,"16-20%","21%+"))))</x:f>
        <x:v>1-10%</x:v>
      </x:c>
      <x:c r="P621" s="9" t="n">
        <x:f>IF(K621=0,0,L621/K621)</x:f>
        <x:v>0.4660022668559117</x:v>
      </x:c>
      <x:c r="Q621" s="3" t="str">
        <x:f>IF(L621&lt;0,"Yes","No")</x:f>
        <x:v>No</x:v>
      </x:c>
    </x:row>
    <x:row r="622" ht="21" customHeight="1">
      <x:c r="A622" s="3" t="str">
        <x:v>ORD-101117</x:v>
      </x:c>
      <x:c r="B622" s="5" t="n">
        <x:v>45472</x:v>
      </x:c>
      <x:c r="C622" s="3" t="str">
        <x:v>CUST-00482</x:v>
      </x:c>
      <x:c r="D622" s="3" t="str">
        <x:v>East</x:v>
      </x:c>
      <x:c r="E622" s="3" t="str">
        <x:v>Fashion</x:v>
      </x:c>
      <x:c r="F622" s="3" t="str">
        <x:v>Footwear</x:v>
      </x:c>
      <x:c r="G622" s="3" t="str">
        <x:v>RunFlex Sneakers</x:v>
      </x:c>
      <x:c r="H622" s="3" t="n">
        <x:v>1</x:v>
      </x:c>
      <x:c r="I622" s="7" t="n">
        <x:v>2864.69</x:v>
      </x:c>
      <x:c r="J622" s="9" t="n">
        <x:v>0</x:v>
      </x:c>
      <x:c r="K622" s="7" t="n">
        <x:v>2864.69</x:v>
      </x:c>
      <x:c r="L622" s="7" t="n">
        <x:v>1238.61</x:v>
      </x:c>
      <x:c r="M622" s="3" t="str">
        <x:v>Cash on Delivery</x:v>
      </x:c>
      <x:c r="N622" s="3" t="str">
        <x:f>TEXT(B622,"yyyy-mm")</x:f>
        <x:v>2024-06</x:v>
      </x:c>
      <x:c r="O622" s="3" t="str">
        <x:f>IF(J622=0,"No discount",IF(J622&lt;=0.1,"1-10%",IF(J622&lt;=0.15,"11-15%",IF(J622&lt;=0.2,"16-20%","21%+"))))</x:f>
        <x:v>No discount</x:v>
      </x:c>
      <x:c r="P622" s="9" t="n">
        <x:f>IF(K622=0,0,L622/K622)</x:f>
        <x:v>0.4323713909707507</x:v>
      </x:c>
      <x:c r="Q622" s="3" t="str">
        <x:f>IF(L622&lt;0,"Yes","No")</x:f>
        <x:v>No</x:v>
      </x:c>
    </x:row>
    <x:row r="623" ht="21" customHeight="1">
      <x:c r="A623" s="3" t="str">
        <x:v>ORD-101634</x:v>
      </x:c>
      <x:c r="B623" s="5" t="n">
        <x:v>45472</x:v>
      </x:c>
      <x:c r="C623" s="3" t="str">
        <x:v>CUST-00151</x:v>
      </x:c>
      <x:c r="D623" s="3" t="str">
        <x:v>East</x:v>
      </x:c>
      <x:c r="E623" s="3" t="str">
        <x:v>Home &amp; Kitchen</x:v>
      </x:c>
      <x:c r="F623" s="3" t="str">
        <x:v>Furniture</x:v>
      </x:c>
      <x:c r="G623" s="3" t="str">
        <x:v>Oakwood Study Desk</x:v>
      </x:c>
      <x:c r="H623" s="3" t="n">
        <x:v>1</x:v>
      </x:c>
      <x:c r="I623" s="7" t="n">
        <x:v>13323.43</x:v>
      </x:c>
      <x:c r="J623" s="9" t="n">
        <x:v>0.2</x:v>
      </x:c>
      <x:c r="K623" s="7" t="n">
        <x:v>10658.74</x:v>
      </x:c>
      <x:c r="L623" s="7" t="n">
        <x:v>750.58</x:v>
      </x:c>
      <x:c r="M623" s="3" t="str">
        <x:v>UPI</x:v>
      </x:c>
      <x:c r="N623" s="3" t="str">
        <x:f>TEXT(B623,"yyyy-mm")</x:f>
        <x:v>2024-06</x:v>
      </x:c>
      <x:c r="O623" s="3" t="str">
        <x:f>IF(J623=0,"No discount",IF(J623&lt;=0.1,"1-10%",IF(J623&lt;=0.15,"11-15%",IF(J623&lt;=0.2,"16-20%","21%+"))))</x:f>
        <x:v>16-20%</x:v>
      </x:c>
      <x:c r="P623" s="9" t="n">
        <x:f>IF(K623=0,0,L623/K623)</x:f>
        <x:v>0.0704192052719177</x:v>
      </x:c>
      <x:c r="Q623" s="3" t="str">
        <x:f>IF(L623&lt;0,"Yes","No")</x:f>
        <x:v>No</x:v>
      </x:c>
    </x:row>
    <x:row r="624" ht="21" customHeight="1">
      <x:c r="A624" s="3" t="str">
        <x:v>ORD-100622</x:v>
      </x:c>
      <x:c r="B624" s="5" t="n">
        <x:v>45473</x:v>
      </x:c>
      <x:c r="C624" s="3" t="str">
        <x:v>CUST-00501</x:v>
      </x:c>
      <x:c r="D624" s="3" t="str">
        <x:v>North</x:v>
      </x:c>
      <x:c r="E624" s="3" t="str">
        <x:v>Fashion</x:v>
      </x:c>
      <x:c r="F624" s="3" t="str">
        <x:v>Women</x:v>
      </x:c>
      <x:c r="G624" s="3" t="str">
        <x:v>Floral Summer Dress</x:v>
      </x:c>
      <x:c r="H624" s="3" t="n">
        <x:v>1</x:v>
      </x:c>
      <x:c r="I624" s="7" t="n">
        <x:v>1824.01</x:v>
      </x:c>
      <x:c r="J624" s="9" t="n">
        <x:v>0.3</x:v>
      </x:c>
      <x:c r="K624" s="7" t="n">
        <x:v>1276.81</x:v>
      </x:c>
      <x:c r="L624" s="7" t="n">
        <x:v>75.81</x:v>
      </x:c>
      <x:c r="M624" s="3" t="str">
        <x:v>Credit Card</x:v>
      </x:c>
      <x:c r="N624" s="3" t="str">
        <x:f>TEXT(B624,"yyyy-mm")</x:f>
        <x:v>2024-06</x:v>
      </x:c>
      <x:c r="O624" s="3" t="str">
        <x:f>IF(J624=0,"No discount",IF(J624&lt;=0.1,"1-10%",IF(J624&lt;=0.15,"11-15%",IF(J624&lt;=0.2,"16-20%","21%+"))))</x:f>
        <x:v>21%+</x:v>
      </x:c>
      <x:c r="P624" s="9" t="n">
        <x:f>IF(K624=0,0,L624/K624)</x:f>
        <x:v>0.05937453497388022</x:v>
      </x:c>
      <x:c r="Q624" s="3" t="str">
        <x:f>IF(L624&lt;0,"Yes","No")</x:f>
        <x:v>No</x:v>
      </x:c>
    </x:row>
    <x:row r="625" ht="21" customHeight="1">
      <x:c r="A625" s="3" t="str">
        <x:v>ORD-101001</x:v>
      </x:c>
      <x:c r="B625" s="5" t="n">
        <x:v>45473</x:v>
      </x:c>
      <x:c r="C625" s="3" t="str">
        <x:v>CUST-00456</x:v>
      </x:c>
      <x:c r="D625" s="3" t="str">
        <x:v>South</x:v>
      </x:c>
      <x:c r="E625" s="3" t="str">
        <x:v>Fashion</x:v>
      </x:c>
      <x:c r="F625" s="3" t="str">
        <x:v>Footwear</x:v>
      </x:c>
      <x:c r="G625" s="3" t="str">
        <x:v>RunFlex Sneakers</x:v>
      </x:c>
      <x:c r="H625" s="3" t="n">
        <x:v>5</x:v>
      </x:c>
      <x:c r="I625" s="7" t="n">
        <x:v>3053.94</x:v>
      </x:c>
      <x:c r="J625" s="9" t="n">
        <x:v>0</x:v>
      </x:c>
      <x:c r="K625" s="7" t="n">
        <x:v>15269.7</x:v>
      </x:c>
      <x:c r="L625" s="7" t="n">
        <x:v>5991.43</x:v>
      </x:c>
      <x:c r="M625" s="3" t="str">
        <x:v>UPI</x:v>
      </x:c>
      <x:c r="N625" s="3" t="str">
        <x:f>TEXT(B625,"yyyy-mm")</x:f>
        <x:v>2024-06</x:v>
      </x:c>
      <x:c r="O625" s="3" t="str">
        <x:f>IF(J625=0,"No discount",IF(J625&lt;=0.1,"1-10%",IF(J625&lt;=0.15,"11-15%",IF(J625&lt;=0.2,"16-20%","21%+"))))</x:f>
        <x:v>No discount</x:v>
      </x:c>
      <x:c r="P625" s="9" t="n">
        <x:f>IF(K625=0,0,L625/K625)</x:f>
        <x:v>0.3923737859944858</x:v>
      </x:c>
      <x:c r="Q625" s="3" t="str">
        <x:f>IF(L625&lt;0,"Yes","No")</x:f>
        <x:v>No</x:v>
      </x:c>
    </x:row>
    <x:row r="626" ht="21" customHeight="1">
      <x:c r="A626" s="3" t="str">
        <x:v>ORD-101382</x:v>
      </x:c>
      <x:c r="B626" s="5" t="n">
        <x:v>45473</x:v>
      </x:c>
      <x:c r="C626" s="3" t="str">
        <x:v>CUST-00025</x:v>
      </x:c>
      <x:c r="D626" s="3" t="str">
        <x:v>South</x:v>
      </x:c>
      <x:c r="E626" s="3" t="str">
        <x:v>Sports</x:v>
      </x:c>
      <x:c r="F626" s="3" t="str">
        <x:v>Fitness</x:v>
      </x:c>
      <x:c r="G626" s="3" t="str">
        <x:v>ProYoga Mat</x:v>
      </x:c>
      <x:c r="H626" s="3" t="n">
        <x:v>1</x:v>
      </x:c>
      <x:c r="I626" s="7" t="n">
        <x:v>1325.52</x:v>
      </x:c>
      <x:c r="J626" s="9" t="n">
        <x:v>0.15</x:v>
      </x:c>
      <x:c r="K626" s="7" t="n">
        <x:v>1126.69</x:v>
      </x:c>
      <x:c r="L626" s="7" t="n">
        <x:v>228.85</x:v>
      </x:c>
      <x:c r="M626" s="3" t="str">
        <x:v>Credit Card</x:v>
      </x:c>
      <x:c r="N626" s="3" t="str">
        <x:f>TEXT(B626,"yyyy-mm")</x:f>
        <x:v>2024-06</x:v>
      </x:c>
      <x:c r="O626" s="3" t="str">
        <x:f>IF(J626=0,"No discount",IF(J626&lt;=0.1,"1-10%",IF(J626&lt;=0.15,"11-15%",IF(J626&lt;=0.2,"16-20%","21%+"))))</x:f>
        <x:v>11-15%</x:v>
      </x:c>
      <x:c r="P626" s="9" t="n">
        <x:f>IF(K626=0,0,L626/K626)</x:f>
        <x:v>0.20311709520808738</x:v>
      </x:c>
      <x:c r="Q626" s="3" t="str">
        <x:f>IF(L626&lt;0,"Yes","No")</x:f>
        <x:v>No</x:v>
      </x:c>
    </x:row>
    <x:row r="627" ht="21" customHeight="1">
      <x:c r="A627" s="3" t="str">
        <x:v>ORD-101553</x:v>
      </x:c>
      <x:c r="B627" s="5" t="n">
        <x:v>45473</x:v>
      </x:c>
      <x:c r="C627" s="3" t="str">
        <x:v>CUST-00387</x:v>
      </x:c>
      <x:c r="D627" s="3" t="str">
        <x:v>South</x:v>
      </x:c>
      <x:c r="E627" s="3" t="str">
        <x:v>Electronics</x:v>
      </x:c>
      <x:c r="F627" s="3" t="str">
        <x:v>Mobile</x:v>
      </x:c>
      <x:c r="G627" s="3" t="str">
        <x:v>iPhone Zeta</x:v>
      </x:c>
      <x:c r="H627" s="3" t="n">
        <x:v>2</x:v>
      </x:c>
      <x:c r="I627" s="7" t="n">
        <x:v>71050.08</x:v>
      </x:c>
      <x:c r="J627" s="9" t="n">
        <x:v>0.4</x:v>
      </x:c>
      <x:c r="K627" s="7" t="n">
        <x:v>85260.1</x:v>
      </x:c>
      <x:c r="L627" s="7" t="n">
        <x:v>-24487.66</x:v>
      </x:c>
      <x:c r="M627" s="3" t="str">
        <x:v>UPI</x:v>
      </x:c>
      <x:c r="N627" s="3" t="str">
        <x:f>TEXT(B627,"yyyy-mm")</x:f>
        <x:v>2024-06</x:v>
      </x:c>
      <x:c r="O627" s="3" t="str">
        <x:f>IF(J627=0,"No discount",IF(J627&lt;=0.1,"1-10%",IF(J627&lt;=0.15,"11-15%",IF(J627&lt;=0.2,"16-20%","21%+"))))</x:f>
        <x:v>21%+</x:v>
      </x:c>
      <x:c r="P627" s="9" t="n">
        <x:f>IF(K627=0,0,L627/K627)</x:f>
        <x:v>-0.2872112512183307</x:v>
      </x:c>
      <x:c r="Q627" s="3" t="str">
        <x:f>IF(L627&lt;0,"Yes","No")</x:f>
        <x:v>Yes</x:v>
      </x:c>
    </x:row>
    <x:row r="628" ht="21" customHeight="1">
      <x:c r="A628" s="3" t="str">
        <x:v>ORD-100447</x:v>
      </x:c>
      <x:c r="B628" s="5" t="n">
        <x:v>45474</x:v>
      </x:c>
      <x:c r="C628" s="3" t="str">
        <x:v>CUST-00504</x:v>
      </x:c>
      <x:c r="D628" s="3" t="str">
        <x:v>North</x:v>
      </x:c>
      <x:c r="E628" s="3" t="str">
        <x:v>Home &amp; Kitchen</x:v>
      </x:c>
      <x:c r="F628" s="3" t="str">
        <x:v>Furniture</x:v>
      </x:c>
      <x:c r="G628" s="3" t="str">
        <x:v>Oakwood Study Desk</x:v>
      </x:c>
      <x:c r="H628" s="3" t="n">
        <x:v>1</x:v>
      </x:c>
      <x:c r="I628" s="7" t="n">
        <x:v>12854.18</x:v>
      </x:c>
      <x:c r="J628" s="9" t="n">
        <x:v>0</x:v>
      </x:c>
      <x:c r="K628" s="7" t="n">
        <x:v>12854.18</x:v>
      </x:c>
      <x:c r="L628" s="7" t="n">
        <x:v>4751.89</x:v>
      </x:c>
      <x:c r="M628" s="3" t="str">
        <x:v>Debit Card</x:v>
      </x:c>
      <x:c r="N628" s="3" t="str">
        <x:f>TEXT(B628,"yyyy-mm")</x:f>
        <x:v>2024-07</x:v>
      </x:c>
      <x:c r="O628" s="3" t="str">
        <x:f>IF(J628=0,"No discount",IF(J628&lt;=0.1,"1-10%",IF(J628&lt;=0.15,"11-15%",IF(J628&lt;=0.2,"16-20%","21%+"))))</x:f>
        <x:v>No discount</x:v>
      </x:c>
      <x:c r="P628" s="9" t="n">
        <x:f>IF(K628=0,0,L628/K628)</x:f>
        <x:v>0.3696766343710762</x:v>
      </x:c>
      <x:c r="Q628" s="3" t="str">
        <x:f>IF(L628&lt;0,"Yes","No")</x:f>
        <x:v>No</x:v>
      </x:c>
    </x:row>
    <x:row r="629" ht="21" customHeight="1">
      <x:c r="A629" s="3" t="str">
        <x:v>ORD-101008</x:v>
      </x:c>
      <x:c r="B629" s="5" t="n">
        <x:v>45474</x:v>
      </x:c>
      <x:c r="C629" s="3" t="str">
        <x:v>CUST-00046</x:v>
      </x:c>
      <x:c r="D629" s="3" t="str">
        <x:v>East</x:v>
      </x:c>
      <x:c r="E629" s="3" t="str">
        <x:v>Sports</x:v>
      </x:c>
      <x:c r="F629" s="3" t="str">
        <x:v>Fitness</x:v>
      </x:c>
      <x:c r="G629" s="3" t="str">
        <x:v>Adjustable Dumbbell 24kg</x:v>
      </x:c>
      <x:c r="H629" s="3" t="n">
        <x:v>5</x:v>
      </x:c>
      <x:c r="I629" s="7" t="n">
        <x:v>10324.36</x:v>
      </x:c>
      <x:c r="J629" s="9" t="n">
        <x:v>0</x:v>
      </x:c>
      <x:c r="K629" s="7" t="n">
        <x:v>51621.8</x:v>
      </x:c>
      <x:c r="L629" s="7" t="n">
        <x:v>21159.59</x:v>
      </x:c>
      <x:c r="M629" s="3" t="str">
        <x:v>Credit Card</x:v>
      </x:c>
      <x:c r="N629" s="3" t="str">
        <x:f>TEXT(B629,"yyyy-mm")</x:f>
        <x:v>2024-07</x:v>
      </x:c>
      <x:c r="O629" s="3" t="str">
        <x:f>IF(J629=0,"No discount",IF(J629&lt;=0.1,"1-10%",IF(J629&lt;=0.15,"11-15%",IF(J629&lt;=0.2,"16-20%","21%+"))))</x:f>
        <x:v>No discount</x:v>
      </x:c>
      <x:c r="P629" s="9" t="n">
        <x:f>IF(K629=0,0,L629/K629)</x:f>
        <x:v>0.40989640035798824</x:v>
      </x:c>
      <x:c r="Q629" s="3" t="str">
        <x:f>IF(L629&lt;0,"Yes","No")</x:f>
        <x:v>No</x:v>
      </x:c>
    </x:row>
    <x:row r="630" ht="21" customHeight="1">
      <x:c r="A630" s="3" t="str">
        <x:v>ORD-100174</x:v>
      </x:c>
      <x:c r="B630" s="5" t="n">
        <x:v>45475</x:v>
      </x:c>
      <x:c r="C630" s="3" t="str">
        <x:v>CUST-00099</x:v>
      </x:c>
      <x:c r="D630" s="3" t="str">
        <x:v>North</x:v>
      </x:c>
      <x:c r="E630" s="3" t="str">
        <x:v>Electronics</x:v>
      </x:c>
      <x:c r="F630" s="3" t="str">
        <x:v>Audio</x:v>
      </x:c>
      <x:c r="G630" s="3" t="str">
        <x:v>BassBoom Speaker</x:v>
      </x:c>
      <x:c r="H630" s="3" t="n">
        <x:v>1</x:v>
      </x:c>
      <x:c r="I630" s="7" t="n">
        <x:v>8796.29</x:v>
      </x:c>
      <x:c r="J630" s="9" t="n">
        <x:v>0.1</x:v>
      </x:c>
      <x:c r="K630" s="7" t="n">
        <x:v>7916.66</x:v>
      </x:c>
      <x:c r="L630" s="7" t="n">
        <x:v>816.99</x:v>
      </x:c>
      <x:c r="M630" s="3" t="str">
        <x:v>Debit Card</x:v>
      </x:c>
      <x:c r="N630" s="3" t="str">
        <x:f>TEXT(B630,"yyyy-mm")</x:f>
        <x:v>2024-07</x:v>
      </x:c>
      <x:c r="O630" s="3" t="str">
        <x:f>IF(J630=0,"No discount",IF(J630&lt;=0.1,"1-10%",IF(J630&lt;=0.15,"11-15%",IF(J630&lt;=0.2,"16-20%","21%+"))))</x:f>
        <x:v>1-10%</x:v>
      </x:c>
      <x:c r="P630" s="9" t="n">
        <x:f>IF(K630=0,0,L630/K630)</x:f>
        <x:v>0.1031988237463779</x:v>
      </x:c>
      <x:c r="Q630" s="3" t="str">
        <x:f>IF(L630&lt;0,"Yes","No")</x:f>
        <x:v>No</x:v>
      </x:c>
    </x:row>
    <x:row r="631" ht="21" customHeight="1">
      <x:c r="A631" s="3" t="str">
        <x:v>ORD-100316</x:v>
      </x:c>
      <x:c r="B631" s="5" t="n">
        <x:v>45475</x:v>
      </x:c>
      <x:c r="C631" s="3" t="str">
        <x:v>CUST-00580</x:v>
      </x:c>
      <x:c r="D631" s="3" t="str">
        <x:v>South</x:v>
      </x:c>
      <x:c r="E631" s="3" t="str">
        <x:v>Electronics</x:v>
      </x:c>
      <x:c r="F631" s="3" t="str">
        <x:v>Audio</x:v>
      </x:c>
      <x:c r="G631" s="3" t="str">
        <x:v>SoundPods Pro</x:v>
      </x:c>
      <x:c r="H631" s="3" t="n">
        <x:v>3</x:v>
      </x:c>
      <x:c r="I631" s="7" t="n">
        <x:v>5056.01</x:v>
      </x:c>
      <x:c r="J631" s="9" t="n">
        <x:v>0.15</x:v>
      </x:c>
      <x:c r="K631" s="7" t="n">
        <x:v>12892.83</x:v>
      </x:c>
      <x:c r="L631" s="7" t="n">
        <x:v>-247.96</x:v>
      </x:c>
      <x:c r="M631" s="3" t="str">
        <x:v>Credit Card</x:v>
      </x:c>
      <x:c r="N631" s="3" t="str">
        <x:f>TEXT(B631,"yyyy-mm")</x:f>
        <x:v>2024-07</x:v>
      </x:c>
      <x:c r="O631" s="3" t="str">
        <x:f>IF(J631=0,"No discount",IF(J631&lt;=0.1,"1-10%",IF(J631&lt;=0.15,"11-15%",IF(J631&lt;=0.2,"16-20%","21%+"))))</x:f>
        <x:v>11-15%</x:v>
      </x:c>
      <x:c r="P631" s="9" t="n">
        <x:f>IF(K631=0,0,L631/K631)</x:f>
        <x:v>-0.019232395059889877</x:v>
      </x:c>
      <x:c r="Q631" s="3" t="str">
        <x:f>IF(L631&lt;0,"Yes","No")</x:f>
        <x:v>Yes</x:v>
      </x:c>
    </x:row>
    <x:row r="632" ht="21" customHeight="1">
      <x:c r="A632" s="3" t="str">
        <x:v>ORD-100372</x:v>
      </x:c>
      <x:c r="B632" s="5" t="n">
        <x:v>45475</x:v>
      </x:c>
      <x:c r="C632" s="3" t="str">
        <x:v>CUST-00572</x:v>
      </x:c>
      <x:c r="D632" s="3" t="str">
        <x:v>North</x:v>
      </x:c>
      <x:c r="E632" s="3" t="str">
        <x:v>Beauty</x:v>
      </x:c>
      <x:c r="F632" s="3" t="str">
        <x:v>Skincare</x:v>
      </x:c>
      <x:c r="G632" s="3" t="str">
        <x:v>Vitamin C Serum</x:v>
      </x:c>
      <x:c r="H632" s="3" t="n">
        <x:v>2</x:v>
      </x:c>
      <x:c r="I632" s="7" t="n">
        <x:v>871.08</x:v>
      </x:c>
      <x:c r="J632" s="9" t="n">
        <x:v>0.1</x:v>
      </x:c>
      <x:c r="K632" s="7" t="n">
        <x:v>1567.94</x:v>
      </x:c>
      <x:c r="L632" s="7" t="n">
        <x:v>685.34</x:v>
      </x:c>
      <x:c r="M632" s="3" t="str">
        <x:v>Credit Card</x:v>
      </x:c>
      <x:c r="N632" s="3" t="str">
        <x:f>TEXT(B632,"yyyy-mm")</x:f>
        <x:v>2024-07</x:v>
      </x:c>
      <x:c r="O632" s="3" t="str">
        <x:f>IF(J632=0,"No discount",IF(J632&lt;=0.1,"1-10%",IF(J632&lt;=0.15,"11-15%",IF(J632&lt;=0.2,"16-20%","21%+"))))</x:f>
        <x:v>1-10%</x:v>
      </x:c>
      <x:c r="P632" s="9" t="n">
        <x:f>IF(K632=0,0,L632/K632)</x:f>
        <x:v>0.43709580723752184</x:v>
      </x:c>
      <x:c r="Q632" s="3" t="str">
        <x:f>IF(L632&lt;0,"Yes","No")</x:f>
        <x:v>No</x:v>
      </x:c>
    </x:row>
    <x:row r="633" ht="21" customHeight="1">
      <x:c r="A633" s="3" t="str">
        <x:v>ORD-101118</x:v>
      </x:c>
      <x:c r="B633" s="5" t="n">
        <x:v>45475</x:v>
      </x:c>
      <x:c r="C633" s="3" t="str">
        <x:v>CUST-00474</x:v>
      </x:c>
      <x:c r="D633" s="3" t="str">
        <x:v>East</x:v>
      </x:c>
      <x:c r="E633" s="3" t="str">
        <x:v>Sports</x:v>
      </x:c>
      <x:c r="F633" s="3" t="str">
        <x:v>Fitness</x:v>
      </x:c>
      <x:c r="G633" s="3" t="str">
        <x:v>ProYoga Mat</x:v>
      </x:c>
      <x:c r="H633" s="3" t="n">
        <x:v>1</x:v>
      </x:c>
      <x:c r="I633" s="7" t="n">
        <x:v>1312.33</x:v>
      </x:c>
      <x:c r="J633" s="9" t="n">
        <x:v>0.3</x:v>
      </x:c>
      <x:c r="K633" s="7" t="n">
        <x:v>918.63</x:v>
      </x:c>
      <x:c r="L633" s="7" t="n">
        <x:v>1.07</x:v>
      </x:c>
      <x:c r="M633" s="3" t="str">
        <x:v>UPI</x:v>
      </x:c>
      <x:c r="N633" s="3" t="str">
        <x:f>TEXT(B633,"yyyy-mm")</x:f>
        <x:v>2024-07</x:v>
      </x:c>
      <x:c r="O633" s="3" t="str">
        <x:f>IF(J633=0,"No discount",IF(J633&lt;=0.1,"1-10%",IF(J633&lt;=0.15,"11-15%",IF(J633&lt;=0.2,"16-20%","21%+"))))</x:f>
        <x:v>21%+</x:v>
      </x:c>
      <x:c r="P633" s="9" t="n">
        <x:f>IF(K633=0,0,L633/K633)</x:f>
        <x:v>0.0011647779846075134</x:v>
      </x:c>
      <x:c r="Q633" s="3" t="str">
        <x:f>IF(L633&lt;0,"Yes","No")</x:f>
        <x:v>No</x:v>
      </x:c>
    </x:row>
    <x:row r="634" ht="21" customHeight="1">
      <x:c r="A634" s="3" t="str">
        <x:v>ORD-101899</x:v>
      </x:c>
      <x:c r="B634" s="5" t="n">
        <x:v>45475</x:v>
      </x:c>
      <x:c r="C634" s="3" t="str">
        <x:v>CUST-00237</x:v>
      </x:c>
      <x:c r="D634" s="3" t="str">
        <x:v>West</x:v>
      </x:c>
      <x:c r="E634" s="3" t="str">
        <x:v>Home &amp; Kitchen</x:v>
      </x:c>
      <x:c r="F634" s="3" t="str">
        <x:v>Furniture</x:v>
      </x:c>
      <x:c r="G634" s="3" t="str">
        <x:v>ErgoComfort Chair</x:v>
      </x:c>
      <x:c r="H634" s="3" t="n">
        <x:v>2</x:v>
      </x:c>
      <x:c r="I634" s="7" t="n">
        <x:v>8925.93</x:v>
      </x:c>
      <x:c r="J634" s="9" t="n">
        <x:v>0.3</x:v>
      </x:c>
      <x:c r="K634" s="7" t="n">
        <x:v>12496.3</x:v>
      </x:c>
      <x:c r="L634" s="7" t="n">
        <x:v>-304.33</x:v>
      </x:c>
      <x:c r="M634" s="3" t="str">
        <x:v>Net Banking</x:v>
      </x:c>
      <x:c r="N634" s="3" t="str">
        <x:f>TEXT(B634,"yyyy-mm")</x:f>
        <x:v>2024-07</x:v>
      </x:c>
      <x:c r="O634" s="3" t="str">
        <x:f>IF(J634=0,"No discount",IF(J634&lt;=0.1,"1-10%",IF(J634&lt;=0.15,"11-15%",IF(J634&lt;=0.2,"16-20%","21%+"))))</x:f>
        <x:v>21%+</x:v>
      </x:c>
      <x:c r="P634" s="9" t="n">
        <x:f>IF(K634=0,0,L634/K634)</x:f>
        <x:v>-0.02435360866816578</x:v>
      </x:c>
      <x:c r="Q634" s="3" t="str">
        <x:f>IF(L634&lt;0,"Yes","No")</x:f>
        <x:v>Yes</x:v>
      </x:c>
    </x:row>
    <x:row r="635" ht="21" customHeight="1">
      <x:c r="A635" s="3" t="str">
        <x:v>ORD-100121</x:v>
      </x:c>
      <x:c r="B635" s="5" t="n">
        <x:v>45476</x:v>
      </x:c>
      <x:c r="C635" s="3" t="str">
        <x:v>CUST-00329</x:v>
      </x:c>
      <x:c r="D635" s="3" t="str">
        <x:v>North</x:v>
      </x:c>
      <x:c r="E635" s="3" t="str">
        <x:v>Sports</x:v>
      </x:c>
      <x:c r="F635" s="3" t="str">
        <x:v>Outdoor</x:v>
      </x:c>
      <x:c r="G635" s="3" t="str">
        <x:v>AllWeather Tent 4P</x:v>
      </x:c>
      <x:c r="H635" s="3" t="n">
        <x:v>4</x:v>
      </x:c>
      <x:c r="I635" s="7" t="n">
        <x:v>12360.35</x:v>
      </x:c>
      <x:c r="J635" s="9" t="n">
        <x:v>0.05</x:v>
      </x:c>
      <x:c r="K635" s="7" t="n">
        <x:v>46969.33</x:v>
      </x:c>
      <x:c r="L635" s="7" t="n">
        <x:v>16000.88</x:v>
      </x:c>
      <x:c r="M635" s="3" t="str">
        <x:v>Credit Card</x:v>
      </x:c>
      <x:c r="N635" s="3" t="str">
        <x:f>TEXT(B635,"yyyy-mm")</x:f>
        <x:v>2024-07</x:v>
      </x:c>
      <x:c r="O635" s="3" t="str">
        <x:f>IF(J635=0,"No discount",IF(J635&lt;=0.1,"1-10%",IF(J635&lt;=0.15,"11-15%",IF(J635&lt;=0.2,"16-20%","21%+"))))</x:f>
        <x:v>1-10%</x:v>
      </x:c>
      <x:c r="P635" s="9" t="n">
        <x:f>IF(K635=0,0,L635/K635)</x:f>
        <x:v>0.3406665583690463</x:v>
      </x:c>
      <x:c r="Q635" s="3" t="str">
        <x:f>IF(L635&lt;0,"Yes","No")</x:f>
        <x:v>No</x:v>
      </x:c>
    </x:row>
    <x:row r="636" ht="21" customHeight="1">
      <x:c r="A636" s="3" t="str">
        <x:v>ORD-100433</x:v>
      </x:c>
      <x:c r="B636" s="5" t="n">
        <x:v>45476</x:v>
      </x:c>
      <x:c r="C636" s="3" t="str">
        <x:v>CUST-00435</x:v>
      </x:c>
      <x:c r="D636" s="3" t="str">
        <x:v>East</x:v>
      </x:c>
      <x:c r="E636" s="3" t="str">
        <x:v>Sports</x:v>
      </x:c>
      <x:c r="F636" s="3" t="str">
        <x:v>Fitness</x:v>
      </x:c>
      <x:c r="G636" s="3" t="str">
        <x:v>ProYoga Mat</x:v>
      </x:c>
      <x:c r="H636" s="3" t="n">
        <x:v>1</x:v>
      </x:c>
      <x:c r="I636" s="7" t="n">
        <x:v>1345.78</x:v>
      </x:c>
      <x:c r="J636" s="9" t="n">
        <x:v>0.15</x:v>
      </x:c>
      <x:c r="K636" s="7" t="n">
        <x:v>1143.91</x:v>
      </x:c>
      <x:c r="L636" s="7" t="n">
        <x:v>273.38</x:v>
      </x:c>
      <x:c r="M636" s="3" t="str">
        <x:v>Cash on Delivery</x:v>
      </x:c>
      <x:c r="N636" s="3" t="str">
        <x:f>TEXT(B636,"yyyy-mm")</x:f>
        <x:v>2024-07</x:v>
      </x:c>
      <x:c r="O636" s="3" t="str">
        <x:f>IF(J636=0,"No discount",IF(J636&lt;=0.1,"1-10%",IF(J636&lt;=0.15,"11-15%",IF(J636&lt;=0.2,"16-20%","21%+"))))</x:f>
        <x:v>11-15%</x:v>
      </x:c>
      <x:c r="P636" s="9" t="n">
        <x:f>IF(K636=0,0,L636/K636)</x:f>
        <x:v>0.23898733291954785</x:v>
      </x:c>
      <x:c r="Q636" s="3" t="str">
        <x:f>IF(L636&lt;0,"Yes","No")</x:f>
        <x:v>No</x:v>
      </x:c>
    </x:row>
    <x:row r="637" ht="21" customHeight="1">
      <x:c r="A637" s="3" t="str">
        <x:v>ORD-100758</x:v>
      </x:c>
      <x:c r="B637" s="5" t="n">
        <x:v>45476</x:v>
      </x:c>
      <x:c r="C637" s="3" t="str">
        <x:v>CUST-00183</x:v>
      </x:c>
      <x:c r="D637" s="3" t="str">
        <x:v>West</x:v>
      </x:c>
      <x:c r="E637" s="3" t="str">
        <x:v>Electronics</x:v>
      </x:c>
      <x:c r="F637" s="3" t="str">
        <x:v>Laptop</x:v>
      </x:c>
      <x:c r="G637" s="3" t="str">
        <x:v>ThinkPro 14</x:v>
      </x:c>
      <x:c r="H637" s="3" t="n">
        <x:v>1</x:v>
      </x:c>
      <x:c r="I637" s="7" t="n">
        <x:v>53405.66</x:v>
      </x:c>
      <x:c r="J637" s="9" t="n">
        <x:v>0.1</x:v>
      </x:c>
      <x:c r="K637" s="7" t="n">
        <x:v>48065.09</x:v>
      </x:c>
      <x:c r="L637" s="7" t="n">
        <x:v>2816.26</x:v>
      </x:c>
      <x:c r="M637" s="3" t="str">
        <x:v>Credit Card</x:v>
      </x:c>
      <x:c r="N637" s="3" t="str">
        <x:f>TEXT(B637,"yyyy-mm")</x:f>
        <x:v>2024-07</x:v>
      </x:c>
      <x:c r="O637" s="3" t="str">
        <x:f>IF(J637=0,"No discount",IF(J637&lt;=0.1,"1-10%",IF(J637&lt;=0.15,"11-15%",IF(J637&lt;=0.2,"16-20%","21%+"))))</x:f>
        <x:v>1-10%</x:v>
      </x:c>
      <x:c r="P637" s="9" t="n">
        <x:f>IF(K637=0,0,L637/K637)</x:f>
        <x:v>0.05859262928666108</x:v>
      </x:c>
      <x:c r="Q637" s="3" t="str">
        <x:f>IF(L637&lt;0,"Yes","No")</x:f>
        <x:v>No</x:v>
      </x:c>
    </x:row>
    <x:row r="638" ht="21" customHeight="1">
      <x:c r="A638" s="3" t="str">
        <x:v>ORD-101329</x:v>
      </x:c>
      <x:c r="B638" s="5" t="n">
        <x:v>45476</x:v>
      </x:c>
      <x:c r="C638" s="3" t="str">
        <x:v>CUST-00490</x:v>
      </x:c>
      <x:c r="D638" s="3" t="str">
        <x:v>North</x:v>
      </x:c>
      <x:c r="E638" s="3" t="str">
        <x:v>Sports</x:v>
      </x:c>
      <x:c r="F638" s="3" t="str">
        <x:v>Outdoor</x:v>
      </x:c>
      <x:c r="G638" s="3" t="str">
        <x:v>TrailHike Backpack 60L</x:v>
      </x:c>
      <x:c r="H638" s="3" t="n">
        <x:v>1</x:v>
      </x:c>
      <x:c r="I638" s="7" t="n">
        <x:v>3666.57</x:v>
      </x:c>
      <x:c r="J638" s="9" t="n">
        <x:v>0.1</x:v>
      </x:c>
      <x:c r="K638" s="7" t="n">
        <x:v>3299.91</x:v>
      </x:c>
      <x:c r="L638" s="7" t="n">
        <x:v>954.62</x:v>
      </x:c>
      <x:c r="M638" s="3" t="str">
        <x:v>UPI</x:v>
      </x:c>
      <x:c r="N638" s="3" t="str">
        <x:f>TEXT(B638,"yyyy-mm")</x:f>
        <x:v>2024-07</x:v>
      </x:c>
      <x:c r="O638" s="3" t="str">
        <x:f>IF(J638=0,"No discount",IF(J638&lt;=0.1,"1-10%",IF(J638&lt;=0.15,"11-15%",IF(J638&lt;=0.2,"16-20%","21%+"))))</x:f>
        <x:v>1-10%</x:v>
      </x:c>
      <x:c r="P638" s="9" t="n">
        <x:f>IF(K638=0,0,L638/K638)</x:f>
        <x:v>0.2892866775154474</x:v>
      </x:c>
      <x:c r="Q638" s="3" t="str">
        <x:f>IF(L638&lt;0,"Yes","No")</x:f>
        <x:v>No</x:v>
      </x:c>
    </x:row>
    <x:row r="639" ht="21" customHeight="1">
      <x:c r="A639" s="3" t="str">
        <x:v>ORD-101495</x:v>
      </x:c>
      <x:c r="B639" s="5" t="n">
        <x:v>45476</x:v>
      </x:c>
      <x:c r="C639" s="3" t="str">
        <x:v>CUST-00145</x:v>
      </x:c>
      <x:c r="D639" s="3" t="str">
        <x:v>North</x:v>
      </x:c>
      <x:c r="E639" s="3" t="str">
        <x:v>Sports</x:v>
      </x:c>
      <x:c r="F639" s="3" t="str">
        <x:v>Outdoor</x:v>
      </x:c>
      <x:c r="G639" s="3" t="str">
        <x:v>AllWeather Tent 4P</x:v>
      </x:c>
      <x:c r="H639" s="3" t="n">
        <x:v>2</x:v>
      </x:c>
      <x:c r="I639" s="7" t="n">
        <x:v>11541.54</x:v>
      </x:c>
      <x:c r="J639" s="9" t="n">
        <x:v>0.15</x:v>
      </x:c>
      <x:c r="K639" s="7" t="n">
        <x:v>19620.62</x:v>
      </x:c>
      <x:c r="L639" s="7" t="n">
        <x:v>3969.79</x:v>
      </x:c>
      <x:c r="M639" s="3" t="str">
        <x:v>UPI</x:v>
      </x:c>
      <x:c r="N639" s="3" t="str">
        <x:f>TEXT(B639,"yyyy-mm")</x:f>
        <x:v>2024-07</x:v>
      </x:c>
      <x:c r="O639" s="3" t="str">
        <x:f>IF(J639=0,"No discount",IF(J639&lt;=0.1,"1-10%",IF(J639&lt;=0.15,"11-15%",IF(J639&lt;=0.2,"16-20%","21%+"))))</x:f>
        <x:v>11-15%</x:v>
      </x:c>
      <x:c r="P639" s="9" t="n">
        <x:f>IF(K639=0,0,L639/K639)</x:f>
        <x:v>0.20232744938743016</x:v>
      </x:c>
      <x:c r="Q639" s="3" t="str">
        <x:f>IF(L639&lt;0,"Yes","No")</x:f>
        <x:v>No</x:v>
      </x:c>
    </x:row>
    <x:row r="640" ht="21" customHeight="1">
      <x:c r="A640" s="3" t="str">
        <x:v>ORD-100910</x:v>
      </x:c>
      <x:c r="B640" s="5" t="n">
        <x:v>45477</x:v>
      </x:c>
      <x:c r="C640" s="3" t="str">
        <x:v>CUST-00280</x:v>
      </x:c>
      <x:c r="D640" s="3" t="str">
        <x:v>North</x:v>
      </x:c>
      <x:c r="E640" s="3" t="str">
        <x:v>Electronics</x:v>
      </x:c>
      <x:c r="F640" s="3" t="str">
        <x:v>Laptop</x:v>
      </x:c>
      <x:c r="G640" s="3" t="str">
        <x:v>AirBook Slim</x:v>
      </x:c>
      <x:c r="H640" s="3" t="n">
        <x:v>1</x:v>
      </x:c>
      <x:c r="I640" s="7" t="n">
        <x:v>77219.84</x:v>
      </x:c>
      <x:c r="J640" s="9" t="n">
        <x:v>0.25</x:v>
      </x:c>
      <x:c r="K640" s="7" t="n">
        <x:v>57914.88</x:v>
      </x:c>
      <x:c r="L640" s="7" t="n">
        <x:v>-5350.81</x:v>
      </x:c>
      <x:c r="M640" s="3" t="str">
        <x:v>Credit Card</x:v>
      </x:c>
      <x:c r="N640" s="3" t="str">
        <x:f>TEXT(B640,"yyyy-mm")</x:f>
        <x:v>2024-07</x:v>
      </x:c>
      <x:c r="O640" s="3" t="str">
        <x:f>IF(J640=0,"No discount",IF(J640&lt;=0.1,"1-10%",IF(J640&lt;=0.15,"11-15%",IF(J640&lt;=0.2,"16-20%","21%+"))))</x:f>
        <x:v>21%+</x:v>
      </x:c>
      <x:c r="P640" s="9" t="n">
        <x:f>IF(K640=0,0,L640/K640)</x:f>
        <x:v>-0.09239093649162358</x:v>
      </x:c>
      <x:c r="Q640" s="3" t="str">
        <x:f>IF(L640&lt;0,"Yes","No")</x:f>
        <x:v>Yes</x:v>
      </x:c>
    </x:row>
    <x:row r="641" ht="21" customHeight="1">
      <x:c r="A641" s="3" t="str">
        <x:v>ORD-100040</x:v>
      </x:c>
      <x:c r="B641" s="5" t="n">
        <x:v>45478</x:v>
      </x:c>
      <x:c r="C641" s="3" t="str">
        <x:v>CUST-00389</x:v>
      </x:c>
      <x:c r="D641" s="3" t="str">
        <x:v>East</x:v>
      </x:c>
      <x:c r="E641" s="3" t="str">
        <x:v>Sports</x:v>
      </x:c>
      <x:c r="F641" s="3" t="str">
        <x:v>Fitness</x:v>
      </x:c>
      <x:c r="G641" s="3" t="str">
        <x:v>Adjustable Dumbbell 24kg</x:v>
      </x:c>
      <x:c r="H641" s="3" t="n">
        <x:v>4</x:v>
      </x:c>
      <x:c r="I641" s="7" t="n">
        <x:v>10033.12</x:v>
      </x:c>
      <x:c r="J641" s="9" t="n">
        <x:v>0.4</x:v>
      </x:c>
      <x:c r="K641" s="7" t="n">
        <x:v>24079.49</x:v>
      </x:c>
      <x:c r="L641" s="7" t="n">
        <x:v>-1142.47</x:v>
      </x:c>
      <x:c r="M641" s="3" t="str">
        <x:v>Credit Card</x:v>
      </x:c>
      <x:c r="N641" s="3" t="str">
        <x:f>TEXT(B641,"yyyy-mm")</x:f>
        <x:v>2024-07</x:v>
      </x:c>
      <x:c r="O641" s="3" t="str">
        <x:f>IF(J641=0,"No discount",IF(J641&lt;=0.1,"1-10%",IF(J641&lt;=0.15,"11-15%",IF(J641&lt;=0.2,"16-20%","21%+"))))</x:f>
        <x:v>21%+</x:v>
      </x:c>
      <x:c r="P641" s="9" t="n">
        <x:f>IF(K641=0,0,L641/K641)</x:f>
        <x:v>-0.047445772314945206</x:v>
      </x:c>
      <x:c r="Q641" s="3" t="str">
        <x:f>IF(L641&lt;0,"Yes","No")</x:f>
        <x:v>Yes</x:v>
      </x:c>
    </x:row>
    <x:row r="642" ht="21" customHeight="1">
      <x:c r="A642" s="3" t="str">
        <x:v>ORD-100047</x:v>
      </x:c>
      <x:c r="B642" s="5" t="n">
        <x:v>45478</x:v>
      </x:c>
      <x:c r="C642" s="3" t="str">
        <x:v>CUST-00364</x:v>
      </x:c>
      <x:c r="D642" s="3" t="str">
        <x:v>East</x:v>
      </x:c>
      <x:c r="E642" s="3" t="str">
        <x:v>Home &amp; Kitchen</x:v>
      </x:c>
      <x:c r="F642" s="3" t="str">
        <x:v>Furniture</x:v>
      </x:c>
      <x:c r="G642" s="3" t="str">
        <x:v>Oakwood Study Desk</x:v>
      </x:c>
      <x:c r="H642" s="3" t="n">
        <x:v>1</x:v>
      </x:c>
      <x:c r="I642" s="7" t="n">
        <x:v>13324.59</x:v>
      </x:c>
      <x:c r="J642" s="9" t="n">
        <x:v>0.05</x:v>
      </x:c>
      <x:c r="K642" s="7" t="n">
        <x:v>12658.36</x:v>
      </x:c>
      <x:c r="L642" s="7" t="n">
        <x:v>3520.14</x:v>
      </x:c>
      <x:c r="M642" s="3" t="str">
        <x:v>UPI</x:v>
      </x:c>
      <x:c r="N642" s="3" t="str">
        <x:f>TEXT(B642,"yyyy-mm")</x:f>
        <x:v>2024-07</x:v>
      </x:c>
      <x:c r="O642" s="3" t="str">
        <x:f>IF(J642=0,"No discount",IF(J642&lt;=0.1,"1-10%",IF(J642&lt;=0.15,"11-15%",IF(J642&lt;=0.2,"16-20%","21%+"))))</x:f>
        <x:v>1-10%</x:v>
      </x:c>
      <x:c r="P642" s="9" t="n">
        <x:f>IF(K642=0,0,L642/K642)</x:f>
        <x:v>0.2780881567596434</x:v>
      </x:c>
      <x:c r="Q642" s="3" t="str">
        <x:f>IF(L642&lt;0,"Yes","No")</x:f>
        <x:v>No</x:v>
      </x:c>
    </x:row>
    <x:row r="643" ht="21" customHeight="1">
      <x:c r="A643" s="3" t="str">
        <x:v>ORD-101268</x:v>
      </x:c>
      <x:c r="B643" s="5" t="n">
        <x:v>45478</x:v>
      </x:c>
      <x:c r="C643" s="3" t="str">
        <x:v>CUST-00291</x:v>
      </x:c>
      <x:c r="D643" s="3" t="str">
        <x:v>East</x:v>
      </x:c>
      <x:c r="E643" s="3" t="str">
        <x:v>Home &amp; Kitchen</x:v>
      </x:c>
      <x:c r="F643" s="3" t="str">
        <x:v>Decor</x:v>
      </x:c>
      <x:c r="G643" s="3" t="str">
        <x:v>Ceramic Vase Set</x:v>
      </x:c>
      <x:c r="H643" s="3" t="n">
        <x:v>1</x:v>
      </x:c>
      <x:c r="I643" s="7" t="n">
        <x:v>1496.08</x:v>
      </x:c>
      <x:c r="J643" s="9" t="n">
        <x:v>0.05</x:v>
      </x:c>
      <x:c r="K643" s="7" t="n">
        <x:v>1421.28</x:v>
      </x:c>
      <x:c r="L643" s="7" t="n">
        <x:v>389.78</x:v>
      </x:c>
      <x:c r="M643" s="3" t="str">
        <x:v>Credit Card</x:v>
      </x:c>
      <x:c r="N643" s="3" t="str">
        <x:f>TEXT(B643,"yyyy-mm")</x:f>
        <x:v>2024-07</x:v>
      </x:c>
      <x:c r="O643" s="3" t="str">
        <x:f>IF(J643=0,"No discount",IF(J643&lt;=0.1,"1-10%",IF(J643&lt;=0.15,"11-15%",IF(J643&lt;=0.2,"16-20%","21%+"))))</x:f>
        <x:v>1-10%</x:v>
      </x:c>
      <x:c r="P643" s="9" t="n">
        <x:f>IF(K643=0,0,L643/K643)</x:f>
        <x:v>0.2742457503095801</x:v>
      </x:c>
      <x:c r="Q643" s="3" t="str">
        <x:f>IF(L643&lt;0,"Yes","No")</x:f>
        <x:v>No</x:v>
      </x:c>
    </x:row>
    <x:row r="644" ht="21" customHeight="1">
      <x:c r="A644" s="3" t="str">
        <x:v>ORD-101383</x:v>
      </x:c>
      <x:c r="B644" s="5" t="n">
        <x:v>45478</x:v>
      </x:c>
      <x:c r="C644" s="3" t="str">
        <x:v>CUST-00322</x:v>
      </x:c>
      <x:c r="D644" s="3" t="str">
        <x:v>East</x:v>
      </x:c>
      <x:c r="E644" s="3" t="str">
        <x:v>Sports</x:v>
      </x:c>
      <x:c r="F644" s="3" t="str">
        <x:v>Outdoor</x:v>
      </x:c>
      <x:c r="G644" s="3" t="str">
        <x:v>TrailHike Backpack 60L</x:v>
      </x:c>
      <x:c r="H644" s="3" t="n">
        <x:v>1</x:v>
      </x:c>
      <x:c r="I644" s="7" t="n">
        <x:v>3417.84</x:v>
      </x:c>
      <x:c r="J644" s="9" t="n">
        <x:v>0.25</x:v>
      </x:c>
      <x:c r="K644" s="7" t="n">
        <x:v>2563.38</x:v>
      </x:c>
      <x:c r="L644" s="7" t="n">
        <x:v>327.45</x:v>
      </x:c>
      <x:c r="M644" s="3" t="str">
        <x:v>Cash on Delivery</x:v>
      </x:c>
      <x:c r="N644" s="3" t="str">
        <x:f>TEXT(B644,"yyyy-mm")</x:f>
        <x:v>2024-07</x:v>
      </x:c>
      <x:c r="O644" s="3" t="str">
        <x:f>IF(J644=0,"No discount",IF(J644&lt;=0.1,"1-10%",IF(J644&lt;=0.15,"11-15%",IF(J644&lt;=0.2,"16-20%","21%+"))))</x:f>
        <x:v>21%+</x:v>
      </x:c>
      <x:c r="P644" s="9" t="n">
        <x:f>IF(K644=0,0,L644/K644)</x:f>
        <x:v>0.1277414975540107</x:v>
      </x:c>
      <x:c r="Q644" s="3" t="str">
        <x:f>IF(L644&lt;0,"Yes","No")</x:f>
        <x:v>No</x:v>
      </x:c>
    </x:row>
    <x:row r="645" ht="21" customHeight="1">
      <x:c r="A645" s="3" t="str">
        <x:v>ORD-101532</x:v>
      </x:c>
      <x:c r="B645" s="5" t="n">
        <x:v>45478</x:v>
      </x:c>
      <x:c r="C645" s="3" t="str">
        <x:v>CUST-00039</x:v>
      </x:c>
      <x:c r="D645" s="3" t="str">
        <x:v>North</x:v>
      </x:c>
      <x:c r="E645" s="3" t="str">
        <x:v>Beauty</x:v>
      </x:c>
      <x:c r="F645" s="3" t="str">
        <x:v>Skincare</x:v>
      </x:c>
      <x:c r="G645" s="3" t="str">
        <x:v>Vitamin C Serum</x:v>
      </x:c>
      <x:c r="H645" s="3" t="n">
        <x:v>1</x:v>
      </x:c>
      <x:c r="I645" s="7" t="n">
        <x:v>891.92</x:v>
      </x:c>
      <x:c r="J645" s="9" t="n">
        <x:v>0.1</x:v>
      </x:c>
      <x:c r="K645" s="7" t="n">
        <x:v>802.73</x:v>
      </x:c>
      <x:c r="L645" s="7" t="n">
        <x:v>373.2</x:v>
      </x:c>
      <x:c r="M645" s="3" t="str">
        <x:v>UPI</x:v>
      </x:c>
      <x:c r="N645" s="3" t="str">
        <x:f>TEXT(B645,"yyyy-mm")</x:f>
        <x:v>2024-07</x:v>
      </x:c>
      <x:c r="O645" s="3" t="str">
        <x:f>IF(J645=0,"No discount",IF(J645&lt;=0.1,"1-10%",IF(J645&lt;=0.15,"11-15%",IF(J645&lt;=0.2,"16-20%","21%+"))))</x:f>
        <x:v>1-10%</x:v>
      </x:c>
      <x:c r="P645" s="9" t="n">
        <x:f>IF(K645=0,0,L645/K645)</x:f>
        <x:v>0.4649134827401492</x:v>
      </x:c>
      <x:c r="Q645" s="3" t="str">
        <x:f>IF(L645&lt;0,"Yes","No")</x:f>
        <x:v>No</x:v>
      </x:c>
    </x:row>
    <x:row r="646" ht="21" customHeight="1">
      <x:c r="A646" s="3" t="str">
        <x:v>ORD-101606</x:v>
      </x:c>
      <x:c r="B646" s="5" t="n">
        <x:v>45478</x:v>
      </x:c>
      <x:c r="C646" s="3" t="str">
        <x:v>CUST-00380</x:v>
      </x:c>
      <x:c r="D646" s="3" t="str">
        <x:v>West</x:v>
      </x:c>
      <x:c r="E646" s="3" t="str">
        <x:v>Beauty</x:v>
      </x:c>
      <x:c r="F646" s="3" t="str">
        <x:v>Skincare</x:v>
      </x:c>
      <x:c r="G646" s="3" t="str">
        <x:v>HydraBoost Moisturizer</x:v>
      </x:c>
      <x:c r="H646" s="3" t="n">
        <x:v>1</x:v>
      </x:c>
      <x:c r="I646" s="7" t="n">
        <x:v>1141.24</x:v>
      </x:c>
      <x:c r="J646" s="9" t="n">
        <x:v>0.2</x:v>
      </x:c>
      <x:c r="K646" s="7" t="n">
        <x:v>912.99</x:v>
      </x:c>
      <x:c r="L646" s="7" t="n">
        <x:v>317.48</x:v>
      </x:c>
      <x:c r="M646" s="3" t="str">
        <x:v>Cash on Delivery</x:v>
      </x:c>
      <x:c r="N646" s="3" t="str">
        <x:f>TEXT(B646,"yyyy-mm")</x:f>
        <x:v>2024-07</x:v>
      </x:c>
      <x:c r="O646" s="3" t="str">
        <x:f>IF(J646=0,"No discount",IF(J646&lt;=0.1,"1-10%",IF(J646&lt;=0.15,"11-15%",IF(J646&lt;=0.2,"16-20%","21%+"))))</x:f>
        <x:v>16-20%</x:v>
      </x:c>
      <x:c r="P646" s="9" t="n">
        <x:f>IF(K646=0,0,L646/K646)</x:f>
        <x:v>0.3477365579031534</x:v>
      </x:c>
      <x:c r="Q646" s="3" t="str">
        <x:f>IF(L646&lt;0,"Yes","No")</x:f>
        <x:v>No</x:v>
      </x:c>
    </x:row>
    <x:row r="647" ht="21" customHeight="1">
      <x:c r="A647" s="3" t="str">
        <x:v>ORD-100939</x:v>
      </x:c>
      <x:c r="B647" s="5" t="n">
        <x:v>45479</x:v>
      </x:c>
      <x:c r="C647" s="3" t="str">
        <x:v>CUST-00112</x:v>
      </x:c>
      <x:c r="D647" s="3" t="str">
        <x:v>West</x:v>
      </x:c>
      <x:c r="E647" s="3" t="str">
        <x:v>Sports</x:v>
      </x:c>
      <x:c r="F647" s="3" t="str">
        <x:v>Outdoor</x:v>
      </x:c>
      <x:c r="G647" s="3" t="str">
        <x:v>TrailHike Backpack 60L</x:v>
      </x:c>
      <x:c r="H647" s="3" t="n">
        <x:v>1</x:v>
      </x:c>
      <x:c r="I647" s="7" t="n">
        <x:v>3559.52</x:v>
      </x:c>
      <x:c r="J647" s="9" t="n">
        <x:v>0.15</x:v>
      </x:c>
      <x:c r="K647" s="7" t="n">
        <x:v>3025.59</x:v>
      </x:c>
      <x:c r="L647" s="7" t="n">
        <x:v>529.68</x:v>
      </x:c>
      <x:c r="M647" s="3" t="str">
        <x:v>UPI</x:v>
      </x:c>
      <x:c r="N647" s="3" t="str">
        <x:f>TEXT(B647,"yyyy-mm")</x:f>
        <x:v>2024-07</x:v>
      </x:c>
      <x:c r="O647" s="3" t="str">
        <x:f>IF(J647=0,"No discount",IF(J647&lt;=0.1,"1-10%",IF(J647&lt;=0.15,"11-15%",IF(J647&lt;=0.2,"16-20%","21%+"))))</x:f>
        <x:v>11-15%</x:v>
      </x:c>
      <x:c r="P647" s="9" t="n">
        <x:f>IF(K647=0,0,L647/K647)</x:f>
        <x:v>0.17506668120928479</x:v>
      </x:c>
      <x:c r="Q647" s="3" t="str">
        <x:f>IF(L647&lt;0,"Yes","No")</x:f>
        <x:v>No</x:v>
      </x:c>
    </x:row>
    <x:row r="648" ht="21" customHeight="1">
      <x:c r="A648" s="3" t="str">
        <x:v>ORD-101465</x:v>
      </x:c>
      <x:c r="B648" s="5" t="n">
        <x:v>45479</x:v>
      </x:c>
      <x:c r="C648" s="3" t="str">
        <x:v>CUST-00418</x:v>
      </x:c>
      <x:c r="D648" s="3" t="str">
        <x:v>West</x:v>
      </x:c>
      <x:c r="E648" s="3" t="str">
        <x:v>Sports</x:v>
      </x:c>
      <x:c r="F648" s="3" t="str">
        <x:v>Outdoor</x:v>
      </x:c>
      <x:c r="G648" s="3" t="str">
        <x:v>TrailHike Backpack 60L</x:v>
      </x:c>
      <x:c r="H648" s="3" t="n">
        <x:v>1</x:v>
      </x:c>
      <x:c r="I648" s="7" t="n">
        <x:v>3513.71</x:v>
      </x:c>
      <x:c r="J648" s="9" t="n">
        <x:v>0</x:v>
      </x:c>
      <x:c r="K648" s="7" t="n">
        <x:v>3513.71</x:v>
      </x:c>
      <x:c r="L648" s="7" t="n">
        <x:v>1298.94</x:v>
      </x:c>
      <x:c r="M648" s="3" t="str">
        <x:v>UPI</x:v>
      </x:c>
      <x:c r="N648" s="3" t="str">
        <x:f>TEXT(B648,"yyyy-mm")</x:f>
        <x:v>2024-07</x:v>
      </x:c>
      <x:c r="O648" s="3" t="str">
        <x:f>IF(J648=0,"No discount",IF(J648&lt;=0.1,"1-10%",IF(J648&lt;=0.15,"11-15%",IF(J648&lt;=0.2,"16-20%","21%+"))))</x:f>
        <x:v>No discount</x:v>
      </x:c>
      <x:c r="P648" s="9" t="n">
        <x:f>IF(K648=0,0,L648/K648)</x:f>
        <x:v>0.36967763418153465</x:v>
      </x:c>
      <x:c r="Q648" s="3" t="str">
        <x:f>IF(L648&lt;0,"Yes","No")</x:f>
        <x:v>No</x:v>
      </x:c>
    </x:row>
    <x:row r="649" ht="21" customHeight="1">
      <x:c r="A649" s="3" t="str">
        <x:v>ORD-101599</x:v>
      </x:c>
      <x:c r="B649" s="5" t="n">
        <x:v>45479</x:v>
      </x:c>
      <x:c r="C649" s="3" t="str">
        <x:v>CUST-00004</x:v>
      </x:c>
      <x:c r="D649" s="3" t="str">
        <x:v>East</x:v>
      </x:c>
      <x:c r="E649" s="3" t="str">
        <x:v>Beauty</x:v>
      </x:c>
      <x:c r="F649" s="3" t="str">
        <x:v>Makeup</x:v>
      </x:c>
      <x:c r="G649" s="3" t="str">
        <x:v>Matte Lipstick Set</x:v>
      </x:c>
      <x:c r="H649" s="3" t="n">
        <x:v>1</x:v>
      </x:c>
      <x:c r="I649" s="7" t="n">
        <x:v>965.94</x:v>
      </x:c>
      <x:c r="J649" s="9" t="n">
        <x:v>0.05</x:v>
      </x:c>
      <x:c r="K649" s="7" t="n">
        <x:v>917.64</x:v>
      </x:c>
      <x:c r="L649" s="7" t="n">
        <x:v>484.25</x:v>
      </x:c>
      <x:c r="M649" s="3" t="str">
        <x:v>Debit Card</x:v>
      </x:c>
      <x:c r="N649" s="3" t="str">
        <x:f>TEXT(B649,"yyyy-mm")</x:f>
        <x:v>2024-07</x:v>
      </x:c>
      <x:c r="O649" s="3" t="str">
        <x:f>IF(J649=0,"No discount",IF(J649&lt;=0.1,"1-10%",IF(J649&lt;=0.15,"11-15%",IF(J649&lt;=0.2,"16-20%","21%+"))))</x:f>
        <x:v>1-10%</x:v>
      </x:c>
      <x:c r="P649" s="9" t="n">
        <x:f>IF(K649=0,0,L649/K649)</x:f>
        <x:v>0.5277123926594307</x:v>
      </x:c>
      <x:c r="Q649" s="3" t="str">
        <x:f>IF(L649&lt;0,"Yes","No")</x:f>
        <x:v>No</x:v>
      </x:c>
    </x:row>
    <x:row r="650" ht="21" customHeight="1">
      <x:c r="A650" s="3" t="str">
        <x:v>ORD-101639</x:v>
      </x:c>
      <x:c r="B650" s="5" t="n">
        <x:v>45479</x:v>
      </x:c>
      <x:c r="C650" s="3" t="str">
        <x:v>CUST-00287</x:v>
      </x:c>
      <x:c r="D650" s="3" t="str">
        <x:v>North</x:v>
      </x:c>
      <x:c r="E650" s="3" t="str">
        <x:v>Sports</x:v>
      </x:c>
      <x:c r="F650" s="3" t="str">
        <x:v>Fitness</x:v>
      </x:c>
      <x:c r="G650" s="3" t="str">
        <x:v>Adjustable Dumbbell 24kg</x:v>
      </x:c>
      <x:c r="H650" s="3" t="n">
        <x:v>2</x:v>
      </x:c>
      <x:c r="I650" s="7" t="n">
        <x:v>9790.23</x:v>
      </x:c>
      <x:c r="J650" s="9" t="n">
        <x:v>0.25</x:v>
      </x:c>
      <x:c r="K650" s="7" t="n">
        <x:v>14685.34</x:v>
      </x:c>
      <x:c r="L650" s="7" t="n">
        <x:v>1003.93</x:v>
      </x:c>
      <x:c r="M650" s="3" t="str">
        <x:v>Debit Card</x:v>
      </x:c>
      <x:c r="N650" s="3" t="str">
        <x:f>TEXT(B650,"yyyy-mm")</x:f>
        <x:v>2024-07</x:v>
      </x:c>
      <x:c r="O650" s="3" t="str">
        <x:f>IF(J650=0,"No discount",IF(J650&lt;=0.1,"1-10%",IF(J650&lt;=0.15,"11-15%",IF(J650&lt;=0.2,"16-20%","21%+"))))</x:f>
        <x:v>21%+</x:v>
      </x:c>
      <x:c r="P650" s="9" t="n">
        <x:f>IF(K650=0,0,L650/K650)</x:f>
        <x:v>0.06836273453661951</x:v>
      </x:c>
      <x:c r="Q650" s="3" t="str">
        <x:f>IF(L650&lt;0,"Yes","No")</x:f>
        <x:v>No</x:v>
      </x:c>
    </x:row>
    <x:row r="651" ht="21" customHeight="1">
      <x:c r="A651" s="3" t="str">
        <x:v>ORD-100300</x:v>
      </x:c>
      <x:c r="B651" s="5" t="n">
        <x:v>45480</x:v>
      </x:c>
      <x:c r="C651" s="3" t="str">
        <x:v>CUST-00518</x:v>
      </x:c>
      <x:c r="D651" s="3" t="str">
        <x:v>South</x:v>
      </x:c>
      <x:c r="E651" s="3" t="str">
        <x:v>Beauty</x:v>
      </x:c>
      <x:c r="F651" s="3" t="str">
        <x:v>Skincare</x:v>
      </x:c>
      <x:c r="G651" s="3" t="str">
        <x:v>HydraBoost Moisturizer</x:v>
      </x:c>
      <x:c r="H651" s="3" t="n">
        <x:v>1</x:v>
      </x:c>
      <x:c r="I651" s="7" t="n">
        <x:v>1181.98</x:v>
      </x:c>
      <x:c r="J651" s="9" t="n">
        <x:v>0.1</x:v>
      </x:c>
      <x:c r="K651" s="7" t="n">
        <x:v>1063.78</x:v>
      </x:c>
      <x:c r="L651" s="7" t="n">
        <x:v>486.92</x:v>
      </x:c>
      <x:c r="M651" s="3" t="str">
        <x:v>UPI</x:v>
      </x:c>
      <x:c r="N651" s="3" t="str">
        <x:f>TEXT(B651,"yyyy-mm")</x:f>
        <x:v>2024-07</x:v>
      </x:c>
      <x:c r="O651" s="3" t="str">
        <x:f>IF(J651=0,"No discount",IF(J651&lt;=0.1,"1-10%",IF(J651&lt;=0.15,"11-15%",IF(J651&lt;=0.2,"16-20%","21%+"))))</x:f>
        <x:v>1-10%</x:v>
      </x:c>
      <x:c r="P651" s="9" t="n">
        <x:f>IF(K651=0,0,L651/K651)</x:f>
        <x:v>0.4577262215871703</x:v>
      </x:c>
      <x:c r="Q651" s="3" t="str">
        <x:f>IF(L651&lt;0,"Yes","No")</x:f>
        <x:v>No</x:v>
      </x:c>
    </x:row>
    <x:row r="652" ht="21" customHeight="1">
      <x:c r="A652" s="3" t="str">
        <x:v>ORD-100393</x:v>
      </x:c>
      <x:c r="B652" s="5" t="n">
        <x:v>45480</x:v>
      </x:c>
      <x:c r="C652" s="3" t="str">
        <x:v>CUST-00150</x:v>
      </x:c>
      <x:c r="D652" s="3" t="str">
        <x:v>South</x:v>
      </x:c>
      <x:c r="E652" s="3" t="str">
        <x:v>Fashion</x:v>
      </x:c>
      <x:c r="F652" s="3" t="str">
        <x:v>Women</x:v>
      </x:c>
      <x:c r="G652" s="3" t="str">
        <x:v>Floral Summer Dress</x:v>
      </x:c>
      <x:c r="H652" s="3" t="n">
        <x:v>2</x:v>
      </x:c>
      <x:c r="I652" s="7" t="n">
        <x:v>1737.48</x:v>
      </x:c>
      <x:c r="J652" s="9" t="n">
        <x:v>0.1</x:v>
      </x:c>
      <x:c r="K652" s="7" t="n">
        <x:v>3127.46</x:v>
      </x:c>
      <x:c r="L652" s="7" t="n">
        <x:v>845.74</x:v>
      </x:c>
      <x:c r="M652" s="3" t="str">
        <x:v>Debit Card</x:v>
      </x:c>
      <x:c r="N652" s="3" t="str">
        <x:f>TEXT(B652,"yyyy-mm")</x:f>
        <x:v>2024-07</x:v>
      </x:c>
      <x:c r="O652" s="3" t="str">
        <x:f>IF(J652=0,"No discount",IF(J652&lt;=0.1,"1-10%",IF(J652&lt;=0.15,"11-15%",IF(J652&lt;=0.2,"16-20%","21%+"))))</x:f>
        <x:v>1-10%</x:v>
      </x:c>
      <x:c r="P652" s="9" t="n">
        <x:f>IF(K652=0,0,L652/K652)</x:f>
        <x:v>0.2704239222883746</x:v>
      </x:c>
      <x:c r="Q652" s="3" t="str">
        <x:f>IF(L652&lt;0,"Yes","No")</x:f>
        <x:v>No</x:v>
      </x:c>
    </x:row>
    <x:row r="653" ht="21" customHeight="1">
      <x:c r="A653" s="3" t="str">
        <x:v>ORD-100527</x:v>
      </x:c>
      <x:c r="B653" s="5" t="n">
        <x:v>45480</x:v>
      </x:c>
      <x:c r="C653" s="3" t="str">
        <x:v>CUST-00140</x:v>
      </x:c>
      <x:c r="D653" s="3" t="str">
        <x:v>East</x:v>
      </x:c>
      <x:c r="E653" s="3" t="str">
        <x:v>Fashion</x:v>
      </x:c>
      <x:c r="F653" s="3" t="str">
        <x:v>Footwear</x:v>
      </x:c>
      <x:c r="G653" s="3" t="str">
        <x:v>UrbanLoafers</x:v>
      </x:c>
      <x:c r="H653" s="3" t="n">
        <x:v>1</x:v>
      </x:c>
      <x:c r="I653" s="7" t="n">
        <x:v>3534.73</x:v>
      </x:c>
      <x:c r="J653" s="9" t="n">
        <x:v>0.05</x:v>
      </x:c>
      <x:c r="K653" s="7" t="n">
        <x:v>3357.99</x:v>
      </x:c>
      <x:c r="L653" s="7" t="n">
        <x:v>1301.47</x:v>
      </x:c>
      <x:c r="M653" s="3" t="str">
        <x:v>Credit Card</x:v>
      </x:c>
      <x:c r="N653" s="3" t="str">
        <x:f>TEXT(B653,"yyyy-mm")</x:f>
        <x:v>2024-07</x:v>
      </x:c>
      <x:c r="O653" s="3" t="str">
        <x:f>IF(J653=0,"No discount",IF(J653&lt;=0.1,"1-10%",IF(J653&lt;=0.15,"11-15%",IF(J653&lt;=0.2,"16-20%","21%+"))))</x:f>
        <x:v>1-10%</x:v>
      </x:c>
      <x:c r="P653" s="9" t="n">
        <x:f>IF(K653=0,0,L653/K653)</x:f>
        <x:v>0.3875741142766953</x:v>
      </x:c>
      <x:c r="Q653" s="3" t="str">
        <x:f>IF(L653&lt;0,"Yes","No")</x:f>
        <x:v>No</x:v>
      </x:c>
    </x:row>
    <x:row r="654" ht="21" customHeight="1">
      <x:c r="A654" s="3" t="str">
        <x:v>ORD-101392</x:v>
      </x:c>
      <x:c r="B654" s="5" t="n">
        <x:v>45480</x:v>
      </x:c>
      <x:c r="C654" s="3" t="str">
        <x:v>CUST-00471</x:v>
      </x:c>
      <x:c r="D654" s="3" t="str">
        <x:v>North</x:v>
      </x:c>
      <x:c r="E654" s="3" t="str">
        <x:v>Fashion</x:v>
      </x:c>
      <x:c r="F654" s="3" t="str">
        <x:v>Footwear</x:v>
      </x:c>
      <x:c r="G654" s="3" t="str">
        <x:v>UrbanLoafers</x:v>
      </x:c>
      <x:c r="H654" s="3" t="n">
        <x:v>3</x:v>
      </x:c>
      <x:c r="I654" s="7" t="n">
        <x:v>3398.41</x:v>
      </x:c>
      <x:c r="J654" s="9" t="n">
        <x:v>0</x:v>
      </x:c>
      <x:c r="K654" s="7" t="n">
        <x:v>10195.23</x:v>
      </x:c>
      <x:c r="L654" s="7" t="n">
        <x:v>4183.7</x:v>
      </x:c>
      <x:c r="M654" s="3" t="str">
        <x:v>Net Banking</x:v>
      </x:c>
      <x:c r="N654" s="3" t="str">
        <x:f>TEXT(B654,"yyyy-mm")</x:f>
        <x:v>2024-07</x:v>
      </x:c>
      <x:c r="O654" s="3" t="str">
        <x:f>IF(J654=0,"No discount",IF(J654&lt;=0.1,"1-10%",IF(J654&lt;=0.15,"11-15%",IF(J654&lt;=0.2,"16-20%","21%+"))))</x:f>
        <x:v>No discount</x:v>
      </x:c>
      <x:c r="P654" s="9" t="n">
        <x:f>IF(K654=0,0,L654/K654)</x:f>
        <x:v>0.4103585696448241</x:v>
      </x:c>
      <x:c r="Q654" s="3" t="str">
        <x:f>IF(L654&lt;0,"Yes","No")</x:f>
        <x:v>No</x:v>
      </x:c>
    </x:row>
    <x:row r="655" ht="21" customHeight="1">
      <x:c r="A655" s="3" t="str">
        <x:v>ORD-101949</x:v>
      </x:c>
      <x:c r="B655" s="5" t="n">
        <x:v>45480</x:v>
      </x:c>
      <x:c r="C655" s="3" t="str">
        <x:v>CUST-00186</x:v>
      </x:c>
      <x:c r="D655" s="3" t="str">
        <x:v>North</x:v>
      </x:c>
      <x:c r="E655" s="3" t="str">
        <x:v>Electronics</x:v>
      </x:c>
      <x:c r="F655" s="3" t="str">
        <x:v>Audio</x:v>
      </x:c>
      <x:c r="G655" s="3" t="str">
        <x:v>BassBoom Speaker</x:v>
      </x:c>
      <x:c r="H655" s="3" t="n">
        <x:v>1</x:v>
      </x:c>
      <x:c r="I655" s="7" t="n">
        <x:v>9428.25</x:v>
      </x:c>
      <x:c r="J655" s="9" t="n">
        <x:v>0</x:v>
      </x:c>
      <x:c r="K655" s="7" t="n">
        <x:v>9428.25</x:v>
      </x:c>
      <x:c r="L655" s="7" t="n">
        <x:v>1716.38</x:v>
      </x:c>
      <x:c r="M655" s="3" t="str">
        <x:v>Net Banking</x:v>
      </x:c>
      <x:c r="N655" s="3" t="str">
        <x:f>TEXT(B655,"yyyy-mm")</x:f>
        <x:v>2024-07</x:v>
      </x:c>
      <x:c r="O655" s="3" t="str">
        <x:f>IF(J655=0,"No discount",IF(J655&lt;=0.1,"1-10%",IF(J655&lt;=0.15,"11-15%",IF(J655&lt;=0.2,"16-20%","21%+"))))</x:f>
        <x:v>No discount</x:v>
      </x:c>
      <x:c r="P655" s="9" t="n">
        <x:f>IF(K655=0,0,L655/K655)</x:f>
        <x:v>0.18204650916129717</x:v>
      </x:c>
      <x:c r="Q655" s="3" t="str">
        <x:f>IF(L655&lt;0,"Yes","No")</x:f>
        <x:v>No</x:v>
      </x:c>
    </x:row>
    <x:row r="656" ht="21" customHeight="1">
      <x:c r="A656" s="3" t="str">
        <x:v>ORD-100050</x:v>
      </x:c>
      <x:c r="B656" s="5" t="n">
        <x:v>45481</x:v>
      </x:c>
      <x:c r="C656" s="3" t="str">
        <x:v>CUST-00496</x:v>
      </x:c>
      <x:c r="D656" s="3" t="str">
        <x:v>North</x:v>
      </x:c>
      <x:c r="E656" s="3" t="str">
        <x:v>Sports</x:v>
      </x:c>
      <x:c r="F656" s="3" t="str">
        <x:v>Outdoor</x:v>
      </x:c>
      <x:c r="G656" s="3" t="str">
        <x:v>AllWeather Tent 4P</x:v>
      </x:c>
      <x:c r="H656" s="3" t="n">
        <x:v>2</x:v>
      </x:c>
      <x:c r="I656" s="7" t="n">
        <x:v>11700.71</x:v>
      </x:c>
      <x:c r="J656" s="9" t="n">
        <x:v>0</x:v>
      </x:c>
      <x:c r="K656" s="7" t="n">
        <x:v>23401.42</x:v>
      </x:c>
      <x:c r="L656" s="7" t="n">
        <x:v>8182.36</x:v>
      </x:c>
      <x:c r="M656" s="3" t="str">
        <x:v>UPI</x:v>
      </x:c>
      <x:c r="N656" s="3" t="str">
        <x:f>TEXT(B656,"yyyy-mm")</x:f>
        <x:v>2024-07</x:v>
      </x:c>
      <x:c r="O656" s="3" t="str">
        <x:f>IF(J656=0,"No discount",IF(J656&lt;=0.1,"1-10%",IF(J656&lt;=0.15,"11-15%",IF(J656&lt;=0.2,"16-20%","21%+"))))</x:f>
        <x:v>No discount</x:v>
      </x:c>
      <x:c r="P656" s="9" t="n">
        <x:f>IF(K656=0,0,L656/K656)</x:f>
        <x:v>0.34965228605785464</x:v>
      </x:c>
      <x:c r="Q656" s="3" t="str">
        <x:f>IF(L656&lt;0,"Yes","No")</x:f>
        <x:v>No</x:v>
      </x:c>
    </x:row>
    <x:row r="657" ht="21" customHeight="1">
      <x:c r="A657" s="3" t="str">
        <x:v>ORD-100674</x:v>
      </x:c>
      <x:c r="B657" s="5" t="n">
        <x:v>45481</x:v>
      </x:c>
      <x:c r="C657" s="3" t="str">
        <x:v>CUST-00021</x:v>
      </x:c>
      <x:c r="D657" s="3" t="str">
        <x:v>North</x:v>
      </x:c>
      <x:c r="E657" s="3" t="str">
        <x:v>Beauty</x:v>
      </x:c>
      <x:c r="F657" s="3" t="str">
        <x:v>Skincare</x:v>
      </x:c>
      <x:c r="G657" s="3" t="str">
        <x:v>HydraBoost Moisturizer</x:v>
      </x:c>
      <x:c r="H657" s="3" t="n">
        <x:v>1</x:v>
      </x:c>
      <x:c r="I657" s="7" t="n">
        <x:v>1191.05</x:v>
      </x:c>
      <x:c r="J657" s="9" t="n">
        <x:v>0.1</x:v>
      </x:c>
      <x:c r="K657" s="7" t="n">
        <x:v>1071.94</x:v>
      </x:c>
      <x:c r="L657" s="7" t="n">
        <x:v>472.42</x:v>
      </x:c>
      <x:c r="M657" s="3" t="str">
        <x:v>UPI</x:v>
      </x:c>
      <x:c r="N657" s="3" t="str">
        <x:f>TEXT(B657,"yyyy-mm")</x:f>
        <x:v>2024-07</x:v>
      </x:c>
      <x:c r="O657" s="3" t="str">
        <x:f>IF(J657=0,"No discount",IF(J657&lt;=0.1,"1-10%",IF(J657&lt;=0.15,"11-15%",IF(J657&lt;=0.2,"16-20%","21%+"))))</x:f>
        <x:v>1-10%</x:v>
      </x:c>
      <x:c r="P657" s="9" t="n">
        <x:f>IF(K657=0,0,L657/K657)</x:f>
        <x:v>0.4407149653898539</x:v>
      </x:c>
      <x:c r="Q657" s="3" t="str">
        <x:f>IF(L657&lt;0,"Yes","No")</x:f>
        <x:v>No</x:v>
      </x:c>
    </x:row>
    <x:row r="658" ht="21" customHeight="1">
      <x:c r="A658" s="3" t="str">
        <x:v>ORD-101447</x:v>
      </x:c>
      <x:c r="B658" s="5" t="n">
        <x:v>45481</x:v>
      </x:c>
      <x:c r="C658" s="3" t="str">
        <x:v>CUST-00399</x:v>
      </x:c>
      <x:c r="D658" s="3" t="str">
        <x:v>South</x:v>
      </x:c>
      <x:c r="E658" s="3" t="str">
        <x:v>Sports</x:v>
      </x:c>
      <x:c r="F658" s="3" t="str">
        <x:v>Outdoor</x:v>
      </x:c>
      <x:c r="G658" s="3" t="str">
        <x:v>TrailHike Backpack 60L</x:v>
      </x:c>
      <x:c r="H658" s="3" t="n">
        <x:v>2</x:v>
      </x:c>
      <x:c r="I658" s="7" t="n">
        <x:v>3399.5</x:v>
      </x:c>
      <x:c r="J658" s="9" t="n">
        <x:v>0.1</x:v>
      </x:c>
      <x:c r="K658" s="7" t="n">
        <x:v>6119.1</x:v>
      </x:c>
      <x:c r="L658" s="7" t="n">
        <x:v>1457.56</x:v>
      </x:c>
      <x:c r="M658" s="3" t="str">
        <x:v>Credit Card</x:v>
      </x:c>
      <x:c r="N658" s="3" t="str">
        <x:f>TEXT(B658,"yyyy-mm")</x:f>
        <x:v>2024-07</x:v>
      </x:c>
      <x:c r="O658" s="3" t="str">
        <x:f>IF(J658=0,"No discount",IF(J658&lt;=0.1,"1-10%",IF(J658&lt;=0.15,"11-15%",IF(J658&lt;=0.2,"16-20%","21%+"))))</x:f>
        <x:v>1-10%</x:v>
      </x:c>
      <x:c r="P658" s="9" t="n">
        <x:f>IF(K658=0,0,L658/K658)</x:f>
        <x:v>0.23819842787338005</x:v>
      </x:c>
      <x:c r="Q658" s="3" t="str">
        <x:f>IF(L658&lt;0,"Yes","No")</x:f>
        <x:v>No</x:v>
      </x:c>
    </x:row>
    <x:row r="659" ht="21" customHeight="1">
      <x:c r="A659" s="3" t="str">
        <x:v>ORD-100653</x:v>
      </x:c>
      <x:c r="B659" s="5" t="n">
        <x:v>45482</x:v>
      </x:c>
      <x:c r="C659" s="3" t="str">
        <x:v>CUST-00188</x:v>
      </x:c>
      <x:c r="D659" s="3" t="str">
        <x:v>South</x:v>
      </x:c>
      <x:c r="E659" s="3" t="str">
        <x:v>Fashion</x:v>
      </x:c>
      <x:c r="F659" s="3" t="str">
        <x:v>Women</x:v>
      </x:c>
      <x:c r="G659" s="3" t="str">
        <x:v>Floral Summer Dress</x:v>
      </x:c>
      <x:c r="H659" s="3" t="n">
        <x:v>2</x:v>
      </x:c>
      <x:c r="I659" s="7" t="n">
        <x:v>1741.79</x:v>
      </x:c>
      <x:c r="J659" s="9" t="n">
        <x:v>0</x:v>
      </x:c>
      <x:c r="K659" s="7" t="n">
        <x:v>3483.58</x:v>
      </x:c>
      <x:c r="L659" s="7" t="n">
        <x:v>1588.09</x:v>
      </x:c>
      <x:c r="M659" s="3" t="str">
        <x:v>Debit Card</x:v>
      </x:c>
      <x:c r="N659" s="3" t="str">
        <x:f>TEXT(B659,"yyyy-mm")</x:f>
        <x:v>2024-07</x:v>
      </x:c>
      <x:c r="O659" s="3" t="str">
        <x:f>IF(J659=0,"No discount",IF(J659&lt;=0.1,"1-10%",IF(J659&lt;=0.15,"11-15%",IF(J659&lt;=0.2,"16-20%","21%+"))))</x:f>
        <x:v>No discount</x:v>
      </x:c>
      <x:c r="P659" s="9" t="n">
        <x:f>IF(K659=0,0,L659/K659)</x:f>
        <x:v>0.4558787224636724</x:v>
      </x:c>
      <x:c r="Q659" s="3" t="str">
        <x:f>IF(L659&lt;0,"Yes","No")</x:f>
        <x:v>No</x:v>
      </x:c>
    </x:row>
    <x:row r="660" ht="21" customHeight="1">
      <x:c r="A660" s="3" t="str">
        <x:v>ORD-100890</x:v>
      </x:c>
      <x:c r="B660" s="5" t="n">
        <x:v>45482</x:v>
      </x:c>
      <x:c r="C660" s="3" t="str">
        <x:v>CUST-00479</x:v>
      </x:c>
      <x:c r="D660" s="3" t="str">
        <x:v>West</x:v>
      </x:c>
      <x:c r="E660" s="3" t="str">
        <x:v>Beauty</x:v>
      </x:c>
      <x:c r="F660" s="3" t="str">
        <x:v>Makeup</x:v>
      </x:c>
      <x:c r="G660" s="3" t="str">
        <x:v>Matte Lipstick Set</x:v>
      </x:c>
      <x:c r="H660" s="3" t="n">
        <x:v>1</x:v>
      </x:c>
      <x:c r="I660" s="7" t="n">
        <x:v>970.85</x:v>
      </x:c>
      <x:c r="J660" s="9" t="n">
        <x:v>0</x:v>
      </x:c>
      <x:c r="K660" s="7" t="n">
        <x:v>970.85</x:v>
      </x:c>
      <x:c r="L660" s="7" t="n">
        <x:v>515.39</x:v>
      </x:c>
      <x:c r="M660" s="3" t="str">
        <x:v>Credit Card</x:v>
      </x:c>
      <x:c r="N660" s="3" t="str">
        <x:f>TEXT(B660,"yyyy-mm")</x:f>
        <x:v>2024-07</x:v>
      </x:c>
      <x:c r="O660" s="3" t="str">
        <x:f>IF(J660=0,"No discount",IF(J660&lt;=0.1,"1-10%",IF(J660&lt;=0.15,"11-15%",IF(J660&lt;=0.2,"16-20%","21%+"))))</x:f>
        <x:v>No discount</x:v>
      </x:c>
      <x:c r="P660" s="9" t="n">
        <x:f>IF(K660=0,0,L660/K660)</x:f>
        <x:v>0.5308647061853015</x:v>
      </x:c>
      <x:c r="Q660" s="3" t="str">
        <x:f>IF(L660&lt;0,"Yes","No")</x:f>
        <x:v>No</x:v>
      </x:c>
    </x:row>
    <x:row r="661" ht="21" customHeight="1">
      <x:c r="A661" s="3" t="str">
        <x:v>ORD-101116</x:v>
      </x:c>
      <x:c r="B661" s="5" t="n">
        <x:v>45482</x:v>
      </x:c>
      <x:c r="C661" s="3" t="str">
        <x:v>CUST-00320</x:v>
      </x:c>
      <x:c r="D661" s="3" t="str">
        <x:v>South</x:v>
      </x:c>
      <x:c r="E661" s="3" t="str">
        <x:v>Electronics</x:v>
      </x:c>
      <x:c r="F661" s="3" t="str">
        <x:v>Laptop</x:v>
      </x:c>
      <x:c r="G661" s="3" t="str">
        <x:v>ThinkPro 14</x:v>
      </x:c>
      <x:c r="H661" s="3" t="n">
        <x:v>1</x:v>
      </x:c>
      <x:c r="I661" s="7" t="n">
        <x:v>53068.7</x:v>
      </x:c>
      <x:c r="J661" s="9" t="n">
        <x:v>0</x:v>
      </x:c>
      <x:c r="K661" s="7" t="n">
        <x:v>53068.7</x:v>
      </x:c>
      <x:c r="L661" s="7" t="n">
        <x:v>8030.92</x:v>
      </x:c>
      <x:c r="M661" s="3" t="str">
        <x:v>Net Banking</x:v>
      </x:c>
      <x:c r="N661" s="3" t="str">
        <x:f>TEXT(B661,"yyyy-mm")</x:f>
        <x:v>2024-07</x:v>
      </x:c>
      <x:c r="O661" s="3" t="str">
        <x:f>IF(J661=0,"No discount",IF(J661&lt;=0.1,"1-10%",IF(J661&lt;=0.15,"11-15%",IF(J661&lt;=0.2,"16-20%","21%+"))))</x:f>
        <x:v>No discount</x:v>
      </x:c>
      <x:c r="P661" s="9" t="n">
        <x:f>IF(K661=0,0,L661/K661)</x:f>
        <x:v>0.15133063368803082</x:v>
      </x:c>
      <x:c r="Q661" s="3" t="str">
        <x:f>IF(L661&lt;0,"Yes","No")</x:f>
        <x:v>No</x:v>
      </x:c>
    </x:row>
    <x:row r="662" ht="21" customHeight="1">
      <x:c r="A662" s="3" t="str">
        <x:v>ORD-101432</x:v>
      </x:c>
      <x:c r="B662" s="5" t="n">
        <x:v>45482</x:v>
      </x:c>
      <x:c r="C662" s="3" t="str">
        <x:v>CUST-00497</x:v>
      </x:c>
      <x:c r="D662" s="3" t="str">
        <x:v>East</x:v>
      </x:c>
      <x:c r="E662" s="3" t="str">
        <x:v>Electronics</x:v>
      </x:c>
      <x:c r="F662" s="3" t="str">
        <x:v>Mobile</x:v>
      </x:c>
      <x:c r="G662" s="3" t="str">
        <x:v>Galaxy Nova X5</x:v>
      </x:c>
      <x:c r="H662" s="3" t="n">
        <x:v>1</x:v>
      </x:c>
      <x:c r="I662" s="7" t="n">
        <x:v>24626.68</x:v>
      </x:c>
      <x:c r="J662" s="9" t="n">
        <x:v>0.1</x:v>
      </x:c>
      <x:c r="K662" s="7" t="n">
        <x:v>22164.01</x:v>
      </x:c>
      <x:c r="L662" s="7" t="n">
        <x:v>827.47</x:v>
      </x:c>
      <x:c r="M662" s="3" t="str">
        <x:v>UPI</x:v>
      </x:c>
      <x:c r="N662" s="3" t="str">
        <x:f>TEXT(B662,"yyyy-mm")</x:f>
        <x:v>2024-07</x:v>
      </x:c>
      <x:c r="O662" s="3" t="str">
        <x:f>IF(J662=0,"No discount",IF(J662&lt;=0.1,"1-10%",IF(J662&lt;=0.15,"11-15%",IF(J662&lt;=0.2,"16-20%","21%+"))))</x:f>
        <x:v>1-10%</x:v>
      </x:c>
      <x:c r="P662" s="9" t="n">
        <x:f>IF(K662=0,0,L662/K662)</x:f>
        <x:v>0.037333948143860256</x:v>
      </x:c>
      <x:c r="Q662" s="3" t="str">
        <x:f>IF(L662&lt;0,"Yes","No")</x:f>
        <x:v>No</x:v>
      </x:c>
    </x:row>
    <x:row r="663" ht="21" customHeight="1">
      <x:c r="A663" s="3" t="str">
        <x:v>ORD-100233</x:v>
      </x:c>
      <x:c r="B663" s="5" t="n">
        <x:v>45483</x:v>
      </x:c>
      <x:c r="C663" s="3" t="str">
        <x:v>CUST-00457</x:v>
      </x:c>
      <x:c r="D663" s="3" t="str">
        <x:v>South</x:v>
      </x:c>
      <x:c r="E663" s="3" t="str">
        <x:v>Electronics</x:v>
      </x:c>
      <x:c r="F663" s="3" t="str">
        <x:v>Mobile</x:v>
      </x:c>
      <x:c r="G663" s="3" t="str">
        <x:v>iPhone Zeta</x:v>
      </x:c>
      <x:c r="H663" s="3" t="n">
        <x:v>1</x:v>
      </x:c>
      <x:c r="I663" s="7" t="n">
        <x:v>69971.89</x:v>
      </x:c>
      <x:c r="J663" s="9" t="n">
        <x:v>0.15</x:v>
      </x:c>
      <x:c r="K663" s="7" t="n">
        <x:v>59476.11</x:v>
      </x:c>
      <x:c r="L663" s="7" t="n">
        <x:v>-111.91</x:v>
      </x:c>
      <x:c r="M663" s="3" t="str">
        <x:v>UPI</x:v>
      </x:c>
      <x:c r="N663" s="3" t="str">
        <x:f>TEXT(B663,"yyyy-mm")</x:f>
        <x:v>2024-07</x:v>
      </x:c>
      <x:c r="O663" s="3" t="str">
        <x:f>IF(J663=0,"No discount",IF(J663&lt;=0.1,"1-10%",IF(J663&lt;=0.15,"11-15%",IF(J663&lt;=0.2,"16-20%","21%+"))))</x:f>
        <x:v>11-15%</x:v>
      </x:c>
      <x:c r="P663" s="9" t="n">
        <x:f>IF(K663=0,0,L663/K663)</x:f>
        <x:v>-0.0018815958205740085</x:v>
      </x:c>
      <x:c r="Q663" s="3" t="str">
        <x:f>IF(L663&lt;0,"Yes","No")</x:f>
        <x:v>Yes</x:v>
      </x:c>
    </x:row>
    <x:row r="664" ht="21" customHeight="1">
      <x:c r="A664" s="3" t="str">
        <x:v>ORD-100320</x:v>
      </x:c>
      <x:c r="B664" s="5" t="n">
        <x:v>45483</x:v>
      </x:c>
      <x:c r="C664" s="3" t="str">
        <x:v>CUST-00122</x:v>
      </x:c>
      <x:c r="D664" s="3" t="str">
        <x:v>East</x:v>
      </x:c>
      <x:c r="E664" s="3" t="str">
        <x:v>Sports</x:v>
      </x:c>
      <x:c r="F664" s="3" t="str">
        <x:v>Outdoor</x:v>
      </x:c>
      <x:c r="G664" s="3" t="str">
        <x:v>TrailHike Backpack 60L</x:v>
      </x:c>
      <x:c r="H664" s="3" t="n">
        <x:v>1</x:v>
      </x:c>
      <x:c r="I664" s="7" t="n">
        <x:v>3382</x:v>
      </x:c>
      <x:c r="J664" s="9" t="n">
        <x:v>0</x:v>
      </x:c>
      <x:c r="K664" s="7" t="n">
        <x:v>3382</x:v>
      </x:c>
      <x:c r="L664" s="7" t="n">
        <x:v>1170.74</x:v>
      </x:c>
      <x:c r="M664" s="3" t="str">
        <x:v>UPI</x:v>
      </x:c>
      <x:c r="N664" s="3" t="str">
        <x:f>TEXT(B664,"yyyy-mm")</x:f>
        <x:v>2024-07</x:v>
      </x:c>
      <x:c r="O664" s="3" t="str">
        <x:f>IF(J664=0,"No discount",IF(J664&lt;=0.1,"1-10%",IF(J664&lt;=0.15,"11-15%",IF(J664&lt;=0.2,"16-20%","21%+"))))</x:f>
        <x:v>No discount</x:v>
      </x:c>
      <x:c r="P664" s="9" t="n">
        <x:f>IF(K664=0,0,L664/K664)</x:f>
        <x:v>0.3461679479597871</x:v>
      </x:c>
      <x:c r="Q664" s="3" t="str">
        <x:f>IF(L664&lt;0,"Yes","No")</x:f>
        <x:v>No</x:v>
      </x:c>
    </x:row>
    <x:row r="665" ht="21" customHeight="1">
      <x:c r="A665" s="3" t="str">
        <x:v>ORD-101435</x:v>
      </x:c>
      <x:c r="B665" s="5" t="n">
        <x:v>45483</x:v>
      </x:c>
      <x:c r="C665" s="3" t="str">
        <x:v>CUST-00510</x:v>
      </x:c>
      <x:c r="D665" s="3" t="str">
        <x:v>West</x:v>
      </x:c>
      <x:c r="E665" s="3" t="str">
        <x:v>Sports</x:v>
      </x:c>
      <x:c r="F665" s="3" t="str">
        <x:v>Fitness</x:v>
      </x:c>
      <x:c r="G665" s="3" t="str">
        <x:v>Adjustable Dumbbell 24kg</x:v>
      </x:c>
      <x:c r="H665" s="3" t="n">
        <x:v>5</x:v>
      </x:c>
      <x:c r="I665" s="7" t="n">
        <x:v>9590.68</x:v>
      </x:c>
      <x:c r="J665" s="9" t="n">
        <x:v>0.05</x:v>
      </x:c>
      <x:c r="K665" s="7" t="n">
        <x:v>45555.73</x:v>
      </x:c>
      <x:c r="L665" s="7" t="n">
        <x:v>13047.91</x:v>
      </x:c>
      <x:c r="M665" s="3" t="str">
        <x:v>UPI</x:v>
      </x:c>
      <x:c r="N665" s="3" t="str">
        <x:f>TEXT(B665,"yyyy-mm")</x:f>
        <x:v>2024-07</x:v>
      </x:c>
      <x:c r="O665" s="3" t="str">
        <x:f>IF(J665=0,"No discount",IF(J665&lt;=0.1,"1-10%",IF(J665&lt;=0.15,"11-15%",IF(J665&lt;=0.2,"16-20%","21%+"))))</x:f>
        <x:v>1-10%</x:v>
      </x:c>
      <x:c r="P665" s="9" t="n">
        <x:f>IF(K665=0,0,L665/K665)</x:f>
        <x:v>0.28641643981997433</x:v>
      </x:c>
      <x:c r="Q665" s="3" t="str">
        <x:f>IF(L665&lt;0,"Yes","No")</x:f>
        <x:v>No</x:v>
      </x:c>
    </x:row>
    <x:row r="666" ht="21" customHeight="1">
      <x:c r="A666" s="3" t="str">
        <x:v>ORD-101504</x:v>
      </x:c>
      <x:c r="B666" s="5" t="n">
        <x:v>45483</x:v>
      </x:c>
      <x:c r="C666" s="3" t="str">
        <x:v>CUST-00065</x:v>
      </x:c>
      <x:c r="D666" s="3" t="str">
        <x:v>East</x:v>
      </x:c>
      <x:c r="E666" s="3" t="str">
        <x:v>Fashion</x:v>
      </x:c>
      <x:c r="F666" s="3" t="str">
        <x:v>Men</x:v>
      </x:c>
      <x:c r="G666" s="3" t="str">
        <x:v>SlimFit Denim Jeans</x:v>
      </x:c>
      <x:c r="H666" s="3" t="n">
        <x:v>2</x:v>
      </x:c>
      <x:c r="I666" s="7" t="n">
        <x:v>2033.59</x:v>
      </x:c>
      <x:c r="J666" s="9" t="n">
        <x:v>0</x:v>
      </x:c>
      <x:c r="K666" s="7" t="n">
        <x:v>4067.18</x:v>
      </x:c>
      <x:c r="L666" s="7" t="n">
        <x:v>1821.82</x:v>
      </x:c>
      <x:c r="M666" s="3" t="str">
        <x:v>UPI</x:v>
      </x:c>
      <x:c r="N666" s="3" t="str">
        <x:f>TEXT(B666,"yyyy-mm")</x:f>
        <x:v>2024-07</x:v>
      </x:c>
      <x:c r="O666" s="3" t="str">
        <x:f>IF(J666=0,"No discount",IF(J666&lt;=0.1,"1-10%",IF(J666&lt;=0.15,"11-15%",IF(J666&lt;=0.2,"16-20%","21%+"))))</x:f>
        <x:v>No discount</x:v>
      </x:c>
      <x:c r="P666" s="9" t="n">
        <x:f>IF(K666=0,0,L666/K666)</x:f>
        <x:v>0.44793198235632553</x:v>
      </x:c>
      <x:c r="Q666" s="3" t="str">
        <x:f>IF(L666&lt;0,"Yes","No")</x:f>
        <x:v>No</x:v>
      </x:c>
    </x:row>
    <x:row r="667" ht="21" customHeight="1">
      <x:c r="A667" s="3" t="str">
        <x:v>ORD-100713</x:v>
      </x:c>
      <x:c r="B667" s="5" t="n">
        <x:v>45484</x:v>
      </x:c>
      <x:c r="C667" s="3" t="str">
        <x:v>CUST-00074</x:v>
      </x:c>
      <x:c r="D667" s="3" t="str">
        <x:v>West</x:v>
      </x:c>
      <x:c r="E667" s="3" t="str">
        <x:v>Fashion</x:v>
      </x:c>
      <x:c r="F667" s="3" t="str">
        <x:v>Footwear</x:v>
      </x:c>
      <x:c r="G667" s="3" t="str">
        <x:v>UrbanLoafers</x:v>
      </x:c>
      <x:c r="H667" s="3" t="n">
        <x:v>4</x:v>
      </x:c>
      <x:c r="I667" s="7" t="n">
        <x:v>3422.74</x:v>
      </x:c>
      <x:c r="J667" s="9" t="n">
        <x:v>0</x:v>
      </x:c>
      <x:c r="K667" s="7" t="n">
        <x:v>13690.96</x:v>
      </x:c>
      <x:c r="L667" s="7" t="n">
        <x:v>5542.28</x:v>
      </x:c>
      <x:c r="M667" s="3" t="str">
        <x:v>Debit Card</x:v>
      </x:c>
      <x:c r="N667" s="3" t="str">
        <x:f>TEXT(B667,"yyyy-mm")</x:f>
        <x:v>2024-07</x:v>
      </x:c>
      <x:c r="O667" s="3" t="str">
        <x:f>IF(J667=0,"No discount",IF(J667&lt;=0.1,"1-10%",IF(J667&lt;=0.15,"11-15%",IF(J667&lt;=0.2,"16-20%","21%+"))))</x:f>
        <x:v>No discount</x:v>
      </x:c>
      <x:c r="P667" s="9" t="n">
        <x:f>IF(K667=0,0,L667/K667)</x:f>
        <x:v>0.40481310295260525</x:v>
      </x:c>
      <x:c r="Q667" s="3" t="str">
        <x:f>IF(L667&lt;0,"Yes","No")</x:f>
        <x:v>No</x:v>
      </x:c>
    </x:row>
    <x:row r="668" ht="21" customHeight="1">
      <x:c r="A668" s="3" t="str">
        <x:v>ORD-100871</x:v>
      </x:c>
      <x:c r="B668" s="5" t="n">
        <x:v>45484</x:v>
      </x:c>
      <x:c r="C668" s="3" t="str">
        <x:v>CUST-00097</x:v>
      </x:c>
      <x:c r="D668" s="3" t="str">
        <x:v>West</x:v>
      </x:c>
      <x:c r="E668" s="3" t="str">
        <x:v>Fashion</x:v>
      </x:c>
      <x:c r="F668" s="3" t="str">
        <x:v>Footwear</x:v>
      </x:c>
      <x:c r="G668" s="3" t="str">
        <x:v>UrbanLoafers</x:v>
      </x:c>
      <x:c r="H668" s="3" t="n">
        <x:v>1</x:v>
      </x:c>
      <x:c r="I668" s="7" t="n">
        <x:v>3376.66</x:v>
      </x:c>
      <x:c r="J668" s="9" t="n">
        <x:v>0.05</x:v>
      </x:c>
      <x:c r="K668" s="7" t="n">
        <x:v>3207.83</x:v>
      </x:c>
      <x:c r="L668" s="7" t="n">
        <x:v>1051.73</x:v>
      </x:c>
      <x:c r="M668" s="3" t="str">
        <x:v>UPI</x:v>
      </x:c>
      <x:c r="N668" s="3" t="str">
        <x:f>TEXT(B668,"yyyy-mm")</x:f>
        <x:v>2024-07</x:v>
      </x:c>
      <x:c r="O668" s="3" t="str">
        <x:f>IF(J668=0,"No discount",IF(J668&lt;=0.1,"1-10%",IF(J668&lt;=0.15,"11-15%",IF(J668&lt;=0.2,"16-20%","21%+"))))</x:f>
        <x:v>1-10%</x:v>
      </x:c>
      <x:c r="P668" s="9" t="n">
        <x:f>IF(K668=0,0,L668/K668)</x:f>
        <x:v>0.327863384281586</x:v>
      </x:c>
      <x:c r="Q668" s="3" t="str">
        <x:f>IF(L668&lt;0,"Yes","No")</x:f>
        <x:v>No</x:v>
      </x:c>
    </x:row>
    <x:row r="669" ht="21" customHeight="1">
      <x:c r="A669" s="3" t="str">
        <x:v>ORD-101908</x:v>
      </x:c>
      <x:c r="B669" s="5" t="n">
        <x:v>45484</x:v>
      </x:c>
      <x:c r="C669" s="3" t="str">
        <x:v>CUST-00379</x:v>
      </x:c>
      <x:c r="D669" s="3" t="str">
        <x:v>West</x:v>
      </x:c>
      <x:c r="E669" s="3" t="str">
        <x:v>Sports</x:v>
      </x:c>
      <x:c r="F669" s="3" t="str">
        <x:v>Fitness</x:v>
      </x:c>
      <x:c r="G669" s="3" t="str">
        <x:v>ProYoga Mat</x:v>
      </x:c>
      <x:c r="H669" s="3" t="n">
        <x:v>2</x:v>
      </x:c>
      <x:c r="I669" s="7" t="n">
        <x:v>1288.52</x:v>
      </x:c>
      <x:c r="J669" s="9" t="n">
        <x:v>0.05</x:v>
      </x:c>
      <x:c r="K669" s="7" t="n">
        <x:v>2448.19</x:v>
      </x:c>
      <x:c r="L669" s="7" t="n">
        <x:v>802.91</x:v>
      </x:c>
      <x:c r="M669" s="3" t="str">
        <x:v>UPI</x:v>
      </x:c>
      <x:c r="N669" s="3" t="str">
        <x:f>TEXT(B669,"yyyy-mm")</x:f>
        <x:v>2024-07</x:v>
      </x:c>
      <x:c r="O669" s="3" t="str">
        <x:f>IF(J669=0,"No discount",IF(J669&lt;=0.1,"1-10%",IF(J669&lt;=0.15,"11-15%",IF(J669&lt;=0.2,"16-20%","21%+"))))</x:f>
        <x:v>1-10%</x:v>
      </x:c>
      <x:c r="P669" s="9" t="n">
        <x:f>IF(K669=0,0,L669/K669)</x:f>
        <x:v>0.32796065664838103</x:v>
      </x:c>
      <x:c r="Q669" s="3" t="str">
        <x:f>IF(L669&lt;0,"Yes","No")</x:f>
        <x:v>No</x:v>
      </x:c>
    </x:row>
    <x:row r="670" ht="21" customHeight="1">
      <x:c r="A670" s="3" t="str">
        <x:v>ORD-100779</x:v>
      </x:c>
      <x:c r="B670" s="5" t="n">
        <x:v>45485</x:v>
      </x:c>
      <x:c r="C670" s="3" t="str">
        <x:v>CUST-00283</x:v>
      </x:c>
      <x:c r="D670" s="3" t="str">
        <x:v>West</x:v>
      </x:c>
      <x:c r="E670" s="3" t="str">
        <x:v>Sports</x:v>
      </x:c>
      <x:c r="F670" s="3" t="str">
        <x:v>Outdoor</x:v>
      </x:c>
      <x:c r="G670" s="3" t="str">
        <x:v>TrailHike Backpack 60L</x:v>
      </x:c>
      <x:c r="H670" s="3" t="n">
        <x:v>1</x:v>
      </x:c>
      <x:c r="I670" s="7" t="n">
        <x:v>3341.24</x:v>
      </x:c>
      <x:c r="J670" s="9" t="n">
        <x:v>0.05</x:v>
      </x:c>
      <x:c r="K670" s="7" t="n">
        <x:v>3174.18</x:v>
      </x:c>
      <x:c r="L670" s="7" t="n">
        <x:v>993.84</x:v>
      </x:c>
      <x:c r="M670" s="3" t="str">
        <x:v>UPI</x:v>
      </x:c>
      <x:c r="N670" s="3" t="str">
        <x:f>TEXT(B670,"yyyy-mm")</x:f>
        <x:v>2024-07</x:v>
      </x:c>
      <x:c r="O670" s="3" t="str">
        <x:f>IF(J670=0,"No discount",IF(J670&lt;=0.1,"1-10%",IF(J670&lt;=0.15,"11-15%",IF(J670&lt;=0.2,"16-20%","21%+"))))</x:f>
        <x:v>1-10%</x:v>
      </x:c>
      <x:c r="P670" s="9" t="n">
        <x:f>IF(K670=0,0,L670/K670)</x:f>
        <x:v>0.31310133640814325</x:v>
      </x:c>
      <x:c r="Q670" s="3" t="str">
        <x:f>IF(L670&lt;0,"Yes","No")</x:f>
        <x:v>No</x:v>
      </x:c>
    </x:row>
    <x:row r="671" ht="21" customHeight="1">
      <x:c r="A671" s="3" t="str">
        <x:v>ORD-101000</x:v>
      </x:c>
      <x:c r="B671" s="5" t="n">
        <x:v>45485</x:v>
      </x:c>
      <x:c r="C671" s="3" t="str">
        <x:v>CUST-00511</x:v>
      </x:c>
      <x:c r="D671" s="3" t="str">
        <x:v>West</x:v>
      </x:c>
      <x:c r="E671" s="3" t="str">
        <x:v>Electronics</x:v>
      </x:c>
      <x:c r="F671" s="3" t="str">
        <x:v>Mobile</x:v>
      </x:c>
      <x:c r="G671" s="3" t="str">
        <x:v>Pixel Aura 12</x:v>
      </x:c>
      <x:c r="H671" s="3" t="n">
        <x:v>1</x:v>
      </x:c>
      <x:c r="I671" s="7" t="n">
        <x:v>34335.94</x:v>
      </x:c>
      <x:c r="J671" s="9" t="n">
        <x:v>0</x:v>
      </x:c>
      <x:c r="K671" s="7" t="n">
        <x:v>34335.94</x:v>
      </x:c>
      <x:c r="L671" s="7" t="n">
        <x:v>6354.52</x:v>
      </x:c>
      <x:c r="M671" s="3" t="str">
        <x:v>Cash on Delivery</x:v>
      </x:c>
      <x:c r="N671" s="3" t="str">
        <x:f>TEXT(B671,"yyyy-mm")</x:f>
        <x:v>2024-07</x:v>
      </x:c>
      <x:c r="O671" s="3" t="str">
        <x:f>IF(J671=0,"No discount",IF(J671&lt;=0.1,"1-10%",IF(J671&lt;=0.15,"11-15%",IF(J671&lt;=0.2,"16-20%","21%+"))))</x:f>
        <x:v>No discount</x:v>
      </x:c>
      <x:c r="P671" s="9" t="n">
        <x:f>IF(K671=0,0,L671/K671)</x:f>
        <x:v>0.18506905592216202</x:v>
      </x:c>
      <x:c r="Q671" s="3" t="str">
        <x:f>IF(L671&lt;0,"Yes","No")</x:f>
        <x:v>No</x:v>
      </x:c>
    </x:row>
    <x:row r="672" ht="21" customHeight="1">
      <x:c r="A672" s="3" t="str">
        <x:v>ORD-101157</x:v>
      </x:c>
      <x:c r="B672" s="5" t="n">
        <x:v>45485</x:v>
      </x:c>
      <x:c r="C672" s="3" t="str">
        <x:v>CUST-00257</x:v>
      </x:c>
      <x:c r="D672" s="3" t="str">
        <x:v>South</x:v>
      </x:c>
      <x:c r="E672" s="3" t="str">
        <x:v>Sports</x:v>
      </x:c>
      <x:c r="F672" s="3" t="str">
        <x:v>Fitness</x:v>
      </x:c>
      <x:c r="G672" s="3" t="str">
        <x:v>Adjustable Dumbbell 24kg</x:v>
      </x:c>
      <x:c r="H672" s="3" t="n">
        <x:v>2</x:v>
      </x:c>
      <x:c r="I672" s="7" t="n">
        <x:v>9582.31</x:v>
      </x:c>
      <x:c r="J672" s="9" t="n">
        <x:v>0</x:v>
      </x:c>
      <x:c r="K672" s="7" t="n">
        <x:v>19164.62</x:v>
      </x:c>
      <x:c r="L672" s="7" t="n">
        <x:v>7725.64</x:v>
      </x:c>
      <x:c r="M672" s="3" t="str">
        <x:v>UPI</x:v>
      </x:c>
      <x:c r="N672" s="3" t="str">
        <x:f>TEXT(B672,"yyyy-mm")</x:f>
        <x:v>2024-07</x:v>
      </x:c>
      <x:c r="O672" s="3" t="str">
        <x:f>IF(J672=0,"No discount",IF(J672&lt;=0.1,"1-10%",IF(J672&lt;=0.15,"11-15%",IF(J672&lt;=0.2,"16-20%","21%+"))))</x:f>
        <x:v>No discount</x:v>
      </x:c>
      <x:c r="P672" s="9" t="n">
        <x:f>IF(K672=0,0,L672/K672)</x:f>
        <x:v>0.40311991576143963</x:v>
      </x:c>
      <x:c r="Q672" s="3" t="str">
        <x:f>IF(L672&lt;0,"Yes","No")</x:f>
        <x:v>No</x:v>
      </x:c>
    </x:row>
    <x:row r="673" ht="21" customHeight="1">
      <x:c r="A673" s="3" t="str">
        <x:v>ORD-100338</x:v>
      </x:c>
      <x:c r="B673" s="5" t="n">
        <x:v>45486</x:v>
      </x:c>
      <x:c r="C673" s="3" t="str">
        <x:v>CUST-00205</x:v>
      </x:c>
      <x:c r="D673" s="3" t="str">
        <x:v>West</x:v>
      </x:c>
      <x:c r="E673" s="3" t="str">
        <x:v>Electronics</x:v>
      </x:c>
      <x:c r="F673" s="3" t="str">
        <x:v>Audio</x:v>
      </x:c>
      <x:c r="G673" s="3" t="str">
        <x:v>SoundPods Pro</x:v>
      </x:c>
      <x:c r="H673" s="3" t="n">
        <x:v>1</x:v>
      </x:c>
      <x:c r="I673" s="7" t="n">
        <x:v>5196.12</x:v>
      </x:c>
      <x:c r="J673" s="9" t="n">
        <x:v>0.05</x:v>
      </x:c>
      <x:c r="K673" s="7" t="n">
        <x:v>4936.31</x:v>
      </x:c>
      <x:c r="L673" s="7" t="n">
        <x:v>513.5</x:v>
      </x:c>
      <x:c r="M673" s="3" t="str">
        <x:v>Credit Card</x:v>
      </x:c>
      <x:c r="N673" s="3" t="str">
        <x:f>TEXT(B673,"yyyy-mm")</x:f>
        <x:v>2024-07</x:v>
      </x:c>
      <x:c r="O673" s="3" t="str">
        <x:f>IF(J673=0,"No discount",IF(J673&lt;=0.1,"1-10%",IF(J673&lt;=0.15,"11-15%",IF(J673&lt;=0.2,"16-20%","21%+"))))</x:f>
        <x:v>1-10%</x:v>
      </x:c>
      <x:c r="P673" s="9" t="n">
        <x:f>IF(K673=0,0,L673/K673)</x:f>
        <x:v>0.10402507135897056</x:v>
      </x:c>
      <x:c r="Q673" s="3" t="str">
        <x:f>IF(L673&lt;0,"Yes","No")</x:f>
        <x:v>No</x:v>
      </x:c>
    </x:row>
    <x:row r="674" ht="21" customHeight="1">
      <x:c r="A674" s="3" t="str">
        <x:v>ORD-101224</x:v>
      </x:c>
      <x:c r="B674" s="5" t="n">
        <x:v>45486</x:v>
      </x:c>
      <x:c r="C674" s="3" t="str">
        <x:v>CUST-00229</x:v>
      </x:c>
      <x:c r="D674" s="3" t="str">
        <x:v>South</x:v>
      </x:c>
      <x:c r="E674" s="3" t="str">
        <x:v>Home &amp; Kitchen</x:v>
      </x:c>
      <x:c r="F674" s="3" t="str">
        <x:v>Furniture</x:v>
      </x:c>
      <x:c r="G674" s="3" t="str">
        <x:v>ErgoComfort Chair</x:v>
      </x:c>
      <x:c r="H674" s="3" t="n">
        <x:v>2</x:v>
      </x:c>
      <x:c r="I674" s="7" t="n">
        <x:v>9060.88</x:v>
      </x:c>
      <x:c r="J674" s="9" t="n">
        <x:v>0.1</x:v>
      </x:c>
      <x:c r="K674" s="7" t="n">
        <x:v>16309.58</x:v>
      </x:c>
      <x:c r="L674" s="7" t="n">
        <x:v>3045.89</x:v>
      </x:c>
      <x:c r="M674" s="3" t="str">
        <x:v>UPI</x:v>
      </x:c>
      <x:c r="N674" s="3" t="str">
        <x:f>TEXT(B674,"yyyy-mm")</x:f>
        <x:v>2024-07</x:v>
      </x:c>
      <x:c r="O674" s="3" t="str">
        <x:f>IF(J674=0,"No discount",IF(J674&lt;=0.1,"1-10%",IF(J674&lt;=0.15,"11-15%",IF(J674&lt;=0.2,"16-20%","21%+"))))</x:f>
        <x:v>1-10%</x:v>
      </x:c>
      <x:c r="P674" s="9" t="n">
        <x:f>IF(K674=0,0,L674/K674)</x:f>
        <x:v>0.18675465585257253</x:v>
      </x:c>
      <x:c r="Q674" s="3" t="str">
        <x:f>IF(L674&lt;0,"Yes","No")</x:f>
        <x:v>No</x:v>
      </x:c>
    </x:row>
    <x:row r="675" ht="21" customHeight="1">
      <x:c r="A675" s="3" t="str">
        <x:v>ORD-100704</x:v>
      </x:c>
      <x:c r="B675" s="5" t="n">
        <x:v>45487</x:v>
      </x:c>
      <x:c r="C675" s="3" t="str">
        <x:v>CUST-00457</x:v>
      </x:c>
      <x:c r="D675" s="3" t="str">
        <x:v>North</x:v>
      </x:c>
      <x:c r="E675" s="3" t="str">
        <x:v>Home &amp; Kitchen</x:v>
      </x:c>
      <x:c r="F675" s="3" t="str">
        <x:v>Furniture</x:v>
      </x:c>
      <x:c r="G675" s="3" t="str">
        <x:v>ErgoComfort Chair</x:v>
      </x:c>
      <x:c r="H675" s="3" t="n">
        <x:v>1</x:v>
      </x:c>
      <x:c r="I675" s="7" t="n">
        <x:v>9115.59</x:v>
      </x:c>
      <x:c r="J675" s="9" t="n">
        <x:v>0</x:v>
      </x:c>
      <x:c r="K675" s="7" t="n">
        <x:v>9115.59</x:v>
      </x:c>
      <x:c r="L675" s="7" t="n">
        <x:v>3082.41</x:v>
      </x:c>
      <x:c r="M675" s="3" t="str">
        <x:v>Cash on Delivery</x:v>
      </x:c>
      <x:c r="N675" s="3" t="str">
        <x:f>TEXT(B675,"yyyy-mm")</x:f>
        <x:v>2024-07</x:v>
      </x:c>
      <x:c r="O675" s="3" t="str">
        <x:f>IF(J675=0,"No discount",IF(J675&lt;=0.1,"1-10%",IF(J675&lt;=0.15,"11-15%",IF(J675&lt;=0.2,"16-20%","21%+"))))</x:f>
        <x:v>No discount</x:v>
      </x:c>
      <x:c r="P675" s="9" t="n">
        <x:f>IF(K675=0,0,L675/K675)</x:f>
        <x:v>0.3381470645344953</x:v>
      </x:c>
      <x:c r="Q675" s="3" t="str">
        <x:f>IF(L675&lt;0,"Yes","No")</x:f>
        <x:v>No</x:v>
      </x:c>
    </x:row>
    <x:row r="676" ht="21" customHeight="1">
      <x:c r="A676" s="3" t="str">
        <x:v>ORD-100956</x:v>
      </x:c>
      <x:c r="B676" s="5" t="n">
        <x:v>45487</x:v>
      </x:c>
      <x:c r="C676" s="3" t="str">
        <x:v>CUST-00093</x:v>
      </x:c>
      <x:c r="D676" s="3" t="str">
        <x:v>East</x:v>
      </x:c>
      <x:c r="E676" s="3" t="str">
        <x:v>Beauty</x:v>
      </x:c>
      <x:c r="F676" s="3" t="str">
        <x:v>Skincare</x:v>
      </x:c>
      <x:c r="G676" s="3" t="str">
        <x:v>Vitamin C Serum</x:v>
      </x:c>
      <x:c r="H676" s="3" t="n">
        <x:v>2</x:v>
      </x:c>
      <x:c r="I676" s="7" t="n">
        <x:v>898.02</x:v>
      </x:c>
      <x:c r="J676" s="9" t="n">
        <x:v>0</x:v>
      </x:c>
      <x:c r="K676" s="7" t="n">
        <x:v>1796.04</x:v>
      </x:c>
      <x:c r="L676" s="7" t="n">
        <x:v>1002.89</x:v>
      </x:c>
      <x:c r="M676" s="3" t="str">
        <x:v>UPI</x:v>
      </x:c>
      <x:c r="N676" s="3" t="str">
        <x:f>TEXT(B676,"yyyy-mm")</x:f>
        <x:v>2024-07</x:v>
      </x:c>
      <x:c r="O676" s="3" t="str">
        <x:f>IF(J676=0,"No discount",IF(J676&lt;=0.1,"1-10%",IF(J676&lt;=0.15,"11-15%",IF(J676&lt;=0.2,"16-20%","21%+"))))</x:f>
        <x:v>No discount</x:v>
      </x:c>
      <x:c r="P676" s="9" t="n">
        <x:f>IF(K676=0,0,L676/K676)</x:f>
        <x:v>0.5583895681610654</x:v>
      </x:c>
      <x:c r="Q676" s="3" t="str">
        <x:f>IF(L676&lt;0,"Yes","No")</x:f>
        <x:v>No</x:v>
      </x:c>
    </x:row>
    <x:row r="677" ht="21" customHeight="1">
      <x:c r="A677" s="3" t="str">
        <x:v>ORD-101796</x:v>
      </x:c>
      <x:c r="B677" s="5" t="n">
        <x:v>45487</x:v>
      </x:c>
      <x:c r="C677" s="3" t="str">
        <x:v>CUST-00457</x:v>
      </x:c>
      <x:c r="D677" s="3" t="str">
        <x:v>South</x:v>
      </x:c>
      <x:c r="E677" s="3" t="str">
        <x:v>Sports</x:v>
      </x:c>
      <x:c r="F677" s="3" t="str">
        <x:v>Outdoor</x:v>
      </x:c>
      <x:c r="G677" s="3" t="str">
        <x:v>AllWeather Tent 4P</x:v>
      </x:c>
      <x:c r="H677" s="3" t="n">
        <x:v>4</x:v>
      </x:c>
      <x:c r="I677" s="7" t="n">
        <x:v>11778.44</x:v>
      </x:c>
      <x:c r="J677" s="9" t="n">
        <x:v>0</x:v>
      </x:c>
      <x:c r="K677" s="7" t="n">
        <x:v>47113.76</x:v>
      </x:c>
      <x:c r="L677" s="7" t="n">
        <x:v>17604.43</x:v>
      </x:c>
      <x:c r="M677" s="3" t="str">
        <x:v>Credit Card</x:v>
      </x:c>
      <x:c r="N677" s="3" t="str">
        <x:f>TEXT(B677,"yyyy-mm")</x:f>
        <x:v>2024-07</x:v>
      </x:c>
      <x:c r="O677" s="3" t="str">
        <x:f>IF(J677=0,"No discount",IF(J677&lt;=0.1,"1-10%",IF(J677&lt;=0.15,"11-15%",IF(J677&lt;=0.2,"16-20%","21%+"))))</x:f>
        <x:v>No discount</x:v>
      </x:c>
      <x:c r="P677" s="9" t="n">
        <x:f>IF(K677=0,0,L677/K677)</x:f>
        <x:v>0.3736579292334129</x:v>
      </x:c>
      <x:c r="Q677" s="3" t="str">
        <x:f>IF(L677&lt;0,"Yes","No")</x:f>
        <x:v>No</x:v>
      </x:c>
    </x:row>
    <x:row r="678" ht="21" customHeight="1">
      <x:c r="A678" s="3" t="str">
        <x:v>ORD-100107</x:v>
      </x:c>
      <x:c r="B678" s="5" t="n">
        <x:v>45488</x:v>
      </x:c>
      <x:c r="C678" s="3" t="str">
        <x:v>CUST-00141</x:v>
      </x:c>
      <x:c r="D678" s="3" t="str">
        <x:v>South</x:v>
      </x:c>
      <x:c r="E678" s="3" t="str">
        <x:v>Electronics</x:v>
      </x:c>
      <x:c r="F678" s="3" t="str">
        <x:v>Audio</x:v>
      </x:c>
      <x:c r="G678" s="3" t="str">
        <x:v>BassBoom Speaker</x:v>
      </x:c>
      <x:c r="H678" s="3" t="n">
        <x:v>1</x:v>
      </x:c>
      <x:c r="I678" s="7" t="n">
        <x:v>8827</x:v>
      </x:c>
      <x:c r="J678" s="9" t="n">
        <x:v>0</x:v>
      </x:c>
      <x:c r="K678" s="7" t="n">
        <x:v>8827</x:v>
      </x:c>
      <x:c r="L678" s="7" t="n">
        <x:v>1907.46</x:v>
      </x:c>
      <x:c r="M678" s="3" t="str">
        <x:v>Debit Card</x:v>
      </x:c>
      <x:c r="N678" s="3" t="str">
        <x:f>TEXT(B678,"yyyy-mm")</x:f>
        <x:v>2024-07</x:v>
      </x:c>
      <x:c r="O678" s="3" t="str">
        <x:f>IF(J678=0,"No discount",IF(J678&lt;=0.1,"1-10%",IF(J678&lt;=0.15,"11-15%",IF(J678&lt;=0.2,"16-20%","21%+"))))</x:f>
        <x:v>No discount</x:v>
      </x:c>
      <x:c r="P678" s="9" t="n">
        <x:f>IF(K678=0,0,L678/K678)</x:f>
        <x:v>0.2160938031041124</x:v>
      </x:c>
      <x:c r="Q678" s="3" t="str">
        <x:f>IF(L678&lt;0,"Yes","No")</x:f>
        <x:v>No</x:v>
      </x:c>
    </x:row>
    <x:row r="679" ht="21" customHeight="1">
      <x:c r="A679" s="3" t="str">
        <x:v>ORD-100990</x:v>
      </x:c>
      <x:c r="B679" s="5" t="n">
        <x:v>45488</x:v>
      </x:c>
      <x:c r="C679" s="3" t="str">
        <x:v>CUST-00532</x:v>
      </x:c>
      <x:c r="D679" s="3" t="str">
        <x:v>West</x:v>
      </x:c>
      <x:c r="E679" s="3" t="str">
        <x:v>Sports</x:v>
      </x:c>
      <x:c r="F679" s="3" t="str">
        <x:v>Fitness</x:v>
      </x:c>
      <x:c r="G679" s="3" t="str">
        <x:v>ProYoga Mat</x:v>
      </x:c>
      <x:c r="H679" s="3" t="n">
        <x:v>1</x:v>
      </x:c>
      <x:c r="I679" s="7" t="n">
        <x:v>1236.75</x:v>
      </x:c>
      <x:c r="J679" s="9" t="n">
        <x:v>0</x:v>
      </x:c>
      <x:c r="K679" s="7" t="n">
        <x:v>1236.75</x:v>
      </x:c>
      <x:c r="L679" s="7" t="n">
        <x:v>481.07</x:v>
      </x:c>
      <x:c r="M679" s="3" t="str">
        <x:v>UPI</x:v>
      </x:c>
      <x:c r="N679" s="3" t="str">
        <x:f>TEXT(B679,"yyyy-mm")</x:f>
        <x:v>2024-07</x:v>
      </x:c>
      <x:c r="O679" s="3" t="str">
        <x:f>IF(J679=0,"No discount",IF(J679&lt;=0.1,"1-10%",IF(J679&lt;=0.15,"11-15%",IF(J679&lt;=0.2,"16-20%","21%+"))))</x:f>
        <x:v>No discount</x:v>
      </x:c>
      <x:c r="P679" s="9" t="n">
        <x:f>IF(K679=0,0,L679/K679)</x:f>
        <x:v>0.38897917930058623</x:v>
      </x:c>
      <x:c r="Q679" s="3" t="str">
        <x:f>IF(L679&lt;0,"Yes","No")</x:f>
        <x:v>No</x:v>
      </x:c>
    </x:row>
    <x:row r="680" ht="21" customHeight="1">
      <x:c r="A680" s="3" t="str">
        <x:v>ORD-100303</x:v>
      </x:c>
      <x:c r="B680" s="5" t="n">
        <x:v>45489</x:v>
      </x:c>
      <x:c r="C680" s="3" t="str">
        <x:v>CUST-00085</x:v>
      </x:c>
      <x:c r="D680" s="3" t="str">
        <x:v>South</x:v>
      </x:c>
      <x:c r="E680" s="3" t="str">
        <x:v>Sports</x:v>
      </x:c>
      <x:c r="F680" s="3" t="str">
        <x:v>Outdoor</x:v>
      </x:c>
      <x:c r="G680" s="3" t="str">
        <x:v>AllWeather Tent 4P</x:v>
      </x:c>
      <x:c r="H680" s="3" t="n">
        <x:v>1</x:v>
      </x:c>
      <x:c r="I680" s="7" t="n">
        <x:v>12323.57</x:v>
      </x:c>
      <x:c r="J680" s="9" t="n">
        <x:v>0.05</x:v>
      </x:c>
      <x:c r="K680" s="7" t="n">
        <x:v>11707.39</x:v>
      </x:c>
      <x:c r="L680" s="7" t="n">
        <x:v>3789.04</x:v>
      </x:c>
      <x:c r="M680" s="3" t="str">
        <x:v>Credit Card</x:v>
      </x:c>
      <x:c r="N680" s="3" t="str">
        <x:f>TEXT(B680,"yyyy-mm")</x:f>
        <x:v>2024-07</x:v>
      </x:c>
      <x:c r="O680" s="3" t="str">
        <x:f>IF(J680=0,"No discount",IF(J680&lt;=0.1,"1-10%",IF(J680&lt;=0.15,"11-15%",IF(J680&lt;=0.2,"16-20%","21%+"))))</x:f>
        <x:v>1-10%</x:v>
      </x:c>
      <x:c r="P680" s="9" t="n">
        <x:f>IF(K680=0,0,L680/K680)</x:f>
        <x:v>0.32364515062708255</x:v>
      </x:c>
      <x:c r="Q680" s="3" t="str">
        <x:f>IF(L680&lt;0,"Yes","No")</x:f>
        <x:v>No</x:v>
      </x:c>
    </x:row>
    <x:row r="681" ht="21" customHeight="1">
      <x:c r="A681" s="3" t="str">
        <x:v>ORD-100759</x:v>
      </x:c>
      <x:c r="B681" s="5" t="n">
        <x:v>45489</x:v>
      </x:c>
      <x:c r="C681" s="3" t="str">
        <x:v>CUST-00549</x:v>
      </x:c>
      <x:c r="D681" s="3" t="str">
        <x:v>South</x:v>
      </x:c>
      <x:c r="E681" s="3" t="str">
        <x:v>Beauty</x:v>
      </x:c>
      <x:c r="F681" s="3" t="str">
        <x:v>Skincare</x:v>
      </x:c>
      <x:c r="G681" s="3" t="str">
        <x:v>Vitamin C Serum</x:v>
      </x:c>
      <x:c r="H681" s="3" t="n">
        <x:v>5</x:v>
      </x:c>
      <x:c r="I681" s="7" t="n">
        <x:v>897.55</x:v>
      </x:c>
      <x:c r="J681" s="9" t="n">
        <x:v>0.4</x:v>
      </x:c>
      <x:c r="K681" s="7" t="n">
        <x:v>2692.65</x:v>
      </x:c>
      <x:c r="L681" s="7" t="n">
        <x:v>266.9</x:v>
      </x:c>
      <x:c r="M681" s="3" t="str">
        <x:v>UPI</x:v>
      </x:c>
      <x:c r="N681" s="3" t="str">
        <x:f>TEXT(B681,"yyyy-mm")</x:f>
        <x:v>2024-07</x:v>
      </x:c>
      <x:c r="O681" s="3" t="str">
        <x:f>IF(J681=0,"No discount",IF(J681&lt;=0.1,"1-10%",IF(J681&lt;=0.15,"11-15%",IF(J681&lt;=0.2,"16-20%","21%+"))))</x:f>
        <x:v>21%+</x:v>
      </x:c>
      <x:c r="P681" s="9" t="n">
        <x:f>IF(K681=0,0,L681/K681)</x:f>
        <x:v>0.09912168310029153</x:v>
      </x:c>
      <x:c r="Q681" s="3" t="str">
        <x:f>IF(L681&lt;0,"Yes","No")</x:f>
        <x:v>No</x:v>
      </x:c>
    </x:row>
    <x:row r="682" ht="21" customHeight="1">
      <x:c r="A682" s="3" t="str">
        <x:v>ORD-100761</x:v>
      </x:c>
      <x:c r="B682" s="5" t="n">
        <x:v>45489</x:v>
      </x:c>
      <x:c r="C682" s="3" t="str">
        <x:v>CUST-00203</x:v>
      </x:c>
      <x:c r="D682" s="3" t="str">
        <x:v>South</x:v>
      </x:c>
      <x:c r="E682" s="3" t="str">
        <x:v>Fashion</x:v>
      </x:c>
      <x:c r="F682" s="3" t="str">
        <x:v>Men</x:v>
      </x:c>
      <x:c r="G682" s="3" t="str">
        <x:v>Oxford Casual Shirt</x:v>
      </x:c>
      <x:c r="H682" s="3" t="n">
        <x:v>2</x:v>
      </x:c>
      <x:c r="I682" s="7" t="n">
        <x:v>1294.72</x:v>
      </x:c>
      <x:c r="J682" s="9" t="n">
        <x:v>0.1</x:v>
      </x:c>
      <x:c r="K682" s="7" t="n">
        <x:v>2330.5</x:v>
      </x:c>
      <x:c r="L682" s="7" t="n">
        <x:v>768.41</x:v>
      </x:c>
      <x:c r="M682" s="3" t="str">
        <x:v>Cash on Delivery</x:v>
      </x:c>
      <x:c r="N682" s="3" t="str">
        <x:f>TEXT(B682,"yyyy-mm")</x:f>
        <x:v>2024-07</x:v>
      </x:c>
      <x:c r="O682" s="3" t="str">
        <x:f>IF(J682=0,"No discount",IF(J682&lt;=0.1,"1-10%",IF(J682&lt;=0.15,"11-15%",IF(J682&lt;=0.2,"16-20%","21%+"))))</x:f>
        <x:v>1-10%</x:v>
      </x:c>
      <x:c r="P682" s="9" t="n">
        <x:f>IF(K682=0,0,L682/K682)</x:f>
        <x:v>0.3297189444325252</x:v>
      </x:c>
      <x:c r="Q682" s="3" t="str">
        <x:f>IF(L682&lt;0,"Yes","No")</x:f>
        <x:v>No</x:v>
      </x:c>
    </x:row>
    <x:row r="683" ht="21" customHeight="1">
      <x:c r="A683" s="3" t="str">
        <x:v>ORD-101184</x:v>
      </x:c>
      <x:c r="B683" s="5" t="n">
        <x:v>45489</x:v>
      </x:c>
      <x:c r="C683" s="3" t="str">
        <x:v>CUST-00161</x:v>
      </x:c>
      <x:c r="D683" s="3" t="str">
        <x:v>South</x:v>
      </x:c>
      <x:c r="E683" s="3" t="str">
        <x:v>Beauty</x:v>
      </x:c>
      <x:c r="F683" s="3" t="str">
        <x:v>Skincare</x:v>
      </x:c>
      <x:c r="G683" s="3" t="str">
        <x:v>HydraBoost Moisturizer</x:v>
      </x:c>
      <x:c r="H683" s="3" t="n">
        <x:v>1</x:v>
      </x:c>
      <x:c r="I683" s="7" t="n">
        <x:v>1251.12</x:v>
      </x:c>
      <x:c r="J683" s="9" t="n">
        <x:v>0.1</x:v>
      </x:c>
      <x:c r="K683" s="7" t="n">
        <x:v>1126.01</x:v>
      </x:c>
      <x:c r="L683" s="7" t="n">
        <x:v>512.63</x:v>
      </x:c>
      <x:c r="M683" s="3" t="str">
        <x:v>UPI</x:v>
      </x:c>
      <x:c r="N683" s="3" t="str">
        <x:f>TEXT(B683,"yyyy-mm")</x:f>
        <x:v>2024-07</x:v>
      </x:c>
      <x:c r="O683" s="3" t="str">
        <x:f>IF(J683=0,"No discount",IF(J683&lt;=0.1,"1-10%",IF(J683&lt;=0.15,"11-15%",IF(J683&lt;=0.2,"16-20%","21%+"))))</x:f>
        <x:v>1-10%</x:v>
      </x:c>
      <x:c r="P683" s="9" t="n">
        <x:f>IF(K683=0,0,L683/K683)</x:f>
        <x:v>0.4552623866573121</x:v>
      </x:c>
      <x:c r="Q683" s="3" t="str">
        <x:f>IF(L683&lt;0,"Yes","No")</x:f>
        <x:v>No</x:v>
      </x:c>
    </x:row>
    <x:row r="684" ht="21" customHeight="1">
      <x:c r="A684" s="3" t="str">
        <x:v>ORD-101562</x:v>
      </x:c>
      <x:c r="B684" s="5" t="n">
        <x:v>45489</x:v>
      </x:c>
      <x:c r="C684" s="3" t="str">
        <x:v>CUST-00430</x:v>
      </x:c>
      <x:c r="D684" s="3" t="str">
        <x:v>North</x:v>
      </x:c>
      <x:c r="E684" s="3" t="str">
        <x:v>Sports</x:v>
      </x:c>
      <x:c r="F684" s="3" t="str">
        <x:v>Fitness</x:v>
      </x:c>
      <x:c r="G684" s="3" t="str">
        <x:v>Adjustable Dumbbell 24kg</x:v>
      </x:c>
      <x:c r="H684" s="3" t="n">
        <x:v>1</x:v>
      </x:c>
      <x:c r="I684" s="7" t="n">
        <x:v>10104.03</x:v>
      </x:c>
      <x:c r="J684" s="9" t="n">
        <x:v>0.15</x:v>
      </x:c>
      <x:c r="K684" s="7" t="n">
        <x:v>8588.43</x:v>
      </x:c>
      <x:c r="L684" s="7" t="n">
        <x:v>1866.4</x:v>
      </x:c>
      <x:c r="M684" s="3" t="str">
        <x:v>Cash on Delivery</x:v>
      </x:c>
      <x:c r="N684" s="3" t="str">
        <x:f>TEXT(B684,"yyyy-mm")</x:f>
        <x:v>2024-07</x:v>
      </x:c>
      <x:c r="O684" s="3" t="str">
        <x:f>IF(J684=0,"No discount",IF(J684&lt;=0.1,"1-10%",IF(J684&lt;=0.15,"11-15%",IF(J684&lt;=0.2,"16-20%","21%+"))))</x:f>
        <x:v>11-15%</x:v>
      </x:c>
      <x:c r="P684" s="9" t="n">
        <x:f>IF(K684=0,0,L684/K684)</x:f>
        <x:v>0.21731562113215105</x:v>
      </x:c>
      <x:c r="Q684" s="3" t="str">
        <x:f>IF(L684&lt;0,"Yes","No")</x:f>
        <x:v>No</x:v>
      </x:c>
    </x:row>
    <x:row r="685" ht="21" customHeight="1">
      <x:c r="A685" s="3" t="str">
        <x:v>ORD-100409</x:v>
      </x:c>
      <x:c r="B685" s="5" t="n">
        <x:v>45490</x:v>
      </x:c>
      <x:c r="C685" s="3" t="str">
        <x:v>CUST-00025</x:v>
      </x:c>
      <x:c r="D685" s="3" t="str">
        <x:v>East</x:v>
      </x:c>
      <x:c r="E685" s="3" t="str">
        <x:v>Fashion</x:v>
      </x:c>
      <x:c r="F685" s="3" t="str">
        <x:v>Footwear</x:v>
      </x:c>
      <x:c r="G685" s="3" t="str">
        <x:v>UrbanLoafers</x:v>
      </x:c>
      <x:c r="H685" s="3" t="n">
        <x:v>1</x:v>
      </x:c>
      <x:c r="I685" s="7" t="n">
        <x:v>3496.38</x:v>
      </x:c>
      <x:c r="J685" s="9" t="n">
        <x:v>0.1</x:v>
      </x:c>
      <x:c r="K685" s="7" t="n">
        <x:v>3146.74</x:v>
      </x:c>
      <x:c r="L685" s="7" t="n">
        <x:v>879.18</x:v>
      </x:c>
      <x:c r="M685" s="3" t="str">
        <x:v>Debit Card</x:v>
      </x:c>
      <x:c r="N685" s="3" t="str">
        <x:f>TEXT(B685,"yyyy-mm")</x:f>
        <x:v>2024-07</x:v>
      </x:c>
      <x:c r="O685" s="3" t="str">
        <x:f>IF(J685=0,"No discount",IF(J685&lt;=0.1,"1-10%",IF(J685&lt;=0.15,"11-15%",IF(J685&lt;=0.2,"16-20%","21%+"))))</x:f>
        <x:v>1-10%</x:v>
      </x:c>
      <x:c r="P685" s="9" t="n">
        <x:f>IF(K685=0,0,L685/K685)</x:f>
        <x:v>0.27939391243000694</x:v>
      </x:c>
      <x:c r="Q685" s="3" t="str">
        <x:f>IF(L685&lt;0,"Yes","No")</x:f>
        <x:v>No</x:v>
      </x:c>
    </x:row>
    <x:row r="686" ht="21" customHeight="1">
      <x:c r="A686" s="3" t="str">
        <x:v>ORD-100334</x:v>
      </x:c>
      <x:c r="B686" s="5" t="n">
        <x:v>45491</x:v>
      </x:c>
      <x:c r="C686" s="3" t="str">
        <x:v>CUST-00414</x:v>
      </x:c>
      <x:c r="D686" s="3" t="str">
        <x:v>West</x:v>
      </x:c>
      <x:c r="E686" s="3" t="str">
        <x:v>Electronics</x:v>
      </x:c>
      <x:c r="F686" s="3" t="str">
        <x:v>Audio</x:v>
      </x:c>
      <x:c r="G686" s="3" t="str">
        <x:v>BassBoom Speaker</x:v>
      </x:c>
      <x:c r="H686" s="3" t="n">
        <x:v>2</x:v>
      </x:c>
      <x:c r="I686" s="7" t="n">
        <x:v>9073.63</x:v>
      </x:c>
      <x:c r="J686" s="9" t="n">
        <x:v>0.1</x:v>
      </x:c>
      <x:c r="K686" s="7" t="n">
        <x:v>16332.53</x:v>
      </x:c>
      <x:c r="L686" s="7" t="n">
        <x:v>862.33</x:v>
      </x:c>
      <x:c r="M686" s="3" t="str">
        <x:v>UPI</x:v>
      </x:c>
      <x:c r="N686" s="3" t="str">
        <x:f>TEXT(B686,"yyyy-mm")</x:f>
        <x:v>2024-07</x:v>
      </x:c>
      <x:c r="O686" s="3" t="str">
        <x:f>IF(J686=0,"No discount",IF(J686&lt;=0.1,"1-10%",IF(J686&lt;=0.15,"11-15%",IF(J686&lt;=0.2,"16-20%","21%+"))))</x:f>
        <x:v>1-10%</x:v>
      </x:c>
      <x:c r="P686" s="9" t="n">
        <x:f>IF(K686=0,0,L686/K686)</x:f>
        <x:v>0.0527983111006072</x:v>
      </x:c>
      <x:c r="Q686" s="3" t="str">
        <x:f>IF(L686&lt;0,"Yes","No")</x:f>
        <x:v>No</x:v>
      </x:c>
    </x:row>
    <x:row r="687" ht="21" customHeight="1">
      <x:c r="A687" s="3" t="str">
        <x:v>ORD-100629</x:v>
      </x:c>
      <x:c r="B687" s="5" t="n">
        <x:v>45491</x:v>
      </x:c>
      <x:c r="C687" s="3" t="str">
        <x:v>CUST-00011</x:v>
      </x:c>
      <x:c r="D687" s="3" t="str">
        <x:v>South</x:v>
      </x:c>
      <x:c r="E687" s="3" t="str">
        <x:v>Home &amp; Kitchen</x:v>
      </x:c>
      <x:c r="F687" s="3" t="str">
        <x:v>Furniture</x:v>
      </x:c>
      <x:c r="G687" s="3" t="str">
        <x:v>Oakwood Study Desk</x:v>
      </x:c>
      <x:c r="H687" s="3" t="n">
        <x:v>1</x:v>
      </x:c>
      <x:c r="I687" s="7" t="n">
        <x:v>13251.81</x:v>
      </x:c>
      <x:c r="J687" s="9" t="n">
        <x:v>0</x:v>
      </x:c>
      <x:c r="K687" s="7" t="n">
        <x:v>13251.81</x:v>
      </x:c>
      <x:c r="L687" s="7" t="n">
        <x:v>4637.85</x:v>
      </x:c>
      <x:c r="M687" s="3" t="str">
        <x:v>Debit Card</x:v>
      </x:c>
      <x:c r="N687" s="3" t="str">
        <x:f>TEXT(B687,"yyyy-mm")</x:f>
        <x:v>2024-07</x:v>
      </x:c>
      <x:c r="O687" s="3" t="str">
        <x:f>IF(J687=0,"No discount",IF(J687&lt;=0.1,"1-10%",IF(J687&lt;=0.15,"11-15%",IF(J687&lt;=0.2,"16-20%","21%+"))))</x:f>
        <x:v>No discount</x:v>
      </x:c>
      <x:c r="P687" s="9" t="n">
        <x:f>IF(K687=0,0,L687/K687)</x:f>
        <x:v>0.349978606695991</x:v>
      </x:c>
      <x:c r="Q687" s="3" t="str">
        <x:f>IF(L687&lt;0,"Yes","No")</x:f>
        <x:v>No</x:v>
      </x:c>
    </x:row>
    <x:row r="688" ht="21" customHeight="1">
      <x:c r="A688" s="3" t="str">
        <x:v>ORD-100936</x:v>
      </x:c>
      <x:c r="B688" s="5" t="n">
        <x:v>45491</x:v>
      </x:c>
      <x:c r="C688" s="3" t="str">
        <x:v>CUST-00468</x:v>
      </x:c>
      <x:c r="D688" s="3" t="str">
        <x:v>West</x:v>
      </x:c>
      <x:c r="E688" s="3" t="str">
        <x:v>Fashion</x:v>
      </x:c>
      <x:c r="F688" s="3" t="str">
        <x:v>Men</x:v>
      </x:c>
      <x:c r="G688" s="3" t="str">
        <x:v>SlimFit Denim Jeans</x:v>
      </x:c>
      <x:c r="H688" s="3" t="n">
        <x:v>2</x:v>
      </x:c>
      <x:c r="I688" s="7" t="n">
        <x:v>1900.97</x:v>
      </x:c>
      <x:c r="J688" s="9" t="n">
        <x:v>0</x:v>
      </x:c>
      <x:c r="K688" s="7" t="n">
        <x:v>3801.94</x:v>
      </x:c>
      <x:c r="L688" s="7" t="n">
        <x:v>1575.45</x:v>
      </x:c>
      <x:c r="M688" s="3" t="str">
        <x:v>Debit Card</x:v>
      </x:c>
      <x:c r="N688" s="3" t="str">
        <x:f>TEXT(B688,"yyyy-mm")</x:f>
        <x:v>2024-07</x:v>
      </x:c>
      <x:c r="O688" s="3" t="str">
        <x:f>IF(J688=0,"No discount",IF(J688&lt;=0.1,"1-10%",IF(J688&lt;=0.15,"11-15%",IF(J688&lt;=0.2,"16-20%","21%+"))))</x:f>
        <x:v>No discount</x:v>
      </x:c>
      <x:c r="P688" s="9" t="n">
        <x:f>IF(K688=0,0,L688/K688)</x:f>
        <x:v>0.4143805530860561</x:v>
      </x:c>
      <x:c r="Q688" s="3" t="str">
        <x:f>IF(L688&lt;0,"Yes","No")</x:f>
        <x:v>No</x:v>
      </x:c>
    </x:row>
    <x:row r="689" ht="21" customHeight="1">
      <x:c r="A689" s="3" t="str">
        <x:v>ORD-101944</x:v>
      </x:c>
      <x:c r="B689" s="5" t="n">
        <x:v>45491</x:v>
      </x:c>
      <x:c r="C689" s="3" t="str">
        <x:v>CUST-00407</x:v>
      </x:c>
      <x:c r="D689" s="3" t="str">
        <x:v>South</x:v>
      </x:c>
      <x:c r="E689" s="3" t="str">
        <x:v>Fashion</x:v>
      </x:c>
      <x:c r="F689" s="3" t="str">
        <x:v>Footwear</x:v>
      </x:c>
      <x:c r="G689" s="3" t="str">
        <x:v>RunFlex Sneakers</x:v>
      </x:c>
      <x:c r="H689" s="3" t="n">
        <x:v>1</x:v>
      </x:c>
      <x:c r="I689" s="7" t="n">
        <x:v>2982.16</x:v>
      </x:c>
      <x:c r="J689" s="9" t="n">
        <x:v>0.05</x:v>
      </x:c>
      <x:c r="K689" s="7" t="n">
        <x:v>2833.05</x:v>
      </x:c>
      <x:c r="L689" s="7" t="n">
        <x:v>1101.96</x:v>
      </x:c>
      <x:c r="M689" s="3" t="str">
        <x:v>Credit Card</x:v>
      </x:c>
      <x:c r="N689" s="3" t="str">
        <x:f>TEXT(B689,"yyyy-mm")</x:f>
        <x:v>2024-07</x:v>
      </x:c>
      <x:c r="O689" s="3" t="str">
        <x:f>IF(J689=0,"No discount",IF(J689&lt;=0.1,"1-10%",IF(J689&lt;=0.15,"11-15%",IF(J689&lt;=0.2,"16-20%","21%+"))))</x:f>
        <x:v>1-10%</x:v>
      </x:c>
      <x:c r="P689" s="9" t="n">
        <x:f>IF(K689=0,0,L689/K689)</x:f>
        <x:v>0.3889659554190713</x:v>
      </x:c>
      <x:c r="Q689" s="3" t="str">
        <x:f>IF(L689&lt;0,"Yes","No")</x:f>
        <x:v>No</x:v>
      </x:c>
    </x:row>
    <x:row r="690" ht="21" customHeight="1">
      <x:c r="A690" s="3" t="str">
        <x:v>ORD-101950</x:v>
      </x:c>
      <x:c r="B690" s="5" t="n">
        <x:v>45492</x:v>
      </x:c>
      <x:c r="C690" s="3" t="str">
        <x:v>CUST-00105</x:v>
      </x:c>
      <x:c r="D690" s="3" t="str">
        <x:v>North</x:v>
      </x:c>
      <x:c r="E690" s="3" t="str">
        <x:v>Beauty</x:v>
      </x:c>
      <x:c r="F690" s="3" t="str">
        <x:v>Makeup</x:v>
      </x:c>
      <x:c r="G690" s="3" t="str">
        <x:v>HD Foundation Kit</x:v>
      </x:c>
      <x:c r="H690" s="3" t="n">
        <x:v>1</x:v>
      </x:c>
      <x:c r="I690" s="7" t="n">
        <x:v>1431.51</x:v>
      </x:c>
      <x:c r="J690" s="9" t="n">
        <x:v>0.05</x:v>
      </x:c>
      <x:c r="K690" s="7" t="n">
        <x:v>1359.93</x:v>
      </x:c>
      <x:c r="L690" s="7" t="n">
        <x:v>640.71</x:v>
      </x:c>
      <x:c r="M690" s="3" t="str">
        <x:v>UPI</x:v>
      </x:c>
      <x:c r="N690" s="3" t="str">
        <x:f>TEXT(B690,"yyyy-mm")</x:f>
        <x:v>2024-07</x:v>
      </x:c>
      <x:c r="O690" s="3" t="str">
        <x:f>IF(J690=0,"No discount",IF(J690&lt;=0.1,"1-10%",IF(J690&lt;=0.15,"11-15%",IF(J690&lt;=0.2,"16-20%","21%+"))))</x:f>
        <x:v>1-10%</x:v>
      </x:c>
      <x:c r="P690" s="9" t="n">
        <x:f>IF(K690=0,0,L690/K690)</x:f>
        <x:v>0.4711345436897487</x:v>
      </x:c>
      <x:c r="Q690" s="3" t="str">
        <x:f>IF(L690&lt;0,"Yes","No")</x:f>
        <x:v>No</x:v>
      </x:c>
    </x:row>
    <x:row r="691" ht="21" customHeight="1">
      <x:c r="A691" s="3" t="str">
        <x:v>ORD-100029</x:v>
      </x:c>
      <x:c r="B691" s="5" t="n">
        <x:v>45493</x:v>
      </x:c>
      <x:c r="C691" s="3" t="str">
        <x:v>CUST-00072</x:v>
      </x:c>
      <x:c r="D691" s="3" t="str">
        <x:v>East</x:v>
      </x:c>
      <x:c r="E691" s="3" t="str">
        <x:v>Fashion</x:v>
      </x:c>
      <x:c r="F691" s="3" t="str">
        <x:v>Women</x:v>
      </x:c>
      <x:c r="G691" s="3" t="str">
        <x:v>Floral Summer Dress</x:v>
      </x:c>
      <x:c r="H691" s="3" t="n">
        <x:v>2</x:v>
      </x:c>
      <x:c r="I691" s="7" t="n">
        <x:v>1875.56</x:v>
      </x:c>
      <x:c r="J691" s="9" t="n">
        <x:v>0</x:v>
      </x:c>
      <x:c r="K691" s="7" t="n">
        <x:v>3751.12</x:v>
      </x:c>
      <x:c r="L691" s="7" t="n">
        <x:v>1587.01</x:v>
      </x:c>
      <x:c r="M691" s="3" t="str">
        <x:v>Debit Card</x:v>
      </x:c>
      <x:c r="N691" s="3" t="str">
        <x:f>TEXT(B691,"yyyy-mm")</x:f>
        <x:v>2024-07</x:v>
      </x:c>
      <x:c r="O691" s="3" t="str">
        <x:f>IF(J691=0,"No discount",IF(J691&lt;=0.1,"1-10%",IF(J691&lt;=0.15,"11-15%",IF(J691&lt;=0.2,"16-20%","21%+"))))</x:f>
        <x:v>No discount</x:v>
      </x:c>
      <x:c r="P691" s="9" t="n">
        <x:f>IF(K691=0,0,L691/K691)</x:f>
        <x:v>0.4230763078760477</x:v>
      </x:c>
      <x:c r="Q691" s="3" t="str">
        <x:f>IF(L691&lt;0,"Yes","No")</x:f>
        <x:v>No</x:v>
      </x:c>
    </x:row>
    <x:row r="692" ht="21" customHeight="1">
      <x:c r="A692" s="3" t="str">
        <x:v>ORD-100931</x:v>
      </x:c>
      <x:c r="B692" s="5" t="n">
        <x:v>45493</x:v>
      </x:c>
      <x:c r="C692" s="3" t="str">
        <x:v>CUST-00471</x:v>
      </x:c>
      <x:c r="D692" s="3" t="str">
        <x:v>East</x:v>
      </x:c>
      <x:c r="E692" s="3" t="str">
        <x:v>Sports</x:v>
      </x:c>
      <x:c r="F692" s="3" t="str">
        <x:v>Fitness</x:v>
      </x:c>
      <x:c r="G692" s="3" t="str">
        <x:v>ProYoga Mat</x:v>
      </x:c>
      <x:c r="H692" s="3" t="n">
        <x:v>1</x:v>
      </x:c>
      <x:c r="I692" s="7" t="n">
        <x:v>1263.19</x:v>
      </x:c>
      <x:c r="J692" s="9" t="n">
        <x:v>0.05</x:v>
      </x:c>
      <x:c r="K692" s="7" t="n">
        <x:v>1200.03</x:v>
      </x:c>
      <x:c r="L692" s="7" t="n">
        <x:v>365.73</x:v>
      </x:c>
      <x:c r="M692" s="3" t="str">
        <x:v>Debit Card</x:v>
      </x:c>
      <x:c r="N692" s="3" t="str">
        <x:f>TEXT(B692,"yyyy-mm")</x:f>
        <x:v>2024-07</x:v>
      </x:c>
      <x:c r="O692" s="3" t="str">
        <x:f>IF(J692=0,"No discount",IF(J692&lt;=0.1,"1-10%",IF(J692&lt;=0.15,"11-15%",IF(J692&lt;=0.2,"16-20%","21%+"))))</x:f>
        <x:v>1-10%</x:v>
      </x:c>
      <x:c r="P692" s="9" t="n">
        <x:f>IF(K692=0,0,L692/K692)</x:f>
        <x:v>0.30476738081547966</x:v>
      </x:c>
      <x:c r="Q692" s="3" t="str">
        <x:f>IF(L692&lt;0,"Yes","No")</x:f>
        <x:v>No</x:v>
      </x:c>
    </x:row>
    <x:row r="693" ht="21" customHeight="1">
      <x:c r="A693" s="3" t="str">
        <x:v>ORD-101675</x:v>
      </x:c>
      <x:c r="B693" s="5" t="n">
        <x:v>45493</x:v>
      </x:c>
      <x:c r="C693" s="3" t="str">
        <x:v>CUST-00399</x:v>
      </x:c>
      <x:c r="D693" s="3" t="str">
        <x:v>South</x:v>
      </x:c>
      <x:c r="E693" s="3" t="str">
        <x:v>Sports</x:v>
      </x:c>
      <x:c r="F693" s="3" t="str">
        <x:v>Outdoor</x:v>
      </x:c>
      <x:c r="G693" s="3" t="str">
        <x:v>AllWeather Tent 4P</x:v>
      </x:c>
      <x:c r="H693" s="3" t="n">
        <x:v>3</x:v>
      </x:c>
      <x:c r="I693" s="7" t="n">
        <x:v>11994.45</x:v>
      </x:c>
      <x:c r="J693" s="9" t="n">
        <x:v>0</x:v>
      </x:c>
      <x:c r="K693" s="7" t="n">
        <x:v>35983.35</x:v>
      </x:c>
      <x:c r="L693" s="7" t="n">
        <x:v>12864.84</x:v>
      </x:c>
      <x:c r="M693" s="3" t="str">
        <x:v>Debit Card</x:v>
      </x:c>
      <x:c r="N693" s="3" t="str">
        <x:f>TEXT(B693,"yyyy-mm")</x:f>
        <x:v>2024-07</x:v>
      </x:c>
      <x:c r="O693" s="3" t="str">
        <x:f>IF(J693=0,"No discount",IF(J693&lt;=0.1,"1-10%",IF(J693&lt;=0.15,"11-15%",IF(J693&lt;=0.2,"16-20%","21%+"))))</x:f>
        <x:v>No discount</x:v>
      </x:c>
      <x:c r="P693" s="9" t="n">
        <x:f>IF(K693=0,0,L693/K693)</x:f>
        <x:v>0.35752202060119476</x:v>
      </x:c>
      <x:c r="Q693" s="3" t="str">
        <x:f>IF(L693&lt;0,"Yes","No")</x:f>
        <x:v>No</x:v>
      </x:c>
    </x:row>
    <x:row r="694" ht="21" customHeight="1">
      <x:c r="A694" s="3" t="str">
        <x:v>ORD-101744</x:v>
      </x:c>
      <x:c r="B694" s="5" t="n">
        <x:v>45493</x:v>
      </x:c>
      <x:c r="C694" s="3" t="str">
        <x:v>CUST-00065</x:v>
      </x:c>
      <x:c r="D694" s="3" t="str">
        <x:v>West</x:v>
      </x:c>
      <x:c r="E694" s="3" t="str">
        <x:v>Electronics</x:v>
      </x:c>
      <x:c r="F694" s="3" t="str">
        <x:v>Laptop</x:v>
      </x:c>
      <x:c r="G694" s="3" t="str">
        <x:v>ThinkPro 14</x:v>
      </x:c>
      <x:c r="H694" s="3" t="n">
        <x:v>1</x:v>
      </x:c>
      <x:c r="I694" s="7" t="n">
        <x:v>53097.48</x:v>
      </x:c>
      <x:c r="J694" s="9" t="n">
        <x:v>0.2</x:v>
      </x:c>
      <x:c r="K694" s="7" t="n">
        <x:v>42477.98</x:v>
      </x:c>
      <x:c r="L694" s="7" t="n">
        <x:v>-2390.32</x:v>
      </x:c>
      <x:c r="M694" s="3" t="str">
        <x:v>UPI</x:v>
      </x:c>
      <x:c r="N694" s="3" t="str">
        <x:f>TEXT(B694,"yyyy-mm")</x:f>
        <x:v>2024-07</x:v>
      </x:c>
      <x:c r="O694" s="3" t="str">
        <x:f>IF(J694=0,"No discount",IF(J694&lt;=0.1,"1-10%",IF(J694&lt;=0.15,"11-15%",IF(J694&lt;=0.2,"16-20%","21%+"))))</x:f>
        <x:v>16-20%</x:v>
      </x:c>
      <x:c r="P694" s="9" t="n">
        <x:f>IF(K694=0,0,L694/K694)</x:f>
        <x:v>-0.05627197903478461</x:v>
      </x:c>
      <x:c r="Q694" s="3" t="str">
        <x:f>IF(L694&lt;0,"Yes","No")</x:f>
        <x:v>Yes</x:v>
      </x:c>
    </x:row>
    <x:row r="695" ht="21" customHeight="1">
      <x:c r="A695" s="3" t="str">
        <x:v>ORD-101841</x:v>
      </x:c>
      <x:c r="B695" s="5" t="n">
        <x:v>45493</x:v>
      </x:c>
      <x:c r="C695" s="3" t="str">
        <x:v>CUST-00305</x:v>
      </x:c>
      <x:c r="D695" s="3" t="str">
        <x:v>North</x:v>
      </x:c>
      <x:c r="E695" s="3" t="str">
        <x:v>Sports</x:v>
      </x:c>
      <x:c r="F695" s="3" t="str">
        <x:v>Fitness</x:v>
      </x:c>
      <x:c r="G695" s="3" t="str">
        <x:v>ProYoga Mat</x:v>
      </x:c>
      <x:c r="H695" s="3" t="n">
        <x:v>1</x:v>
      </x:c>
      <x:c r="I695" s="7" t="n">
        <x:v>1261.07</x:v>
      </x:c>
      <x:c r="J695" s="9" t="n">
        <x:v>0</x:v>
      </x:c>
      <x:c r="K695" s="7" t="n">
        <x:v>1261.07</x:v>
      </x:c>
      <x:c r="L695" s="7" t="n">
        <x:v>442.06</x:v>
      </x:c>
      <x:c r="M695" s="3" t="str">
        <x:v>UPI</x:v>
      </x:c>
      <x:c r="N695" s="3" t="str">
        <x:f>TEXT(B695,"yyyy-mm")</x:f>
        <x:v>2024-07</x:v>
      </x:c>
      <x:c r="O695" s="3" t="str">
        <x:f>IF(J695=0,"No discount",IF(J695&lt;=0.1,"1-10%",IF(J695&lt;=0.15,"11-15%",IF(J695&lt;=0.2,"16-20%","21%+"))))</x:f>
        <x:v>No discount</x:v>
      </x:c>
      <x:c r="P695" s="9" t="n">
        <x:f>IF(K695=0,0,L695/K695)</x:f>
        <x:v>0.3505435860023631</x:v>
      </x:c>
      <x:c r="Q695" s="3" t="str">
        <x:f>IF(L695&lt;0,"Yes","No")</x:f>
        <x:v>No</x:v>
      </x:c>
    </x:row>
    <x:row r="696" ht="21" customHeight="1">
      <x:c r="A696" s="3" t="str">
        <x:v>ORD-100056</x:v>
      </x:c>
      <x:c r="B696" s="5" t="n">
        <x:v>45494</x:v>
      </x:c>
      <x:c r="C696" s="3" t="str">
        <x:v>CUST-00558</x:v>
      </x:c>
      <x:c r="D696" s="3" t="str">
        <x:v>North</x:v>
      </x:c>
      <x:c r="E696" s="3" t="str">
        <x:v>Home &amp; Kitchen</x:v>
      </x:c>
      <x:c r="F696" s="3" t="str">
        <x:v>Furniture</x:v>
      </x:c>
      <x:c r="G696" s="3" t="str">
        <x:v>Oakwood Study Desk</x:v>
      </x:c>
      <x:c r="H696" s="3" t="n">
        <x:v>1</x:v>
      </x:c>
      <x:c r="I696" s="7" t="n">
        <x:v>13466.45</x:v>
      </x:c>
      <x:c r="J696" s="9" t="n">
        <x:v>0</x:v>
      </x:c>
      <x:c r="K696" s="7" t="n">
        <x:v>13466.45</x:v>
      </x:c>
      <x:c r="L696" s="7" t="n">
        <x:v>3981.95</x:v>
      </x:c>
      <x:c r="M696" s="3" t="str">
        <x:v>UPI</x:v>
      </x:c>
      <x:c r="N696" s="3" t="str">
        <x:f>TEXT(B696,"yyyy-mm")</x:f>
        <x:v>2024-07</x:v>
      </x:c>
      <x:c r="O696" s="3" t="str">
        <x:f>IF(J696=0,"No discount",IF(J696&lt;=0.1,"1-10%",IF(J696&lt;=0.15,"11-15%",IF(J696&lt;=0.2,"16-20%","21%+"))))</x:f>
        <x:v>No discount</x:v>
      </x:c>
      <x:c r="P696" s="9" t="n">
        <x:f>IF(K696=0,0,L696/K696)</x:f>
        <x:v>0.29569411389044625</x:v>
      </x:c>
      <x:c r="Q696" s="3" t="str">
        <x:f>IF(L696&lt;0,"Yes","No")</x:f>
        <x:v>No</x:v>
      </x:c>
    </x:row>
    <x:row r="697" ht="21" customHeight="1">
      <x:c r="A697" s="3" t="str">
        <x:v>ORD-101823</x:v>
      </x:c>
      <x:c r="B697" s="5" t="n">
        <x:v>45494</x:v>
      </x:c>
      <x:c r="C697" s="3" t="str">
        <x:v>CUST-00074</x:v>
      </x:c>
      <x:c r="D697" s="3" t="str">
        <x:v>South</x:v>
      </x:c>
      <x:c r="E697" s="3" t="str">
        <x:v>Home &amp; Kitchen</x:v>
      </x:c>
      <x:c r="F697" s="3" t="str">
        <x:v>Decor</x:v>
      </x:c>
      <x:c r="G697" s="3" t="str">
        <x:v>Ceramic Vase Set</x:v>
      </x:c>
      <x:c r="H697" s="3" t="n">
        <x:v>1</x:v>
      </x:c>
      <x:c r="I697" s="7" t="n">
        <x:v>1549.64</x:v>
      </x:c>
      <x:c r="J697" s="9" t="n">
        <x:v>0.1</x:v>
      </x:c>
      <x:c r="K697" s="7" t="n">
        <x:v>1394.68</x:v>
      </x:c>
      <x:c r="L697" s="7" t="n">
        <x:v>260</x:v>
      </x:c>
      <x:c r="M697" s="3" t="str">
        <x:v>Credit Card</x:v>
      </x:c>
      <x:c r="N697" s="3" t="str">
        <x:f>TEXT(B697,"yyyy-mm")</x:f>
        <x:v>2024-07</x:v>
      </x:c>
      <x:c r="O697" s="3" t="str">
        <x:f>IF(J697=0,"No discount",IF(J697&lt;=0.1,"1-10%",IF(J697&lt;=0.15,"11-15%",IF(J697&lt;=0.2,"16-20%","21%+"))))</x:f>
        <x:v>1-10%</x:v>
      </x:c>
      <x:c r="P697" s="9" t="n">
        <x:f>IF(K697=0,0,L697/K697)</x:f>
        <x:v>0.18642269194367167</x:v>
      </x:c>
      <x:c r="Q697" s="3" t="str">
        <x:f>IF(L697&lt;0,"Yes","No")</x:f>
        <x:v>No</x:v>
      </x:c>
    </x:row>
    <x:row r="698" ht="21" customHeight="1">
      <x:c r="A698" s="3" t="str">
        <x:v>ORD-100694</x:v>
      </x:c>
      <x:c r="B698" s="5" t="n">
        <x:v>45495</x:v>
      </x:c>
      <x:c r="C698" s="3" t="str">
        <x:v>CUST-00292</x:v>
      </x:c>
      <x:c r="D698" s="3" t="str">
        <x:v>East</x:v>
      </x:c>
      <x:c r="E698" s="3" t="str">
        <x:v>Beauty</x:v>
      </x:c>
      <x:c r="F698" s="3" t="str">
        <x:v>Makeup</x:v>
      </x:c>
      <x:c r="G698" s="3" t="str">
        <x:v>Matte Lipstick Set</x:v>
      </x:c>
      <x:c r="H698" s="3" t="n">
        <x:v>5</x:v>
      </x:c>
      <x:c r="I698" s="7" t="n">
        <x:v>992.94</x:v>
      </x:c>
      <x:c r="J698" s="9" t="n">
        <x:v>0.1</x:v>
      </x:c>
      <x:c r="K698" s="7" t="n">
        <x:v>4468.23</x:v>
      </x:c>
      <x:c r="L698" s="7" t="n">
        <x:v>1814.95</x:v>
      </x:c>
      <x:c r="M698" s="3" t="str">
        <x:v>UPI</x:v>
      </x:c>
      <x:c r="N698" s="3" t="str">
        <x:f>TEXT(B698,"yyyy-mm")</x:f>
        <x:v>2024-07</x:v>
      </x:c>
      <x:c r="O698" s="3" t="str">
        <x:f>IF(J698=0,"No discount",IF(J698&lt;=0.1,"1-10%",IF(J698&lt;=0.15,"11-15%",IF(J698&lt;=0.2,"16-20%","21%+"))))</x:f>
        <x:v>1-10%</x:v>
      </x:c>
      <x:c r="P698" s="9" t="n">
        <x:f>IF(K698=0,0,L698/K698)</x:f>
        <x:v>0.40618992307916113</x:v>
      </x:c>
      <x:c r="Q698" s="3" t="str">
        <x:f>IF(L698&lt;0,"Yes","No")</x:f>
        <x:v>No</x:v>
      </x:c>
    </x:row>
    <x:row r="699" ht="21" customHeight="1">
      <x:c r="A699" s="3" t="str">
        <x:v>ORD-100884</x:v>
      </x:c>
      <x:c r="B699" s="5" t="n">
        <x:v>45495</x:v>
      </x:c>
      <x:c r="C699" s="3" t="str">
        <x:v>CUST-00420</x:v>
      </x:c>
      <x:c r="D699" s="3" t="str">
        <x:v>North</x:v>
      </x:c>
      <x:c r="E699" s="3" t="str">
        <x:v>Sports</x:v>
      </x:c>
      <x:c r="F699" s="3" t="str">
        <x:v>Fitness</x:v>
      </x:c>
      <x:c r="G699" s="3" t="str">
        <x:v>ProYoga Mat</x:v>
      </x:c>
      <x:c r="H699" s="3" t="n">
        <x:v>1</x:v>
      </x:c>
      <x:c r="I699" s="7" t="n">
        <x:v>1253.21</x:v>
      </x:c>
      <x:c r="J699" s="9" t="n">
        <x:v>0.15</x:v>
      </x:c>
      <x:c r="K699" s="7" t="n">
        <x:v>1065.23</x:v>
      </x:c>
      <x:c r="L699" s="7" t="n">
        <x:v>201.15</x:v>
      </x:c>
      <x:c r="M699" s="3" t="str">
        <x:v>UPI</x:v>
      </x:c>
      <x:c r="N699" s="3" t="str">
        <x:f>TEXT(B699,"yyyy-mm")</x:f>
        <x:v>2024-07</x:v>
      </x:c>
      <x:c r="O699" s="3" t="str">
        <x:f>IF(J699=0,"No discount",IF(J699&lt;=0.1,"1-10%",IF(J699&lt;=0.15,"11-15%",IF(J699&lt;=0.2,"16-20%","21%+"))))</x:f>
        <x:v>11-15%</x:v>
      </x:c>
      <x:c r="P699" s="9" t="n">
        <x:f>IF(K699=0,0,L699/K699)</x:f>
        <x:v>0.18883245871783558</x:v>
      </x:c>
      <x:c r="Q699" s="3" t="str">
        <x:f>IF(L699&lt;0,"Yes","No")</x:f>
        <x:v>No</x:v>
      </x:c>
    </x:row>
    <x:row r="700" ht="21" customHeight="1">
      <x:c r="A700" s="3" t="str">
        <x:v>ORD-101470</x:v>
      </x:c>
      <x:c r="B700" s="5" t="n">
        <x:v>45495</x:v>
      </x:c>
      <x:c r="C700" s="3" t="str">
        <x:v>CUST-00533</x:v>
      </x:c>
      <x:c r="D700" s="3" t="str">
        <x:v>East</x:v>
      </x:c>
      <x:c r="E700" s="3" t="str">
        <x:v>Beauty</x:v>
      </x:c>
      <x:c r="F700" s="3" t="str">
        <x:v>Makeup</x:v>
      </x:c>
      <x:c r="G700" s="3" t="str">
        <x:v>HD Foundation Kit</x:v>
      </x:c>
      <x:c r="H700" s="3" t="n">
        <x:v>1</x:v>
      </x:c>
      <x:c r="I700" s="7" t="n">
        <x:v>1536.72</x:v>
      </x:c>
      <x:c r="J700" s="9" t="n">
        <x:v>0</x:v>
      </x:c>
      <x:c r="K700" s="7" t="n">
        <x:v>1536.72</x:v>
      </x:c>
      <x:c r="L700" s="7" t="n">
        <x:v>873.45</x:v>
      </x:c>
      <x:c r="M700" s="3" t="str">
        <x:v>Debit Card</x:v>
      </x:c>
      <x:c r="N700" s="3" t="str">
        <x:f>TEXT(B700,"yyyy-mm")</x:f>
        <x:v>2024-07</x:v>
      </x:c>
      <x:c r="O700" s="3" t="str">
        <x:f>IF(J700=0,"No discount",IF(J700&lt;=0.1,"1-10%",IF(J700&lt;=0.15,"11-15%",IF(J700&lt;=0.2,"16-20%","21%+"))))</x:f>
        <x:v>No discount</x:v>
      </x:c>
      <x:c r="P700" s="9" t="n">
        <x:f>IF(K700=0,0,L700/K700)</x:f>
        <x:v>0.56838591285335</x:v>
      </x:c>
      <x:c r="Q700" s="3" t="str">
        <x:f>IF(L700&lt;0,"Yes","No")</x:f>
        <x:v>No</x:v>
      </x:c>
    </x:row>
    <x:row r="701" ht="21" customHeight="1">
      <x:c r="A701" s="3" t="str">
        <x:v>ORD-100740</x:v>
      </x:c>
      <x:c r="B701" s="5" t="n">
        <x:v>45496</x:v>
      </x:c>
      <x:c r="C701" s="3" t="str">
        <x:v>CUST-00067</x:v>
      </x:c>
      <x:c r="D701" s="3" t="str">
        <x:v>North</x:v>
      </x:c>
      <x:c r="E701" s="3" t="str">
        <x:v>Electronics</x:v>
      </x:c>
      <x:c r="F701" s="3" t="str">
        <x:v>Laptop</x:v>
      </x:c>
      <x:c r="G701" s="3" t="str">
        <x:v>AirBook Slim</x:v>
      </x:c>
      <x:c r="H701" s="3" t="n">
        <x:v>1</x:v>
      </x:c>
      <x:c r="I701" s="7" t="n">
        <x:v>81513.46</x:v>
      </x:c>
      <x:c r="J701" s="9" t="n">
        <x:v>0.1</x:v>
      </x:c>
      <x:c r="K701" s="7" t="n">
        <x:v>73362.11</x:v>
      </x:c>
      <x:c r="L701" s="7" t="n">
        <x:v>2474.47</x:v>
      </x:c>
      <x:c r="M701" s="3" t="str">
        <x:v>UPI</x:v>
      </x:c>
      <x:c r="N701" s="3" t="str">
        <x:f>TEXT(B701,"yyyy-mm")</x:f>
        <x:v>2024-07</x:v>
      </x:c>
      <x:c r="O701" s="3" t="str">
        <x:f>IF(J701=0,"No discount",IF(J701&lt;=0.1,"1-10%",IF(J701&lt;=0.15,"11-15%",IF(J701&lt;=0.2,"16-20%","21%+"))))</x:f>
        <x:v>1-10%</x:v>
      </x:c>
      <x:c r="P701" s="9" t="n">
        <x:f>IF(K701=0,0,L701/K701)</x:f>
        <x:v>0.033729536950341255</x:v>
      </x:c>
      <x:c r="Q701" s="3" t="str">
        <x:f>IF(L701&lt;0,"Yes","No")</x:f>
        <x:v>No</x:v>
      </x:c>
    </x:row>
    <x:row r="702" ht="21" customHeight="1">
      <x:c r="A702" s="3" t="str">
        <x:v>ORD-101064</x:v>
      </x:c>
      <x:c r="B702" s="5" t="n">
        <x:v>45496</x:v>
      </x:c>
      <x:c r="C702" s="3" t="str">
        <x:v>CUST-00214</x:v>
      </x:c>
      <x:c r="D702" s="3" t="str">
        <x:v>South</x:v>
      </x:c>
      <x:c r="E702" s="3" t="str">
        <x:v>Sports</x:v>
      </x:c>
      <x:c r="F702" s="3" t="str">
        <x:v>Outdoor</x:v>
      </x:c>
      <x:c r="G702" s="3" t="str">
        <x:v>TrailHike Backpack 60L</x:v>
      </x:c>
      <x:c r="H702" s="3" t="n">
        <x:v>1</x:v>
      </x:c>
      <x:c r="I702" s="7" t="n">
        <x:v>3332.28</x:v>
      </x:c>
      <x:c r="J702" s="9" t="n">
        <x:v>0</x:v>
      </x:c>
      <x:c r="K702" s="7" t="n">
        <x:v>3332.28</x:v>
      </x:c>
      <x:c r="L702" s="7" t="n">
        <x:v>1323.51</x:v>
      </x:c>
      <x:c r="M702" s="3" t="str">
        <x:v>UPI</x:v>
      </x:c>
      <x:c r="N702" s="3" t="str">
        <x:f>TEXT(B702,"yyyy-mm")</x:f>
        <x:v>2024-07</x:v>
      </x:c>
      <x:c r="O702" s="3" t="str">
        <x:f>IF(J702=0,"No discount",IF(J702&lt;=0.1,"1-10%",IF(J702&lt;=0.15,"11-15%",IF(J702&lt;=0.2,"16-20%","21%+"))))</x:f>
        <x:v>No discount</x:v>
      </x:c>
      <x:c r="P702" s="9" t="n">
        <x:f>IF(K702=0,0,L702/K702)</x:f>
        <x:v>0.3971785084086571</x:v>
      </x:c>
      <x:c r="Q702" s="3" t="str">
        <x:f>IF(L702&lt;0,"Yes","No")</x:f>
        <x:v>No</x:v>
      </x:c>
    </x:row>
    <x:row r="703" ht="21" customHeight="1">
      <x:c r="A703" s="3" t="str">
        <x:v>ORD-101372</x:v>
      </x:c>
      <x:c r="B703" s="5" t="n">
        <x:v>45496</x:v>
      </x:c>
      <x:c r="C703" s="3" t="str">
        <x:v>CUST-00474</x:v>
      </x:c>
      <x:c r="D703" s="3" t="str">
        <x:v>North</x:v>
      </x:c>
      <x:c r="E703" s="3" t="str">
        <x:v>Electronics</x:v>
      </x:c>
      <x:c r="F703" s="3" t="str">
        <x:v>Audio</x:v>
      </x:c>
      <x:c r="G703" s="3" t="str">
        <x:v>SoundPods Pro</x:v>
      </x:c>
      <x:c r="H703" s="3" t="n">
        <x:v>2</x:v>
      </x:c>
      <x:c r="I703" s="7" t="n">
        <x:v>5157.44</x:v>
      </x:c>
      <x:c r="J703" s="9" t="n">
        <x:v>0</x:v>
      </x:c>
      <x:c r="K703" s="7" t="n">
        <x:v>10314.88</x:v>
      </x:c>
      <x:c r="L703" s="7" t="n">
        <x:v>2099.24</x:v>
      </x:c>
      <x:c r="M703" s="3" t="str">
        <x:v>Credit Card</x:v>
      </x:c>
      <x:c r="N703" s="3" t="str">
        <x:f>TEXT(B703,"yyyy-mm")</x:f>
        <x:v>2024-07</x:v>
      </x:c>
      <x:c r="O703" s="3" t="str">
        <x:f>IF(J703=0,"No discount",IF(J703&lt;=0.1,"1-10%",IF(J703&lt;=0.15,"11-15%",IF(J703&lt;=0.2,"16-20%","21%+"))))</x:f>
        <x:v>No discount</x:v>
      </x:c>
      <x:c r="P703" s="9" t="n">
        <x:f>IF(K703=0,0,L703/K703)</x:f>
        <x:v>0.20351569771049202</x:v>
      </x:c>
      <x:c r="Q703" s="3" t="str">
        <x:f>IF(L703&lt;0,"Yes","No")</x:f>
        <x:v>No</x:v>
      </x:c>
    </x:row>
    <x:row r="704" ht="21" customHeight="1">
      <x:c r="A704" s="3" t="str">
        <x:v>ORD-101768</x:v>
      </x:c>
      <x:c r="B704" s="5" t="n">
        <x:v>45496</x:v>
      </x:c>
      <x:c r="C704" s="3" t="str">
        <x:v>CUST-00262</x:v>
      </x:c>
      <x:c r="D704" s="3" t="str">
        <x:v>South</x:v>
      </x:c>
      <x:c r="E704" s="3" t="str">
        <x:v>Fashion</x:v>
      </x:c>
      <x:c r="F704" s="3" t="str">
        <x:v>Women</x:v>
      </x:c>
      <x:c r="G704" s="3" t="str">
        <x:v>Knit Winter Sweater</x:v>
      </x:c>
      <x:c r="H704" s="3" t="n">
        <x:v>1</x:v>
      </x:c>
      <x:c r="I704" s="7" t="n">
        <x:v>2302.91</x:v>
      </x:c>
      <x:c r="J704" s="9" t="n">
        <x:v>0.1</x:v>
      </x:c>
      <x:c r="K704" s="7" t="n">
        <x:v>2072.62</x:v>
      </x:c>
      <x:c r="L704" s="7" t="n">
        <x:v>597.35</x:v>
      </x:c>
      <x:c r="M704" s="3" t="str">
        <x:v>UPI</x:v>
      </x:c>
      <x:c r="N704" s="3" t="str">
        <x:f>TEXT(B704,"yyyy-mm")</x:f>
        <x:v>2024-07</x:v>
      </x:c>
      <x:c r="O704" s="3" t="str">
        <x:f>IF(J704=0,"No discount",IF(J704&lt;=0.1,"1-10%",IF(J704&lt;=0.15,"11-15%",IF(J704&lt;=0.2,"16-20%","21%+"))))</x:f>
        <x:v>1-10%</x:v>
      </x:c>
      <x:c r="P704" s="9" t="n">
        <x:f>IF(K704=0,0,L704/K704)</x:f>
        <x:v>0.2882100915749149</x:v>
      </x:c>
      <x:c r="Q704" s="3" t="str">
        <x:f>IF(L704&lt;0,"Yes","No")</x:f>
        <x:v>No</x:v>
      </x:c>
    </x:row>
    <x:row r="705" ht="21" customHeight="1">
      <x:c r="A705" s="3" t="str">
        <x:v>ORD-100186</x:v>
      </x:c>
      <x:c r="B705" s="5" t="n">
        <x:v>45497</x:v>
      </x:c>
      <x:c r="C705" s="3" t="str">
        <x:v>CUST-00182</x:v>
      </x:c>
      <x:c r="D705" s="3" t="str">
        <x:v>South</x:v>
      </x:c>
      <x:c r="E705" s="3" t="str">
        <x:v>Home &amp; Kitchen</x:v>
      </x:c>
      <x:c r="F705" s="3" t="str">
        <x:v>Decor</x:v>
      </x:c>
      <x:c r="G705" s="3" t="str">
        <x:v>LED Wall Lamp</x:v>
      </x:c>
      <x:c r="H705" s="3" t="n">
        <x:v>1</x:v>
      </x:c>
      <x:c r="I705" s="7" t="n">
        <x:v>1014.09</x:v>
      </x:c>
      <x:c r="J705" s="9" t="n">
        <x:v>0.2</x:v>
      </x:c>
      <x:c r="K705" s="7" t="n">
        <x:v>811.27</x:v>
      </x:c>
      <x:c r="L705" s="7" t="n">
        <x:v>87.25</x:v>
      </x:c>
      <x:c r="M705" s="3" t="str">
        <x:v>Credit Card</x:v>
      </x:c>
      <x:c r="N705" s="3" t="str">
        <x:f>TEXT(B705,"yyyy-mm")</x:f>
        <x:v>2024-07</x:v>
      </x:c>
      <x:c r="O705" s="3" t="str">
        <x:f>IF(J705=0,"No discount",IF(J705&lt;=0.1,"1-10%",IF(J705&lt;=0.15,"11-15%",IF(J705&lt;=0.2,"16-20%","21%+"))))</x:f>
        <x:v>16-20%</x:v>
      </x:c>
      <x:c r="P705" s="9" t="n">
        <x:f>IF(K705=0,0,L705/K705)</x:f>
        <x:v>0.10754742564127849</x:v>
      </x:c>
      <x:c r="Q705" s="3" t="str">
        <x:f>IF(L705&lt;0,"Yes","No")</x:f>
        <x:v>No</x:v>
      </x:c>
    </x:row>
    <x:row r="706" ht="21" customHeight="1">
      <x:c r="A706" s="3" t="str">
        <x:v>ORD-100333</x:v>
      </x:c>
      <x:c r="B706" s="5" t="n">
        <x:v>45497</x:v>
      </x:c>
      <x:c r="C706" s="3" t="str">
        <x:v>CUST-00071</x:v>
      </x:c>
      <x:c r="D706" s="3" t="str">
        <x:v>East</x:v>
      </x:c>
      <x:c r="E706" s="3" t="str">
        <x:v>Fashion</x:v>
      </x:c>
      <x:c r="F706" s="3" t="str">
        <x:v>Footwear</x:v>
      </x:c>
      <x:c r="G706" s="3" t="str">
        <x:v>RunFlex Sneakers</x:v>
      </x:c>
      <x:c r="H706" s="3" t="n">
        <x:v>5</x:v>
      </x:c>
      <x:c r="I706" s="7" t="n">
        <x:v>2931.8</x:v>
      </x:c>
      <x:c r="J706" s="9" t="n">
        <x:v>0</x:v>
      </x:c>
      <x:c r="K706" s="7" t="n">
        <x:v>14659</x:v>
      </x:c>
      <x:c r="L706" s="7" t="n">
        <x:v>6038.84</x:v>
      </x:c>
      <x:c r="M706" s="3" t="str">
        <x:v>UPI</x:v>
      </x:c>
      <x:c r="N706" s="3" t="str">
        <x:f>TEXT(B706,"yyyy-mm")</x:f>
        <x:v>2024-07</x:v>
      </x:c>
      <x:c r="O706" s="3" t="str">
        <x:f>IF(J706=0,"No discount",IF(J706&lt;=0.1,"1-10%",IF(J706&lt;=0.15,"11-15%",IF(J706&lt;=0.2,"16-20%","21%+"))))</x:f>
        <x:v>No discount</x:v>
      </x:c>
      <x:c r="P706" s="9" t="n">
        <x:f>IF(K706=0,0,L706/K706)</x:f>
        <x:v>0.4119544307251518</x:v>
      </x:c>
      <x:c r="Q706" s="3" t="str">
        <x:f>IF(L706&lt;0,"Yes","No")</x:f>
        <x:v>No</x:v>
      </x:c>
    </x:row>
    <x:row r="707" ht="21" customHeight="1">
      <x:c r="A707" s="3" t="str">
        <x:v>ORD-101303</x:v>
      </x:c>
      <x:c r="B707" s="5" t="n">
        <x:v>45497</x:v>
      </x:c>
      <x:c r="C707" s="3" t="str">
        <x:v>CUST-00161</x:v>
      </x:c>
      <x:c r="D707" s="3" t="str">
        <x:v>North</x:v>
      </x:c>
      <x:c r="E707" s="3" t="str">
        <x:v>Beauty</x:v>
      </x:c>
      <x:c r="F707" s="3" t="str">
        <x:v>Makeup</x:v>
      </x:c>
      <x:c r="G707" s="3" t="str">
        <x:v>HD Foundation Kit</x:v>
      </x:c>
      <x:c r="H707" s="3" t="n">
        <x:v>1</x:v>
      </x:c>
      <x:c r="I707" s="7" t="n">
        <x:v>1462.09</x:v>
      </x:c>
      <x:c r="J707" s="9" t="n">
        <x:v>0.05</x:v>
      </x:c>
      <x:c r="K707" s="7" t="n">
        <x:v>1388.99</x:v>
      </x:c>
      <x:c r="L707" s="7" t="n">
        <x:v>631.82</x:v>
      </x:c>
      <x:c r="M707" s="3" t="str">
        <x:v>UPI</x:v>
      </x:c>
      <x:c r="N707" s="3" t="str">
        <x:f>TEXT(B707,"yyyy-mm")</x:f>
        <x:v>2024-07</x:v>
      </x:c>
      <x:c r="O707" s="3" t="str">
        <x:f>IF(J707=0,"No discount",IF(J707&lt;=0.1,"1-10%",IF(J707&lt;=0.15,"11-15%",IF(J707&lt;=0.2,"16-20%","21%+"))))</x:f>
        <x:v>1-10%</x:v>
      </x:c>
      <x:c r="P707" s="9" t="n">
        <x:f>IF(K707=0,0,L707/K707)</x:f>
        <x:v>0.45487728493365687</x:v>
      </x:c>
      <x:c r="Q707" s="3" t="str">
        <x:f>IF(L707&lt;0,"Yes","No")</x:f>
        <x:v>No</x:v>
      </x:c>
    </x:row>
    <x:row r="708" ht="21" customHeight="1">
      <x:c r="A708" s="3" t="str">
        <x:v>ORD-100277</x:v>
      </x:c>
      <x:c r="B708" s="5" t="n">
        <x:v>45498</x:v>
      </x:c>
      <x:c r="C708" s="3" t="str">
        <x:v>CUST-00420</x:v>
      </x:c>
      <x:c r="D708" s="3" t="str">
        <x:v>East</x:v>
      </x:c>
      <x:c r="E708" s="3" t="str">
        <x:v>Sports</x:v>
      </x:c>
      <x:c r="F708" s="3" t="str">
        <x:v>Fitness</x:v>
      </x:c>
      <x:c r="G708" s="3" t="str">
        <x:v>ProYoga Mat</x:v>
      </x:c>
      <x:c r="H708" s="3" t="n">
        <x:v>1</x:v>
      </x:c>
      <x:c r="I708" s="7" t="n">
        <x:v>1298.71</x:v>
      </x:c>
      <x:c r="J708" s="9" t="n">
        <x:v>0.15</x:v>
      </x:c>
      <x:c r="K708" s="7" t="n">
        <x:v>1103.9</x:v>
      </x:c>
      <x:c r="L708" s="7" t="n">
        <x:v>238.69</x:v>
      </x:c>
      <x:c r="M708" s="3" t="str">
        <x:v>Debit Card</x:v>
      </x:c>
      <x:c r="N708" s="3" t="str">
        <x:f>TEXT(B708,"yyyy-mm")</x:f>
        <x:v>2024-07</x:v>
      </x:c>
      <x:c r="O708" s="3" t="str">
        <x:f>IF(J708=0,"No discount",IF(J708&lt;=0.1,"1-10%",IF(J708&lt;=0.15,"11-15%",IF(J708&lt;=0.2,"16-20%","21%+"))))</x:f>
        <x:v>11-15%</x:v>
      </x:c>
      <x:c r="P708" s="9" t="n">
        <x:f>IF(K708=0,0,L708/K708)</x:f>
        <x:v>0.2162242956789564</x:v>
      </x:c>
      <x:c r="Q708" s="3" t="str">
        <x:f>IF(L708&lt;0,"Yes","No")</x:f>
        <x:v>No</x:v>
      </x:c>
    </x:row>
    <x:row r="709" ht="21" customHeight="1">
      <x:c r="A709" s="3" t="str">
        <x:v>ORD-100625</x:v>
      </x:c>
      <x:c r="B709" s="5" t="n">
        <x:v>45498</x:v>
      </x:c>
      <x:c r="C709" s="3" t="str">
        <x:v>CUST-00147</x:v>
      </x:c>
      <x:c r="D709" s="3" t="str">
        <x:v>East</x:v>
      </x:c>
      <x:c r="E709" s="3" t="str">
        <x:v>Home &amp; Kitchen</x:v>
      </x:c>
      <x:c r="F709" s="3" t="str">
        <x:v>Decor</x:v>
      </x:c>
      <x:c r="G709" s="3" t="str">
        <x:v>LED Wall Lamp</x:v>
      </x:c>
      <x:c r="H709" s="3" t="n">
        <x:v>1</x:v>
      </x:c>
      <x:c r="I709" s="7" t="n">
        <x:v>980.05</x:v>
      </x:c>
      <x:c r="J709" s="9" t="n">
        <x:v>0.1</x:v>
      </x:c>
      <x:c r="K709" s="7" t="n">
        <x:v>882.04</x:v>
      </x:c>
      <x:c r="L709" s="7" t="n">
        <x:v>168.68</x:v>
      </x:c>
      <x:c r="M709" s="3" t="str">
        <x:v>Credit Card</x:v>
      </x:c>
      <x:c r="N709" s="3" t="str">
        <x:f>TEXT(B709,"yyyy-mm")</x:f>
        <x:v>2024-07</x:v>
      </x:c>
      <x:c r="O709" s="3" t="str">
        <x:f>IF(J709=0,"No discount",IF(J709&lt;=0.1,"1-10%",IF(J709&lt;=0.15,"11-15%",IF(J709&lt;=0.2,"16-20%","21%+"))))</x:f>
        <x:v>1-10%</x:v>
      </x:c>
      <x:c r="P709" s="9" t="n">
        <x:f>IF(K709=0,0,L709/K709)</x:f>
        <x:v>0.1912384925853703</x:v>
      </x:c>
      <x:c r="Q709" s="3" t="str">
        <x:f>IF(L709&lt;0,"Yes","No")</x:f>
        <x:v>No</x:v>
      </x:c>
    </x:row>
    <x:row r="710" ht="21" customHeight="1">
      <x:c r="A710" s="3" t="str">
        <x:v>ORD-101608</x:v>
      </x:c>
      <x:c r="B710" s="5" t="n">
        <x:v>45498</x:v>
      </x:c>
      <x:c r="C710" s="3" t="str">
        <x:v>CUST-00458</x:v>
      </x:c>
      <x:c r="D710" s="3" t="str">
        <x:v>North</x:v>
      </x:c>
      <x:c r="E710" s="3" t="str">
        <x:v>Sports</x:v>
      </x:c>
      <x:c r="F710" s="3" t="str">
        <x:v>Fitness</x:v>
      </x:c>
      <x:c r="G710" s="3" t="str">
        <x:v>ProYoga Mat</x:v>
      </x:c>
      <x:c r="H710" s="3" t="n">
        <x:v>2</x:v>
      </x:c>
      <x:c r="I710" s="7" t="n">
        <x:v>1299.68</x:v>
      </x:c>
      <x:c r="J710" s="9" t="n">
        <x:v>0.1</x:v>
      </x:c>
      <x:c r="K710" s="7" t="n">
        <x:v>2339.42</x:v>
      </x:c>
      <x:c r="L710" s="7" t="n">
        <x:v>536.26</x:v>
      </x:c>
      <x:c r="M710" s="3" t="str">
        <x:v>UPI</x:v>
      </x:c>
      <x:c r="N710" s="3" t="str">
        <x:f>TEXT(B710,"yyyy-mm")</x:f>
        <x:v>2024-07</x:v>
      </x:c>
      <x:c r="O710" s="3" t="str">
        <x:f>IF(J710=0,"No discount",IF(J710&lt;=0.1,"1-10%",IF(J710&lt;=0.15,"11-15%",IF(J710&lt;=0.2,"16-20%","21%+"))))</x:f>
        <x:v>1-10%</x:v>
      </x:c>
      <x:c r="P710" s="9" t="n">
        <x:f>IF(K710=0,0,L710/K710)</x:f>
        <x:v>0.22922775730736678</x:v>
      </x:c>
      <x:c r="Q710" s="3" t="str">
        <x:f>IF(L710&lt;0,"Yes","No")</x:f>
        <x:v>No</x:v>
      </x:c>
    </x:row>
    <x:row r="711" ht="21" customHeight="1">
      <x:c r="A711" s="3" t="str">
        <x:v>ORD-100297</x:v>
      </x:c>
      <x:c r="B711" s="5" t="n">
        <x:v>45499</x:v>
      </x:c>
      <x:c r="C711" s="3" t="str">
        <x:v>CUST-00454</x:v>
      </x:c>
      <x:c r="D711" s="3" t="str">
        <x:v>North</x:v>
      </x:c>
      <x:c r="E711" s="3" t="str">
        <x:v>Electronics</x:v>
      </x:c>
      <x:c r="F711" s="3" t="str">
        <x:v>Laptop</x:v>
      </x:c>
      <x:c r="G711" s="3" t="str">
        <x:v>AirBook Slim</x:v>
      </x:c>
      <x:c r="H711" s="3" t="n">
        <x:v>1</x:v>
      </x:c>
      <x:c r="I711" s="7" t="n">
        <x:v>80461.66</x:v>
      </x:c>
      <x:c r="J711" s="9" t="n">
        <x:v>0.15</x:v>
      </x:c>
      <x:c r="K711" s="7" t="n">
        <x:v>68392.41</x:v>
      </x:c>
      <x:c r="L711" s="7" t="n">
        <x:v>3061.7</x:v>
      </x:c>
      <x:c r="M711" s="3" t="str">
        <x:v>Debit Card</x:v>
      </x:c>
      <x:c r="N711" s="3" t="str">
        <x:f>TEXT(B711,"yyyy-mm")</x:f>
        <x:v>2024-07</x:v>
      </x:c>
      <x:c r="O711" s="3" t="str">
        <x:f>IF(J711=0,"No discount",IF(J711&lt;=0.1,"1-10%",IF(J711&lt;=0.15,"11-15%",IF(J711&lt;=0.2,"16-20%","21%+"))))</x:f>
        <x:v>11-15%</x:v>
      </x:c>
      <x:c r="P711" s="9" t="n">
        <x:f>IF(K711=0,0,L711/K711)</x:f>
        <x:v>0.04476666343531394</x:v>
      </x:c>
      <x:c r="Q711" s="3" t="str">
        <x:f>IF(L711&lt;0,"Yes","No")</x:f>
        <x:v>No</x:v>
      </x:c>
    </x:row>
    <x:row r="712" ht="21" customHeight="1">
      <x:c r="A712" s="3" t="str">
        <x:v>ORD-100465</x:v>
      </x:c>
      <x:c r="B712" s="5" t="n">
        <x:v>45499</x:v>
      </x:c>
      <x:c r="C712" s="3" t="str">
        <x:v>CUST-00033</x:v>
      </x:c>
      <x:c r="D712" s="3" t="str">
        <x:v>South</x:v>
      </x:c>
      <x:c r="E712" s="3" t="str">
        <x:v>Electronics</x:v>
      </x:c>
      <x:c r="F712" s="3" t="str">
        <x:v>Laptop</x:v>
      </x:c>
      <x:c r="G712" s="3" t="str">
        <x:v>ThinkPro 14</x:v>
      </x:c>
      <x:c r="H712" s="3" t="n">
        <x:v>1</x:v>
      </x:c>
      <x:c r="I712" s="7" t="n">
        <x:v>53228.37</x:v>
      </x:c>
      <x:c r="J712" s="9" t="n">
        <x:v>0.1</x:v>
      </x:c>
      <x:c r="K712" s="7" t="n">
        <x:v>47905.53</x:v>
      </x:c>
      <x:c r="L712" s="7" t="n">
        <x:v>2629</x:v>
      </x:c>
      <x:c r="M712" s="3" t="str">
        <x:v>UPI</x:v>
      </x:c>
      <x:c r="N712" s="3" t="str">
        <x:f>TEXT(B712,"yyyy-mm")</x:f>
        <x:v>2024-07</x:v>
      </x:c>
      <x:c r="O712" s="3" t="str">
        <x:f>IF(J712=0,"No discount",IF(J712&lt;=0.1,"1-10%",IF(J712&lt;=0.15,"11-15%",IF(J712&lt;=0.2,"16-20%","21%+"))))</x:f>
        <x:v>1-10%</x:v>
      </x:c>
      <x:c r="P712" s="9" t="n">
        <x:f>IF(K712=0,0,L712/K712)</x:f>
        <x:v>0.054878841753759955</x:v>
      </x:c>
      <x:c r="Q712" s="3" t="str">
        <x:f>IF(L712&lt;0,"Yes","No")</x:f>
        <x:v>No</x:v>
      </x:c>
    </x:row>
    <x:row r="713" ht="21" customHeight="1">
      <x:c r="A713" s="3" t="str">
        <x:v>ORD-100873</x:v>
      </x:c>
      <x:c r="B713" s="5" t="n">
        <x:v>45499</x:v>
      </x:c>
      <x:c r="C713" s="3" t="str">
        <x:v>CUST-00157</x:v>
      </x:c>
      <x:c r="D713" s="3" t="str">
        <x:v>North</x:v>
      </x:c>
      <x:c r="E713" s="3" t="str">
        <x:v>Home &amp; Kitchen</x:v>
      </x:c>
      <x:c r="F713" s="3" t="str">
        <x:v>Decor</x:v>
      </x:c>
      <x:c r="G713" s="3" t="str">
        <x:v>LED Wall Lamp</x:v>
      </x:c>
      <x:c r="H713" s="3" t="n">
        <x:v>2</x:v>
      </x:c>
      <x:c r="I713" s="7" t="n">
        <x:v>1011.44</x:v>
      </x:c>
      <x:c r="J713" s="9" t="n">
        <x:v>0.05</x:v>
      </x:c>
      <x:c r="K713" s="7" t="n">
        <x:v>1921.74</x:v>
      </x:c>
      <x:c r="L713" s="7" t="n">
        <x:v>508.8</x:v>
      </x:c>
      <x:c r="M713" s="3" t="str">
        <x:v>Credit Card</x:v>
      </x:c>
      <x:c r="N713" s="3" t="str">
        <x:f>TEXT(B713,"yyyy-mm")</x:f>
        <x:v>2024-07</x:v>
      </x:c>
      <x:c r="O713" s="3" t="str">
        <x:f>IF(J713=0,"No discount",IF(J713&lt;=0.1,"1-10%",IF(J713&lt;=0.15,"11-15%",IF(J713&lt;=0.2,"16-20%","21%+"))))</x:f>
        <x:v>1-10%</x:v>
      </x:c>
      <x:c r="P713" s="9" t="n">
        <x:f>IF(K713=0,0,L713/K713)</x:f>
        <x:v>0.26476006119454243</x:v>
      </x:c>
      <x:c r="Q713" s="3" t="str">
        <x:f>IF(L713&lt;0,"Yes","No")</x:f>
        <x:v>No</x:v>
      </x:c>
    </x:row>
    <x:row r="714" ht="21" customHeight="1">
      <x:c r="A714" s="3" t="str">
        <x:v>ORD-101790</x:v>
      </x:c>
      <x:c r="B714" s="5" t="n">
        <x:v>45499</x:v>
      </x:c>
      <x:c r="C714" s="3" t="str">
        <x:v>CUST-00080</x:v>
      </x:c>
      <x:c r="D714" s="3" t="str">
        <x:v>South</x:v>
      </x:c>
      <x:c r="E714" s="3" t="str">
        <x:v>Home &amp; Kitchen</x:v>
      </x:c>
      <x:c r="F714" s="3" t="str">
        <x:v>Decor</x:v>
      </x:c>
      <x:c r="G714" s="3" t="str">
        <x:v>LED Wall Lamp</x:v>
      </x:c>
      <x:c r="H714" s="3" t="n">
        <x:v>2</x:v>
      </x:c>
      <x:c r="I714" s="7" t="n">
        <x:v>956.1</x:v>
      </x:c>
      <x:c r="J714" s="9" t="n">
        <x:v>0.15</x:v>
      </x:c>
      <x:c r="K714" s="7" t="n">
        <x:v>1625.37</x:v>
      </x:c>
      <x:c r="L714" s="7" t="n">
        <x:v>293.84</x:v>
      </x:c>
      <x:c r="M714" s="3" t="str">
        <x:v>UPI</x:v>
      </x:c>
      <x:c r="N714" s="3" t="str">
        <x:f>TEXT(B714,"yyyy-mm")</x:f>
        <x:v>2024-07</x:v>
      </x:c>
      <x:c r="O714" s="3" t="str">
        <x:f>IF(J714=0,"No discount",IF(J714&lt;=0.1,"1-10%",IF(J714&lt;=0.15,"11-15%",IF(J714&lt;=0.2,"16-20%","21%+"))))</x:f>
        <x:v>11-15%</x:v>
      </x:c>
      <x:c r="P714" s="9" t="n">
        <x:f>IF(K714=0,0,L714/K714)</x:f>
        <x:v>0.1807834523831497</x:v>
      </x:c>
      <x:c r="Q714" s="3" t="str">
        <x:f>IF(L714&lt;0,"Yes","No")</x:f>
        <x:v>No</x:v>
      </x:c>
    </x:row>
    <x:row r="715" ht="21" customHeight="1">
      <x:c r="A715" s="3" t="str">
        <x:v>ORD-101918</x:v>
      </x:c>
      <x:c r="B715" s="5" t="n">
        <x:v>45499</x:v>
      </x:c>
      <x:c r="C715" s="3" t="str">
        <x:v>CUST-00528</x:v>
      </x:c>
      <x:c r="D715" s="3" t="str">
        <x:v>North</x:v>
      </x:c>
      <x:c r="E715" s="3" t="str">
        <x:v>Home &amp; Kitchen</x:v>
      </x:c>
      <x:c r="F715" s="3" t="str">
        <x:v>Appliances</x:v>
      </x:c>
      <x:c r="G715" s="3" t="str">
        <x:v>ColdBrew Coffee Maker</x:v>
      </x:c>
      <x:c r="H715" s="3" t="n">
        <x:v>4</x:v>
      </x:c>
      <x:c r="I715" s="7" t="n">
        <x:v>6489.17</x:v>
      </x:c>
      <x:c r="J715" s="9" t="n">
        <x:v>0.05</x:v>
      </x:c>
      <x:c r="K715" s="7" t="n">
        <x:v>24658.85</x:v>
      </x:c>
      <x:c r="L715" s="7" t="n">
        <x:v>7447.48</x:v>
      </x:c>
      <x:c r="M715" s="3" t="str">
        <x:v>Net Banking</x:v>
      </x:c>
      <x:c r="N715" s="3" t="str">
        <x:f>TEXT(B715,"yyyy-mm")</x:f>
        <x:v>2024-07</x:v>
      </x:c>
      <x:c r="O715" s="3" t="str">
        <x:f>IF(J715=0,"No discount",IF(J715&lt;=0.1,"1-10%",IF(J715&lt;=0.15,"11-15%",IF(J715&lt;=0.2,"16-20%","21%+"))))</x:f>
        <x:v>1-10%</x:v>
      </x:c>
      <x:c r="P715" s="9" t="n">
        <x:f>IF(K715=0,0,L715/K715)</x:f>
        <x:v>0.30202057273554933</x:v>
      </x:c>
      <x:c r="Q715" s="3" t="str">
        <x:f>IF(L715&lt;0,"Yes","No")</x:f>
        <x:v>No</x:v>
      </x:c>
    </x:row>
    <x:row r="716" ht="21" customHeight="1">
      <x:c r="A716" s="3" t="str">
        <x:v>ORD-100143</x:v>
      </x:c>
      <x:c r="B716" s="5" t="n">
        <x:v>45500</x:v>
      </x:c>
      <x:c r="C716" s="3" t="str">
        <x:v>CUST-00483</x:v>
      </x:c>
      <x:c r="D716" s="3" t="str">
        <x:v>South</x:v>
      </x:c>
      <x:c r="E716" s="3" t="str">
        <x:v>Fashion</x:v>
      </x:c>
      <x:c r="F716" s="3" t="str">
        <x:v>Footwear</x:v>
      </x:c>
      <x:c r="G716" s="3" t="str">
        <x:v>RunFlex Sneakers</x:v>
      </x:c>
      <x:c r="H716" s="3" t="n">
        <x:v>1</x:v>
      </x:c>
      <x:c r="I716" s="7" t="n">
        <x:v>2882.01</x:v>
      </x:c>
      <x:c r="J716" s="9" t="n">
        <x:v>0.25</x:v>
      </x:c>
      <x:c r="K716" s="7" t="n">
        <x:v>2161.51</x:v>
      </x:c>
      <x:c r="L716" s="7" t="n">
        <x:v>203.21</x:v>
      </x:c>
      <x:c r="M716" s="3" t="str">
        <x:v>UPI</x:v>
      </x:c>
      <x:c r="N716" s="3" t="str">
        <x:f>TEXT(B716,"yyyy-mm")</x:f>
        <x:v>2024-07</x:v>
      </x:c>
      <x:c r="O716" s="3" t="str">
        <x:f>IF(J716=0,"No discount",IF(J716&lt;=0.1,"1-10%",IF(J716&lt;=0.15,"11-15%",IF(J716&lt;=0.2,"16-20%","21%+"))))</x:f>
        <x:v>21%+</x:v>
      </x:c>
      <x:c r="P716" s="9" t="n">
        <x:f>IF(K716=0,0,L716/K716)</x:f>
        <x:v>0.09401298166559488</x:v>
      </x:c>
      <x:c r="Q716" s="3" t="str">
        <x:f>IF(L716&lt;0,"Yes","No")</x:f>
        <x:v>No</x:v>
      </x:c>
    </x:row>
    <x:row r="717" ht="21" customHeight="1">
      <x:c r="A717" s="3" t="str">
        <x:v>ORD-100754</x:v>
      </x:c>
      <x:c r="B717" s="5" t="n">
        <x:v>45500</x:v>
      </x:c>
      <x:c r="C717" s="3" t="str">
        <x:v>CUST-00027</x:v>
      </x:c>
      <x:c r="D717" s="3" t="str">
        <x:v>South</x:v>
      </x:c>
      <x:c r="E717" s="3" t="str">
        <x:v>Fashion</x:v>
      </x:c>
      <x:c r="F717" s="3" t="str">
        <x:v>Women</x:v>
      </x:c>
      <x:c r="G717" s="3" t="str">
        <x:v>Knit Winter Sweater</x:v>
      </x:c>
      <x:c r="H717" s="3" t="n">
        <x:v>1</x:v>
      </x:c>
      <x:c r="I717" s="7" t="n">
        <x:v>2110.95</x:v>
      </x:c>
      <x:c r="J717" s="9" t="n">
        <x:v>0.05</x:v>
      </x:c>
      <x:c r="K717" s="7" t="n">
        <x:v>2005.4</x:v>
      </x:c>
      <x:c r="L717" s="7" t="n">
        <x:v>775.28</x:v>
      </x:c>
      <x:c r="M717" s="3" t="str">
        <x:v>Credit Card</x:v>
      </x:c>
      <x:c r="N717" s="3" t="str">
        <x:f>TEXT(B717,"yyyy-mm")</x:f>
        <x:v>2024-07</x:v>
      </x:c>
      <x:c r="O717" s="3" t="str">
        <x:f>IF(J717=0,"No discount",IF(J717&lt;=0.1,"1-10%",IF(J717&lt;=0.15,"11-15%",IF(J717&lt;=0.2,"16-20%","21%+"))))</x:f>
        <x:v>1-10%</x:v>
      </x:c>
      <x:c r="P717" s="9" t="n">
        <x:f>IF(K717=0,0,L717/K717)</x:f>
        <x:v>0.38659619028622716</x:v>
      </x:c>
      <x:c r="Q717" s="3" t="str">
        <x:f>IF(L717&lt;0,"Yes","No")</x:f>
        <x:v>No</x:v>
      </x:c>
    </x:row>
    <x:row r="718" ht="21" customHeight="1">
      <x:c r="A718" s="3" t="str">
        <x:v>ORD-101217</x:v>
      </x:c>
      <x:c r="B718" s="5" t="n">
        <x:v>45500</x:v>
      </x:c>
      <x:c r="C718" s="3" t="str">
        <x:v>CUST-00408</x:v>
      </x:c>
      <x:c r="D718" s="3" t="str">
        <x:v>West</x:v>
      </x:c>
      <x:c r="E718" s="3" t="str">
        <x:v>Electronics</x:v>
      </x:c>
      <x:c r="F718" s="3" t="str">
        <x:v>Audio</x:v>
      </x:c>
      <x:c r="G718" s="3" t="str">
        <x:v>SoundPods Pro</x:v>
      </x:c>
      <x:c r="H718" s="3" t="n">
        <x:v>1</x:v>
      </x:c>
      <x:c r="I718" s="7" t="n">
        <x:v>5218.38</x:v>
      </x:c>
      <x:c r="J718" s="9" t="n">
        <x:v>0.2</x:v>
      </x:c>
      <x:c r="K718" s="7" t="n">
        <x:v>4174.7</x:v>
      </x:c>
      <x:c r="L718" s="7" t="n">
        <x:v>-60.5</x:v>
      </x:c>
      <x:c r="M718" s="3" t="str">
        <x:v>UPI</x:v>
      </x:c>
      <x:c r="N718" s="3" t="str">
        <x:f>TEXT(B718,"yyyy-mm")</x:f>
        <x:v>2024-07</x:v>
      </x:c>
      <x:c r="O718" s="3" t="str">
        <x:f>IF(J718=0,"No discount",IF(J718&lt;=0.1,"1-10%",IF(J718&lt;=0.15,"11-15%",IF(J718&lt;=0.2,"16-20%","21%+"))))</x:f>
        <x:v>16-20%</x:v>
      </x:c>
      <x:c r="P718" s="9" t="n">
        <x:f>IF(K718=0,0,L718/K718)</x:f>
        <x:v>-0.014492059309650994</x:v>
      </x:c>
      <x:c r="Q718" s="3" t="str">
        <x:f>IF(L718&lt;0,"Yes","No")</x:f>
        <x:v>Yes</x:v>
      </x:c>
    </x:row>
    <x:row r="719" ht="21" customHeight="1">
      <x:c r="A719" s="3" t="str">
        <x:v>ORD-101520</x:v>
      </x:c>
      <x:c r="B719" s="5" t="n">
        <x:v>45500</x:v>
      </x:c>
      <x:c r="C719" s="3" t="str">
        <x:v>CUST-00126</x:v>
      </x:c>
      <x:c r="D719" s="3" t="str">
        <x:v>North</x:v>
      </x:c>
      <x:c r="E719" s="3" t="str">
        <x:v>Electronics</x:v>
      </x:c>
      <x:c r="F719" s="3" t="str">
        <x:v>Audio</x:v>
      </x:c>
      <x:c r="G719" s="3" t="str">
        <x:v>SoundPods Pro</x:v>
      </x:c>
      <x:c r="H719" s="3" t="n">
        <x:v>1</x:v>
      </x:c>
      <x:c r="I719" s="7" t="n">
        <x:v>5188.06</x:v>
      </x:c>
      <x:c r="J719" s="9" t="n">
        <x:v>0</x:v>
      </x:c>
      <x:c r="K719" s="7" t="n">
        <x:v>5188.06</x:v>
      </x:c>
      <x:c r="L719" s="7" t="n">
        <x:v>1059.88</x:v>
      </x:c>
      <x:c r="M719" s="3" t="str">
        <x:v>Credit Card</x:v>
      </x:c>
      <x:c r="N719" s="3" t="str">
        <x:f>TEXT(B719,"yyyy-mm")</x:f>
        <x:v>2024-07</x:v>
      </x:c>
      <x:c r="O719" s="3" t="str">
        <x:f>IF(J719=0,"No discount",IF(J719&lt;=0.1,"1-10%",IF(J719&lt;=0.15,"11-15%",IF(J719&lt;=0.2,"16-20%","21%+"))))</x:f>
        <x:v>No discount</x:v>
      </x:c>
      <x:c r="P719" s="9" t="n">
        <x:f>IF(K719=0,0,L719/K719)</x:f>
        <x:v>0.20429216315925414</x:v>
      </x:c>
      <x:c r="Q719" s="3" t="str">
        <x:f>IF(L719&lt;0,"Yes","No")</x:f>
        <x:v>No</x:v>
      </x:c>
    </x:row>
    <x:row r="720" ht="21" customHeight="1">
      <x:c r="A720" s="3" t="str">
        <x:v>ORD-100639</x:v>
      </x:c>
      <x:c r="B720" s="5" t="n">
        <x:v>45501</x:v>
      </x:c>
      <x:c r="C720" s="3" t="str">
        <x:v>CUST-00244</x:v>
      </x:c>
      <x:c r="D720" s="3" t="str">
        <x:v>North</x:v>
      </x:c>
      <x:c r="E720" s="3" t="str">
        <x:v>Home &amp; Kitchen</x:v>
      </x:c>
      <x:c r="F720" s="3" t="str">
        <x:v>Furniture</x:v>
      </x:c>
      <x:c r="G720" s="3" t="str">
        <x:v>ErgoComfort Chair</x:v>
      </x:c>
      <x:c r="H720" s="3" t="n">
        <x:v>2</x:v>
      </x:c>
      <x:c r="I720" s="7" t="n">
        <x:v>8602.97</x:v>
      </x:c>
      <x:c r="J720" s="9" t="n">
        <x:v>0.1</x:v>
      </x:c>
      <x:c r="K720" s="7" t="n">
        <x:v>15485.35</x:v>
      </x:c>
      <x:c r="L720" s="7" t="n">
        <x:v>3173.91</x:v>
      </x:c>
      <x:c r="M720" s="3" t="str">
        <x:v>UPI</x:v>
      </x:c>
      <x:c r="N720" s="3" t="str">
        <x:f>TEXT(B720,"yyyy-mm")</x:f>
        <x:v>2024-07</x:v>
      </x:c>
      <x:c r="O720" s="3" t="str">
        <x:f>IF(J720=0,"No discount",IF(J720&lt;=0.1,"1-10%",IF(J720&lt;=0.15,"11-15%",IF(J720&lt;=0.2,"16-20%","21%+"))))</x:f>
        <x:v>1-10%</x:v>
      </x:c>
      <x:c r="P720" s="9" t="n">
        <x:f>IF(K720=0,0,L720/K720)</x:f>
        <x:v>0.20496210934851325</x:v>
      </x:c>
      <x:c r="Q720" s="3" t="str">
        <x:f>IF(L720&lt;0,"Yes","No")</x:f>
        <x:v>No</x:v>
      </x:c>
    </x:row>
    <x:row r="721" ht="21" customHeight="1">
      <x:c r="A721" s="3" t="str">
        <x:v>ORD-100815</x:v>
      </x:c>
      <x:c r="B721" s="5" t="n">
        <x:v>45501</x:v>
      </x:c>
      <x:c r="C721" s="3" t="str">
        <x:v>CUST-00338</x:v>
      </x:c>
      <x:c r="D721" s="3" t="str">
        <x:v>West</x:v>
      </x:c>
      <x:c r="E721" s="3" t="str">
        <x:v>Beauty</x:v>
      </x:c>
      <x:c r="F721" s="3" t="str">
        <x:v>Makeup</x:v>
      </x:c>
      <x:c r="G721" s="3" t="str">
        <x:v>HD Foundation Kit</x:v>
      </x:c>
      <x:c r="H721" s="3" t="n">
        <x:v>2</x:v>
      </x:c>
      <x:c r="I721" s="7" t="n">
        <x:v>1487.22</x:v>
      </x:c>
      <x:c r="J721" s="9" t="n">
        <x:v>0</x:v>
      </x:c>
      <x:c r="K721" s="7" t="n">
        <x:v>2974.44</x:v>
      </x:c>
      <x:c r="L721" s="7" t="n">
        <x:v>1564.68</x:v>
      </x:c>
      <x:c r="M721" s="3" t="str">
        <x:v>UPI</x:v>
      </x:c>
      <x:c r="N721" s="3" t="str">
        <x:f>TEXT(B721,"yyyy-mm")</x:f>
        <x:v>2024-07</x:v>
      </x:c>
      <x:c r="O721" s="3" t="str">
        <x:f>IF(J721=0,"No discount",IF(J721&lt;=0.1,"1-10%",IF(J721&lt;=0.15,"11-15%",IF(J721&lt;=0.2,"16-20%","21%+"))))</x:f>
        <x:v>No discount</x:v>
      </x:c>
      <x:c r="P721" s="9" t="n">
        <x:f>IF(K721=0,0,L721/K721)</x:f>
        <x:v>0.5260418767902529</x:v>
      </x:c>
      <x:c r="Q721" s="3" t="str">
        <x:f>IF(L721&lt;0,"Yes","No")</x:f>
        <x:v>No</x:v>
      </x:c>
    </x:row>
    <x:row r="722" ht="21" customHeight="1">
      <x:c r="A722" s="3" t="str">
        <x:v>ORD-101106</x:v>
      </x:c>
      <x:c r="B722" s="5" t="n">
        <x:v>45501</x:v>
      </x:c>
      <x:c r="C722" s="3" t="str">
        <x:v>CUST-00581</x:v>
      </x:c>
      <x:c r="D722" s="3" t="str">
        <x:v>West</x:v>
      </x:c>
      <x:c r="E722" s="3" t="str">
        <x:v>Electronics</x:v>
      </x:c>
      <x:c r="F722" s="3" t="str">
        <x:v>Mobile</x:v>
      </x:c>
      <x:c r="G722" s="3" t="str">
        <x:v>Galaxy Nova X5</x:v>
      </x:c>
      <x:c r="H722" s="3" t="n">
        <x:v>1</x:v>
      </x:c>
      <x:c r="I722" s="7" t="n">
        <x:v>24420.06</x:v>
      </x:c>
      <x:c r="J722" s="9" t="n">
        <x:v>0.1</x:v>
      </x:c>
      <x:c r="K722" s="7" t="n">
        <x:v>21978.05</x:v>
      </x:c>
      <x:c r="L722" s="7" t="n">
        <x:v>1927.69</x:v>
      </x:c>
      <x:c r="M722" s="3" t="str">
        <x:v>Credit Card</x:v>
      </x:c>
      <x:c r="N722" s="3" t="str">
        <x:f>TEXT(B722,"yyyy-mm")</x:f>
        <x:v>2024-07</x:v>
      </x:c>
      <x:c r="O722" s="3" t="str">
        <x:f>IF(J722=0,"No discount",IF(J722&lt;=0.1,"1-10%",IF(J722&lt;=0.15,"11-15%",IF(J722&lt;=0.2,"16-20%","21%+"))))</x:f>
        <x:v>1-10%</x:v>
      </x:c>
      <x:c r="P722" s="9" t="n">
        <x:f>IF(K722=0,0,L722/K722)</x:f>
        <x:v>0.08770978317002646</x:v>
      </x:c>
      <x:c r="Q722" s="3" t="str">
        <x:f>IF(L722&lt;0,"Yes","No")</x:f>
        <x:v>No</x:v>
      </x:c>
    </x:row>
    <x:row r="723" ht="21" customHeight="1">
      <x:c r="A723" s="3" t="str">
        <x:v>ORD-101125</x:v>
      </x:c>
      <x:c r="B723" s="5" t="n">
        <x:v>45501</x:v>
      </x:c>
      <x:c r="C723" s="3" t="str">
        <x:v>CUST-00426</x:v>
      </x:c>
      <x:c r="D723" s="3" t="str">
        <x:v>South</x:v>
      </x:c>
      <x:c r="E723" s="3" t="str">
        <x:v>Sports</x:v>
      </x:c>
      <x:c r="F723" s="3" t="str">
        <x:v>Fitness</x:v>
      </x:c>
      <x:c r="G723" s="3" t="str">
        <x:v>ProYoga Mat</x:v>
      </x:c>
      <x:c r="H723" s="3" t="n">
        <x:v>1</x:v>
      </x:c>
      <x:c r="I723" s="7" t="n">
        <x:v>1291.08</x:v>
      </x:c>
      <x:c r="J723" s="9" t="n">
        <x:v>0</x:v>
      </x:c>
      <x:c r="K723" s="7" t="n">
        <x:v>1291.08</x:v>
      </x:c>
      <x:c r="L723" s="7" t="n">
        <x:v>489.24</x:v>
      </x:c>
      <x:c r="M723" s="3" t="str">
        <x:v>Credit Card</x:v>
      </x:c>
      <x:c r="N723" s="3" t="str">
        <x:f>TEXT(B723,"yyyy-mm")</x:f>
        <x:v>2024-07</x:v>
      </x:c>
      <x:c r="O723" s="3" t="str">
        <x:f>IF(J723=0,"No discount",IF(J723&lt;=0.1,"1-10%",IF(J723&lt;=0.15,"11-15%",IF(J723&lt;=0.2,"16-20%","21%+"))))</x:f>
        <x:v>No discount</x:v>
      </x:c>
      <x:c r="P723" s="9" t="n">
        <x:f>IF(K723=0,0,L723/K723)</x:f>
        <x:v>0.3789385630634818</x:v>
      </x:c>
      <x:c r="Q723" s="3" t="str">
        <x:f>IF(L723&lt;0,"Yes","No")</x:f>
        <x:v>No</x:v>
      </x:c>
    </x:row>
    <x:row r="724" ht="21" customHeight="1">
      <x:c r="A724" s="3" t="str">
        <x:v>ORD-100082</x:v>
      </x:c>
      <x:c r="B724" s="5" t="n">
        <x:v>45502</x:v>
      </x:c>
      <x:c r="C724" s="3" t="str">
        <x:v>CUST-00568</x:v>
      </x:c>
      <x:c r="D724" s="3" t="str">
        <x:v>North</x:v>
      </x:c>
      <x:c r="E724" s="3" t="str">
        <x:v>Fashion</x:v>
      </x:c>
      <x:c r="F724" s="3" t="str">
        <x:v>Men</x:v>
      </x:c>
      <x:c r="G724" s="3" t="str">
        <x:v>Oxford Casual Shirt</x:v>
      </x:c>
      <x:c r="H724" s="3" t="n">
        <x:v>1</x:v>
      </x:c>
      <x:c r="I724" s="7" t="n">
        <x:v>1317.12</x:v>
      </x:c>
      <x:c r="J724" s="9" t="n">
        <x:v>0</x:v>
      </x:c>
      <x:c r="K724" s="7" t="n">
        <x:v>1317.12</x:v>
      </x:c>
      <x:c r="L724" s="7" t="n">
        <x:v>602.83</x:v>
      </x:c>
      <x:c r="M724" s="3" t="str">
        <x:v>UPI</x:v>
      </x:c>
      <x:c r="N724" s="3" t="str">
        <x:f>TEXT(B724,"yyyy-mm")</x:f>
        <x:v>2024-07</x:v>
      </x:c>
      <x:c r="O724" s="3" t="str">
        <x:f>IF(J724=0,"No discount",IF(J724&lt;=0.1,"1-10%",IF(J724&lt;=0.15,"11-15%",IF(J724&lt;=0.2,"16-20%","21%+"))))</x:f>
        <x:v>No discount</x:v>
      </x:c>
      <x:c r="P724" s="9" t="n">
        <x:f>IF(K724=0,0,L724/K724)</x:f>
        <x:v>0.45768798590864923</x:v>
      </x:c>
      <x:c r="Q724" s="3" t="str">
        <x:f>IF(L724&lt;0,"Yes","No")</x:f>
        <x:v>No</x:v>
      </x:c>
    </x:row>
    <x:row r="725" ht="21" customHeight="1">
      <x:c r="A725" s="3" t="str">
        <x:v>ORD-100480</x:v>
      </x:c>
      <x:c r="B725" s="5" t="n">
        <x:v>45502</x:v>
      </x:c>
      <x:c r="C725" s="3" t="str">
        <x:v>CUST-00036</x:v>
      </x:c>
      <x:c r="D725" s="3" t="str">
        <x:v>South</x:v>
      </x:c>
      <x:c r="E725" s="3" t="str">
        <x:v>Fashion</x:v>
      </x:c>
      <x:c r="F725" s="3" t="str">
        <x:v>Men</x:v>
      </x:c>
      <x:c r="G725" s="3" t="str">
        <x:v>SlimFit Denim Jeans</x:v>
      </x:c>
      <x:c r="H725" s="3" t="n">
        <x:v>1</x:v>
      </x:c>
      <x:c r="I725" s="7" t="n">
        <x:v>2097.71</x:v>
      </x:c>
      <x:c r="J725" s="9" t="n">
        <x:v>0</x:v>
      </x:c>
      <x:c r="K725" s="7" t="n">
        <x:v>2097.71</x:v>
      </x:c>
      <x:c r="L725" s="7" t="n">
        <x:v>893.54</x:v>
      </x:c>
      <x:c r="M725" s="3" t="str">
        <x:v>UPI</x:v>
      </x:c>
      <x:c r="N725" s="3" t="str">
        <x:f>TEXT(B725,"yyyy-mm")</x:f>
        <x:v>2024-07</x:v>
      </x:c>
      <x:c r="O725" s="3" t="str">
        <x:f>IF(J725=0,"No discount",IF(J725&lt;=0.1,"1-10%",IF(J725&lt;=0.15,"11-15%",IF(J725&lt;=0.2,"16-20%","21%+"))))</x:f>
        <x:v>No discount</x:v>
      </x:c>
      <x:c r="P725" s="9" t="n">
        <x:f>IF(K725=0,0,L725/K725)</x:f>
        <x:v>0.42595973704658885</x:v>
      </x:c>
      <x:c r="Q725" s="3" t="str">
        <x:f>IF(L725&lt;0,"Yes","No")</x:f>
        <x:v>No</x:v>
      </x:c>
    </x:row>
    <x:row r="726" ht="21" customHeight="1">
      <x:c r="A726" s="3" t="str">
        <x:v>ORD-101102</x:v>
      </x:c>
      <x:c r="B726" s="5" t="n">
        <x:v>45502</x:v>
      </x:c>
      <x:c r="C726" s="3" t="str">
        <x:v>CUST-00346</x:v>
      </x:c>
      <x:c r="D726" s="3" t="str">
        <x:v>West</x:v>
      </x:c>
      <x:c r="E726" s="3" t="str">
        <x:v>Beauty</x:v>
      </x:c>
      <x:c r="F726" s="3" t="str">
        <x:v>Makeup</x:v>
      </x:c>
      <x:c r="G726" s="3" t="str">
        <x:v>Matte Lipstick Set</x:v>
      </x:c>
      <x:c r="H726" s="3" t="n">
        <x:v>3</x:v>
      </x:c>
      <x:c r="I726" s="7" t="n">
        <x:v>966.37</x:v>
      </x:c>
      <x:c r="J726" s="9" t="n">
        <x:v>0.1</x:v>
      </x:c>
      <x:c r="K726" s="7" t="n">
        <x:v>2609.2</x:v>
      </x:c>
      <x:c r="L726" s="7" t="n">
        <x:v>1181.88</x:v>
      </x:c>
      <x:c r="M726" s="3" t="str">
        <x:v>Credit Card</x:v>
      </x:c>
      <x:c r="N726" s="3" t="str">
        <x:f>TEXT(B726,"yyyy-mm")</x:f>
        <x:v>2024-07</x:v>
      </x:c>
      <x:c r="O726" s="3" t="str">
        <x:f>IF(J726=0,"No discount",IF(J726&lt;=0.1,"1-10%",IF(J726&lt;=0.15,"11-15%",IF(J726&lt;=0.2,"16-20%","21%+"))))</x:f>
        <x:v>1-10%</x:v>
      </x:c>
      <x:c r="P726" s="9" t="n">
        <x:f>IF(K726=0,0,L726/K726)</x:f>
        <x:v>0.4529664264908785</x:v>
      </x:c>
      <x:c r="Q726" s="3" t="str">
        <x:f>IF(L726&lt;0,"Yes","No")</x:f>
        <x:v>No</x:v>
      </x:c>
    </x:row>
    <x:row r="727" ht="21" customHeight="1">
      <x:c r="A727" s="3" t="str">
        <x:v>ORD-101192</x:v>
      </x:c>
      <x:c r="B727" s="5" t="n">
        <x:v>45502</x:v>
      </x:c>
      <x:c r="C727" s="3" t="str">
        <x:v>CUST-00226</x:v>
      </x:c>
      <x:c r="D727" s="3" t="str">
        <x:v>South</x:v>
      </x:c>
      <x:c r="E727" s="3" t="str">
        <x:v>Electronics</x:v>
      </x:c>
      <x:c r="F727" s="3" t="str">
        <x:v>Laptop</x:v>
      </x:c>
      <x:c r="G727" s="3" t="str">
        <x:v>ThinkPro 14</x:v>
      </x:c>
      <x:c r="H727" s="3" t="n">
        <x:v>1</x:v>
      </x:c>
      <x:c r="I727" s="7" t="n">
        <x:v>52998.03</x:v>
      </x:c>
      <x:c r="J727" s="9" t="n">
        <x:v>0.05</x:v>
      </x:c>
      <x:c r="K727" s="7" t="n">
        <x:v>50348.13</x:v>
      </x:c>
      <x:c r="L727" s="7" t="n">
        <x:v>4871.93</x:v>
      </x:c>
      <x:c r="M727" s="3" t="str">
        <x:v>Net Banking</x:v>
      </x:c>
      <x:c r="N727" s="3" t="str">
        <x:f>TEXT(B727,"yyyy-mm")</x:f>
        <x:v>2024-07</x:v>
      </x:c>
      <x:c r="O727" s="3" t="str">
        <x:f>IF(J727=0,"No discount",IF(J727&lt;=0.1,"1-10%",IF(J727&lt;=0.15,"11-15%",IF(J727&lt;=0.2,"16-20%","21%+"))))</x:f>
        <x:v>1-10%</x:v>
      </x:c>
      <x:c r="P727" s="9" t="n">
        <x:f>IF(K727=0,0,L727/K727)</x:f>
        <x:v>0.09676486495129016</x:v>
      </x:c>
      <x:c r="Q727" s="3" t="str">
        <x:f>IF(L727&lt;0,"Yes","No")</x:f>
        <x:v>No</x:v>
      </x:c>
    </x:row>
    <x:row r="728" ht="21" customHeight="1">
      <x:c r="A728" s="3" t="str">
        <x:v>ORD-100317</x:v>
      </x:c>
      <x:c r="B728" s="5" t="n">
        <x:v>45503</x:v>
      </x:c>
      <x:c r="C728" s="3" t="str">
        <x:v>CUST-00370</x:v>
      </x:c>
      <x:c r="D728" s="3" t="str">
        <x:v>North</x:v>
      </x:c>
      <x:c r="E728" s="3" t="str">
        <x:v>Fashion</x:v>
      </x:c>
      <x:c r="F728" s="3" t="str">
        <x:v>Footwear</x:v>
      </x:c>
      <x:c r="G728" s="3" t="str">
        <x:v>UrbanLoafers</x:v>
      </x:c>
      <x:c r="H728" s="3" t="n">
        <x:v>4</x:v>
      </x:c>
      <x:c r="I728" s="7" t="n">
        <x:v>3590.49</x:v>
      </x:c>
      <x:c r="J728" s="9" t="n">
        <x:v>0</x:v>
      </x:c>
      <x:c r="K728" s="7" t="n">
        <x:v>14361.96</x:v>
      </x:c>
      <x:c r="L728" s="7" t="n">
        <x:v>5723.82</x:v>
      </x:c>
      <x:c r="M728" s="3" t="str">
        <x:v>UPI</x:v>
      </x:c>
      <x:c r="N728" s="3" t="str">
        <x:f>TEXT(B728,"yyyy-mm")</x:f>
        <x:v>2024-07</x:v>
      </x:c>
      <x:c r="O728" s="3" t="str">
        <x:f>IF(J728=0,"No discount",IF(J728&lt;=0.1,"1-10%",IF(J728&lt;=0.15,"11-15%",IF(J728&lt;=0.2,"16-20%","21%+"))))</x:f>
        <x:v>No discount</x:v>
      </x:c>
      <x:c r="P728" s="9" t="n">
        <x:f>IF(K728=0,0,L728/K728)</x:f>
        <x:v>0.3985403106539776</x:v>
      </x:c>
      <x:c r="Q728" s="3" t="str">
        <x:f>IF(L728&lt;0,"Yes","No")</x:f>
        <x:v>No</x:v>
      </x:c>
    </x:row>
    <x:row r="729" ht="21" customHeight="1">
      <x:c r="A729" s="3" t="str">
        <x:v>ORD-100624</x:v>
      </x:c>
      <x:c r="B729" s="5" t="n">
        <x:v>45503</x:v>
      </x:c>
      <x:c r="C729" s="3" t="str">
        <x:v>CUST-00211</x:v>
      </x:c>
      <x:c r="D729" s="3" t="str">
        <x:v>East</x:v>
      </x:c>
      <x:c r="E729" s="3" t="str">
        <x:v>Fashion</x:v>
      </x:c>
      <x:c r="F729" s="3" t="str">
        <x:v>Women</x:v>
      </x:c>
      <x:c r="G729" s="3" t="str">
        <x:v>Knit Winter Sweater</x:v>
      </x:c>
      <x:c r="H729" s="3" t="n">
        <x:v>1</x:v>
      </x:c>
      <x:c r="I729" s="7" t="n">
        <x:v>2117.45</x:v>
      </x:c>
      <x:c r="J729" s="9" t="n">
        <x:v>0.4</x:v>
      </x:c>
      <x:c r="K729" s="7" t="n">
        <x:v>1270.47</x:v>
      </x:c>
      <x:c r="L729" s="7" t="n">
        <x:v>-59.11</x:v>
      </x:c>
      <x:c r="M729" s="3" t="str">
        <x:v>UPI</x:v>
      </x:c>
      <x:c r="N729" s="3" t="str">
        <x:f>TEXT(B729,"yyyy-mm")</x:f>
        <x:v>2024-07</x:v>
      </x:c>
      <x:c r="O729" s="3" t="str">
        <x:f>IF(J729=0,"No discount",IF(J729&lt;=0.1,"1-10%",IF(J729&lt;=0.15,"11-15%",IF(J729&lt;=0.2,"16-20%","21%+"))))</x:f>
        <x:v>21%+</x:v>
      </x:c>
      <x:c r="P729" s="9" t="n">
        <x:f>IF(K729=0,0,L729/K729)</x:f>
        <x:v>-0.046526088770297604</x:v>
      </x:c>
      <x:c r="Q729" s="3" t="str">
        <x:f>IF(L729&lt;0,"Yes","No")</x:f>
        <x:v>Yes</x:v>
      </x:c>
    </x:row>
    <x:row r="730" ht="21" customHeight="1">
      <x:c r="A730" s="3" t="str">
        <x:v>ORD-101629</x:v>
      </x:c>
      <x:c r="B730" s="5" t="n">
        <x:v>45503</x:v>
      </x:c>
      <x:c r="C730" s="3" t="str">
        <x:v>CUST-00070</x:v>
      </x:c>
      <x:c r="D730" s="3" t="str">
        <x:v>South</x:v>
      </x:c>
      <x:c r="E730" s="3" t="str">
        <x:v>Sports</x:v>
      </x:c>
      <x:c r="F730" s="3" t="str">
        <x:v>Fitness</x:v>
      </x:c>
      <x:c r="G730" s="3" t="str">
        <x:v>Adjustable Dumbbell 24kg</x:v>
      </x:c>
      <x:c r="H730" s="3" t="n">
        <x:v>5</x:v>
      </x:c>
      <x:c r="I730" s="7" t="n">
        <x:v>9927.62</x:v>
      </x:c>
      <x:c r="J730" s="9" t="n">
        <x:v>0.05</x:v>
      </x:c>
      <x:c r="K730" s="7" t="n">
        <x:v>47156.19</x:v>
      </x:c>
      <x:c r="L730" s="7" t="n">
        <x:v>13835.09</x:v>
      </x:c>
      <x:c r="M730" s="3" t="str">
        <x:v>Net Banking</x:v>
      </x:c>
      <x:c r="N730" s="3" t="str">
        <x:f>TEXT(B730,"yyyy-mm")</x:f>
        <x:v>2024-07</x:v>
      </x:c>
      <x:c r="O730" s="3" t="str">
        <x:f>IF(J730=0,"No discount",IF(J730&lt;=0.1,"1-10%",IF(J730&lt;=0.15,"11-15%",IF(J730&lt;=0.2,"16-20%","21%+"))))</x:f>
        <x:v>1-10%</x:v>
      </x:c>
      <x:c r="P730" s="9" t="n">
        <x:f>IF(K730=0,0,L730/K730)</x:f>
        <x:v>0.2933886304215841</x:v>
      </x:c>
      <x:c r="Q730" s="3" t="str">
        <x:f>IF(L730&lt;0,"Yes","No")</x:f>
        <x:v>No</x:v>
      </x:c>
    </x:row>
    <x:row r="731" ht="21" customHeight="1">
      <x:c r="A731" s="3" t="str">
        <x:v>ORD-100145</x:v>
      </x:c>
      <x:c r="B731" s="5" t="n">
        <x:v>45504</x:v>
      </x:c>
      <x:c r="C731" s="3" t="str">
        <x:v>CUST-00501</x:v>
      </x:c>
      <x:c r="D731" s="3" t="str">
        <x:v>West</x:v>
      </x:c>
      <x:c r="E731" s="3" t="str">
        <x:v>Beauty</x:v>
      </x:c>
      <x:c r="F731" s="3" t="str">
        <x:v>Makeup</x:v>
      </x:c>
      <x:c r="G731" s="3" t="str">
        <x:v>Matte Lipstick Set</x:v>
      </x:c>
      <x:c r="H731" s="3" t="n">
        <x:v>4</x:v>
      </x:c>
      <x:c r="I731" s="7" t="n">
        <x:v>978.87</x:v>
      </x:c>
      <x:c r="J731" s="9" t="n">
        <x:v>0</x:v>
      </x:c>
      <x:c r="K731" s="7" t="n">
        <x:v>3915.48</x:v>
      </x:c>
      <x:c r="L731" s="7" t="n">
        <x:v>2291.8</x:v>
      </x:c>
      <x:c r="M731" s="3" t="str">
        <x:v>Debit Card</x:v>
      </x:c>
      <x:c r="N731" s="3" t="str">
        <x:f>TEXT(B731,"yyyy-mm")</x:f>
        <x:v>2024-07</x:v>
      </x:c>
      <x:c r="O731" s="3" t="str">
        <x:f>IF(J731=0,"No discount",IF(J731&lt;=0.1,"1-10%",IF(J731&lt;=0.15,"11-15%",IF(J731&lt;=0.2,"16-20%","21%+"))))</x:f>
        <x:v>No discount</x:v>
      </x:c>
      <x:c r="P731" s="9" t="n">
        <x:f>IF(K731=0,0,L731/K731)</x:f>
        <x:v>0.5853177643609468</x:v>
      </x:c>
      <x:c r="Q731" s="3" t="str">
        <x:f>IF(L731&lt;0,"Yes","No")</x:f>
        <x:v>No</x:v>
      </x:c>
    </x:row>
    <x:row r="732" ht="21" customHeight="1">
      <x:c r="A732" s="3" t="str">
        <x:v>ORD-100757</x:v>
      </x:c>
      <x:c r="B732" s="5" t="n">
        <x:v>45504</x:v>
      </x:c>
      <x:c r="C732" s="3" t="str">
        <x:v>CUST-00503</x:v>
      </x:c>
      <x:c r="D732" s="3" t="str">
        <x:v>North</x:v>
      </x:c>
      <x:c r="E732" s="3" t="str">
        <x:v>Electronics</x:v>
      </x:c>
      <x:c r="F732" s="3" t="str">
        <x:v>Mobile</x:v>
      </x:c>
      <x:c r="G732" s="3" t="str">
        <x:v>Pixel Aura 12</x:v>
      </x:c>
      <x:c r="H732" s="3" t="n">
        <x:v>4</x:v>
      </x:c>
      <x:c r="I732" s="7" t="n">
        <x:v>31817.09</x:v>
      </x:c>
      <x:c r="J732" s="9" t="n">
        <x:v>0</x:v>
      </x:c>
      <x:c r="K732" s="7" t="n">
        <x:v>127268.36</x:v>
      </x:c>
      <x:c r="L732" s="7" t="n">
        <x:v>20485.06</x:v>
      </x:c>
      <x:c r="M732" s="3" t="str">
        <x:v>UPI</x:v>
      </x:c>
      <x:c r="N732" s="3" t="str">
        <x:f>TEXT(B732,"yyyy-mm")</x:f>
        <x:v>2024-07</x:v>
      </x:c>
      <x:c r="O732" s="3" t="str">
        <x:f>IF(J732=0,"No discount",IF(J732&lt;=0.1,"1-10%",IF(J732&lt;=0.15,"11-15%",IF(J732&lt;=0.2,"16-20%","21%+"))))</x:f>
        <x:v>No discount</x:v>
      </x:c>
      <x:c r="P732" s="9" t="n">
        <x:f>IF(K732=0,0,L732/K732)</x:f>
        <x:v>0.16095956606968143</x:v>
      </x:c>
      <x:c r="Q732" s="3" t="str">
        <x:f>IF(L732&lt;0,"Yes","No")</x:f>
        <x:v>No</x:v>
      </x:c>
    </x:row>
    <x:row r="733" ht="21" customHeight="1">
      <x:c r="A733" s="3" t="str">
        <x:v>ORD-101805</x:v>
      </x:c>
      <x:c r="B733" s="5" t="n">
        <x:v>45504</x:v>
      </x:c>
      <x:c r="C733" s="3" t="str">
        <x:v>CUST-00394</x:v>
      </x:c>
      <x:c r="D733" s="3" t="str">
        <x:v>East</x:v>
      </x:c>
      <x:c r="E733" s="3" t="str">
        <x:v>Electronics</x:v>
      </x:c>
      <x:c r="F733" s="3" t="str">
        <x:v>Laptop</x:v>
      </x:c>
      <x:c r="G733" s="3" t="str">
        <x:v>AirBook Slim</x:v>
      </x:c>
      <x:c r="H733" s="3" t="n">
        <x:v>1</x:v>
      </x:c>
      <x:c r="I733" s="7" t="n">
        <x:v>80886.02</x:v>
      </x:c>
      <x:c r="J733" s="9" t="n">
        <x:v>0.05</x:v>
      </x:c>
      <x:c r="K733" s="7" t="n">
        <x:v>76841.72</x:v>
      </x:c>
      <x:c r="L733" s="7" t="n">
        <x:v>9643.91</x:v>
      </x:c>
      <x:c r="M733" s="3" t="str">
        <x:v>Debit Card</x:v>
      </x:c>
      <x:c r="N733" s="3" t="str">
        <x:f>TEXT(B733,"yyyy-mm")</x:f>
        <x:v>2024-07</x:v>
      </x:c>
      <x:c r="O733" s="3" t="str">
        <x:f>IF(J733=0,"No discount",IF(J733&lt;=0.1,"1-10%",IF(J733&lt;=0.15,"11-15%",IF(J733&lt;=0.2,"16-20%","21%+"))))</x:f>
        <x:v>1-10%</x:v>
      </x:c>
      <x:c r="P733" s="9" t="n">
        <x:f>IF(K733=0,0,L733/K733)</x:f>
        <x:v>0.1255035675932293</x:v>
      </x:c>
      <x:c r="Q733" s="3" t="str">
        <x:f>IF(L733&lt;0,"Yes","No")</x:f>
        <x:v>No</x:v>
      </x:c>
    </x:row>
    <x:row r="734" ht="21" customHeight="1">
      <x:c r="A734" s="3" t="str">
        <x:v>ORD-101893</x:v>
      </x:c>
      <x:c r="B734" s="5" t="n">
        <x:v>45504</x:v>
      </x:c>
      <x:c r="C734" s="3" t="str">
        <x:v>CUST-00448</x:v>
      </x:c>
      <x:c r="D734" s="3" t="str">
        <x:v>North</x:v>
      </x:c>
      <x:c r="E734" s="3" t="str">
        <x:v>Sports</x:v>
      </x:c>
      <x:c r="F734" s="3" t="str">
        <x:v>Outdoor</x:v>
      </x:c>
      <x:c r="G734" s="3" t="str">
        <x:v>TrailHike Backpack 60L</x:v>
      </x:c>
      <x:c r="H734" s="3" t="n">
        <x:v>2</x:v>
      </x:c>
      <x:c r="I734" s="7" t="n">
        <x:v>3641.71</x:v>
      </x:c>
      <x:c r="J734" s="9" t="n">
        <x:v>0.1</x:v>
      </x:c>
      <x:c r="K734" s="7" t="n">
        <x:v>6555.08</x:v>
      </x:c>
      <x:c r="L734" s="7" t="n">
        <x:v>1552.77</x:v>
      </x:c>
      <x:c r="M734" s="3" t="str">
        <x:v>Credit Card</x:v>
      </x:c>
      <x:c r="N734" s="3" t="str">
        <x:f>TEXT(B734,"yyyy-mm")</x:f>
        <x:v>2024-07</x:v>
      </x:c>
      <x:c r="O734" s="3" t="str">
        <x:f>IF(J734=0,"No discount",IF(J734&lt;=0.1,"1-10%",IF(J734&lt;=0.15,"11-15%",IF(J734&lt;=0.2,"16-20%","21%+"))))</x:f>
        <x:v>1-10%</x:v>
      </x:c>
      <x:c r="P734" s="9" t="n">
        <x:f>IF(K734=0,0,L734/K734)</x:f>
        <x:v>0.23688040420559323</x:v>
      </x:c>
      <x:c r="Q734" s="3" t="str">
        <x:f>IF(L734&lt;0,"Yes","No")</x:f>
        <x:v>No</x:v>
      </x:c>
    </x:row>
    <x:row r="735" ht="21" customHeight="1">
      <x:c r="A735" s="3" t="str">
        <x:v>ORD-100461</x:v>
      </x:c>
      <x:c r="B735" s="5" t="n">
        <x:v>45505</x:v>
      </x:c>
      <x:c r="C735" s="3" t="str">
        <x:v>CUST-00199</x:v>
      </x:c>
      <x:c r="D735" s="3" t="str">
        <x:v>South</x:v>
      </x:c>
      <x:c r="E735" s="3" t="str">
        <x:v>Fashion</x:v>
      </x:c>
      <x:c r="F735" s="3" t="str">
        <x:v>Men</x:v>
      </x:c>
      <x:c r="G735" s="3" t="str">
        <x:v>SlimFit Denim Jeans</x:v>
      </x:c>
      <x:c r="H735" s="3" t="n">
        <x:v>2</x:v>
      </x:c>
      <x:c r="I735" s="7" t="n">
        <x:v>2096.31</x:v>
      </x:c>
      <x:c r="J735" s="9" t="n">
        <x:v>0.2</x:v>
      </x:c>
      <x:c r="K735" s="7" t="n">
        <x:v>3354.1</x:v>
      </x:c>
      <x:c r="L735" s="7" t="n">
        <x:v>639.3</x:v>
      </x:c>
      <x:c r="M735" s="3" t="str">
        <x:v>Credit Card</x:v>
      </x:c>
      <x:c r="N735" s="3" t="str">
        <x:f>TEXT(B735,"yyyy-mm")</x:f>
        <x:v>2024-08</x:v>
      </x:c>
      <x:c r="O735" s="3" t="str">
        <x:f>IF(J735=0,"No discount",IF(J735&lt;=0.1,"1-10%",IF(J735&lt;=0.15,"11-15%",IF(J735&lt;=0.2,"16-20%","21%+"))))</x:f>
        <x:v>16-20%</x:v>
      </x:c>
      <x:c r="P735" s="9" t="n">
        <x:f>IF(K735=0,0,L735/K735)</x:f>
        <x:v>0.19060254613756297</x:v>
      </x:c>
      <x:c r="Q735" s="3" t="str">
        <x:f>IF(L735&lt;0,"Yes","No")</x:f>
        <x:v>No</x:v>
      </x:c>
    </x:row>
    <x:row r="736" ht="21" customHeight="1">
      <x:c r="A736" s="3" t="str">
        <x:v>ORD-100543</x:v>
      </x:c>
      <x:c r="B736" s="5" t="n">
        <x:v>45505</x:v>
      </x:c>
      <x:c r="C736" s="3" t="str">
        <x:v>CUST-00413</x:v>
      </x:c>
      <x:c r="D736" s="3" t="str">
        <x:v>South</x:v>
      </x:c>
      <x:c r="E736" s="3" t="str">
        <x:v>Electronics</x:v>
      </x:c>
      <x:c r="F736" s="3" t="str">
        <x:v>Audio</x:v>
      </x:c>
      <x:c r="G736" s="3" t="str">
        <x:v>BassBoom Speaker</x:v>
      </x:c>
      <x:c r="H736" s="3" t="n">
        <x:v>1</x:v>
      </x:c>
      <x:c r="I736" s="7" t="n">
        <x:v>8765.1</x:v>
      </x:c>
      <x:c r="J736" s="9" t="n">
        <x:v>0</x:v>
      </x:c>
      <x:c r="K736" s="7" t="n">
        <x:v>8765.1</x:v>
      </x:c>
      <x:c r="L736" s="7" t="n">
        <x:v>1767.66</x:v>
      </x:c>
      <x:c r="M736" s="3" t="str">
        <x:v>UPI</x:v>
      </x:c>
      <x:c r="N736" s="3" t="str">
        <x:f>TEXT(B736,"yyyy-mm")</x:f>
        <x:v>2024-08</x:v>
      </x:c>
      <x:c r="O736" s="3" t="str">
        <x:f>IF(J736=0,"No discount",IF(J736&lt;=0.1,"1-10%",IF(J736&lt;=0.15,"11-15%",IF(J736&lt;=0.2,"16-20%","21%+"))))</x:f>
        <x:v>No discount</x:v>
      </x:c>
      <x:c r="P736" s="9" t="n">
        <x:f>IF(K736=0,0,L736/K736)</x:f>
        <x:v>0.20167026046479788</x:v>
      </x:c>
      <x:c r="Q736" s="3" t="str">
        <x:f>IF(L736&lt;0,"Yes","No")</x:f>
        <x:v>No</x:v>
      </x:c>
    </x:row>
    <x:row r="737" ht="21" customHeight="1">
      <x:c r="A737" s="3" t="str">
        <x:v>ORD-101575</x:v>
      </x:c>
      <x:c r="B737" s="5" t="n">
        <x:v>45505</x:v>
      </x:c>
      <x:c r="C737" s="3" t="str">
        <x:v>CUST-00431</x:v>
      </x:c>
      <x:c r="D737" s="3" t="str">
        <x:v>East</x:v>
      </x:c>
      <x:c r="E737" s="3" t="str">
        <x:v>Beauty</x:v>
      </x:c>
      <x:c r="F737" s="3" t="str">
        <x:v>Makeup</x:v>
      </x:c>
      <x:c r="G737" s="3" t="str">
        <x:v>Matte Lipstick Set</x:v>
      </x:c>
      <x:c r="H737" s="3" t="n">
        <x:v>1</x:v>
      </x:c>
      <x:c r="I737" s="7" t="n">
        <x:v>1042.61</x:v>
      </x:c>
      <x:c r="J737" s="9" t="n">
        <x:v>0.15</x:v>
      </x:c>
      <x:c r="K737" s="7" t="n">
        <x:v>886.22</x:v>
      </x:c>
      <x:c r="L737" s="7" t="n">
        <x:v>350.88</x:v>
      </x:c>
      <x:c r="M737" s="3" t="str">
        <x:v>UPI</x:v>
      </x:c>
      <x:c r="N737" s="3" t="str">
        <x:f>TEXT(B737,"yyyy-mm")</x:f>
        <x:v>2024-08</x:v>
      </x:c>
      <x:c r="O737" s="3" t="str">
        <x:f>IF(J737=0,"No discount",IF(J737&lt;=0.1,"1-10%",IF(J737&lt;=0.15,"11-15%",IF(J737&lt;=0.2,"16-20%","21%+"))))</x:f>
        <x:v>11-15%</x:v>
      </x:c>
      <x:c r="P737" s="9" t="n">
        <x:f>IF(K737=0,0,L737/K737)</x:f>
        <x:v>0.3959287761503915</x:v>
      </x:c>
      <x:c r="Q737" s="3" t="str">
        <x:f>IF(L737&lt;0,"Yes","No")</x:f>
        <x:v>No</x:v>
      </x:c>
    </x:row>
    <x:row r="738" ht="21" customHeight="1">
      <x:c r="A738" s="3" t="str">
        <x:v>ORD-101929</x:v>
      </x:c>
      <x:c r="B738" s="5" t="n">
        <x:v>45505</x:v>
      </x:c>
      <x:c r="C738" s="3" t="str">
        <x:v>CUST-00480</x:v>
      </x:c>
      <x:c r="D738" s="3" t="str">
        <x:v>North</x:v>
      </x:c>
      <x:c r="E738" s="3" t="str">
        <x:v>Electronics</x:v>
      </x:c>
      <x:c r="F738" s="3" t="str">
        <x:v>Mobile</x:v>
      </x:c>
      <x:c r="G738" s="3" t="str">
        <x:v>Pixel Aura 12</x:v>
      </x:c>
      <x:c r="H738" s="3" t="n">
        <x:v>2</x:v>
      </x:c>
      <x:c r="I738" s="7" t="n">
        <x:v>32731.9</x:v>
      </x:c>
      <x:c r="J738" s="9" t="n">
        <x:v>0.25</x:v>
      </x:c>
      <x:c r="K738" s="7" t="n">
        <x:v>49097.85</x:v>
      </x:c>
      <x:c r="L738" s="7" t="n">
        <x:v>-7121.23</x:v>
      </x:c>
      <x:c r="M738" s="3" t="str">
        <x:v>UPI</x:v>
      </x:c>
      <x:c r="N738" s="3" t="str">
        <x:f>TEXT(B738,"yyyy-mm")</x:f>
        <x:v>2024-08</x:v>
      </x:c>
      <x:c r="O738" s="3" t="str">
        <x:f>IF(J738=0,"No discount",IF(J738&lt;=0.1,"1-10%",IF(J738&lt;=0.15,"11-15%",IF(J738&lt;=0.2,"16-20%","21%+"))))</x:f>
        <x:v>21%+</x:v>
      </x:c>
      <x:c r="P738" s="9" t="n">
        <x:f>IF(K738=0,0,L738/K738)</x:f>
        <x:v>-0.14504158532400094</x:v>
      </x:c>
      <x:c r="Q738" s="3" t="str">
        <x:f>IF(L738&lt;0,"Yes","No")</x:f>
        <x:v>Yes</x:v>
      </x:c>
    </x:row>
    <x:row r="739" ht="21" customHeight="1">
      <x:c r="A739" s="3" t="str">
        <x:v>ORD-100407</x:v>
      </x:c>
      <x:c r="B739" s="5" t="n">
        <x:v>45506</x:v>
      </x:c>
      <x:c r="C739" s="3" t="str">
        <x:v>CUST-00112</x:v>
      </x:c>
      <x:c r="D739" s="3" t="str">
        <x:v>South</x:v>
      </x:c>
      <x:c r="E739" s="3" t="str">
        <x:v>Electronics</x:v>
      </x:c>
      <x:c r="F739" s="3" t="str">
        <x:v>Laptop</x:v>
      </x:c>
      <x:c r="G739" s="3" t="str">
        <x:v>ThinkPro 14</x:v>
      </x:c>
      <x:c r="H739" s="3" t="n">
        <x:v>1</x:v>
      </x:c>
      <x:c r="I739" s="7" t="n">
        <x:v>56069.39</x:v>
      </x:c>
      <x:c r="J739" s="9" t="n">
        <x:v>0</x:v>
      </x:c>
      <x:c r="K739" s="7" t="n">
        <x:v>56069.39</x:v>
      </x:c>
      <x:c r="L739" s="7" t="n">
        <x:v>9080.63</x:v>
      </x:c>
      <x:c r="M739" s="3" t="str">
        <x:v>Credit Card</x:v>
      </x:c>
      <x:c r="N739" s="3" t="str">
        <x:f>TEXT(B739,"yyyy-mm")</x:f>
        <x:v>2024-08</x:v>
      </x:c>
      <x:c r="O739" s="3" t="str">
        <x:f>IF(J739=0,"No discount",IF(J739&lt;=0.1,"1-10%",IF(J739&lt;=0.15,"11-15%",IF(J739&lt;=0.2,"16-20%","21%+"))))</x:f>
        <x:v>No discount</x:v>
      </x:c>
      <x:c r="P739" s="9" t="n">
        <x:f>IF(K739=0,0,L739/K739)</x:f>
        <x:v>0.1619534294915639</x:v>
      </x:c>
      <x:c r="Q739" s="3" t="str">
        <x:f>IF(L739&lt;0,"Yes","No")</x:f>
        <x:v>No</x:v>
      </x:c>
    </x:row>
    <x:row r="740" ht="21" customHeight="1">
      <x:c r="A740" s="3" t="str">
        <x:v>ORD-100551</x:v>
      </x:c>
      <x:c r="B740" s="5" t="n">
        <x:v>45506</x:v>
      </x:c>
      <x:c r="C740" s="3" t="str">
        <x:v>CUST-00149</x:v>
      </x:c>
      <x:c r="D740" s="3" t="str">
        <x:v>West</x:v>
      </x:c>
      <x:c r="E740" s="3" t="str">
        <x:v>Sports</x:v>
      </x:c>
      <x:c r="F740" s="3" t="str">
        <x:v>Outdoor</x:v>
      </x:c>
      <x:c r="G740" s="3" t="str">
        <x:v>TrailHike Backpack 60L</x:v>
      </x:c>
      <x:c r="H740" s="3" t="n">
        <x:v>1</x:v>
      </x:c>
      <x:c r="I740" s="7" t="n">
        <x:v>3363.21</x:v>
      </x:c>
      <x:c r="J740" s="9" t="n">
        <x:v>0</x:v>
      </x:c>
      <x:c r="K740" s="7" t="n">
        <x:v>3363.21</x:v>
      </x:c>
      <x:c r="L740" s="7" t="n">
        <x:v>1147.77</x:v>
      </x:c>
      <x:c r="M740" s="3" t="str">
        <x:v>Net Banking</x:v>
      </x:c>
      <x:c r="N740" s="3" t="str">
        <x:f>TEXT(B740,"yyyy-mm")</x:f>
        <x:v>2024-08</x:v>
      </x:c>
      <x:c r="O740" s="3" t="str">
        <x:f>IF(J740=0,"No discount",IF(J740&lt;=0.1,"1-10%",IF(J740&lt;=0.15,"11-15%",IF(J740&lt;=0.2,"16-20%","21%+"))))</x:f>
        <x:v>No discount</x:v>
      </x:c>
      <x:c r="P740" s="9" t="n">
        <x:f>IF(K740=0,0,L740/K740)</x:f>
        <x:v>0.34127217747330674</x:v>
      </x:c>
      <x:c r="Q740" s="3" t="str">
        <x:f>IF(L740&lt;0,"Yes","No")</x:f>
        <x:v>No</x:v>
      </x:c>
    </x:row>
    <x:row r="741" ht="21" customHeight="1">
      <x:c r="A741" s="3" t="str">
        <x:v>ORD-101082</x:v>
      </x:c>
      <x:c r="B741" s="5" t="n">
        <x:v>45506</x:v>
      </x:c>
      <x:c r="C741" s="3" t="str">
        <x:v>CUST-00099</x:v>
      </x:c>
      <x:c r="D741" s="3" t="str">
        <x:v>East</x:v>
      </x:c>
      <x:c r="E741" s="3" t="str">
        <x:v>Electronics</x:v>
      </x:c>
      <x:c r="F741" s="3" t="str">
        <x:v>Audio</x:v>
      </x:c>
      <x:c r="G741" s="3" t="str">
        <x:v>SoundPods Pro</x:v>
      </x:c>
      <x:c r="H741" s="3" t="n">
        <x:v>1</x:v>
      </x:c>
      <x:c r="I741" s="7" t="n">
        <x:v>5096.45</x:v>
      </x:c>
      <x:c r="J741" s="9" t="n">
        <x:v>0.25</x:v>
      </x:c>
      <x:c r="K741" s="7" t="n">
        <x:v>3822.34</x:v>
      </x:c>
      <x:c r="L741" s="7" t="n">
        <x:v>-470.05</x:v>
      </x:c>
      <x:c r="M741" s="3" t="str">
        <x:v>UPI</x:v>
      </x:c>
      <x:c r="N741" s="3" t="str">
        <x:f>TEXT(B741,"yyyy-mm")</x:f>
        <x:v>2024-08</x:v>
      </x:c>
      <x:c r="O741" s="3" t="str">
        <x:f>IF(J741=0,"No discount",IF(J741&lt;=0.1,"1-10%",IF(J741&lt;=0.15,"11-15%",IF(J741&lt;=0.2,"16-20%","21%+"))))</x:f>
        <x:v>21%+</x:v>
      </x:c>
      <x:c r="P741" s="9" t="n">
        <x:f>IF(K741=0,0,L741/K741)</x:f>
        <x:v>-0.12297440834671955</x:v>
      </x:c>
      <x:c r="Q741" s="3" t="str">
        <x:f>IF(L741&lt;0,"Yes","No")</x:f>
        <x:v>Yes</x:v>
      </x:c>
    </x:row>
    <x:row r="742" ht="21" customHeight="1">
      <x:c r="A742" s="3" t="str">
        <x:v>ORD-101486</x:v>
      </x:c>
      <x:c r="B742" s="5" t="n">
        <x:v>45506</x:v>
      </x:c>
      <x:c r="C742" s="3" t="str">
        <x:v>CUST-00325</x:v>
      </x:c>
      <x:c r="D742" s="3" t="str">
        <x:v>North</x:v>
      </x:c>
      <x:c r="E742" s="3" t="str">
        <x:v>Beauty</x:v>
      </x:c>
      <x:c r="F742" s="3" t="str">
        <x:v>Makeup</x:v>
      </x:c>
      <x:c r="G742" s="3" t="str">
        <x:v>Matte Lipstick Set</x:v>
      </x:c>
      <x:c r="H742" s="3" t="n">
        <x:v>3</x:v>
      </x:c>
      <x:c r="I742" s="7" t="n">
        <x:v>974.76</x:v>
      </x:c>
      <x:c r="J742" s="9" t="n">
        <x:v>0.05</x:v>
      </x:c>
      <x:c r="K742" s="7" t="n">
        <x:v>2778.07</x:v>
      </x:c>
      <x:c r="L742" s="7" t="n">
        <x:v>1413.09</x:v>
      </x:c>
      <x:c r="M742" s="3" t="str">
        <x:v>Credit Card</x:v>
      </x:c>
      <x:c r="N742" s="3" t="str">
        <x:f>TEXT(B742,"yyyy-mm")</x:f>
        <x:v>2024-08</x:v>
      </x:c>
      <x:c r="O742" s="3" t="str">
        <x:f>IF(J742=0,"No discount",IF(J742&lt;=0.1,"1-10%",IF(J742&lt;=0.15,"11-15%",IF(J742&lt;=0.2,"16-20%","21%+"))))</x:f>
        <x:v>1-10%</x:v>
      </x:c>
      <x:c r="P742" s="9" t="n">
        <x:f>IF(K742=0,0,L742/K742)</x:f>
        <x:v>0.5086588890848682</x:v>
      </x:c>
      <x:c r="Q742" s="3" t="str">
        <x:f>IF(L742&lt;0,"Yes","No")</x:f>
        <x:v>No</x:v>
      </x:c>
    </x:row>
    <x:row r="743" ht="21" customHeight="1">
      <x:c r="A743" s="3" t="str">
        <x:v>ORD-101602</x:v>
      </x:c>
      <x:c r="B743" s="5" t="n">
        <x:v>45506</x:v>
      </x:c>
      <x:c r="C743" s="3" t="str">
        <x:v>CUST-00315</x:v>
      </x:c>
      <x:c r="D743" s="3" t="str">
        <x:v>North</x:v>
      </x:c>
      <x:c r="E743" s="3" t="str">
        <x:v>Electronics</x:v>
      </x:c>
      <x:c r="F743" s="3" t="str">
        <x:v>Audio</x:v>
      </x:c>
      <x:c r="G743" s="3" t="str">
        <x:v>BassBoom Speaker</x:v>
      </x:c>
      <x:c r="H743" s="3" t="n">
        <x:v>1</x:v>
      </x:c>
      <x:c r="I743" s="7" t="n">
        <x:v>8820.22</x:v>
      </x:c>
      <x:c r="J743" s="9" t="n">
        <x:v>0.05</x:v>
      </x:c>
      <x:c r="K743" s="7" t="n">
        <x:v>8379.21</x:v>
      </x:c>
      <x:c r="L743" s="7" t="n">
        <x:v>788.87</x:v>
      </x:c>
      <x:c r="M743" s="3" t="str">
        <x:v>Net Banking</x:v>
      </x:c>
      <x:c r="N743" s="3" t="str">
        <x:f>TEXT(B743,"yyyy-mm")</x:f>
        <x:v>2024-08</x:v>
      </x:c>
      <x:c r="O743" s="3" t="str">
        <x:f>IF(J743=0,"No discount",IF(J743&lt;=0.1,"1-10%",IF(J743&lt;=0.15,"11-15%",IF(J743&lt;=0.2,"16-20%","21%+"))))</x:f>
        <x:v>1-10%</x:v>
      </x:c>
      <x:c r="P743" s="9" t="n">
        <x:f>IF(K743=0,0,L743/K743)</x:f>
        <x:v>0.09414610685255533</x:v>
      </x:c>
      <x:c r="Q743" s="3" t="str">
        <x:f>IF(L743&lt;0,"Yes","No")</x:f>
        <x:v>No</x:v>
      </x:c>
    </x:row>
    <x:row r="744" ht="21" customHeight="1">
      <x:c r="A744" s="3" t="str">
        <x:v>ORD-100587</x:v>
      </x:c>
      <x:c r="B744" s="5" t="n">
        <x:v>45507</x:v>
      </x:c>
      <x:c r="C744" s="3" t="str">
        <x:v>CUST-00326</x:v>
      </x:c>
      <x:c r="D744" s="3" t="str">
        <x:v>East</x:v>
      </x:c>
      <x:c r="E744" s="3" t="str">
        <x:v>Beauty</x:v>
      </x:c>
      <x:c r="F744" s="3" t="str">
        <x:v>Makeup</x:v>
      </x:c>
      <x:c r="G744" s="3" t="str">
        <x:v>Matte Lipstick Set</x:v>
      </x:c>
      <x:c r="H744" s="3" t="n">
        <x:v>1</x:v>
      </x:c>
      <x:c r="I744" s="7" t="n">
        <x:v>956.04</x:v>
      </x:c>
      <x:c r="J744" s="9" t="n">
        <x:v>0.1</x:v>
      </x:c>
      <x:c r="K744" s="7" t="n">
        <x:v>860.44</x:v>
      </x:c>
      <x:c r="L744" s="7" t="n">
        <x:v>346.05</x:v>
      </x:c>
      <x:c r="M744" s="3" t="str">
        <x:v>Debit Card</x:v>
      </x:c>
      <x:c r="N744" s="3" t="str">
        <x:f>TEXT(B744,"yyyy-mm")</x:f>
        <x:v>2024-08</x:v>
      </x:c>
      <x:c r="O744" s="3" t="str">
        <x:f>IF(J744=0,"No discount",IF(J744&lt;=0.1,"1-10%",IF(J744&lt;=0.15,"11-15%",IF(J744&lt;=0.2,"16-20%","21%+"))))</x:f>
        <x:v>1-10%</x:v>
      </x:c>
      <x:c r="P744" s="9" t="n">
        <x:f>IF(K744=0,0,L744/K744)</x:f>
        <x:v>0.40217795546464596</x:v>
      </x:c>
      <x:c r="Q744" s="3" t="str">
        <x:f>IF(L744&lt;0,"Yes","No")</x:f>
        <x:v>No</x:v>
      </x:c>
    </x:row>
    <x:row r="745" ht="21" customHeight="1">
      <x:c r="A745" s="3" t="str">
        <x:v>ORD-100709</x:v>
      </x:c>
      <x:c r="B745" s="5" t="n">
        <x:v>45507</x:v>
      </x:c>
      <x:c r="C745" s="3" t="str">
        <x:v>CUST-00002</x:v>
      </x:c>
      <x:c r="D745" s="3" t="str">
        <x:v>South</x:v>
      </x:c>
      <x:c r="E745" s="3" t="str">
        <x:v>Home &amp; Kitchen</x:v>
      </x:c>
      <x:c r="F745" s="3" t="str">
        <x:v>Decor</x:v>
      </x:c>
      <x:c r="G745" s="3" t="str">
        <x:v>Ceramic Vase Set</x:v>
      </x:c>
      <x:c r="H745" s="3" t="n">
        <x:v>1</x:v>
      </x:c>
      <x:c r="I745" s="7" t="n">
        <x:v>1441.9</x:v>
      </x:c>
      <x:c r="J745" s="9" t="n">
        <x:v>0</x:v>
      </x:c>
      <x:c r="K745" s="7" t="n">
        <x:v>1441.9</x:v>
      </x:c>
      <x:c r="L745" s="7" t="n">
        <x:v>443.98</x:v>
      </x:c>
      <x:c r="M745" s="3" t="str">
        <x:v>UPI</x:v>
      </x:c>
      <x:c r="N745" s="3" t="str">
        <x:f>TEXT(B745,"yyyy-mm")</x:f>
        <x:v>2024-08</x:v>
      </x:c>
      <x:c r="O745" s="3" t="str">
        <x:f>IF(J745=0,"No discount",IF(J745&lt;=0.1,"1-10%",IF(J745&lt;=0.15,"11-15%",IF(J745&lt;=0.2,"16-20%","21%+"))))</x:f>
        <x:v>No discount</x:v>
      </x:c>
      <x:c r="P745" s="9" t="n">
        <x:f>IF(K745=0,0,L745/K745)</x:f>
        <x:v>0.3079131701227547</x:v>
      </x:c>
      <x:c r="Q745" s="3" t="str">
        <x:f>IF(L745&lt;0,"Yes","No")</x:f>
        <x:v>No</x:v>
      </x:c>
    </x:row>
    <x:row r="746" ht="21" customHeight="1">
      <x:c r="A746" s="3" t="str">
        <x:v>ORD-101131</x:v>
      </x:c>
      <x:c r="B746" s="5" t="n">
        <x:v>45507</x:v>
      </x:c>
      <x:c r="C746" s="3" t="str">
        <x:v>CUST-00068</x:v>
      </x:c>
      <x:c r="D746" s="3" t="str">
        <x:v>West</x:v>
      </x:c>
      <x:c r="E746" s="3" t="str">
        <x:v>Electronics</x:v>
      </x:c>
      <x:c r="F746" s="3" t="str">
        <x:v>Laptop</x:v>
      </x:c>
      <x:c r="G746" s="3" t="str">
        <x:v>ThinkPro 14</x:v>
      </x:c>
      <x:c r="H746" s="3" t="n">
        <x:v>4</x:v>
      </x:c>
      <x:c r="I746" s="7" t="n">
        <x:v>55380.11</x:v>
      </x:c>
      <x:c r="J746" s="9" t="n">
        <x:v>0</x:v>
      </x:c>
      <x:c r="K746" s="7" t="n">
        <x:v>221520.44</x:v>
      </x:c>
      <x:c r="L746" s="7" t="n">
        <x:v>38413.22</x:v>
      </x:c>
      <x:c r="M746" s="3" t="str">
        <x:v>UPI</x:v>
      </x:c>
      <x:c r="N746" s="3" t="str">
        <x:f>TEXT(B746,"yyyy-mm")</x:f>
        <x:v>2024-08</x:v>
      </x:c>
      <x:c r="O746" s="3" t="str">
        <x:f>IF(J746=0,"No discount",IF(J746&lt;=0.1,"1-10%",IF(J746&lt;=0.15,"11-15%",IF(J746&lt;=0.2,"16-20%","21%+"))))</x:f>
        <x:v>No discount</x:v>
      </x:c>
      <x:c r="P746" s="9" t="n">
        <x:f>IF(K746=0,0,L746/K746)</x:f>
        <x:v>0.17340711313141127</x:v>
      </x:c>
      <x:c r="Q746" s="3" t="str">
        <x:f>IF(L746&lt;0,"Yes","No")</x:f>
        <x:v>No</x:v>
      </x:c>
    </x:row>
    <x:row r="747" ht="21" customHeight="1">
      <x:c r="A747" s="3" t="str">
        <x:v>ORD-100549</x:v>
      </x:c>
      <x:c r="B747" s="5" t="n">
        <x:v>45508</x:v>
      </x:c>
      <x:c r="C747" s="3" t="str">
        <x:v>CUST-00266</x:v>
      </x:c>
      <x:c r="D747" s="3" t="str">
        <x:v>West</x:v>
      </x:c>
      <x:c r="E747" s="3" t="str">
        <x:v>Home &amp; Kitchen</x:v>
      </x:c>
      <x:c r="F747" s="3" t="str">
        <x:v>Decor</x:v>
      </x:c>
      <x:c r="G747" s="3" t="str">
        <x:v>LED Wall Lamp</x:v>
      </x:c>
      <x:c r="H747" s="3" t="n">
        <x:v>2</x:v>
      </x:c>
      <x:c r="I747" s="7" t="n">
        <x:v>1029.75</x:v>
      </x:c>
      <x:c r="J747" s="9" t="n">
        <x:v>0.05</x:v>
      </x:c>
      <x:c r="K747" s="7" t="n">
        <x:v>1956.52</x:v>
      </x:c>
      <x:c r="L747" s="7" t="n">
        <x:v>508.32</x:v>
      </x:c>
      <x:c r="M747" s="3" t="str">
        <x:v>Debit Card</x:v>
      </x:c>
      <x:c r="N747" s="3" t="str">
        <x:f>TEXT(B747,"yyyy-mm")</x:f>
        <x:v>2024-08</x:v>
      </x:c>
      <x:c r="O747" s="3" t="str">
        <x:f>IF(J747=0,"No discount",IF(J747&lt;=0.1,"1-10%",IF(J747&lt;=0.15,"11-15%",IF(J747&lt;=0.2,"16-20%","21%+"))))</x:f>
        <x:v>1-10%</x:v>
      </x:c>
      <x:c r="P747" s="9" t="n">
        <x:f>IF(K747=0,0,L747/K747)</x:f>
        <x:v>0.2598082309406497</x:v>
      </x:c>
      <x:c r="Q747" s="3" t="str">
        <x:f>IF(L747&lt;0,"Yes","No")</x:f>
        <x:v>No</x:v>
      </x:c>
    </x:row>
    <x:row r="748" ht="21" customHeight="1">
      <x:c r="A748" s="3" t="str">
        <x:v>ORD-101813</x:v>
      </x:c>
      <x:c r="B748" s="5" t="n">
        <x:v>45508</x:v>
      </x:c>
      <x:c r="C748" s="3" t="str">
        <x:v>CUST-00359</x:v>
      </x:c>
      <x:c r="D748" s="3" t="str">
        <x:v>South</x:v>
      </x:c>
      <x:c r="E748" s="3" t="str">
        <x:v>Electronics</x:v>
      </x:c>
      <x:c r="F748" s="3" t="str">
        <x:v>Laptop</x:v>
      </x:c>
      <x:c r="G748" s="3" t="str">
        <x:v>AirBook Slim</x:v>
      </x:c>
      <x:c r="H748" s="3" t="n">
        <x:v>2</x:v>
      </x:c>
      <x:c r="I748" s="7" t="n">
        <x:v>80070.74</x:v>
      </x:c>
      <x:c r="J748" s="9" t="n">
        <x:v>0.05</x:v>
      </x:c>
      <x:c r="K748" s="7" t="n">
        <x:v>152134.41</x:v>
      </x:c>
      <x:c r="L748" s="7" t="n">
        <x:v>15911.17</x:v>
      </x:c>
      <x:c r="M748" s="3" t="str">
        <x:v>UPI</x:v>
      </x:c>
      <x:c r="N748" s="3" t="str">
        <x:f>TEXT(B748,"yyyy-mm")</x:f>
        <x:v>2024-08</x:v>
      </x:c>
      <x:c r="O748" s="3" t="str">
        <x:f>IF(J748=0,"No discount",IF(J748&lt;=0.1,"1-10%",IF(J748&lt;=0.15,"11-15%",IF(J748&lt;=0.2,"16-20%","21%+"))))</x:f>
        <x:v>1-10%</x:v>
      </x:c>
      <x:c r="P748" s="9" t="n">
        <x:f>IF(K748=0,0,L748/K748)</x:f>
        <x:v>0.10458626684127542</x:v>
      </x:c>
      <x:c r="Q748" s="3" t="str">
        <x:f>IF(L748&lt;0,"Yes","No")</x:f>
        <x:v>No</x:v>
      </x:c>
    </x:row>
    <x:row r="749" ht="21" customHeight="1">
      <x:c r="A749" s="3" t="str">
        <x:v>ORD-100778</x:v>
      </x:c>
      <x:c r="B749" s="5" t="n">
        <x:v>45509</x:v>
      </x:c>
      <x:c r="C749" s="3" t="str">
        <x:v>CUST-00515</x:v>
      </x:c>
      <x:c r="D749" s="3" t="str">
        <x:v>South</x:v>
      </x:c>
      <x:c r="E749" s="3" t="str">
        <x:v>Fashion</x:v>
      </x:c>
      <x:c r="F749" s="3" t="str">
        <x:v>Women</x:v>
      </x:c>
      <x:c r="G749" s="3" t="str">
        <x:v>Floral Summer Dress</x:v>
      </x:c>
      <x:c r="H749" s="3" t="n">
        <x:v>1</x:v>
      </x:c>
      <x:c r="I749" s="7" t="n">
        <x:v>1772.37</x:v>
      </x:c>
      <x:c r="J749" s="9" t="n">
        <x:v>0.1</x:v>
      </x:c>
      <x:c r="K749" s="7" t="n">
        <x:v>1595.13</x:v>
      </x:c>
      <x:c r="L749" s="7" t="n">
        <x:v>437.81</x:v>
      </x:c>
      <x:c r="M749" s="3" t="str">
        <x:v>UPI</x:v>
      </x:c>
      <x:c r="N749" s="3" t="str">
        <x:f>TEXT(B749,"yyyy-mm")</x:f>
        <x:v>2024-08</x:v>
      </x:c>
      <x:c r="O749" s="3" t="str">
        <x:f>IF(J749=0,"No discount",IF(J749&lt;=0.1,"1-10%",IF(J749&lt;=0.15,"11-15%",IF(J749&lt;=0.2,"16-20%","21%+"))))</x:f>
        <x:v>1-10%</x:v>
      </x:c>
      <x:c r="P749" s="9" t="n">
        <x:f>IF(K749=0,0,L749/K749)</x:f>
        <x:v>0.2744666578899525</x:v>
      </x:c>
      <x:c r="Q749" s="3" t="str">
        <x:f>IF(L749&lt;0,"Yes","No")</x:f>
        <x:v>No</x:v>
      </x:c>
    </x:row>
    <x:row r="750" ht="21" customHeight="1">
      <x:c r="A750" s="3" t="str">
        <x:v>ORD-101065</x:v>
      </x:c>
      <x:c r="B750" s="5" t="n">
        <x:v>45509</x:v>
      </x:c>
      <x:c r="C750" s="3" t="str">
        <x:v>CUST-00008</x:v>
      </x:c>
      <x:c r="D750" s="3" t="str">
        <x:v>West</x:v>
      </x:c>
      <x:c r="E750" s="3" t="str">
        <x:v>Fashion</x:v>
      </x:c>
      <x:c r="F750" s="3" t="str">
        <x:v>Footwear</x:v>
      </x:c>
      <x:c r="G750" s="3" t="str">
        <x:v>UrbanLoafers</x:v>
      </x:c>
      <x:c r="H750" s="3" t="n">
        <x:v>1</x:v>
      </x:c>
      <x:c r="I750" s="7" t="n">
        <x:v>3527.55</x:v>
      </x:c>
      <x:c r="J750" s="9" t="n">
        <x:v>0.15</x:v>
      </x:c>
      <x:c r="K750" s="7" t="n">
        <x:v>2998.42</x:v>
      </x:c>
      <x:c r="L750" s="7" t="n">
        <x:v>710.47</x:v>
      </x:c>
      <x:c r="M750" s="3" t="str">
        <x:v>UPI</x:v>
      </x:c>
      <x:c r="N750" s="3" t="str">
        <x:f>TEXT(B750,"yyyy-mm")</x:f>
        <x:v>2024-08</x:v>
      </x:c>
      <x:c r="O750" s="3" t="str">
        <x:f>IF(J750=0,"No discount",IF(J750&lt;=0.1,"1-10%",IF(J750&lt;=0.15,"11-15%",IF(J750&lt;=0.2,"16-20%","21%+"))))</x:f>
        <x:v>11-15%</x:v>
      </x:c>
      <x:c r="P750" s="9" t="n">
        <x:f>IF(K750=0,0,L750/K750)</x:f>
        <x:v>0.23694812601303353</x:v>
      </x:c>
      <x:c r="Q750" s="3" t="str">
        <x:f>IF(L750&lt;0,"Yes","No")</x:f>
        <x:v>No</x:v>
      </x:c>
    </x:row>
    <x:row r="751" ht="21" customHeight="1">
      <x:c r="A751" s="3" t="str">
        <x:v>ORD-101353</x:v>
      </x:c>
      <x:c r="B751" s="5" t="n">
        <x:v>45509</x:v>
      </x:c>
      <x:c r="C751" s="3" t="str">
        <x:v>CUST-00125</x:v>
      </x:c>
      <x:c r="D751" s="3" t="str">
        <x:v>North</x:v>
      </x:c>
      <x:c r="E751" s="3" t="str">
        <x:v>Fashion</x:v>
      </x:c>
      <x:c r="F751" s="3" t="str">
        <x:v>Footwear</x:v>
      </x:c>
      <x:c r="G751" s="3" t="str">
        <x:v>RunFlex Sneakers</x:v>
      </x:c>
      <x:c r="H751" s="3" t="n">
        <x:v>1</x:v>
      </x:c>
      <x:c r="I751" s="7" t="n">
        <x:v>3042.81</x:v>
      </x:c>
      <x:c r="J751" s="9" t="n">
        <x:v>0</x:v>
      </x:c>
      <x:c r="K751" s="7" t="n">
        <x:v>3042.81</x:v>
      </x:c>
      <x:c r="L751" s="7" t="n">
        <x:v>1290.08</x:v>
      </x:c>
      <x:c r="M751" s="3" t="str">
        <x:v>Net Banking</x:v>
      </x:c>
      <x:c r="N751" s="3" t="str">
        <x:f>TEXT(B751,"yyyy-mm")</x:f>
        <x:v>2024-08</x:v>
      </x:c>
      <x:c r="O751" s="3" t="str">
        <x:f>IF(J751=0,"No discount",IF(J751&lt;=0.1,"1-10%",IF(J751&lt;=0.15,"11-15%",IF(J751&lt;=0.2,"16-20%","21%+"))))</x:f>
        <x:v>No discount</x:v>
      </x:c>
      <x:c r="P751" s="9" t="n">
        <x:f>IF(K751=0,0,L751/K751)</x:f>
        <x:v>0.4239765217019794</x:v>
      </x:c>
      <x:c r="Q751" s="3" t="str">
        <x:f>IF(L751&lt;0,"Yes","No")</x:f>
        <x:v>No</x:v>
      </x:c>
    </x:row>
    <x:row r="752" ht="21" customHeight="1">
      <x:c r="A752" s="3" t="str">
        <x:v>ORD-101776</x:v>
      </x:c>
      <x:c r="B752" s="5" t="n">
        <x:v>45509</x:v>
      </x:c>
      <x:c r="C752" s="3" t="str">
        <x:v>CUST-00422</x:v>
      </x:c>
      <x:c r="D752" s="3" t="str">
        <x:v>West</x:v>
      </x:c>
      <x:c r="E752" s="3" t="str">
        <x:v>Electronics</x:v>
      </x:c>
      <x:c r="F752" s="3" t="str">
        <x:v>Laptop</x:v>
      </x:c>
      <x:c r="G752" s="3" t="str">
        <x:v>ThinkPro 14</x:v>
      </x:c>
      <x:c r="H752" s="3" t="n">
        <x:v>4</x:v>
      </x:c>
      <x:c r="I752" s="7" t="n">
        <x:v>52499.75</x:v>
      </x:c>
      <x:c r="J752" s="9" t="n">
        <x:v>0.05</x:v>
      </x:c>
      <x:c r="K752" s="7" t="n">
        <x:v>199499.05</x:v>
      </x:c>
      <x:c r="L752" s="7" t="n">
        <x:v>26389.11</x:v>
      </x:c>
      <x:c r="M752" s="3" t="str">
        <x:v>UPI</x:v>
      </x:c>
      <x:c r="N752" s="3" t="str">
        <x:f>TEXT(B752,"yyyy-mm")</x:f>
        <x:v>2024-08</x:v>
      </x:c>
      <x:c r="O752" s="3" t="str">
        <x:f>IF(J752=0,"No discount",IF(J752&lt;=0.1,"1-10%",IF(J752&lt;=0.15,"11-15%",IF(J752&lt;=0.2,"16-20%","21%+"))))</x:f>
        <x:v>1-10%</x:v>
      </x:c>
      <x:c r="P752" s="9" t="n">
        <x:f>IF(K752=0,0,L752/K752)</x:f>
        <x:v>0.13227687049136325</x:v>
      </x:c>
      <x:c r="Q752" s="3" t="str">
        <x:f>IF(L752&lt;0,"Yes","No")</x:f>
        <x:v>No</x:v>
      </x:c>
    </x:row>
    <x:row r="753" ht="21" customHeight="1">
      <x:c r="A753" s="3" t="str">
        <x:v>ORD-101094</x:v>
      </x:c>
      <x:c r="B753" s="5" t="n">
        <x:v>45510</x:v>
      </x:c>
      <x:c r="C753" s="3" t="str">
        <x:v>CUST-00487</x:v>
      </x:c>
      <x:c r="D753" s="3" t="str">
        <x:v>West</x:v>
      </x:c>
      <x:c r="E753" s="3" t="str">
        <x:v>Beauty</x:v>
      </x:c>
      <x:c r="F753" s="3" t="str">
        <x:v>Skincare</x:v>
      </x:c>
      <x:c r="G753" s="3" t="str">
        <x:v>Vitamin C Serum</x:v>
      </x:c>
      <x:c r="H753" s="3" t="n">
        <x:v>1</x:v>
      </x:c>
      <x:c r="I753" s="7" t="n">
        <x:v>901.74</x:v>
      </x:c>
      <x:c r="J753" s="9" t="n">
        <x:v>0</x:v>
      </x:c>
      <x:c r="K753" s="7" t="n">
        <x:v>901.74</x:v>
      </x:c>
      <x:c r="L753" s="7" t="n">
        <x:v>481.77</x:v>
      </x:c>
      <x:c r="M753" s="3" t="str">
        <x:v>UPI</x:v>
      </x:c>
      <x:c r="N753" s="3" t="str">
        <x:f>TEXT(B753,"yyyy-mm")</x:f>
        <x:v>2024-08</x:v>
      </x:c>
      <x:c r="O753" s="3" t="str">
        <x:f>IF(J753=0,"No discount",IF(J753&lt;=0.1,"1-10%",IF(J753&lt;=0.15,"11-15%",IF(J753&lt;=0.2,"16-20%","21%+"))))</x:f>
        <x:v>No discount</x:v>
      </x:c>
      <x:c r="P753" s="9" t="n">
        <x:f>IF(K753=0,0,L753/K753)</x:f>
        <x:v>0.5342670836382992</x:v>
      </x:c>
      <x:c r="Q753" s="3" t="str">
        <x:f>IF(L753&lt;0,"Yes","No")</x:f>
        <x:v>No</x:v>
      </x:c>
    </x:row>
    <x:row r="754" ht="21" customHeight="1">
      <x:c r="A754" s="3" t="str">
        <x:v>ORD-101212</x:v>
      </x:c>
      <x:c r="B754" s="5" t="n">
        <x:v>45510</x:v>
      </x:c>
      <x:c r="C754" s="3" t="str">
        <x:v>CUST-00355</x:v>
      </x:c>
      <x:c r="D754" s="3" t="str">
        <x:v>East</x:v>
      </x:c>
      <x:c r="E754" s="3" t="str">
        <x:v>Beauty</x:v>
      </x:c>
      <x:c r="F754" s="3" t="str">
        <x:v>Skincare</x:v>
      </x:c>
      <x:c r="G754" s="3" t="str">
        <x:v>Vitamin C Serum</x:v>
      </x:c>
      <x:c r="H754" s="3" t="n">
        <x:v>2</x:v>
      </x:c>
      <x:c r="I754" s="7" t="n">
        <x:v>911.3</x:v>
      </x:c>
      <x:c r="J754" s="9" t="n">
        <x:v>0.05</x:v>
      </x:c>
      <x:c r="K754" s="7" t="n">
        <x:v>1731.47</x:v>
      </x:c>
      <x:c r="L754" s="7" t="n">
        <x:v>852.38</x:v>
      </x:c>
      <x:c r="M754" s="3" t="str">
        <x:v>Debit Card</x:v>
      </x:c>
      <x:c r="N754" s="3" t="str">
        <x:f>TEXT(B754,"yyyy-mm")</x:f>
        <x:v>2024-08</x:v>
      </x:c>
      <x:c r="O754" s="3" t="str">
        <x:f>IF(J754=0,"No discount",IF(J754&lt;=0.1,"1-10%",IF(J754&lt;=0.15,"11-15%",IF(J754&lt;=0.2,"16-20%","21%+"))))</x:f>
        <x:v>1-10%</x:v>
      </x:c>
      <x:c r="P754" s="9" t="n">
        <x:f>IF(K754=0,0,L754/K754)</x:f>
        <x:v>0.4922869007259727</x:v>
      </x:c>
      <x:c r="Q754" s="3" t="str">
        <x:f>IF(L754&lt;0,"Yes","No")</x:f>
        <x:v>No</x:v>
      </x:c>
    </x:row>
    <x:row r="755" ht="21" customHeight="1">
      <x:c r="A755" s="3" t="str">
        <x:v>ORD-101786</x:v>
      </x:c>
      <x:c r="B755" s="5" t="n">
        <x:v>45510</x:v>
      </x:c>
      <x:c r="C755" s="3" t="str">
        <x:v>CUST-00089</x:v>
      </x:c>
      <x:c r="D755" s="3" t="str">
        <x:v>South</x:v>
      </x:c>
      <x:c r="E755" s="3" t="str">
        <x:v>Sports</x:v>
      </x:c>
      <x:c r="F755" s="3" t="str">
        <x:v>Outdoor</x:v>
      </x:c>
      <x:c r="G755" s="3" t="str">
        <x:v>TrailHike Backpack 60L</x:v>
      </x:c>
      <x:c r="H755" s="3" t="n">
        <x:v>1</x:v>
      </x:c>
      <x:c r="I755" s="7" t="n">
        <x:v>3391.4</x:v>
      </x:c>
      <x:c r="J755" s="9" t="n">
        <x:v>0.4</x:v>
      </x:c>
      <x:c r="K755" s="7" t="n">
        <x:v>2034.84</x:v>
      </x:c>
      <x:c r="L755" s="7" t="n">
        <x:v>-243.78</x:v>
      </x:c>
      <x:c r="M755" s="3" t="str">
        <x:v>Debit Card</x:v>
      </x:c>
      <x:c r="N755" s="3" t="str">
        <x:f>TEXT(B755,"yyyy-mm")</x:f>
        <x:v>2024-08</x:v>
      </x:c>
      <x:c r="O755" s="3" t="str">
        <x:f>IF(J755=0,"No discount",IF(J755&lt;=0.1,"1-10%",IF(J755&lt;=0.15,"11-15%",IF(J755&lt;=0.2,"16-20%","21%+"))))</x:f>
        <x:v>21%+</x:v>
      </x:c>
      <x:c r="P755" s="9" t="n">
        <x:f>IF(K755=0,0,L755/K755)</x:f>
        <x:v>-0.119803031196556</x:v>
      </x:c>
      <x:c r="Q755" s="3" t="str">
        <x:f>IF(L755&lt;0,"Yes","No")</x:f>
        <x:v>Yes</x:v>
      </x:c>
    </x:row>
    <x:row r="756" ht="21" customHeight="1">
      <x:c r="A756" s="3" t="str">
        <x:v>ORD-100037</x:v>
      </x:c>
      <x:c r="B756" s="5" t="n">
        <x:v>45511</x:v>
      </x:c>
      <x:c r="C756" s="3" t="str">
        <x:v>CUST-00418</x:v>
      </x:c>
      <x:c r="D756" s="3" t="str">
        <x:v>North</x:v>
      </x:c>
      <x:c r="E756" s="3" t="str">
        <x:v>Home &amp; Kitchen</x:v>
      </x:c>
      <x:c r="F756" s="3" t="str">
        <x:v>Decor</x:v>
      </x:c>
      <x:c r="G756" s="3" t="str">
        <x:v>Ceramic Vase Set</x:v>
      </x:c>
      <x:c r="H756" s="3" t="n">
        <x:v>2</x:v>
      </x:c>
      <x:c r="I756" s="7" t="n">
        <x:v>1474.39</x:v>
      </x:c>
      <x:c r="J756" s="9" t="n">
        <x:v>0</x:v>
      </x:c>
      <x:c r="K756" s="7" t="n">
        <x:v>2948.78</x:v>
      </x:c>
      <x:c r="L756" s="7" t="n">
        <x:v>1065.81</x:v>
      </x:c>
      <x:c r="M756" s="3" t="str">
        <x:v>UPI</x:v>
      </x:c>
      <x:c r="N756" s="3" t="str">
        <x:f>TEXT(B756,"yyyy-mm")</x:f>
        <x:v>2024-08</x:v>
      </x:c>
      <x:c r="O756" s="3" t="str">
        <x:f>IF(J756=0,"No discount",IF(J756&lt;=0.1,"1-10%",IF(J756&lt;=0.15,"11-15%",IF(J756&lt;=0.2,"16-20%","21%+"))))</x:f>
        <x:v>No discount</x:v>
      </x:c>
      <x:c r="P756" s="9" t="n">
        <x:f>IF(K756=0,0,L756/K756)</x:f>
        <x:v>0.3614410027197688</x:v>
      </x:c>
      <x:c r="Q756" s="3" t="str">
        <x:f>IF(L756&lt;0,"Yes","No")</x:f>
        <x:v>No</x:v>
      </x:c>
    </x:row>
    <x:row r="757" ht="21" customHeight="1">
      <x:c r="A757" s="3" t="str">
        <x:v>ORD-100195</x:v>
      </x:c>
      <x:c r="B757" s="5" t="n">
        <x:v>45511</x:v>
      </x:c>
      <x:c r="C757" s="3" t="str">
        <x:v>CUST-00065</x:v>
      </x:c>
      <x:c r="D757" s="3" t="str">
        <x:v>South</x:v>
      </x:c>
      <x:c r="E757" s="3" t="str">
        <x:v>Fashion</x:v>
      </x:c>
      <x:c r="F757" s="3" t="str">
        <x:v>Men</x:v>
      </x:c>
      <x:c r="G757" s="3" t="str">
        <x:v>Oxford Casual Shirt</x:v>
      </x:c>
      <x:c r="H757" s="3" t="n">
        <x:v>1</x:v>
      </x:c>
      <x:c r="I757" s="7" t="n">
        <x:v>1348.76</x:v>
      </x:c>
      <x:c r="J757" s="9" t="n">
        <x:v>0.15</x:v>
      </x:c>
      <x:c r="K757" s="7" t="n">
        <x:v>1146.45</x:v>
      </x:c>
      <x:c r="L757" s="7" t="n">
        <x:v>279.12</x:v>
      </x:c>
      <x:c r="M757" s="3" t="str">
        <x:v>UPI</x:v>
      </x:c>
      <x:c r="N757" s="3" t="str">
        <x:f>TEXT(B757,"yyyy-mm")</x:f>
        <x:v>2024-08</x:v>
      </x:c>
      <x:c r="O757" s="3" t="str">
        <x:f>IF(J757=0,"No discount",IF(J757&lt;=0.1,"1-10%",IF(J757&lt;=0.15,"11-15%",IF(J757&lt;=0.2,"16-20%","21%+"))))</x:f>
        <x:v>11-15%</x:v>
      </x:c>
      <x:c r="P757" s="9" t="n">
        <x:f>IF(K757=0,0,L757/K757)</x:f>
        <x:v>0.24346460813816564</x:v>
      </x:c>
      <x:c r="Q757" s="3" t="str">
        <x:f>IF(L757&lt;0,"Yes","No")</x:f>
        <x:v>No</x:v>
      </x:c>
    </x:row>
    <x:row r="758" ht="21" customHeight="1">
      <x:c r="A758" s="3" t="str">
        <x:v>ORD-100851</x:v>
      </x:c>
      <x:c r="B758" s="5" t="n">
        <x:v>45511</x:v>
      </x:c>
      <x:c r="C758" s="3" t="str">
        <x:v>CUST-00069</x:v>
      </x:c>
      <x:c r="D758" s="3" t="str">
        <x:v>North</x:v>
      </x:c>
      <x:c r="E758" s="3" t="str">
        <x:v>Fashion</x:v>
      </x:c>
      <x:c r="F758" s="3" t="str">
        <x:v>Footwear</x:v>
      </x:c>
      <x:c r="G758" s="3" t="str">
        <x:v>RunFlex Sneakers</x:v>
      </x:c>
      <x:c r="H758" s="3" t="n">
        <x:v>1</x:v>
      </x:c>
      <x:c r="I758" s="7" t="n">
        <x:v>3093.13</x:v>
      </x:c>
      <x:c r="J758" s="9" t="n">
        <x:v>0</x:v>
      </x:c>
      <x:c r="K758" s="7" t="n">
        <x:v>3093.13</x:v>
      </x:c>
      <x:c r="L758" s="7" t="n">
        <x:v>1356.91</x:v>
      </x:c>
      <x:c r="M758" s="3" t="str">
        <x:v>UPI</x:v>
      </x:c>
      <x:c r="N758" s="3" t="str">
        <x:f>TEXT(B758,"yyyy-mm")</x:f>
        <x:v>2024-08</x:v>
      </x:c>
      <x:c r="O758" s="3" t="str">
        <x:f>IF(J758=0,"No discount",IF(J758&lt;=0.1,"1-10%",IF(J758&lt;=0.15,"11-15%",IF(J758&lt;=0.2,"16-20%","21%+"))))</x:f>
        <x:v>No discount</x:v>
      </x:c>
      <x:c r="P758" s="9" t="n">
        <x:f>IF(K758=0,0,L758/K758)</x:f>
        <x:v>0.4386850859808673</x:v>
      </x:c>
      <x:c r="Q758" s="3" t="str">
        <x:f>IF(L758&lt;0,"Yes","No")</x:f>
        <x:v>No</x:v>
      </x:c>
    </x:row>
    <x:row r="759" ht="21" customHeight="1">
      <x:c r="A759" s="3" t="str">
        <x:v>ORD-100967</x:v>
      </x:c>
      <x:c r="B759" s="5" t="n">
        <x:v>45511</x:v>
      </x:c>
      <x:c r="C759" s="3" t="str">
        <x:v>CUST-00270</x:v>
      </x:c>
      <x:c r="D759" s="3" t="str">
        <x:v>East</x:v>
      </x:c>
      <x:c r="E759" s="3" t="str">
        <x:v>Electronics</x:v>
      </x:c>
      <x:c r="F759" s="3" t="str">
        <x:v>Audio</x:v>
      </x:c>
      <x:c r="G759" s="3" t="str">
        <x:v>BassBoom Speaker</x:v>
      </x:c>
      <x:c r="H759" s="3" t="n">
        <x:v>1</x:v>
      </x:c>
      <x:c r="I759" s="7" t="n">
        <x:v>9114.83</x:v>
      </x:c>
      <x:c r="J759" s="9" t="n">
        <x:v>0.05</x:v>
      </x:c>
      <x:c r="K759" s="7" t="n">
        <x:v>8659.09</x:v>
      </x:c>
      <x:c r="L759" s="7" t="n">
        <x:v>1280.33</x:v>
      </x:c>
      <x:c r="M759" s="3" t="str">
        <x:v>Credit Card</x:v>
      </x:c>
      <x:c r="N759" s="3" t="str">
        <x:f>TEXT(B759,"yyyy-mm")</x:f>
        <x:v>2024-08</x:v>
      </x:c>
      <x:c r="O759" s="3" t="str">
        <x:f>IF(J759=0,"No discount",IF(J759&lt;=0.1,"1-10%",IF(J759&lt;=0.15,"11-15%",IF(J759&lt;=0.2,"16-20%","21%+"))))</x:f>
        <x:v>1-10%</x:v>
      </x:c>
      <x:c r="P759" s="9" t="n">
        <x:f>IF(K759=0,0,L759/K759)</x:f>
        <x:v>0.1478596480692544</x:v>
      </x:c>
      <x:c r="Q759" s="3" t="str">
        <x:f>IF(L759&lt;0,"Yes","No")</x:f>
        <x:v>No</x:v>
      </x:c>
    </x:row>
    <x:row r="760" ht="21" customHeight="1">
      <x:c r="A760" s="3" t="str">
        <x:v>ORD-101288</x:v>
      </x:c>
      <x:c r="B760" s="5" t="n">
        <x:v>45511</x:v>
      </x:c>
      <x:c r="C760" s="3" t="str">
        <x:v>CUST-00586</x:v>
      </x:c>
      <x:c r="D760" s="3" t="str">
        <x:v>North</x:v>
      </x:c>
      <x:c r="E760" s="3" t="str">
        <x:v>Sports</x:v>
      </x:c>
      <x:c r="F760" s="3" t="str">
        <x:v>Fitness</x:v>
      </x:c>
      <x:c r="G760" s="3" t="str">
        <x:v>Adjustable Dumbbell 24kg</x:v>
      </x:c>
      <x:c r="H760" s="3" t="n">
        <x:v>2</x:v>
      </x:c>
      <x:c r="I760" s="7" t="n">
        <x:v>10258.93</x:v>
      </x:c>
      <x:c r="J760" s="9" t="n">
        <x:v>0.25</x:v>
      </x:c>
      <x:c r="K760" s="7" t="n">
        <x:v>15388.4</x:v>
      </x:c>
      <x:c r="L760" s="7" t="n">
        <x:v>1955.75</x:v>
      </x:c>
      <x:c r="M760" s="3" t="str">
        <x:v>Credit Card</x:v>
      </x:c>
      <x:c r="N760" s="3" t="str">
        <x:f>TEXT(B760,"yyyy-mm")</x:f>
        <x:v>2024-08</x:v>
      </x:c>
      <x:c r="O760" s="3" t="str">
        <x:f>IF(J760=0,"No discount",IF(J760&lt;=0.1,"1-10%",IF(J760&lt;=0.15,"11-15%",IF(J760&lt;=0.2,"16-20%","21%+"))))</x:f>
        <x:v>21%+</x:v>
      </x:c>
      <x:c r="P760" s="9" t="n">
        <x:f>IF(K760=0,0,L760/K760)</x:f>
        <x:v>0.12709248524862884</x:v>
      </x:c>
      <x:c r="Q760" s="3" t="str">
        <x:f>IF(L760&lt;0,"Yes","No")</x:f>
        <x:v>No</x:v>
      </x:c>
    </x:row>
    <x:row r="761" ht="21" customHeight="1">
      <x:c r="A761" s="3" t="str">
        <x:v>ORD-101561</x:v>
      </x:c>
      <x:c r="B761" s="5" t="n">
        <x:v>45511</x:v>
      </x:c>
      <x:c r="C761" s="3" t="str">
        <x:v>CUST-00487</x:v>
      </x:c>
      <x:c r="D761" s="3" t="str">
        <x:v>North</x:v>
      </x:c>
      <x:c r="E761" s="3" t="str">
        <x:v>Fashion</x:v>
      </x:c>
      <x:c r="F761" s="3" t="str">
        <x:v>Women</x:v>
      </x:c>
      <x:c r="G761" s="3" t="str">
        <x:v>Floral Summer Dress</x:v>
      </x:c>
      <x:c r="H761" s="3" t="n">
        <x:v>2</x:v>
      </x:c>
      <x:c r="I761" s="7" t="n">
        <x:v>1871.17</x:v>
      </x:c>
      <x:c r="J761" s="9" t="n">
        <x:v>0.15</x:v>
      </x:c>
      <x:c r="K761" s="7" t="n">
        <x:v>3180.99</x:v>
      </x:c>
      <x:c r="L761" s="7" t="n">
        <x:v>789.14</x:v>
      </x:c>
      <x:c r="M761" s="3" t="str">
        <x:v>Credit Card</x:v>
      </x:c>
      <x:c r="N761" s="3" t="str">
        <x:f>TEXT(B761,"yyyy-mm")</x:f>
        <x:v>2024-08</x:v>
      </x:c>
      <x:c r="O761" s="3" t="str">
        <x:f>IF(J761=0,"No discount",IF(J761&lt;=0.1,"1-10%",IF(J761&lt;=0.15,"11-15%",IF(J761&lt;=0.2,"16-20%","21%+"))))</x:f>
        <x:v>11-15%</x:v>
      </x:c>
      <x:c r="P761" s="9" t="n">
        <x:f>IF(K761=0,0,L761/K761)</x:f>
        <x:v>0.24808000025149404</x:v>
      </x:c>
      <x:c r="Q761" s="3" t="str">
        <x:f>IF(L761&lt;0,"Yes","No")</x:f>
        <x:v>No</x:v>
      </x:c>
    </x:row>
    <x:row r="762" ht="21" customHeight="1">
      <x:c r="A762" s="3" t="str">
        <x:v>ORD-101829</x:v>
      </x:c>
      <x:c r="B762" s="5" t="n">
        <x:v>45511</x:v>
      </x:c>
      <x:c r="C762" s="3" t="str">
        <x:v>CUST-00261</x:v>
      </x:c>
      <x:c r="D762" s="3" t="str">
        <x:v>West</x:v>
      </x:c>
      <x:c r="E762" s="3" t="str">
        <x:v>Fashion</x:v>
      </x:c>
      <x:c r="F762" s="3" t="str">
        <x:v>Footwear</x:v>
      </x:c>
      <x:c r="G762" s="3" t="str">
        <x:v>RunFlex Sneakers</x:v>
      </x:c>
      <x:c r="H762" s="3" t="n">
        <x:v>1</x:v>
      </x:c>
      <x:c r="I762" s="7" t="n">
        <x:v>2958.1</x:v>
      </x:c>
      <x:c r="J762" s="9" t="n">
        <x:v>0.1</x:v>
      </x:c>
      <x:c r="K762" s="7" t="n">
        <x:v>2662.29</x:v>
      </x:c>
      <x:c r="L762" s="7" t="n">
        <x:v>815.62</x:v>
      </x:c>
      <x:c r="M762" s="3" t="str">
        <x:v>UPI</x:v>
      </x:c>
      <x:c r="N762" s="3" t="str">
        <x:f>TEXT(B762,"yyyy-mm")</x:f>
        <x:v>2024-08</x:v>
      </x:c>
      <x:c r="O762" s="3" t="str">
        <x:f>IF(J762=0,"No discount",IF(J762&lt;=0.1,"1-10%",IF(J762&lt;=0.15,"11-15%",IF(J762&lt;=0.2,"16-20%","21%+"))))</x:f>
        <x:v>1-10%</x:v>
      </x:c>
      <x:c r="P762" s="9" t="n">
        <x:f>IF(K762=0,0,L762/K762)</x:f>
        <x:v>0.30636031386513113</x:v>
      </x:c>
      <x:c r="Q762" s="3" t="str">
        <x:f>IF(L762&lt;0,"Yes","No")</x:f>
        <x:v>No</x:v>
      </x:c>
    </x:row>
    <x:row r="763" ht="21" customHeight="1">
      <x:c r="A763" s="3" t="str">
        <x:v>ORD-100764</x:v>
      </x:c>
      <x:c r="B763" s="5" t="n">
        <x:v>45512</x:v>
      </x:c>
      <x:c r="C763" s="3" t="str">
        <x:v>CUST-00381</x:v>
      </x:c>
      <x:c r="D763" s="3" t="str">
        <x:v>North</x:v>
      </x:c>
      <x:c r="E763" s="3" t="str">
        <x:v>Home &amp; Kitchen</x:v>
      </x:c>
      <x:c r="F763" s="3" t="str">
        <x:v>Appliances</x:v>
      </x:c>
      <x:c r="G763" s="3" t="str">
        <x:v>ColdBrew Coffee Maker</x:v>
      </x:c>
      <x:c r="H763" s="3" t="n">
        <x:v>1</x:v>
      </x:c>
      <x:c r="I763" s="7" t="n">
        <x:v>6699.85</x:v>
      </x:c>
      <x:c r="J763" s="9" t="n">
        <x:v>0</x:v>
      </x:c>
      <x:c r="K763" s="7" t="n">
        <x:v>6699.85</x:v>
      </x:c>
      <x:c r="L763" s="7" t="n">
        <x:v>2173.1</x:v>
      </x:c>
      <x:c r="M763" s="3" t="str">
        <x:v>UPI</x:v>
      </x:c>
      <x:c r="N763" s="3" t="str">
        <x:f>TEXT(B763,"yyyy-mm")</x:f>
        <x:v>2024-08</x:v>
      </x:c>
      <x:c r="O763" s="3" t="str">
        <x:f>IF(J763=0,"No discount",IF(J763&lt;=0.1,"1-10%",IF(J763&lt;=0.15,"11-15%",IF(J763&lt;=0.2,"16-20%","21%+"))))</x:f>
        <x:v>No discount</x:v>
      </x:c>
      <x:c r="P763" s="9" t="n">
        <x:f>IF(K763=0,0,L763/K763)</x:f>
        <x:v>0.3243505451614588</x:v>
      </x:c>
      <x:c r="Q763" s="3" t="str">
        <x:f>IF(L763&lt;0,"Yes","No")</x:f>
        <x:v>No</x:v>
      </x:c>
    </x:row>
    <x:row r="764" ht="21" customHeight="1">
      <x:c r="A764" s="3" t="str">
        <x:v>ORD-100995</x:v>
      </x:c>
      <x:c r="B764" s="5" t="n">
        <x:v>45512</x:v>
      </x:c>
      <x:c r="C764" s="3" t="str">
        <x:v>CUST-00318</x:v>
      </x:c>
      <x:c r="D764" s="3" t="str">
        <x:v>South</x:v>
      </x:c>
      <x:c r="E764" s="3" t="str">
        <x:v>Electronics</x:v>
      </x:c>
      <x:c r="F764" s="3" t="str">
        <x:v>Audio</x:v>
      </x:c>
      <x:c r="G764" s="3" t="str">
        <x:v>BassBoom Speaker</x:v>
      </x:c>
      <x:c r="H764" s="3" t="n">
        <x:v>2</x:v>
      </x:c>
      <x:c r="I764" s="7" t="n">
        <x:v>9203.96</x:v>
      </x:c>
      <x:c r="J764" s="9" t="n">
        <x:v>0.25</x:v>
      </x:c>
      <x:c r="K764" s="7" t="n">
        <x:v>13805.94</x:v>
      </x:c>
      <x:c r="L764" s="7" t="n">
        <x:v>-1248.21</x:v>
      </x:c>
      <x:c r="M764" s="3" t="str">
        <x:v>Debit Card</x:v>
      </x:c>
      <x:c r="N764" s="3" t="str">
        <x:f>TEXT(B764,"yyyy-mm")</x:f>
        <x:v>2024-08</x:v>
      </x:c>
      <x:c r="O764" s="3" t="str">
        <x:f>IF(J764=0,"No discount",IF(J764&lt;=0.1,"1-10%",IF(J764&lt;=0.15,"11-15%",IF(J764&lt;=0.2,"16-20%","21%+"))))</x:f>
        <x:v>21%+</x:v>
      </x:c>
      <x:c r="P764" s="9" t="n">
        <x:f>IF(K764=0,0,L764/K764)</x:f>
        <x:v>-0.09041108392474544</x:v>
      </x:c>
      <x:c r="Q764" s="3" t="str">
        <x:f>IF(L764&lt;0,"Yes","No")</x:f>
        <x:v>Yes</x:v>
      </x:c>
    </x:row>
    <x:row r="765" ht="21" customHeight="1">
      <x:c r="A765" s="3" t="str">
        <x:v>ORD-101214</x:v>
      </x:c>
      <x:c r="B765" s="5" t="n">
        <x:v>45512</x:v>
      </x:c>
      <x:c r="C765" s="3" t="str">
        <x:v>CUST-00518</x:v>
      </x:c>
      <x:c r="D765" s="3" t="str">
        <x:v>North</x:v>
      </x:c>
      <x:c r="E765" s="3" t="str">
        <x:v>Beauty</x:v>
      </x:c>
      <x:c r="F765" s="3" t="str">
        <x:v>Makeup</x:v>
      </x:c>
      <x:c r="G765" s="3" t="str">
        <x:v>HD Foundation Kit</x:v>
      </x:c>
      <x:c r="H765" s="3" t="n">
        <x:v>3</x:v>
      </x:c>
      <x:c r="I765" s="7" t="n">
        <x:v>1537.45</x:v>
      </x:c>
      <x:c r="J765" s="9" t="n">
        <x:v>0.1</x:v>
      </x:c>
      <x:c r="K765" s="7" t="n">
        <x:v>4151.12</x:v>
      </x:c>
      <x:c r="L765" s="7" t="n">
        <x:v>1774.95</x:v>
      </x:c>
      <x:c r="M765" s="3" t="str">
        <x:v>Debit Card</x:v>
      </x:c>
      <x:c r="N765" s="3" t="str">
        <x:f>TEXT(B765,"yyyy-mm")</x:f>
        <x:v>2024-08</x:v>
      </x:c>
      <x:c r="O765" s="3" t="str">
        <x:f>IF(J765=0,"No discount",IF(J765&lt;=0.1,"1-10%",IF(J765&lt;=0.15,"11-15%",IF(J765&lt;=0.2,"16-20%","21%+"))))</x:f>
        <x:v>1-10%</x:v>
      </x:c>
      <x:c r="P765" s="9" t="n">
        <x:f>IF(K765=0,0,L765/K765)</x:f>
        <x:v>0.4275833991790168</x:v>
      </x:c>
      <x:c r="Q765" s="3" t="str">
        <x:f>IF(L765&lt;0,"Yes","No")</x:f>
        <x:v>No</x:v>
      </x:c>
    </x:row>
    <x:row r="766" ht="21" customHeight="1">
      <x:c r="A766" s="3" t="str">
        <x:v>ORD-101564</x:v>
      </x:c>
      <x:c r="B766" s="5" t="n">
        <x:v>45512</x:v>
      </x:c>
      <x:c r="C766" s="3" t="str">
        <x:v>CUST-00381</x:v>
      </x:c>
      <x:c r="D766" s="3" t="str">
        <x:v>West</x:v>
      </x:c>
      <x:c r="E766" s="3" t="str">
        <x:v>Electronics</x:v>
      </x:c>
      <x:c r="F766" s="3" t="str">
        <x:v>Laptop</x:v>
      </x:c>
      <x:c r="G766" s="3" t="str">
        <x:v>AirBook Slim</x:v>
      </x:c>
      <x:c r="H766" s="3" t="n">
        <x:v>1</x:v>
      </x:c>
      <x:c r="I766" s="7" t="n">
        <x:v>80501.1</x:v>
      </x:c>
      <x:c r="J766" s="9" t="n">
        <x:v>0</x:v>
      </x:c>
      <x:c r="K766" s="7" t="n">
        <x:v>80501.1</x:v>
      </x:c>
      <x:c r="L766" s="7" t="n">
        <x:v>15710.38</x:v>
      </x:c>
      <x:c r="M766" s="3" t="str">
        <x:v>UPI</x:v>
      </x:c>
      <x:c r="N766" s="3" t="str">
        <x:f>TEXT(B766,"yyyy-mm")</x:f>
        <x:v>2024-08</x:v>
      </x:c>
      <x:c r="O766" s="3" t="str">
        <x:f>IF(J766=0,"No discount",IF(J766&lt;=0.1,"1-10%",IF(J766&lt;=0.15,"11-15%",IF(J766&lt;=0.2,"16-20%","21%+"))))</x:f>
        <x:v>No discount</x:v>
      </x:c>
      <x:c r="P766" s="9" t="n">
        <x:f>IF(K766=0,0,L766/K766)</x:f>
        <x:v>0.19515733325383128</x:v>
      </x:c>
      <x:c r="Q766" s="3" t="str">
        <x:f>IF(L766&lt;0,"Yes","No")</x:f>
        <x:v>No</x:v>
      </x:c>
    </x:row>
    <x:row r="767" ht="21" customHeight="1">
      <x:c r="A767" s="3" t="str">
        <x:v>ORD-101843</x:v>
      </x:c>
      <x:c r="B767" s="5" t="n">
        <x:v>45512</x:v>
      </x:c>
      <x:c r="C767" s="3" t="str">
        <x:v>CUST-00587</x:v>
      </x:c>
      <x:c r="D767" s="3" t="str">
        <x:v>East</x:v>
      </x:c>
      <x:c r="E767" s="3" t="str">
        <x:v>Fashion</x:v>
      </x:c>
      <x:c r="F767" s="3" t="str">
        <x:v>Men</x:v>
      </x:c>
      <x:c r="G767" s="3" t="str">
        <x:v>SlimFit Denim Jeans</x:v>
      </x:c>
      <x:c r="H767" s="3" t="n">
        <x:v>1</x:v>
      </x:c>
      <x:c r="I767" s="7" t="n">
        <x:v>2016.01</x:v>
      </x:c>
      <x:c r="J767" s="9" t="n">
        <x:v>0.15</x:v>
      </x:c>
      <x:c r="K767" s="7" t="n">
        <x:v>1713.61</x:v>
      </x:c>
      <x:c r="L767" s="7" t="n">
        <x:v>466.14</x:v>
      </x:c>
      <x:c r="M767" s="3" t="str">
        <x:v>UPI</x:v>
      </x:c>
      <x:c r="N767" s="3" t="str">
        <x:f>TEXT(B767,"yyyy-mm")</x:f>
        <x:v>2024-08</x:v>
      </x:c>
      <x:c r="O767" s="3" t="str">
        <x:f>IF(J767=0,"No discount",IF(J767&lt;=0.1,"1-10%",IF(J767&lt;=0.15,"11-15%",IF(J767&lt;=0.2,"16-20%","21%+"))))</x:f>
        <x:v>11-15%</x:v>
      </x:c>
      <x:c r="P767" s="9" t="n">
        <x:f>IF(K767=0,0,L767/K767)</x:f>
        <x:v>0.2720222220925415</x:v>
      </x:c>
      <x:c r="Q767" s="3" t="str">
        <x:f>IF(L767&lt;0,"Yes","No")</x:f>
        <x:v>No</x:v>
      </x:c>
    </x:row>
    <x:row r="768" ht="21" customHeight="1">
      <x:c r="A768" s="3" t="str">
        <x:v>ORD-101971</x:v>
      </x:c>
      <x:c r="B768" s="5" t="n">
        <x:v>45512</x:v>
      </x:c>
      <x:c r="C768" s="3" t="str">
        <x:v>CUST-00235</x:v>
      </x:c>
      <x:c r="D768" s="3" t="str">
        <x:v>West</x:v>
      </x:c>
      <x:c r="E768" s="3" t="str">
        <x:v>Beauty</x:v>
      </x:c>
      <x:c r="F768" s="3" t="str">
        <x:v>Skincare</x:v>
      </x:c>
      <x:c r="G768" s="3" t="str">
        <x:v>Vitamin C Serum</x:v>
      </x:c>
      <x:c r="H768" s="3" t="n">
        <x:v>4</x:v>
      </x:c>
      <x:c r="I768" s="7" t="n">
        <x:v>891.7</x:v>
      </x:c>
      <x:c r="J768" s="9" t="n">
        <x:v>0.15</x:v>
      </x:c>
      <x:c r="K768" s="7" t="n">
        <x:v>3031.78</x:v>
      </x:c>
      <x:c r="L768" s="7" t="n">
        <x:v>1078.42</x:v>
      </x:c>
      <x:c r="M768" s="3" t="str">
        <x:v>Cash on Delivery</x:v>
      </x:c>
      <x:c r="N768" s="3" t="str">
        <x:f>TEXT(B768,"yyyy-mm")</x:f>
        <x:v>2024-08</x:v>
      </x:c>
      <x:c r="O768" s="3" t="str">
        <x:f>IF(J768=0,"No discount",IF(J768&lt;=0.1,"1-10%",IF(J768&lt;=0.15,"11-15%",IF(J768&lt;=0.2,"16-20%","21%+"))))</x:f>
        <x:v>11-15%</x:v>
      </x:c>
      <x:c r="P768" s="9" t="n">
        <x:f>IF(K768=0,0,L768/K768)</x:f>
        <x:v>0.3557052292712532</x:v>
      </x:c>
      <x:c r="Q768" s="3" t="str">
        <x:f>IF(L768&lt;0,"Yes","No")</x:f>
        <x:v>No</x:v>
      </x:c>
    </x:row>
    <x:row r="769" ht="21" customHeight="1">
      <x:c r="A769" s="3" t="str">
        <x:v>ORD-100322</x:v>
      </x:c>
      <x:c r="B769" s="5" t="n">
        <x:v>45513</x:v>
      </x:c>
      <x:c r="C769" s="3" t="str">
        <x:v>CUST-00483</x:v>
      </x:c>
      <x:c r="D769" s="3" t="str">
        <x:v>North</x:v>
      </x:c>
      <x:c r="E769" s="3" t="str">
        <x:v>Beauty</x:v>
      </x:c>
      <x:c r="F769" s="3" t="str">
        <x:v>Skincare</x:v>
      </x:c>
      <x:c r="G769" s="3" t="str">
        <x:v>Vitamin C Serum</x:v>
      </x:c>
      <x:c r="H769" s="3" t="n">
        <x:v>2</x:v>
      </x:c>
      <x:c r="I769" s="7" t="n">
        <x:v>905.5</x:v>
      </x:c>
      <x:c r="J769" s="9" t="n">
        <x:v>0</x:v>
      </x:c>
      <x:c r="K769" s="7" t="n">
        <x:v>1811</x:v>
      </x:c>
      <x:c r="L769" s="7" t="n">
        <x:v>931.71</x:v>
      </x:c>
      <x:c r="M769" s="3" t="str">
        <x:v>UPI</x:v>
      </x:c>
      <x:c r="N769" s="3" t="str">
        <x:f>TEXT(B769,"yyyy-mm")</x:f>
        <x:v>2024-08</x:v>
      </x:c>
      <x:c r="O769" s="3" t="str">
        <x:f>IF(J769=0,"No discount",IF(J769&lt;=0.1,"1-10%",IF(J769&lt;=0.15,"11-15%",IF(J769&lt;=0.2,"16-20%","21%+"))))</x:f>
        <x:v>No discount</x:v>
      </x:c>
      <x:c r="P769" s="9" t="n">
        <x:f>IF(K769=0,0,L769/K769)</x:f>
        <x:v>0.5144726670347874</x:v>
      </x:c>
      <x:c r="Q769" s="3" t="str">
        <x:f>IF(L769&lt;0,"Yes","No")</x:f>
        <x:v>No</x:v>
      </x:c>
    </x:row>
    <x:row r="770" ht="21" customHeight="1">
      <x:c r="A770" s="3" t="str">
        <x:v>ORD-101402</x:v>
      </x:c>
      <x:c r="B770" s="5" t="n">
        <x:v>45513</x:v>
      </x:c>
      <x:c r="C770" s="3" t="str">
        <x:v>CUST-00385</x:v>
      </x:c>
      <x:c r="D770" s="3" t="str">
        <x:v>East</x:v>
      </x:c>
      <x:c r="E770" s="3" t="str">
        <x:v>Sports</x:v>
      </x:c>
      <x:c r="F770" s="3" t="str">
        <x:v>Fitness</x:v>
      </x:c>
      <x:c r="G770" s="3" t="str">
        <x:v>ProYoga Mat</x:v>
      </x:c>
      <x:c r="H770" s="3" t="n">
        <x:v>2</x:v>
      </x:c>
      <x:c r="I770" s="7" t="n">
        <x:v>1353.19</x:v>
      </x:c>
      <x:c r="J770" s="9" t="n">
        <x:v>0.15</x:v>
      </x:c>
      <x:c r="K770" s="7" t="n">
        <x:v>2300.42</x:v>
      </x:c>
      <x:c r="L770" s="7" t="n">
        <x:v>473.43</x:v>
      </x:c>
      <x:c r="M770" s="3" t="str">
        <x:v>Credit Card</x:v>
      </x:c>
      <x:c r="N770" s="3" t="str">
        <x:f>TEXT(B770,"yyyy-mm")</x:f>
        <x:v>2024-08</x:v>
      </x:c>
      <x:c r="O770" s="3" t="str">
        <x:f>IF(J770=0,"No discount",IF(J770&lt;=0.1,"1-10%",IF(J770&lt;=0.15,"11-15%",IF(J770&lt;=0.2,"16-20%","21%+"))))</x:f>
        <x:v>11-15%</x:v>
      </x:c>
      <x:c r="P770" s="9" t="n">
        <x:f>IF(K770=0,0,L770/K770)</x:f>
        <x:v>0.20580154928230496</x:v>
      </x:c>
      <x:c r="Q770" s="3" t="str">
        <x:f>IF(L770&lt;0,"Yes","No")</x:f>
        <x:v>No</x:v>
      </x:c>
    </x:row>
    <x:row r="771" ht="21" customHeight="1">
      <x:c r="A771" s="3" t="str">
        <x:v>ORD-101956</x:v>
      </x:c>
      <x:c r="B771" s="5" t="n">
        <x:v>45513</x:v>
      </x:c>
      <x:c r="C771" s="3" t="str">
        <x:v>CUST-00402</x:v>
      </x:c>
      <x:c r="D771" s="3" t="str">
        <x:v>East</x:v>
      </x:c>
      <x:c r="E771" s="3" t="str">
        <x:v>Fashion</x:v>
      </x:c>
      <x:c r="F771" s="3" t="str">
        <x:v>Footwear</x:v>
      </x:c>
      <x:c r="G771" s="3" t="str">
        <x:v>UrbanLoafers</x:v>
      </x:c>
      <x:c r="H771" s="3" t="n">
        <x:v>1</x:v>
      </x:c>
      <x:c r="I771" s="7" t="n">
        <x:v>3520.54</x:v>
      </x:c>
      <x:c r="J771" s="9" t="n">
        <x:v>0.15</x:v>
      </x:c>
      <x:c r="K771" s="7" t="n">
        <x:v>2992.46</x:v>
      </x:c>
      <x:c r="L771" s="7" t="n">
        <x:v>825.89</x:v>
      </x:c>
      <x:c r="M771" s="3" t="str">
        <x:v>Net Banking</x:v>
      </x:c>
      <x:c r="N771" s="3" t="str">
        <x:f>TEXT(B771,"yyyy-mm")</x:f>
        <x:v>2024-08</x:v>
      </x:c>
      <x:c r="O771" s="3" t="str">
        <x:f>IF(J771=0,"No discount",IF(J771&lt;=0.1,"1-10%",IF(J771&lt;=0.15,"11-15%",IF(J771&lt;=0.2,"16-20%","21%+"))))</x:f>
        <x:v>11-15%</x:v>
      </x:c>
      <x:c r="P771" s="9" t="n">
        <x:f>IF(K771=0,0,L771/K771)</x:f>
        <x:v>0.27599032234348997</x:v>
      </x:c>
      <x:c r="Q771" s="3" t="str">
        <x:f>IF(L771&lt;0,"Yes","No")</x:f>
        <x:v>No</x:v>
      </x:c>
    </x:row>
    <x:row r="772" ht="21" customHeight="1">
      <x:c r="A772" s="3" t="str">
        <x:v>ORD-101988</x:v>
      </x:c>
      <x:c r="B772" s="5" t="n">
        <x:v>45513</x:v>
      </x:c>
      <x:c r="C772" s="3" t="str">
        <x:v>CUST-00542</x:v>
      </x:c>
      <x:c r="D772" s="3" t="str">
        <x:v>East</x:v>
      </x:c>
      <x:c r="E772" s="3" t="str">
        <x:v>Fashion</x:v>
      </x:c>
      <x:c r="F772" s="3" t="str">
        <x:v>Women</x:v>
      </x:c>
      <x:c r="G772" s="3" t="str">
        <x:v>Knit Winter Sweater</x:v>
      </x:c>
      <x:c r="H772" s="3" t="n">
        <x:v>3</x:v>
      </x:c>
      <x:c r="I772" s="7" t="n">
        <x:v>2232.91</x:v>
      </x:c>
      <x:c r="J772" s="9" t="n">
        <x:v>0</x:v>
      </x:c>
      <x:c r="K772" s="7" t="n">
        <x:v>6698.73</x:v>
      </x:c>
      <x:c r="L772" s="7" t="n">
        <x:v>2831.22</x:v>
      </x:c>
      <x:c r="M772" s="3" t="str">
        <x:v>UPI</x:v>
      </x:c>
      <x:c r="N772" s="3" t="str">
        <x:f>TEXT(B772,"yyyy-mm")</x:f>
        <x:v>2024-08</x:v>
      </x:c>
      <x:c r="O772" s="3" t="str">
        <x:f>IF(J772=0,"No discount",IF(J772&lt;=0.1,"1-10%",IF(J772&lt;=0.15,"11-15%",IF(J772&lt;=0.2,"16-20%","21%+"))))</x:f>
        <x:v>No discount</x:v>
      </x:c>
      <x:c r="P772" s="9" t="n">
        <x:f>IF(K772=0,0,L772/K772)</x:f>
        <x:v>0.4226502635574206</x:v>
      </x:c>
      <x:c r="Q772" s="3" t="str">
        <x:f>IF(L772&lt;0,"Yes","No")</x:f>
        <x:v>No</x:v>
      </x:c>
    </x:row>
    <x:row r="773" ht="21" customHeight="1">
      <x:c r="A773" s="3" t="str">
        <x:v>ORD-100212</x:v>
      </x:c>
      <x:c r="B773" s="5" t="n">
        <x:v>45514</x:v>
      </x:c>
      <x:c r="C773" s="3" t="str">
        <x:v>CUST-00103</x:v>
      </x:c>
      <x:c r="D773" s="3" t="str">
        <x:v>South</x:v>
      </x:c>
      <x:c r="E773" s="3" t="str">
        <x:v>Electronics</x:v>
      </x:c>
      <x:c r="F773" s="3" t="str">
        <x:v>Audio</x:v>
      </x:c>
      <x:c r="G773" s="3" t="str">
        <x:v>SoundPods Pro</x:v>
      </x:c>
      <x:c r="H773" s="3" t="n">
        <x:v>1</x:v>
      </x:c>
      <x:c r="I773" s="7" t="n">
        <x:v>5063.03</x:v>
      </x:c>
      <x:c r="J773" s="9" t="n">
        <x:v>0.15</x:v>
      </x:c>
      <x:c r="K773" s="7" t="n">
        <x:v>4303.58</x:v>
      </x:c>
      <x:c r="L773" s="7" t="n">
        <x:v>-87.75</x:v>
      </x:c>
      <x:c r="M773" s="3" t="str">
        <x:v>Credit Card</x:v>
      </x:c>
      <x:c r="N773" s="3" t="str">
        <x:f>TEXT(B773,"yyyy-mm")</x:f>
        <x:v>2024-08</x:v>
      </x:c>
      <x:c r="O773" s="3" t="str">
        <x:f>IF(J773=0,"No discount",IF(J773&lt;=0.1,"1-10%",IF(J773&lt;=0.15,"11-15%",IF(J773&lt;=0.2,"16-20%","21%+"))))</x:f>
        <x:v>11-15%</x:v>
      </x:c>
      <x:c r="P773" s="9" t="n">
        <x:f>IF(K773=0,0,L773/K773)</x:f>
        <x:v>-0.020390000882985794</x:v>
      </x:c>
      <x:c r="Q773" s="3" t="str">
        <x:f>IF(L773&lt;0,"Yes","No")</x:f>
        <x:v>Yes</x:v>
      </x:c>
    </x:row>
    <x:row r="774" ht="21" customHeight="1">
      <x:c r="A774" s="3" t="str">
        <x:v>ORD-100636</x:v>
      </x:c>
      <x:c r="B774" s="5" t="n">
        <x:v>45515</x:v>
      </x:c>
      <x:c r="C774" s="3" t="str">
        <x:v>CUST-00512</x:v>
      </x:c>
      <x:c r="D774" s="3" t="str">
        <x:v>East</x:v>
      </x:c>
      <x:c r="E774" s="3" t="str">
        <x:v>Home &amp; Kitchen</x:v>
      </x:c>
      <x:c r="F774" s="3" t="str">
        <x:v>Furniture</x:v>
      </x:c>
      <x:c r="G774" s="3" t="str">
        <x:v>ErgoComfort Chair</x:v>
      </x:c>
      <x:c r="H774" s="3" t="n">
        <x:v>1</x:v>
      </x:c>
      <x:c r="I774" s="7" t="n">
        <x:v>9141.15</x:v>
      </x:c>
      <x:c r="J774" s="9" t="n">
        <x:v>0</x:v>
      </x:c>
      <x:c r="K774" s="7" t="n">
        <x:v>9141.15</x:v>
      </x:c>
      <x:c r="L774" s="7" t="n">
        <x:v>2854.57</x:v>
      </x:c>
      <x:c r="M774" s="3" t="str">
        <x:v>UPI</x:v>
      </x:c>
      <x:c r="N774" s="3" t="str">
        <x:f>TEXT(B774,"yyyy-mm")</x:f>
        <x:v>2024-08</x:v>
      </x:c>
      <x:c r="O774" s="3" t="str">
        <x:f>IF(J774=0,"No discount",IF(J774&lt;=0.1,"1-10%",IF(J774&lt;=0.15,"11-15%",IF(J774&lt;=0.2,"16-20%","21%+"))))</x:f>
        <x:v>No discount</x:v>
      </x:c>
      <x:c r="P774" s="9" t="n">
        <x:f>IF(K774=0,0,L774/K774)</x:f>
        <x:v>0.31227690170273986</x:v>
      </x:c>
      <x:c r="Q774" s="3" t="str">
        <x:f>IF(L774&lt;0,"Yes","No")</x:f>
        <x:v>No</x:v>
      </x:c>
    </x:row>
    <x:row r="775" ht="21" customHeight="1">
      <x:c r="A775" s="3" t="str">
        <x:v>ORD-100829</x:v>
      </x:c>
      <x:c r="B775" s="5" t="n">
        <x:v>45515</x:v>
      </x:c>
      <x:c r="C775" s="3" t="str">
        <x:v>CUST-00594</x:v>
      </x:c>
      <x:c r="D775" s="3" t="str">
        <x:v>South</x:v>
      </x:c>
      <x:c r="E775" s="3" t="str">
        <x:v>Home &amp; Kitchen</x:v>
      </x:c>
      <x:c r="F775" s="3" t="str">
        <x:v>Decor</x:v>
      </x:c>
      <x:c r="G775" s="3" t="str">
        <x:v>Ceramic Vase Set</x:v>
      </x:c>
      <x:c r="H775" s="3" t="n">
        <x:v>1</x:v>
      </x:c>
      <x:c r="I775" s="7" t="n">
        <x:v>1425.38</x:v>
      </x:c>
      <x:c r="J775" s="9" t="n">
        <x:v>0</x:v>
      </x:c>
      <x:c r="K775" s="7" t="n">
        <x:v>1425.38</x:v>
      </x:c>
      <x:c r="L775" s="7" t="n">
        <x:v>417.58</x:v>
      </x:c>
      <x:c r="M775" s="3" t="str">
        <x:v>Credit Card</x:v>
      </x:c>
      <x:c r="N775" s="3" t="str">
        <x:f>TEXT(B775,"yyyy-mm")</x:f>
        <x:v>2024-08</x:v>
      </x:c>
      <x:c r="O775" s="3" t="str">
        <x:f>IF(J775=0,"No discount",IF(J775&lt;=0.1,"1-10%",IF(J775&lt;=0.15,"11-15%",IF(J775&lt;=0.2,"16-20%","21%+"))))</x:f>
        <x:v>No discount</x:v>
      </x:c>
      <x:c r="P775" s="9" t="n">
        <x:f>IF(K775=0,0,L775/K775)</x:f>
        <x:v>0.29296047369824185</x:v>
      </x:c>
      <x:c r="Q775" s="3" t="str">
        <x:f>IF(L775&lt;0,"Yes","No")</x:f>
        <x:v>No</x:v>
      </x:c>
    </x:row>
    <x:row r="776" ht="21" customHeight="1">
      <x:c r="A776" s="3" t="str">
        <x:v>ORD-101181</x:v>
      </x:c>
      <x:c r="B776" s="5" t="n">
        <x:v>45515</x:v>
      </x:c>
      <x:c r="C776" s="3" t="str">
        <x:v>CUST-00038</x:v>
      </x:c>
      <x:c r="D776" s="3" t="str">
        <x:v>East</x:v>
      </x:c>
      <x:c r="E776" s="3" t="str">
        <x:v>Fashion</x:v>
      </x:c>
      <x:c r="F776" s="3" t="str">
        <x:v>Women</x:v>
      </x:c>
      <x:c r="G776" s="3" t="str">
        <x:v>Floral Summer Dress</x:v>
      </x:c>
      <x:c r="H776" s="3" t="n">
        <x:v>1</x:v>
      </x:c>
      <x:c r="I776" s="7" t="n">
        <x:v>1888.22</x:v>
      </x:c>
      <x:c r="J776" s="9" t="n">
        <x:v>0.05</x:v>
      </x:c>
      <x:c r="K776" s="7" t="n">
        <x:v>1793.81</x:v>
      </x:c>
      <x:c r="L776" s="7" t="n">
        <x:v>588.92</x:v>
      </x:c>
      <x:c r="M776" s="3" t="str">
        <x:v>Cash on Delivery</x:v>
      </x:c>
      <x:c r="N776" s="3" t="str">
        <x:f>TEXT(B776,"yyyy-mm")</x:f>
        <x:v>2024-08</x:v>
      </x:c>
      <x:c r="O776" s="3" t="str">
        <x:f>IF(J776=0,"No discount",IF(J776&lt;=0.1,"1-10%",IF(J776&lt;=0.15,"11-15%",IF(J776&lt;=0.2,"16-20%","21%+"))))</x:f>
        <x:v>1-10%</x:v>
      </x:c>
      <x:c r="P776" s="9" t="n">
        <x:f>IF(K776=0,0,L776/K776)</x:f>
        <x:v>0.328306788344362</x:v>
      </x:c>
      <x:c r="Q776" s="3" t="str">
        <x:f>IF(L776&lt;0,"Yes","No")</x:f>
        <x:v>No</x:v>
      </x:c>
    </x:row>
    <x:row r="777" ht="21" customHeight="1">
      <x:c r="A777" s="3" t="str">
        <x:v>ORD-101218</x:v>
      </x:c>
      <x:c r="B777" s="5" t="n">
        <x:v>45515</x:v>
      </x:c>
      <x:c r="C777" s="3" t="str">
        <x:v>CUST-00349</x:v>
      </x:c>
      <x:c r="D777" s="3" t="str">
        <x:v>North</x:v>
      </x:c>
      <x:c r="E777" s="3" t="str">
        <x:v>Beauty</x:v>
      </x:c>
      <x:c r="F777" s="3" t="str">
        <x:v>Skincare</x:v>
      </x:c>
      <x:c r="G777" s="3" t="str">
        <x:v>Vitamin C Serum</x:v>
      </x:c>
      <x:c r="H777" s="3" t="n">
        <x:v>1</x:v>
      </x:c>
      <x:c r="I777" s="7" t="n">
        <x:v>860.58</x:v>
      </x:c>
      <x:c r="J777" s="9" t="n">
        <x:v>0.1</x:v>
      </x:c>
      <x:c r="K777" s="7" t="n">
        <x:v>774.52</x:v>
      </x:c>
      <x:c r="L777" s="7" t="n">
        <x:v>364.2</x:v>
      </x:c>
      <x:c r="M777" s="3" t="str">
        <x:v>Cash on Delivery</x:v>
      </x:c>
      <x:c r="N777" s="3" t="str">
        <x:f>TEXT(B777,"yyyy-mm")</x:f>
        <x:v>2024-08</x:v>
      </x:c>
      <x:c r="O777" s="3" t="str">
        <x:f>IF(J777=0,"No discount",IF(J777&lt;=0.1,"1-10%",IF(J777&lt;=0.15,"11-15%",IF(J777&lt;=0.2,"16-20%","21%+"))))</x:f>
        <x:v>1-10%</x:v>
      </x:c>
      <x:c r="P777" s="9" t="n">
        <x:f>IF(K777=0,0,L777/K777)</x:f>
        <x:v>0.47022672106595054</x:v>
      </x:c>
      <x:c r="Q777" s="3" t="str">
        <x:f>IF(L777&lt;0,"Yes","No")</x:f>
        <x:v>No</x:v>
      </x:c>
    </x:row>
    <x:row r="778" ht="21" customHeight="1">
      <x:c r="A778" s="3" t="str">
        <x:v>ORD-101390</x:v>
      </x:c>
      <x:c r="B778" s="5" t="n">
        <x:v>45515</x:v>
      </x:c>
      <x:c r="C778" s="3" t="str">
        <x:v>CUST-00584</x:v>
      </x:c>
      <x:c r="D778" s="3" t="str">
        <x:v>North</x:v>
      </x:c>
      <x:c r="E778" s="3" t="str">
        <x:v>Sports</x:v>
      </x:c>
      <x:c r="F778" s="3" t="str">
        <x:v>Outdoor</x:v>
      </x:c>
      <x:c r="G778" s="3" t="str">
        <x:v>AllWeather Tent 4P</x:v>
      </x:c>
      <x:c r="H778" s="3" t="n">
        <x:v>1</x:v>
      </x:c>
      <x:c r="I778" s="7" t="n">
        <x:v>11688.99</x:v>
      </x:c>
      <x:c r="J778" s="9" t="n">
        <x:v>0.1</x:v>
      </x:c>
      <x:c r="K778" s="7" t="n">
        <x:v>10520.09</x:v>
      </x:c>
      <x:c r="L778" s="7" t="n">
        <x:v>2770.13</x:v>
      </x:c>
      <x:c r="M778" s="3" t="str">
        <x:v>Credit Card</x:v>
      </x:c>
      <x:c r="N778" s="3" t="str">
        <x:f>TEXT(B778,"yyyy-mm")</x:f>
        <x:v>2024-08</x:v>
      </x:c>
      <x:c r="O778" s="3" t="str">
        <x:f>IF(J778=0,"No discount",IF(J778&lt;=0.1,"1-10%",IF(J778&lt;=0.15,"11-15%",IF(J778&lt;=0.2,"16-20%","21%+"))))</x:f>
        <x:v>1-10%</x:v>
      </x:c>
      <x:c r="P778" s="9" t="n">
        <x:f>IF(K778=0,0,L778/K778)</x:f>
        <x:v>0.26331808948402535</x:v>
      </x:c>
      <x:c r="Q778" s="3" t="str">
        <x:f>IF(L778&lt;0,"Yes","No")</x:f>
        <x:v>No</x:v>
      </x:c>
    </x:row>
    <x:row r="779" ht="21" customHeight="1">
      <x:c r="A779" s="3" t="str">
        <x:v>ORD-100853</x:v>
      </x:c>
      <x:c r="B779" s="5" t="n">
        <x:v>45516</x:v>
      </x:c>
      <x:c r="C779" s="3" t="str">
        <x:v>CUST-00295</x:v>
      </x:c>
      <x:c r="D779" s="3" t="str">
        <x:v>South</x:v>
      </x:c>
      <x:c r="E779" s="3" t="str">
        <x:v>Home &amp; Kitchen</x:v>
      </x:c>
      <x:c r="F779" s="3" t="str">
        <x:v>Furniture</x:v>
      </x:c>
      <x:c r="G779" s="3" t="str">
        <x:v>ErgoComfort Chair</x:v>
      </x:c>
      <x:c r="H779" s="3" t="n">
        <x:v>2</x:v>
      </x:c>
      <x:c r="I779" s="7" t="n">
        <x:v>9116.01</x:v>
      </x:c>
      <x:c r="J779" s="9" t="n">
        <x:v>0.05</x:v>
      </x:c>
      <x:c r="K779" s="7" t="n">
        <x:v>17320.42</x:v>
      </x:c>
      <x:c r="L779" s="7" t="n">
        <x:v>4855.39</x:v>
      </x:c>
      <x:c r="M779" s="3" t="str">
        <x:v>UPI</x:v>
      </x:c>
      <x:c r="N779" s="3" t="str">
        <x:f>TEXT(B779,"yyyy-mm")</x:f>
        <x:v>2024-08</x:v>
      </x:c>
      <x:c r="O779" s="3" t="str">
        <x:f>IF(J779=0,"No discount",IF(J779&lt;=0.1,"1-10%",IF(J779&lt;=0.15,"11-15%",IF(J779&lt;=0.2,"16-20%","21%+"))))</x:f>
        <x:v>1-10%</x:v>
      </x:c>
      <x:c r="P779" s="9" t="n">
        <x:f>IF(K779=0,0,L779/K779)</x:f>
        <x:v>0.28032749783203875</x:v>
      </x:c>
      <x:c r="Q779" s="3" t="str">
        <x:f>IF(L779&lt;0,"Yes","No")</x:f>
        <x:v>No</x:v>
      </x:c>
    </x:row>
    <x:row r="780" ht="21" customHeight="1">
      <x:c r="A780" s="3" t="str">
        <x:v>ORD-100989</x:v>
      </x:c>
      <x:c r="B780" s="5" t="n">
        <x:v>45516</x:v>
      </x:c>
      <x:c r="C780" s="3" t="str">
        <x:v>CUST-00232</x:v>
      </x:c>
      <x:c r="D780" s="3" t="str">
        <x:v>North</x:v>
      </x:c>
      <x:c r="E780" s="3" t="str">
        <x:v>Home &amp; Kitchen</x:v>
      </x:c>
      <x:c r="F780" s="3" t="str">
        <x:v>Furniture</x:v>
      </x:c>
      <x:c r="G780" s="3" t="str">
        <x:v>ErgoComfort Chair</x:v>
      </x:c>
      <x:c r="H780" s="3" t="n">
        <x:v>3</x:v>
      </x:c>
      <x:c r="I780" s="7" t="n">
        <x:v>8688.55</x:v>
      </x:c>
      <x:c r="J780" s="9" t="n">
        <x:v>0</x:v>
      </x:c>
      <x:c r="K780" s="7" t="n">
        <x:v>26065.65</x:v>
      </x:c>
      <x:c r="L780" s="7" t="n">
        <x:v>9629.02</x:v>
      </x:c>
      <x:c r="M780" s="3" t="str">
        <x:v>UPI</x:v>
      </x:c>
      <x:c r="N780" s="3" t="str">
        <x:f>TEXT(B780,"yyyy-mm")</x:f>
        <x:v>2024-08</x:v>
      </x:c>
      <x:c r="O780" s="3" t="str">
        <x:f>IF(J780=0,"No discount",IF(J780&lt;=0.1,"1-10%",IF(J780&lt;=0.15,"11-15%",IF(J780&lt;=0.2,"16-20%","21%+"))))</x:f>
        <x:v>No discount</x:v>
      </x:c>
      <x:c r="P780" s="9" t="n">
        <x:f>IF(K780=0,0,L780/K780)</x:f>
        <x:v>0.3694141523422589</x:v>
      </x:c>
      <x:c r="Q780" s="3" t="str">
        <x:f>IF(L780&lt;0,"Yes","No")</x:f>
        <x:v>No</x:v>
      </x:c>
    </x:row>
    <x:row r="781" ht="21" customHeight="1">
      <x:c r="A781" s="3" t="str">
        <x:v>ORD-100711</x:v>
      </x:c>
      <x:c r="B781" s="5" t="n">
        <x:v>45517</x:v>
      </x:c>
      <x:c r="C781" s="3" t="str">
        <x:v>CUST-00209</x:v>
      </x:c>
      <x:c r="D781" s="3" t="str">
        <x:v>East</x:v>
      </x:c>
      <x:c r="E781" s="3" t="str">
        <x:v>Electronics</x:v>
      </x:c>
      <x:c r="F781" s="3" t="str">
        <x:v>Laptop</x:v>
      </x:c>
      <x:c r="G781" s="3" t="str">
        <x:v>ThinkPro 14</x:v>
      </x:c>
      <x:c r="H781" s="3" t="n">
        <x:v>2</x:v>
      </x:c>
      <x:c r="I781" s="7" t="n">
        <x:v>53656.95</x:v>
      </x:c>
      <x:c r="J781" s="9" t="n">
        <x:v>0</x:v>
      </x:c>
      <x:c r="K781" s="7" t="n">
        <x:v>107313.9</x:v>
      </x:c>
      <x:c r="L781" s="7" t="n">
        <x:v>15158.2</x:v>
      </x:c>
      <x:c r="M781" s="3" t="str">
        <x:v>Net Banking</x:v>
      </x:c>
      <x:c r="N781" s="3" t="str">
        <x:f>TEXT(B781,"yyyy-mm")</x:f>
        <x:v>2024-08</x:v>
      </x:c>
      <x:c r="O781" s="3" t="str">
        <x:f>IF(J781=0,"No discount",IF(J781&lt;=0.1,"1-10%",IF(J781&lt;=0.15,"11-15%",IF(J781&lt;=0.2,"16-20%","21%+"))))</x:f>
        <x:v>No discount</x:v>
      </x:c>
      <x:c r="P781" s="9" t="n">
        <x:f>IF(K781=0,0,L781/K781)</x:f>
        <x:v>0.1412510401728015</x:v>
      </x:c>
      <x:c r="Q781" s="3" t="str">
        <x:f>IF(L781&lt;0,"Yes","No")</x:f>
        <x:v>No</x:v>
      </x:c>
    </x:row>
    <x:row r="782" ht="21" customHeight="1">
      <x:c r="A782" s="3" t="str">
        <x:v>ORD-101226</x:v>
      </x:c>
      <x:c r="B782" s="5" t="n">
        <x:v>45517</x:v>
      </x:c>
      <x:c r="C782" s="3" t="str">
        <x:v>CUST-00371</x:v>
      </x:c>
      <x:c r="D782" s="3" t="str">
        <x:v>West</x:v>
      </x:c>
      <x:c r="E782" s="3" t="str">
        <x:v>Sports</x:v>
      </x:c>
      <x:c r="F782" s="3" t="str">
        <x:v>Outdoor</x:v>
      </x:c>
      <x:c r="G782" s="3" t="str">
        <x:v>TrailHike Backpack 60L</x:v>
      </x:c>
      <x:c r="H782" s="3" t="n">
        <x:v>2</x:v>
      </x:c>
      <x:c r="I782" s="7" t="n">
        <x:v>3399.6</x:v>
      </x:c>
      <x:c r="J782" s="9" t="n">
        <x:v>0</x:v>
      </x:c>
      <x:c r="K782" s="7" t="n">
        <x:v>6799.2</x:v>
      </x:c>
      <x:c r="L782" s="7" t="n">
        <x:v>2617.23</x:v>
      </x:c>
      <x:c r="M782" s="3" t="str">
        <x:v>UPI</x:v>
      </x:c>
      <x:c r="N782" s="3" t="str">
        <x:f>TEXT(B782,"yyyy-mm")</x:f>
        <x:v>2024-08</x:v>
      </x:c>
      <x:c r="O782" s="3" t="str">
        <x:f>IF(J782=0,"No discount",IF(J782&lt;=0.1,"1-10%",IF(J782&lt;=0.15,"11-15%",IF(J782&lt;=0.2,"16-20%","21%+"))))</x:f>
        <x:v>No discount</x:v>
      </x:c>
      <x:c r="P782" s="9" t="n">
        <x:f>IF(K782=0,0,L782/K782)</x:f>
        <x:v>0.3849320508295094</x:v>
      </x:c>
      <x:c r="Q782" s="3" t="str">
        <x:f>IF(L782&lt;0,"Yes","No")</x:f>
        <x:v>No</x:v>
      </x:c>
    </x:row>
    <x:row r="783" ht="21" customHeight="1">
      <x:c r="A783" s="3" t="str">
        <x:v>ORD-101482</x:v>
      </x:c>
      <x:c r="B783" s="5" t="n">
        <x:v>45517</x:v>
      </x:c>
      <x:c r="C783" s="3" t="str">
        <x:v>CUST-00187</x:v>
      </x:c>
      <x:c r="D783" s="3" t="str">
        <x:v>South</x:v>
      </x:c>
      <x:c r="E783" s="3" t="str">
        <x:v>Beauty</x:v>
      </x:c>
      <x:c r="F783" s="3" t="str">
        <x:v>Makeup</x:v>
      </x:c>
      <x:c r="G783" s="3" t="str">
        <x:v>Matte Lipstick Set</x:v>
      </x:c>
      <x:c r="H783" s="3" t="n">
        <x:v>1</x:v>
      </x:c>
      <x:c r="I783" s="7" t="n">
        <x:v>963.25</x:v>
      </x:c>
      <x:c r="J783" s="9" t="n">
        <x:v>0</x:v>
      </x:c>
      <x:c r="K783" s="7" t="n">
        <x:v>963.25</x:v>
      </x:c>
      <x:c r="L783" s="7" t="n">
        <x:v>529.19</x:v>
      </x:c>
      <x:c r="M783" s="3" t="str">
        <x:v>UPI</x:v>
      </x:c>
      <x:c r="N783" s="3" t="str">
        <x:f>TEXT(B783,"yyyy-mm")</x:f>
        <x:v>2024-08</x:v>
      </x:c>
      <x:c r="O783" s="3" t="str">
        <x:f>IF(J783=0,"No discount",IF(J783&lt;=0.1,"1-10%",IF(J783&lt;=0.15,"11-15%",IF(J783&lt;=0.2,"16-20%","21%+"))))</x:f>
        <x:v>No discount</x:v>
      </x:c>
      <x:c r="P783" s="9" t="n">
        <x:f>IF(K783=0,0,L783/K783)</x:f>
        <x:v>0.5493797041266546</x:v>
      </x:c>
      <x:c r="Q783" s="3" t="str">
        <x:f>IF(L783&lt;0,"Yes","No")</x:f>
        <x:v>No</x:v>
      </x:c>
    </x:row>
    <x:row r="784" ht="21" customHeight="1">
      <x:c r="A784" s="3" t="str">
        <x:v>ORD-101678</x:v>
      </x:c>
      <x:c r="B784" s="5" t="n">
        <x:v>45517</x:v>
      </x:c>
      <x:c r="C784" s="3" t="str">
        <x:v>CUST-00080</x:v>
      </x:c>
      <x:c r="D784" s="3" t="str">
        <x:v>East</x:v>
      </x:c>
      <x:c r="E784" s="3" t="str">
        <x:v>Home &amp; Kitchen</x:v>
      </x:c>
      <x:c r="F784" s="3" t="str">
        <x:v>Decor</x:v>
      </x:c>
      <x:c r="G784" s="3" t="str">
        <x:v>LED Wall Lamp</x:v>
      </x:c>
      <x:c r="H784" s="3" t="n">
        <x:v>1</x:v>
      </x:c>
      <x:c r="I784" s="7" t="n">
        <x:v>976.87</x:v>
      </x:c>
      <x:c r="J784" s="9" t="n">
        <x:v>0.05</x:v>
      </x:c>
      <x:c r="K784" s="7" t="n">
        <x:v>928.03</x:v>
      </x:c>
      <x:c r="L784" s="7" t="n">
        <x:v>239.62</x:v>
      </x:c>
      <x:c r="M784" s="3" t="str">
        <x:v>UPI</x:v>
      </x:c>
      <x:c r="N784" s="3" t="str">
        <x:f>TEXT(B784,"yyyy-mm")</x:f>
        <x:v>2024-08</x:v>
      </x:c>
      <x:c r="O784" s="3" t="str">
        <x:f>IF(J784=0,"No discount",IF(J784&lt;=0.1,"1-10%",IF(J784&lt;=0.15,"11-15%",IF(J784&lt;=0.2,"16-20%","21%+"))))</x:f>
        <x:v>1-10%</x:v>
      </x:c>
      <x:c r="P784" s="9" t="n">
        <x:f>IF(K784=0,0,L784/K784)</x:f>
        <x:v>0.258202859821342</x:v>
      </x:c>
      <x:c r="Q784" s="3" t="str">
        <x:f>IF(L784&lt;0,"Yes","No")</x:f>
        <x:v>No</x:v>
      </x:c>
    </x:row>
    <x:row r="785" ht="21" customHeight="1">
      <x:c r="A785" s="3" t="str">
        <x:v>ORD-101939</x:v>
      </x:c>
      <x:c r="B785" s="5" t="n">
        <x:v>45517</x:v>
      </x:c>
      <x:c r="C785" s="3" t="str">
        <x:v>CUST-00091</x:v>
      </x:c>
      <x:c r="D785" s="3" t="str">
        <x:v>West</x:v>
      </x:c>
      <x:c r="E785" s="3" t="str">
        <x:v>Beauty</x:v>
      </x:c>
      <x:c r="F785" s="3" t="str">
        <x:v>Makeup</x:v>
      </x:c>
      <x:c r="G785" s="3" t="str">
        <x:v>HD Foundation Kit</x:v>
      </x:c>
      <x:c r="H785" s="3" t="n">
        <x:v>4</x:v>
      </x:c>
      <x:c r="I785" s="7" t="n">
        <x:v>1539.34</x:v>
      </x:c>
      <x:c r="J785" s="9" t="n">
        <x:v>0.4</x:v>
      </x:c>
      <x:c r="K785" s="7" t="n">
        <x:v>3694.42</x:v>
      </x:c>
      <x:c r="L785" s="7" t="n">
        <x:v>435</x:v>
      </x:c>
      <x:c r="M785" s="3" t="str">
        <x:v>Net Banking</x:v>
      </x:c>
      <x:c r="N785" s="3" t="str">
        <x:f>TEXT(B785,"yyyy-mm")</x:f>
        <x:v>2024-08</x:v>
      </x:c>
      <x:c r="O785" s="3" t="str">
        <x:f>IF(J785=0,"No discount",IF(J785&lt;=0.1,"1-10%",IF(J785&lt;=0.15,"11-15%",IF(J785&lt;=0.2,"16-20%","21%+"))))</x:f>
        <x:v>21%+</x:v>
      </x:c>
      <x:c r="P785" s="9" t="n">
        <x:f>IF(K785=0,0,L785/K785)</x:f>
        <x:v>0.11774513996784339</x:v>
      </x:c>
      <x:c r="Q785" s="3" t="str">
        <x:f>IF(L785&lt;0,"Yes","No")</x:f>
        <x:v>No</x:v>
      </x:c>
    </x:row>
    <x:row r="786" ht="21" customHeight="1">
      <x:c r="A786" s="3" t="str">
        <x:v>ORD-101996</x:v>
      </x:c>
      <x:c r="B786" s="5" t="n">
        <x:v>45517</x:v>
      </x:c>
      <x:c r="C786" s="3" t="str">
        <x:v>CUST-00234</x:v>
      </x:c>
      <x:c r="D786" s="3" t="str">
        <x:v>North</x:v>
      </x:c>
      <x:c r="E786" s="3" t="str">
        <x:v>Beauty</x:v>
      </x:c>
      <x:c r="F786" s="3" t="str">
        <x:v>Makeup</x:v>
      </x:c>
      <x:c r="G786" s="3" t="str">
        <x:v>HD Foundation Kit</x:v>
      </x:c>
      <x:c r="H786" s="3" t="n">
        <x:v>4</x:v>
      </x:c>
      <x:c r="I786" s="7" t="n">
        <x:v>1506.68</x:v>
      </x:c>
      <x:c r="J786" s="9" t="n">
        <x:v>0</x:v>
      </x:c>
      <x:c r="K786" s="7" t="n">
        <x:v>6026.72</x:v>
      </x:c>
      <x:c r="L786" s="7" t="n">
        <x:v>3449.41</x:v>
      </x:c>
      <x:c r="M786" s="3" t="str">
        <x:v>UPI</x:v>
      </x:c>
      <x:c r="N786" s="3" t="str">
        <x:f>TEXT(B786,"yyyy-mm")</x:f>
        <x:v>2024-08</x:v>
      </x:c>
      <x:c r="O786" s="3" t="str">
        <x:f>IF(J786=0,"No discount",IF(J786&lt;=0.1,"1-10%",IF(J786&lt;=0.15,"11-15%",IF(J786&lt;=0.2,"16-20%","21%+"))))</x:f>
        <x:v>No discount</x:v>
      </x:c>
      <x:c r="P786" s="9" t="n">
        <x:f>IF(K786=0,0,L786/K786)</x:f>
        <x:v>0.5723527889133724</x:v>
      </x:c>
      <x:c r="Q786" s="3" t="str">
        <x:f>IF(L786&lt;0,"Yes","No")</x:f>
        <x:v>No</x:v>
      </x:c>
    </x:row>
    <x:row r="787" ht="21" customHeight="1">
      <x:c r="A787" s="3" t="str">
        <x:v>ORD-101393</x:v>
      </x:c>
      <x:c r="B787" s="5" t="n">
        <x:v>45518</x:v>
      </x:c>
      <x:c r="C787" s="3" t="str">
        <x:v>CUST-00098</x:v>
      </x:c>
      <x:c r="D787" s="3" t="str">
        <x:v>East</x:v>
      </x:c>
      <x:c r="E787" s="3" t="str">
        <x:v>Beauty</x:v>
      </x:c>
      <x:c r="F787" s="3" t="str">
        <x:v>Makeup</x:v>
      </x:c>
      <x:c r="G787" s="3" t="str">
        <x:v>Matte Lipstick Set</x:v>
      </x:c>
      <x:c r="H787" s="3" t="n">
        <x:v>2</x:v>
      </x:c>
      <x:c r="I787" s="7" t="n">
        <x:v>1015.13</x:v>
      </x:c>
      <x:c r="J787" s="9" t="n">
        <x:v>0.1</x:v>
      </x:c>
      <x:c r="K787" s="7" t="n">
        <x:v>1827.23</x:v>
      </x:c>
      <x:c r="L787" s="7" t="n">
        <x:v>805.47</x:v>
      </x:c>
      <x:c r="M787" s="3" t="str">
        <x:v>UPI</x:v>
      </x:c>
      <x:c r="N787" s="3" t="str">
        <x:f>TEXT(B787,"yyyy-mm")</x:f>
        <x:v>2024-08</x:v>
      </x:c>
      <x:c r="O787" s="3" t="str">
        <x:f>IF(J787=0,"No discount",IF(J787&lt;=0.1,"1-10%",IF(J787&lt;=0.15,"11-15%",IF(J787&lt;=0.2,"16-20%","21%+"))))</x:f>
        <x:v>1-10%</x:v>
      </x:c>
      <x:c r="P787" s="9" t="n">
        <x:f>IF(K787=0,0,L787/K787)</x:f>
        <x:v>0.440814785221346</x:v>
      </x:c>
      <x:c r="Q787" s="3" t="str">
        <x:f>IF(L787&lt;0,"Yes","No")</x:f>
        <x:v>No</x:v>
      </x:c>
    </x:row>
    <x:row r="788" ht="21" customHeight="1">
      <x:c r="A788" s="3" t="str">
        <x:v>ORD-101456</x:v>
      </x:c>
      <x:c r="B788" s="5" t="n">
        <x:v>45518</x:v>
      </x:c>
      <x:c r="C788" s="3" t="str">
        <x:v>CUST-00264</x:v>
      </x:c>
      <x:c r="D788" s="3" t="str">
        <x:v>West</x:v>
      </x:c>
      <x:c r="E788" s="3" t="str">
        <x:v>Home &amp; Kitchen</x:v>
      </x:c>
      <x:c r="F788" s="3" t="str">
        <x:v>Decor</x:v>
      </x:c>
      <x:c r="G788" s="3" t="str">
        <x:v>LED Wall Lamp</x:v>
      </x:c>
      <x:c r="H788" s="3" t="n">
        <x:v>1</x:v>
      </x:c>
      <x:c r="I788" s="7" t="n">
        <x:v>1024.35</x:v>
      </x:c>
      <x:c r="J788" s="9" t="n">
        <x:v>0.3</x:v>
      </x:c>
      <x:c r="K788" s="7" t="n">
        <x:v>717.04</x:v>
      </x:c>
      <x:c r="L788" s="7" t="n">
        <x:v>10.74</x:v>
      </x:c>
      <x:c r="M788" s="3" t="str">
        <x:v>UPI</x:v>
      </x:c>
      <x:c r="N788" s="3" t="str">
        <x:f>TEXT(B788,"yyyy-mm")</x:f>
        <x:v>2024-08</x:v>
      </x:c>
      <x:c r="O788" s="3" t="str">
        <x:f>IF(J788=0,"No discount",IF(J788&lt;=0.1,"1-10%",IF(J788&lt;=0.15,"11-15%",IF(J788&lt;=0.2,"16-20%","21%+"))))</x:f>
        <x:v>21%+</x:v>
      </x:c>
      <x:c r="P788" s="9" t="n">
        <x:f>IF(K788=0,0,L788/K788)</x:f>
        <x:v>0.014978243891554168</x:v>
      </x:c>
      <x:c r="Q788" s="3" t="str">
        <x:f>IF(L788&lt;0,"Yes","No")</x:f>
        <x:v>No</x:v>
      </x:c>
    </x:row>
    <x:row r="789" ht="21" customHeight="1">
      <x:c r="A789" s="3" t="str">
        <x:v>ORD-100231</x:v>
      </x:c>
      <x:c r="B789" s="5" t="n">
        <x:v>45519</x:v>
      </x:c>
      <x:c r="C789" s="3" t="str">
        <x:v>CUST-00411</x:v>
      </x:c>
      <x:c r="D789" s="3" t="str">
        <x:v>East</x:v>
      </x:c>
      <x:c r="E789" s="3" t="str">
        <x:v>Electronics</x:v>
      </x:c>
      <x:c r="F789" s="3" t="str">
        <x:v>Laptop</x:v>
      </x:c>
      <x:c r="G789" s="3" t="str">
        <x:v>AirBook Slim</x:v>
      </x:c>
      <x:c r="H789" s="3" t="n">
        <x:v>2</x:v>
      </x:c>
      <x:c r="I789" s="7" t="n">
        <x:v>75797.37</x:v>
      </x:c>
      <x:c r="J789" s="9" t="n">
        <x:v>0.1</x:v>
      </x:c>
      <x:c r="K789" s="7" t="n">
        <x:v>136435.27</x:v>
      </x:c>
      <x:c r="L789" s="7" t="n">
        <x:v>4523.18</x:v>
      </x:c>
      <x:c r="M789" s="3" t="str">
        <x:v>UPI</x:v>
      </x:c>
      <x:c r="N789" s="3" t="str">
        <x:f>TEXT(B789,"yyyy-mm")</x:f>
        <x:v>2024-08</x:v>
      </x:c>
      <x:c r="O789" s="3" t="str">
        <x:f>IF(J789=0,"No discount",IF(J789&lt;=0.1,"1-10%",IF(J789&lt;=0.15,"11-15%",IF(J789&lt;=0.2,"16-20%","21%+"))))</x:f>
        <x:v>1-10%</x:v>
      </x:c>
      <x:c r="P789" s="9" t="n">
        <x:f>IF(K789=0,0,L789/K789)</x:f>
        <x:v>0.03315257117899206</x:v>
      </x:c>
      <x:c r="Q789" s="3" t="str">
        <x:f>IF(L789&lt;0,"Yes","No")</x:f>
        <x:v>No</x:v>
      </x:c>
    </x:row>
    <x:row r="790" ht="21" customHeight="1">
      <x:c r="A790" s="3" t="str">
        <x:v>ORD-100641</x:v>
      </x:c>
      <x:c r="B790" s="5" t="n">
        <x:v>45519</x:v>
      </x:c>
      <x:c r="C790" s="3" t="str">
        <x:v>CUST-00391</x:v>
      </x:c>
      <x:c r="D790" s="3" t="str">
        <x:v>West</x:v>
      </x:c>
      <x:c r="E790" s="3" t="str">
        <x:v>Home &amp; Kitchen</x:v>
      </x:c>
      <x:c r="F790" s="3" t="str">
        <x:v>Decor</x:v>
      </x:c>
      <x:c r="G790" s="3" t="str">
        <x:v>Ceramic Vase Set</x:v>
      </x:c>
      <x:c r="H790" s="3" t="n">
        <x:v>1</x:v>
      </x:c>
      <x:c r="I790" s="7" t="n">
        <x:v>1561.61</x:v>
      </x:c>
      <x:c r="J790" s="9" t="n">
        <x:v>0</x:v>
      </x:c>
      <x:c r="K790" s="7" t="n">
        <x:v>1561.61</x:v>
      </x:c>
      <x:c r="L790" s="7" t="n">
        <x:v>576.34</x:v>
      </x:c>
      <x:c r="M790" s="3" t="str">
        <x:v>Credit Card</x:v>
      </x:c>
      <x:c r="N790" s="3" t="str">
        <x:f>TEXT(B790,"yyyy-mm")</x:f>
        <x:v>2024-08</x:v>
      </x:c>
      <x:c r="O790" s="3" t="str">
        <x:f>IF(J790=0,"No discount",IF(J790&lt;=0.1,"1-10%",IF(J790&lt;=0.15,"11-15%",IF(J790&lt;=0.2,"16-20%","21%+"))))</x:f>
        <x:v>No discount</x:v>
      </x:c>
      <x:c r="P790" s="9" t="n">
        <x:f>IF(K790=0,0,L790/K790)</x:f>
        <x:v>0.3690678210308592</x:v>
      </x:c>
      <x:c r="Q790" s="3" t="str">
        <x:f>IF(L790&lt;0,"Yes","No")</x:f>
        <x:v>No</x:v>
      </x:c>
    </x:row>
    <x:row r="791" ht="21" customHeight="1">
      <x:c r="A791" s="3" t="str">
        <x:v>ORD-100665</x:v>
      </x:c>
      <x:c r="B791" s="5" t="n">
        <x:v>45519</x:v>
      </x:c>
      <x:c r="C791" s="3" t="str">
        <x:v>CUST-00010</x:v>
      </x:c>
      <x:c r="D791" s="3" t="str">
        <x:v>South</x:v>
      </x:c>
      <x:c r="E791" s="3" t="str">
        <x:v>Fashion</x:v>
      </x:c>
      <x:c r="F791" s="3" t="str">
        <x:v>Women</x:v>
      </x:c>
      <x:c r="G791" s="3" t="str">
        <x:v>Knit Winter Sweater</x:v>
      </x:c>
      <x:c r="H791" s="3" t="n">
        <x:v>1</x:v>
      </x:c>
      <x:c r="I791" s="7" t="n">
        <x:v>2238.43</x:v>
      </x:c>
      <x:c r="J791" s="9" t="n">
        <x:v>0.05</x:v>
      </x:c>
      <x:c r="K791" s="7" t="n">
        <x:v>2126.51</x:v>
      </x:c>
      <x:c r="L791" s="7" t="n">
        <x:v>821.31</x:v>
      </x:c>
      <x:c r="M791" s="3" t="str">
        <x:v>Credit Card</x:v>
      </x:c>
      <x:c r="N791" s="3" t="str">
        <x:f>TEXT(B791,"yyyy-mm")</x:f>
        <x:v>2024-08</x:v>
      </x:c>
      <x:c r="O791" s="3" t="str">
        <x:f>IF(J791=0,"No discount",IF(J791&lt;=0.1,"1-10%",IF(J791&lt;=0.15,"11-15%",IF(J791&lt;=0.2,"16-20%","21%+"))))</x:f>
        <x:v>1-10%</x:v>
      </x:c>
      <x:c r="P791" s="9" t="n">
        <x:f>IF(K791=0,0,L791/K791)</x:f>
        <x:v>0.3862243770309097</x:v>
      </x:c>
      <x:c r="Q791" s="3" t="str">
        <x:f>IF(L791&lt;0,"Yes","No")</x:f>
        <x:v>No</x:v>
      </x:c>
    </x:row>
    <x:row r="792" ht="21" customHeight="1">
      <x:c r="A792" s="3" t="str">
        <x:v>ORD-101269</x:v>
      </x:c>
      <x:c r="B792" s="5" t="n">
        <x:v>45519</x:v>
      </x:c>
      <x:c r="C792" s="3" t="str">
        <x:v>CUST-00452</x:v>
      </x:c>
      <x:c r="D792" s="3" t="str">
        <x:v>West</x:v>
      </x:c>
      <x:c r="E792" s="3" t="str">
        <x:v>Home &amp; Kitchen</x:v>
      </x:c>
      <x:c r="F792" s="3" t="str">
        <x:v>Decor</x:v>
      </x:c>
      <x:c r="G792" s="3" t="str">
        <x:v>LED Wall Lamp</x:v>
      </x:c>
      <x:c r="H792" s="3" t="n">
        <x:v>1</x:v>
      </x:c>
      <x:c r="I792" s="7" t="n">
        <x:v>1020.65</x:v>
      </x:c>
      <x:c r="J792" s="9" t="n">
        <x:v>0.1</x:v>
      </x:c>
      <x:c r="K792" s="7" t="n">
        <x:v>918.59</x:v>
      </x:c>
      <x:c r="L792" s="7" t="n">
        <x:v>171.34</x:v>
      </x:c>
      <x:c r="M792" s="3" t="str">
        <x:v>Credit Card</x:v>
      </x:c>
      <x:c r="N792" s="3" t="str">
        <x:f>TEXT(B792,"yyyy-mm")</x:f>
        <x:v>2024-08</x:v>
      </x:c>
      <x:c r="O792" s="3" t="str">
        <x:f>IF(J792=0,"No discount",IF(J792&lt;=0.1,"1-10%",IF(J792&lt;=0.15,"11-15%",IF(J792&lt;=0.2,"16-20%","21%+"))))</x:f>
        <x:v>1-10%</x:v>
      </x:c>
      <x:c r="P792" s="9" t="n">
        <x:f>IF(K792=0,0,L792/K792)</x:f>
        <x:v>0.18652500027215624</x:v>
      </x:c>
      <x:c r="Q792" s="3" t="str">
        <x:f>IF(L792&lt;0,"Yes","No")</x:f>
        <x:v>No</x:v>
      </x:c>
    </x:row>
    <x:row r="793" ht="21" customHeight="1">
      <x:c r="A793" s="3" t="str">
        <x:v>ORD-101590</x:v>
      </x:c>
      <x:c r="B793" s="5" t="n">
        <x:v>45519</x:v>
      </x:c>
      <x:c r="C793" s="3" t="str">
        <x:v>CUST-00296</x:v>
      </x:c>
      <x:c r="D793" s="3" t="str">
        <x:v>West</x:v>
      </x:c>
      <x:c r="E793" s="3" t="str">
        <x:v>Sports</x:v>
      </x:c>
      <x:c r="F793" s="3" t="str">
        <x:v>Outdoor</x:v>
      </x:c>
      <x:c r="G793" s="3" t="str">
        <x:v>AllWeather Tent 4P</x:v>
      </x:c>
      <x:c r="H793" s="3" t="n">
        <x:v>1</x:v>
      </x:c>
      <x:c r="I793" s="7" t="n">
        <x:v>11469.32</x:v>
      </x:c>
      <x:c r="J793" s="9" t="n">
        <x:v>0</x:v>
      </x:c>
      <x:c r="K793" s="7" t="n">
        <x:v>11469.32</x:v>
      </x:c>
      <x:c r="L793" s="7" t="n">
        <x:v>4026.14</x:v>
      </x:c>
      <x:c r="M793" s="3" t="str">
        <x:v>Debit Card</x:v>
      </x:c>
      <x:c r="N793" s="3" t="str">
        <x:f>TEXT(B793,"yyyy-mm")</x:f>
        <x:v>2024-08</x:v>
      </x:c>
      <x:c r="O793" s="3" t="str">
        <x:f>IF(J793=0,"No discount",IF(J793&lt;=0.1,"1-10%",IF(J793&lt;=0.15,"11-15%",IF(J793&lt;=0.2,"16-20%","21%+"))))</x:f>
        <x:v>No discount</x:v>
      </x:c>
      <x:c r="P793" s="9" t="n">
        <x:f>IF(K793=0,0,L793/K793)</x:f>
        <x:v>0.35103563245249064</x:v>
      </x:c>
      <x:c r="Q793" s="3" t="str">
        <x:f>IF(L793&lt;0,"Yes","No")</x:f>
        <x:v>No</x:v>
      </x:c>
    </x:row>
    <x:row r="794" ht="21" customHeight="1">
      <x:c r="A794" s="3" t="str">
        <x:v>ORD-101642</x:v>
      </x:c>
      <x:c r="B794" s="5" t="n">
        <x:v>45519</x:v>
      </x:c>
      <x:c r="C794" s="3" t="str">
        <x:v>CUST-00049</x:v>
      </x:c>
      <x:c r="D794" s="3" t="str">
        <x:v>West</x:v>
      </x:c>
      <x:c r="E794" s="3" t="str">
        <x:v>Beauty</x:v>
      </x:c>
      <x:c r="F794" s="3" t="str">
        <x:v>Skincare</x:v>
      </x:c>
      <x:c r="G794" s="3" t="str">
        <x:v>Vitamin C Serum</x:v>
      </x:c>
      <x:c r="H794" s="3" t="n">
        <x:v>1</x:v>
      </x:c>
      <x:c r="I794" s="7" t="n">
        <x:v>922.2</x:v>
      </x:c>
      <x:c r="J794" s="9" t="n">
        <x:v>0</x:v>
      </x:c>
      <x:c r="K794" s="7" t="n">
        <x:v>922.2</x:v>
      </x:c>
      <x:c r="L794" s="7" t="n">
        <x:v>483.62</x:v>
      </x:c>
      <x:c r="M794" s="3" t="str">
        <x:v>UPI</x:v>
      </x:c>
      <x:c r="N794" s="3" t="str">
        <x:f>TEXT(B794,"yyyy-mm")</x:f>
        <x:v>2024-08</x:v>
      </x:c>
      <x:c r="O794" s="3" t="str">
        <x:f>IF(J794=0,"No discount",IF(J794&lt;=0.1,"1-10%",IF(J794&lt;=0.15,"11-15%",IF(J794&lt;=0.2,"16-20%","21%+"))))</x:f>
        <x:v>No discount</x:v>
      </x:c>
      <x:c r="P794" s="9" t="n">
        <x:f>IF(K794=0,0,L794/K794)</x:f>
        <x:v>0.5244198655389286</x:v>
      </x:c>
      <x:c r="Q794" s="3" t="str">
        <x:f>IF(L794&lt;0,"Yes","No")</x:f>
        <x:v>No</x:v>
      </x:c>
    </x:row>
    <x:row r="795" ht="21" customHeight="1">
      <x:c r="A795" s="3" t="str">
        <x:v>ORD-101667</x:v>
      </x:c>
      <x:c r="B795" s="5" t="n">
        <x:v>45519</x:v>
      </x:c>
      <x:c r="C795" s="3" t="str">
        <x:v>CUST-00006</x:v>
      </x:c>
      <x:c r="D795" s="3" t="str">
        <x:v>North</x:v>
      </x:c>
      <x:c r="E795" s="3" t="str">
        <x:v>Beauty</x:v>
      </x:c>
      <x:c r="F795" s="3" t="str">
        <x:v>Skincare</x:v>
      </x:c>
      <x:c r="G795" s="3" t="str">
        <x:v>Vitamin C Serum</x:v>
      </x:c>
      <x:c r="H795" s="3" t="n">
        <x:v>1</x:v>
      </x:c>
      <x:c r="I795" s="7" t="n">
        <x:v>909.71</x:v>
      </x:c>
      <x:c r="J795" s="9" t="n">
        <x:v>0</x:v>
      </x:c>
      <x:c r="K795" s="7" t="n">
        <x:v>909.71</x:v>
      </x:c>
      <x:c r="L795" s="7" t="n">
        <x:v>473.74</x:v>
      </x:c>
      <x:c r="M795" s="3" t="str">
        <x:v>Credit Card</x:v>
      </x:c>
      <x:c r="N795" s="3" t="str">
        <x:f>TEXT(B795,"yyyy-mm")</x:f>
        <x:v>2024-08</x:v>
      </x:c>
      <x:c r="O795" s="3" t="str">
        <x:f>IF(J795=0,"No discount",IF(J795&lt;=0.1,"1-10%",IF(J795&lt;=0.15,"11-15%",IF(J795&lt;=0.2,"16-20%","21%+"))))</x:f>
        <x:v>No discount</x:v>
      </x:c>
      <x:c r="P795" s="9" t="n">
        <x:f>IF(K795=0,0,L795/K795)</x:f>
        <x:v>0.5207593628738829</x:v>
      </x:c>
      <x:c r="Q795" s="3" t="str">
        <x:f>IF(L795&lt;0,"Yes","No")</x:f>
        <x:v>No</x:v>
      </x:c>
    </x:row>
    <x:row r="796" ht="21" customHeight="1">
      <x:c r="A796" s="3" t="str">
        <x:v>ORD-101861</x:v>
      </x:c>
      <x:c r="B796" s="5" t="n">
        <x:v>45519</x:v>
      </x:c>
      <x:c r="C796" s="3" t="str">
        <x:v>CUST-00388</x:v>
      </x:c>
      <x:c r="D796" s="3" t="str">
        <x:v>East</x:v>
      </x:c>
      <x:c r="E796" s="3" t="str">
        <x:v>Home &amp; Kitchen</x:v>
      </x:c>
      <x:c r="F796" s="3" t="str">
        <x:v>Decor</x:v>
      </x:c>
      <x:c r="G796" s="3" t="str">
        <x:v>Ceramic Vase Set</x:v>
      </x:c>
      <x:c r="H796" s="3" t="n">
        <x:v>1</x:v>
      </x:c>
      <x:c r="I796" s="7" t="n">
        <x:v>1436.49</x:v>
      </x:c>
      <x:c r="J796" s="9" t="n">
        <x:v>0.1</x:v>
      </x:c>
      <x:c r="K796" s="7" t="n">
        <x:v>1292.84</x:v>
      </x:c>
      <x:c r="L796" s="7" t="n">
        <x:v>315.09</x:v>
      </x:c>
      <x:c r="M796" s="3" t="str">
        <x:v>UPI</x:v>
      </x:c>
      <x:c r="N796" s="3" t="str">
        <x:f>TEXT(B796,"yyyy-mm")</x:f>
        <x:v>2024-08</x:v>
      </x:c>
      <x:c r="O796" s="3" t="str">
        <x:f>IF(J796=0,"No discount",IF(J796&lt;=0.1,"1-10%",IF(J796&lt;=0.15,"11-15%",IF(J796&lt;=0.2,"16-20%","21%+"))))</x:f>
        <x:v>1-10%</x:v>
      </x:c>
      <x:c r="P796" s="9" t="n">
        <x:f>IF(K796=0,0,L796/K796)</x:f>
        <x:v>0.24371925373596112</x:v>
      </x:c>
      <x:c r="Q796" s="3" t="str">
        <x:f>IF(L796&lt;0,"Yes","No")</x:f>
        <x:v>No</x:v>
      </x:c>
    </x:row>
    <x:row r="797" ht="21" customHeight="1">
      <x:c r="A797" s="3" t="str">
        <x:v>ORD-101919</x:v>
      </x:c>
      <x:c r="B797" s="5" t="n">
        <x:v>45519</x:v>
      </x:c>
      <x:c r="C797" s="3" t="str">
        <x:v>CUST-00072</x:v>
      </x:c>
      <x:c r="D797" s="3" t="str">
        <x:v>East</x:v>
      </x:c>
      <x:c r="E797" s="3" t="str">
        <x:v>Home &amp; Kitchen</x:v>
      </x:c>
      <x:c r="F797" s="3" t="str">
        <x:v>Furniture</x:v>
      </x:c>
      <x:c r="G797" s="3" t="str">
        <x:v>Oakwood Study Desk</x:v>
      </x:c>
      <x:c r="H797" s="3" t="n">
        <x:v>4</x:v>
      </x:c>
      <x:c r="I797" s="7" t="n">
        <x:v>12971.69</x:v>
      </x:c>
      <x:c r="J797" s="9" t="n">
        <x:v>0.05</x:v>
      </x:c>
      <x:c r="K797" s="7" t="n">
        <x:v>49292.42</x:v>
      </x:c>
      <x:c r="L797" s="7" t="n">
        <x:v>12975.73</x:v>
      </x:c>
      <x:c r="M797" s="3" t="str">
        <x:v>Debit Card</x:v>
      </x:c>
      <x:c r="N797" s="3" t="str">
        <x:f>TEXT(B797,"yyyy-mm")</x:f>
        <x:v>2024-08</x:v>
      </x:c>
      <x:c r="O797" s="3" t="str">
        <x:f>IF(J797=0,"No discount",IF(J797&lt;=0.1,"1-10%",IF(J797&lt;=0.15,"11-15%",IF(J797&lt;=0.2,"16-20%","21%+"))))</x:f>
        <x:v>1-10%</x:v>
      </x:c>
      <x:c r="P797" s="9" t="n">
        <x:f>IF(K797=0,0,L797/K797)</x:f>
        <x:v>0.2632398652774605</x:v>
      </x:c>
      <x:c r="Q797" s="3" t="str">
        <x:f>IF(L797&lt;0,"Yes","No")</x:f>
        <x:v>No</x:v>
      </x:c>
    </x:row>
    <x:row r="798" ht="21" customHeight="1">
      <x:c r="A798" s="3" t="str">
        <x:v>ORD-100285</x:v>
      </x:c>
      <x:c r="B798" s="5" t="n">
        <x:v>45520</x:v>
      </x:c>
      <x:c r="C798" s="3" t="str">
        <x:v>CUST-00388</x:v>
      </x:c>
      <x:c r="D798" s="3" t="str">
        <x:v>West</x:v>
      </x:c>
      <x:c r="E798" s="3" t="str">
        <x:v>Beauty</x:v>
      </x:c>
      <x:c r="F798" s="3" t="str">
        <x:v>Makeup</x:v>
      </x:c>
      <x:c r="G798" s="3" t="str">
        <x:v>HD Foundation Kit</x:v>
      </x:c>
      <x:c r="H798" s="3" t="n">
        <x:v>3</x:v>
      </x:c>
      <x:c r="I798" s="7" t="n">
        <x:v>1497.75</x:v>
      </x:c>
      <x:c r="J798" s="9" t="n">
        <x:v>0</x:v>
      </x:c>
      <x:c r="K798" s="7" t="n">
        <x:v>4493.25</x:v>
      </x:c>
      <x:c r="L798" s="7" t="n">
        <x:v>2378.15</x:v>
      </x:c>
      <x:c r="M798" s="3" t="str">
        <x:v>UPI</x:v>
      </x:c>
      <x:c r="N798" s="3" t="str">
        <x:f>TEXT(B798,"yyyy-mm")</x:f>
        <x:v>2024-08</x:v>
      </x:c>
      <x:c r="O798" s="3" t="str">
        <x:f>IF(J798=0,"No discount",IF(J798&lt;=0.1,"1-10%",IF(J798&lt;=0.15,"11-15%",IF(J798&lt;=0.2,"16-20%","21%+"))))</x:f>
        <x:v>No discount</x:v>
      </x:c>
      <x:c r="P798" s="9" t="n">
        <x:f>IF(K798=0,0,L798/K798)</x:f>
        <x:v>0.5292716853057364</x:v>
      </x:c>
      <x:c r="Q798" s="3" t="str">
        <x:f>IF(L798&lt;0,"Yes","No")</x:f>
        <x:v>No</x:v>
      </x:c>
    </x:row>
    <x:row r="799" ht="21" customHeight="1">
      <x:c r="A799" s="3" t="str">
        <x:v>ORD-100663</x:v>
      </x:c>
      <x:c r="B799" s="5" t="n">
        <x:v>45520</x:v>
      </x:c>
      <x:c r="C799" s="3" t="str">
        <x:v>CUST-00298</x:v>
      </x:c>
      <x:c r="D799" s="3" t="str">
        <x:v>South</x:v>
      </x:c>
      <x:c r="E799" s="3" t="str">
        <x:v>Fashion</x:v>
      </x:c>
      <x:c r="F799" s="3" t="str">
        <x:v>Footwear</x:v>
      </x:c>
      <x:c r="G799" s="3" t="str">
        <x:v>RunFlex Sneakers</x:v>
      </x:c>
      <x:c r="H799" s="3" t="n">
        <x:v>2</x:v>
      </x:c>
      <x:c r="I799" s="7" t="n">
        <x:v>3064.21</x:v>
      </x:c>
      <x:c r="J799" s="9" t="n">
        <x:v>0.05</x:v>
      </x:c>
      <x:c r="K799" s="7" t="n">
        <x:v>5822</x:v>
      </x:c>
      <x:c r="L799" s="7" t="n">
        <x:v>2220.4</x:v>
      </x:c>
      <x:c r="M799" s="3" t="str">
        <x:v>Credit Card</x:v>
      </x:c>
      <x:c r="N799" s="3" t="str">
        <x:f>TEXT(B799,"yyyy-mm")</x:f>
        <x:v>2024-08</x:v>
      </x:c>
      <x:c r="O799" s="3" t="str">
        <x:f>IF(J799=0,"No discount",IF(J799&lt;=0.1,"1-10%",IF(J799&lt;=0.15,"11-15%",IF(J799&lt;=0.2,"16-20%","21%+"))))</x:f>
        <x:v>1-10%</x:v>
      </x:c>
      <x:c r="P799" s="9" t="n">
        <x:f>IF(K799=0,0,L799/K799)</x:f>
        <x:v>0.38138096873926486</x:v>
      </x:c>
      <x:c r="Q799" s="3" t="str">
        <x:f>IF(L799&lt;0,"Yes","No")</x:f>
        <x:v>No</x:v>
      </x:c>
    </x:row>
    <x:row r="800" ht="21" customHeight="1">
      <x:c r="A800" s="3" t="str">
        <x:v>ORD-101524</x:v>
      </x:c>
      <x:c r="B800" s="5" t="n">
        <x:v>45520</x:v>
      </x:c>
      <x:c r="C800" s="3" t="str">
        <x:v>CUST-00335</x:v>
      </x:c>
      <x:c r="D800" s="3" t="str">
        <x:v>East</x:v>
      </x:c>
      <x:c r="E800" s="3" t="str">
        <x:v>Sports</x:v>
      </x:c>
      <x:c r="F800" s="3" t="str">
        <x:v>Fitness</x:v>
      </x:c>
      <x:c r="G800" s="3" t="str">
        <x:v>Adjustable Dumbbell 24kg</x:v>
      </x:c>
      <x:c r="H800" s="3" t="n">
        <x:v>1</x:v>
      </x:c>
      <x:c r="I800" s="7" t="n">
        <x:v>9887.81</x:v>
      </x:c>
      <x:c r="J800" s="9" t="n">
        <x:v>0.05</x:v>
      </x:c>
      <x:c r="K800" s="7" t="n">
        <x:v>9393.42</x:v>
      </x:c>
      <x:c r="L800" s="7" t="n">
        <x:v>3060.33</x:v>
      </x:c>
      <x:c r="M800" s="3" t="str">
        <x:v>UPI</x:v>
      </x:c>
      <x:c r="N800" s="3" t="str">
        <x:f>TEXT(B800,"yyyy-mm")</x:f>
        <x:v>2024-08</x:v>
      </x:c>
      <x:c r="O800" s="3" t="str">
        <x:f>IF(J800=0,"No discount",IF(J800&lt;=0.1,"1-10%",IF(J800&lt;=0.15,"11-15%",IF(J800&lt;=0.2,"16-20%","21%+"))))</x:f>
        <x:v>1-10%</x:v>
      </x:c>
      <x:c r="P800" s="9" t="n">
        <x:f>IF(K800=0,0,L800/K800)</x:f>
        <x:v>0.3257950778310775</x:v>
      </x:c>
      <x:c r="Q800" s="3" t="str">
        <x:f>IF(L800&lt;0,"Yes","No")</x:f>
        <x:v>No</x:v>
      </x:c>
    </x:row>
    <x:row r="801" ht="21" customHeight="1">
      <x:c r="A801" s="3" t="str">
        <x:v>ORD-101703</x:v>
      </x:c>
      <x:c r="B801" s="5" t="n">
        <x:v>45520</x:v>
      </x:c>
      <x:c r="C801" s="3" t="str">
        <x:v>CUST-00255</x:v>
      </x:c>
      <x:c r="D801" s="3" t="str">
        <x:v>North</x:v>
      </x:c>
      <x:c r="E801" s="3" t="str">
        <x:v>Fashion</x:v>
      </x:c>
      <x:c r="F801" s="3" t="str">
        <x:v>Women</x:v>
      </x:c>
      <x:c r="G801" s="3" t="str">
        <x:v>Floral Summer Dress</x:v>
      </x:c>
      <x:c r="H801" s="3" t="n">
        <x:v>2</x:v>
      </x:c>
      <x:c r="I801" s="7" t="n">
        <x:v>1782.42</x:v>
      </x:c>
      <x:c r="J801" s="9" t="n">
        <x:v>0.05</x:v>
      </x:c>
      <x:c r="K801" s="7" t="n">
        <x:v>3386.6</x:v>
      </x:c>
      <x:c r="L801" s="7" t="n">
        <x:v>1097.21</x:v>
      </x:c>
      <x:c r="M801" s="3" t="str">
        <x:v>Net Banking</x:v>
      </x:c>
      <x:c r="N801" s="3" t="str">
        <x:f>TEXT(B801,"yyyy-mm")</x:f>
        <x:v>2024-08</x:v>
      </x:c>
      <x:c r="O801" s="3" t="str">
        <x:f>IF(J801=0,"No discount",IF(J801&lt;=0.1,"1-10%",IF(J801&lt;=0.15,"11-15%",IF(J801&lt;=0.2,"16-20%","21%+"))))</x:f>
        <x:v>1-10%</x:v>
      </x:c>
      <x:c r="P801" s="9" t="n">
        <x:f>IF(K801=0,0,L801/K801)</x:f>
        <x:v>0.3239857083800862</x:v>
      </x:c>
      <x:c r="Q801" s="3" t="str">
        <x:f>IF(L801&lt;0,"Yes","No")</x:f>
        <x:v>No</x:v>
      </x:c>
    </x:row>
    <x:row r="802" ht="21" customHeight="1">
      <x:c r="A802" s="3" t="str">
        <x:v>ORD-100222</x:v>
      </x:c>
      <x:c r="B802" s="5" t="n">
        <x:v>45521</x:v>
      </x:c>
      <x:c r="C802" s="3" t="str">
        <x:v>CUST-00427</x:v>
      </x:c>
      <x:c r="D802" s="3" t="str">
        <x:v>East</x:v>
      </x:c>
      <x:c r="E802" s="3" t="str">
        <x:v>Home &amp; Kitchen</x:v>
      </x:c>
      <x:c r="F802" s="3" t="str">
        <x:v>Decor</x:v>
      </x:c>
      <x:c r="G802" s="3" t="str">
        <x:v>Ceramic Vase Set</x:v>
      </x:c>
      <x:c r="H802" s="3" t="n">
        <x:v>1</x:v>
      </x:c>
      <x:c r="I802" s="7" t="n">
        <x:v>1429.35</x:v>
      </x:c>
      <x:c r="J802" s="9" t="n">
        <x:v>0.3</x:v>
      </x:c>
      <x:c r="K802" s="7" t="n">
        <x:v>1000.54</x:v>
      </x:c>
      <x:c r="L802" s="7" t="n">
        <x:v>9.25</x:v>
      </x:c>
      <x:c r="M802" s="3" t="str">
        <x:v>Credit Card</x:v>
      </x:c>
      <x:c r="N802" s="3" t="str">
        <x:f>TEXT(B802,"yyyy-mm")</x:f>
        <x:v>2024-08</x:v>
      </x:c>
      <x:c r="O802" s="3" t="str">
        <x:f>IF(J802=0,"No discount",IF(J802&lt;=0.1,"1-10%",IF(J802&lt;=0.15,"11-15%",IF(J802&lt;=0.2,"16-20%","21%+"))))</x:f>
        <x:v>21%+</x:v>
      </x:c>
      <x:c r="P802" s="9" t="n">
        <x:f>IF(K802=0,0,L802/K802)</x:f>
        <x:v>0.009245007695844245</x:v>
      </x:c>
      <x:c r="Q802" s="3" t="str">
        <x:f>IF(L802&lt;0,"Yes","No")</x:f>
        <x:v>No</x:v>
      </x:c>
    </x:row>
    <x:row r="803" ht="21" customHeight="1">
      <x:c r="A803" s="3" t="str">
        <x:v>ORD-100529</x:v>
      </x:c>
      <x:c r="B803" s="5" t="n">
        <x:v>45521</x:v>
      </x:c>
      <x:c r="C803" s="3" t="str">
        <x:v>CUST-00024</x:v>
      </x:c>
      <x:c r="D803" s="3" t="str">
        <x:v>West</x:v>
      </x:c>
      <x:c r="E803" s="3" t="str">
        <x:v>Home &amp; Kitchen</x:v>
      </x:c>
      <x:c r="F803" s="3" t="str">
        <x:v>Furniture</x:v>
      </x:c>
      <x:c r="G803" s="3" t="str">
        <x:v>ErgoComfort Chair</x:v>
      </x:c>
      <x:c r="H803" s="3" t="n">
        <x:v>3</x:v>
      </x:c>
      <x:c r="I803" s="7" t="n">
        <x:v>8922.06</x:v>
      </x:c>
      <x:c r="J803" s="9" t="n">
        <x:v>0</x:v>
      </x:c>
      <x:c r="K803" s="7" t="n">
        <x:v>26766.18</x:v>
      </x:c>
      <x:c r="L803" s="7" t="n">
        <x:v>8151.67</x:v>
      </x:c>
      <x:c r="M803" s="3" t="str">
        <x:v>Cash on Delivery</x:v>
      </x:c>
      <x:c r="N803" s="3" t="str">
        <x:f>TEXT(B803,"yyyy-mm")</x:f>
        <x:v>2024-08</x:v>
      </x:c>
      <x:c r="O803" s="3" t="str">
        <x:f>IF(J803=0,"No discount",IF(J803&lt;=0.1,"1-10%",IF(J803&lt;=0.15,"11-15%",IF(J803&lt;=0.2,"16-20%","21%+"))))</x:f>
        <x:v>No discount</x:v>
      </x:c>
      <x:c r="P803" s="9" t="n">
        <x:f>IF(K803=0,0,L803/K803)</x:f>
        <x:v>0.30455111637148075</x:v>
      </x:c>
      <x:c r="Q803" s="3" t="str">
        <x:f>IF(L803&lt;0,"Yes","No")</x:f>
        <x:v>No</x:v>
      </x:c>
    </x:row>
    <x:row r="804" ht="21" customHeight="1">
      <x:c r="A804" s="3" t="str">
        <x:v>ORD-100595</x:v>
      </x:c>
      <x:c r="B804" s="5" t="n">
        <x:v>45521</x:v>
      </x:c>
      <x:c r="C804" s="3" t="str">
        <x:v>CUST-00431</x:v>
      </x:c>
      <x:c r="D804" s="3" t="str">
        <x:v>South</x:v>
      </x:c>
      <x:c r="E804" s="3" t="str">
        <x:v>Electronics</x:v>
      </x:c>
      <x:c r="F804" s="3" t="str">
        <x:v>Laptop</x:v>
      </x:c>
      <x:c r="G804" s="3" t="str">
        <x:v>AirBook Slim</x:v>
      </x:c>
      <x:c r="H804" s="3" t="n">
        <x:v>3</x:v>
      </x:c>
      <x:c r="I804" s="7" t="n">
        <x:v>76010.61</x:v>
      </x:c>
      <x:c r="J804" s="9" t="n">
        <x:v>0.05</x:v>
      </x:c>
      <x:c r="K804" s="7" t="n">
        <x:v>216630.24</x:v>
      </x:c>
      <x:c r="L804" s="7" t="n">
        <x:v>26854.27</x:v>
      </x:c>
      <x:c r="M804" s="3" t="str">
        <x:v>Credit Card</x:v>
      </x:c>
      <x:c r="N804" s="3" t="str">
        <x:f>TEXT(B804,"yyyy-mm")</x:f>
        <x:v>2024-08</x:v>
      </x:c>
      <x:c r="O804" s="3" t="str">
        <x:f>IF(J804=0,"No discount",IF(J804&lt;=0.1,"1-10%",IF(J804&lt;=0.15,"11-15%",IF(J804&lt;=0.2,"16-20%","21%+"))))</x:f>
        <x:v>1-10%</x:v>
      </x:c>
      <x:c r="P804" s="9" t="n">
        <x:f>IF(K804=0,0,L804/K804)</x:f>
        <x:v>0.1239636257615742</x:v>
      </x:c>
      <x:c r="Q804" s="3" t="str">
        <x:f>IF(L804&lt;0,"Yes","No")</x:f>
        <x:v>No</x:v>
      </x:c>
    </x:row>
    <x:row r="805" ht="21" customHeight="1">
      <x:c r="A805" s="3" t="str">
        <x:v>ORD-100717</x:v>
      </x:c>
      <x:c r="B805" s="5" t="n">
        <x:v>45521</x:v>
      </x:c>
      <x:c r="C805" s="3" t="str">
        <x:v>CUST-00438</x:v>
      </x:c>
      <x:c r="D805" s="3" t="str">
        <x:v>West</x:v>
      </x:c>
      <x:c r="E805" s="3" t="str">
        <x:v>Beauty</x:v>
      </x:c>
      <x:c r="F805" s="3" t="str">
        <x:v>Skincare</x:v>
      </x:c>
      <x:c r="G805" s="3" t="str">
        <x:v>Vitamin C Serum</x:v>
      </x:c>
      <x:c r="H805" s="3" t="n">
        <x:v>3</x:v>
      </x:c>
      <x:c r="I805" s="7" t="n">
        <x:v>880.73</x:v>
      </x:c>
      <x:c r="J805" s="9" t="n">
        <x:v>0</x:v>
      </x:c>
      <x:c r="K805" s="7" t="n">
        <x:v>2642.19</x:v>
      </x:c>
      <x:c r="L805" s="7" t="n">
        <x:v>1455.64</x:v>
      </x:c>
      <x:c r="M805" s="3" t="str">
        <x:v>UPI</x:v>
      </x:c>
      <x:c r="N805" s="3" t="str">
        <x:f>TEXT(B805,"yyyy-mm")</x:f>
        <x:v>2024-08</x:v>
      </x:c>
      <x:c r="O805" s="3" t="str">
        <x:f>IF(J805=0,"No discount",IF(J805&lt;=0.1,"1-10%",IF(J805&lt;=0.15,"11-15%",IF(J805&lt;=0.2,"16-20%","21%+"))))</x:f>
        <x:v>No discount</x:v>
      </x:c>
      <x:c r="P805" s="9" t="n">
        <x:f>IF(K805=0,0,L805/K805)</x:f>
        <x:v>0.5509217732259981</x:v>
      </x:c>
      <x:c r="Q805" s="3" t="str">
        <x:f>IF(L805&lt;0,"Yes","No")</x:f>
        <x:v>No</x:v>
      </x:c>
    </x:row>
    <x:row r="806" ht="21" customHeight="1">
      <x:c r="A806" s="3" t="str">
        <x:v>ORD-100835</x:v>
      </x:c>
      <x:c r="B806" s="5" t="n">
        <x:v>45521</x:v>
      </x:c>
      <x:c r="C806" s="3" t="str">
        <x:v>CUST-00589</x:v>
      </x:c>
      <x:c r="D806" s="3" t="str">
        <x:v>East</x:v>
      </x:c>
      <x:c r="E806" s="3" t="str">
        <x:v>Beauty</x:v>
      </x:c>
      <x:c r="F806" s="3" t="str">
        <x:v>Makeup</x:v>
      </x:c>
      <x:c r="G806" s="3" t="str">
        <x:v>Matte Lipstick Set</x:v>
      </x:c>
      <x:c r="H806" s="3" t="n">
        <x:v>1</x:v>
      </x:c>
      <x:c r="I806" s="7" t="n">
        <x:v>1014.69</x:v>
      </x:c>
      <x:c r="J806" s="9" t="n">
        <x:v>0.1</x:v>
      </x:c>
      <x:c r="K806" s="7" t="n">
        <x:v>913.22</x:v>
      </x:c>
      <x:c r="L806" s="7" t="n">
        <x:v>371.69</x:v>
      </x:c>
      <x:c r="M806" s="3" t="str">
        <x:v>Credit Card</x:v>
      </x:c>
      <x:c r="N806" s="3" t="str">
        <x:f>TEXT(B806,"yyyy-mm")</x:f>
        <x:v>2024-08</x:v>
      </x:c>
      <x:c r="O806" s="3" t="str">
        <x:f>IF(J806=0,"No discount",IF(J806&lt;=0.1,"1-10%",IF(J806&lt;=0.15,"11-15%",IF(J806&lt;=0.2,"16-20%","21%+"))))</x:f>
        <x:v>1-10%</x:v>
      </x:c>
      <x:c r="P806" s="9" t="n">
        <x:f>IF(K806=0,0,L806/K806)</x:f>
        <x:v>0.40701035894965065</x:v>
      </x:c>
      <x:c r="Q806" s="3" t="str">
        <x:f>IF(L806&lt;0,"Yes","No")</x:f>
        <x:v>No</x:v>
      </x:c>
    </x:row>
    <x:row r="807" ht="21" customHeight="1">
      <x:c r="A807" s="3" t="str">
        <x:v>ORD-101307</x:v>
      </x:c>
      <x:c r="B807" s="5" t="n">
        <x:v>45521</x:v>
      </x:c>
      <x:c r="C807" s="3" t="str">
        <x:v>CUST-00204</x:v>
      </x:c>
      <x:c r="D807" s="3" t="str">
        <x:v>North</x:v>
      </x:c>
      <x:c r="E807" s="3" t="str">
        <x:v>Fashion</x:v>
      </x:c>
      <x:c r="F807" s="3" t="str">
        <x:v>Footwear</x:v>
      </x:c>
      <x:c r="G807" s="3" t="str">
        <x:v>RunFlex Sneakers</x:v>
      </x:c>
      <x:c r="H807" s="3" t="n">
        <x:v>1</x:v>
      </x:c>
      <x:c r="I807" s="7" t="n">
        <x:v>2925.68</x:v>
      </x:c>
      <x:c r="J807" s="9" t="n">
        <x:v>0</x:v>
      </x:c>
      <x:c r="K807" s="7" t="n">
        <x:v>2925.68</x:v>
      </x:c>
      <x:c r="L807" s="7" t="n">
        <x:v>1254.26</x:v>
      </x:c>
      <x:c r="M807" s="3" t="str">
        <x:v>Credit Card</x:v>
      </x:c>
      <x:c r="N807" s="3" t="str">
        <x:f>TEXT(B807,"yyyy-mm")</x:f>
        <x:v>2024-08</x:v>
      </x:c>
      <x:c r="O807" s="3" t="str">
        <x:f>IF(J807=0,"No discount",IF(J807&lt;=0.1,"1-10%",IF(J807&lt;=0.15,"11-15%",IF(J807&lt;=0.2,"16-20%","21%+"))))</x:f>
        <x:v>No discount</x:v>
      </x:c>
      <x:c r="P807" s="9" t="n">
        <x:f>IF(K807=0,0,L807/K807)</x:f>
        <x:v>0.428707172349676</x:v>
      </x:c>
      <x:c r="Q807" s="3" t="str">
        <x:f>IF(L807&lt;0,"Yes","No")</x:f>
        <x:v>No</x:v>
      </x:c>
    </x:row>
    <x:row r="808" ht="21" customHeight="1">
      <x:c r="A808" s="3" t="str">
        <x:v>ORD-101837</x:v>
      </x:c>
      <x:c r="B808" s="5" t="n">
        <x:v>45521</x:v>
      </x:c>
      <x:c r="C808" s="3" t="str">
        <x:v>CUST-00218</x:v>
      </x:c>
      <x:c r="D808" s="3" t="str">
        <x:v>North</x:v>
      </x:c>
      <x:c r="E808" s="3" t="str">
        <x:v>Sports</x:v>
      </x:c>
      <x:c r="F808" s="3" t="str">
        <x:v>Fitness</x:v>
      </x:c>
      <x:c r="G808" s="3" t="str">
        <x:v>ProYoga Mat</x:v>
      </x:c>
      <x:c r="H808" s="3" t="n">
        <x:v>2</x:v>
      </x:c>
      <x:c r="I808" s="7" t="n">
        <x:v>1324.7</x:v>
      </x:c>
      <x:c r="J808" s="9" t="n">
        <x:v>0.2</x:v>
      </x:c>
      <x:c r="K808" s="7" t="n">
        <x:v>2119.52</x:v>
      </x:c>
      <x:c r="L808" s="7" t="n">
        <x:v>304.08</x:v>
      </x:c>
      <x:c r="M808" s="3" t="str">
        <x:v>Credit Card</x:v>
      </x:c>
      <x:c r="N808" s="3" t="str">
        <x:f>TEXT(B808,"yyyy-mm")</x:f>
        <x:v>2024-08</x:v>
      </x:c>
      <x:c r="O808" s="3" t="str">
        <x:f>IF(J808=0,"No discount",IF(J808&lt;=0.1,"1-10%",IF(J808&lt;=0.15,"11-15%",IF(J808&lt;=0.2,"16-20%","21%+"))))</x:f>
        <x:v>16-20%</x:v>
      </x:c>
      <x:c r="P808" s="9" t="n">
        <x:f>IF(K808=0,0,L808/K808)</x:f>
        <x:v>0.1434664452328829</x:v>
      </x:c>
      <x:c r="Q808" s="3" t="str">
        <x:f>IF(L808&lt;0,"Yes","No")</x:f>
        <x:v>No</x:v>
      </x:c>
    </x:row>
    <x:row r="809" ht="21" customHeight="1">
      <x:c r="A809" s="3" t="str">
        <x:v>ORD-100473</x:v>
      </x:c>
      <x:c r="B809" s="5" t="n">
        <x:v>45522</x:v>
      </x:c>
      <x:c r="C809" s="3" t="str">
        <x:v>CUST-00274</x:v>
      </x:c>
      <x:c r="D809" s="3" t="str">
        <x:v>West</x:v>
      </x:c>
      <x:c r="E809" s="3" t="str">
        <x:v>Fashion</x:v>
      </x:c>
      <x:c r="F809" s="3" t="str">
        <x:v>Women</x:v>
      </x:c>
      <x:c r="G809" s="3" t="str">
        <x:v>Floral Summer Dress</x:v>
      </x:c>
      <x:c r="H809" s="3" t="n">
        <x:v>1</x:v>
      </x:c>
      <x:c r="I809" s="7" t="n">
        <x:v>1841.7</x:v>
      </x:c>
      <x:c r="J809" s="9" t="n">
        <x:v>0.1</x:v>
      </x:c>
      <x:c r="K809" s="7" t="n">
        <x:v>1657.53</x:v>
      </x:c>
      <x:c r="L809" s="7" t="n">
        <x:v>539</x:v>
      </x:c>
      <x:c r="M809" s="3" t="str">
        <x:v>Debit Card</x:v>
      </x:c>
      <x:c r="N809" s="3" t="str">
        <x:f>TEXT(B809,"yyyy-mm")</x:f>
        <x:v>2024-08</x:v>
      </x:c>
      <x:c r="O809" s="3" t="str">
        <x:f>IF(J809=0,"No discount",IF(J809&lt;=0.1,"1-10%",IF(J809&lt;=0.15,"11-15%",IF(J809&lt;=0.2,"16-20%","21%+"))))</x:f>
        <x:v>1-10%</x:v>
      </x:c>
      <x:c r="P809" s="9" t="n">
        <x:f>IF(K809=0,0,L809/K809)</x:f>
        <x:v>0.3251826512943959</x:v>
      </x:c>
      <x:c r="Q809" s="3" t="str">
        <x:f>IF(L809&lt;0,"Yes","No")</x:f>
        <x:v>No</x:v>
      </x:c>
    </x:row>
    <x:row r="810" ht="21" customHeight="1">
      <x:c r="A810" s="3" t="str">
        <x:v>ORD-101434</x:v>
      </x:c>
      <x:c r="B810" s="5" t="n">
        <x:v>45522</x:v>
      </x:c>
      <x:c r="C810" s="3" t="str">
        <x:v>CUST-00434</x:v>
      </x:c>
      <x:c r="D810" s="3" t="str">
        <x:v>West</x:v>
      </x:c>
      <x:c r="E810" s="3" t="str">
        <x:v>Sports</x:v>
      </x:c>
      <x:c r="F810" s="3" t="str">
        <x:v>Fitness</x:v>
      </x:c>
      <x:c r="G810" s="3" t="str">
        <x:v>ProYoga Mat</x:v>
      </x:c>
      <x:c r="H810" s="3" t="n">
        <x:v>4</x:v>
      </x:c>
      <x:c r="I810" s="7" t="n">
        <x:v>1256.69</x:v>
      </x:c>
      <x:c r="J810" s="9" t="n">
        <x:v>0.1</x:v>
      </x:c>
      <x:c r="K810" s="7" t="n">
        <x:v>4524.08</x:v>
      </x:c>
      <x:c r="L810" s="7" t="n">
        <x:v>1121.91</x:v>
      </x:c>
      <x:c r="M810" s="3" t="str">
        <x:v>Credit Card</x:v>
      </x:c>
      <x:c r="N810" s="3" t="str">
        <x:f>TEXT(B810,"yyyy-mm")</x:f>
        <x:v>2024-08</x:v>
      </x:c>
      <x:c r="O810" s="3" t="str">
        <x:f>IF(J810=0,"No discount",IF(J810&lt;=0.1,"1-10%",IF(J810&lt;=0.15,"11-15%",IF(J810&lt;=0.2,"16-20%","21%+"))))</x:f>
        <x:v>1-10%</x:v>
      </x:c>
      <x:c r="P810" s="9" t="n">
        <x:f>IF(K810=0,0,L810/K810)</x:f>
        <x:v>0.24798633092253014</x:v>
      </x:c>
      <x:c r="Q810" s="3" t="str">
        <x:f>IF(L810&lt;0,"Yes","No")</x:f>
        <x:v>No</x:v>
      </x:c>
    </x:row>
    <x:row r="811" ht="21" customHeight="1">
      <x:c r="A811" s="3" t="str">
        <x:v>ORD-101676</x:v>
      </x:c>
      <x:c r="B811" s="5" t="n">
        <x:v>45522</x:v>
      </x:c>
      <x:c r="C811" s="3" t="str">
        <x:v>CUST-00141</x:v>
      </x:c>
      <x:c r="D811" s="3" t="str">
        <x:v>East</x:v>
      </x:c>
      <x:c r="E811" s="3" t="str">
        <x:v>Beauty</x:v>
      </x:c>
      <x:c r="F811" s="3" t="str">
        <x:v>Makeup</x:v>
      </x:c>
      <x:c r="G811" s="3" t="str">
        <x:v>HD Foundation Kit</x:v>
      </x:c>
      <x:c r="H811" s="3" t="n">
        <x:v>2</x:v>
      </x:c>
      <x:c r="I811" s="7" t="n">
        <x:v>1448.86</x:v>
      </x:c>
      <x:c r="J811" s="9" t="n">
        <x:v>0.4</x:v>
      </x:c>
      <x:c r="K811" s="7" t="n">
        <x:v>1738.63</x:v>
      </x:c>
      <x:c r="L811" s="7" t="n">
        <x:v>208.52</x:v>
      </x:c>
      <x:c r="M811" s="3" t="str">
        <x:v>UPI</x:v>
      </x:c>
      <x:c r="N811" s="3" t="str">
        <x:f>TEXT(B811,"yyyy-mm")</x:f>
        <x:v>2024-08</x:v>
      </x:c>
      <x:c r="O811" s="3" t="str">
        <x:f>IF(J811=0,"No discount",IF(J811&lt;=0.1,"1-10%",IF(J811&lt;=0.15,"11-15%",IF(J811&lt;=0.2,"16-20%","21%+"))))</x:f>
        <x:v>21%+</x:v>
      </x:c>
      <x:c r="P811" s="9" t="n">
        <x:f>IF(K811=0,0,L811/K811)</x:f>
        <x:v>0.1199335108677522</x:v>
      </x:c>
      <x:c r="Q811" s="3" t="str">
        <x:f>IF(L811&lt;0,"Yes","No")</x:f>
        <x:v>No</x:v>
      </x:c>
    </x:row>
    <x:row r="812" ht="21" customHeight="1">
      <x:c r="A812" s="3" t="str">
        <x:v>ORD-100514</x:v>
      </x:c>
      <x:c r="B812" s="5" t="n">
        <x:v>45523</x:v>
      </x:c>
      <x:c r="C812" s="3" t="str">
        <x:v>CUST-00095</x:v>
      </x:c>
      <x:c r="D812" s="3" t="str">
        <x:v>West</x:v>
      </x:c>
      <x:c r="E812" s="3" t="str">
        <x:v>Fashion</x:v>
      </x:c>
      <x:c r="F812" s="3" t="str">
        <x:v>Women</x:v>
      </x:c>
      <x:c r="G812" s="3" t="str">
        <x:v>Floral Summer Dress</x:v>
      </x:c>
      <x:c r="H812" s="3" t="n">
        <x:v>3</x:v>
      </x:c>
      <x:c r="I812" s="7" t="n">
        <x:v>1760.75</x:v>
      </x:c>
      <x:c r="J812" s="9" t="n">
        <x:v>0.1</x:v>
      </x:c>
      <x:c r="K812" s="7" t="n">
        <x:v>4754.03</x:v>
      </x:c>
      <x:c r="L812" s="7" t="n">
        <x:v>1277.9</x:v>
      </x:c>
      <x:c r="M812" s="3" t="str">
        <x:v>UPI</x:v>
      </x:c>
      <x:c r="N812" s="3" t="str">
        <x:f>TEXT(B812,"yyyy-mm")</x:f>
        <x:v>2024-08</x:v>
      </x:c>
      <x:c r="O812" s="3" t="str">
        <x:f>IF(J812=0,"No discount",IF(J812&lt;=0.1,"1-10%",IF(J812&lt;=0.15,"11-15%",IF(J812&lt;=0.2,"16-20%","21%+"))))</x:f>
        <x:v>1-10%</x:v>
      </x:c>
      <x:c r="P812" s="9" t="n">
        <x:f>IF(K812=0,0,L812/K812)</x:f>
        <x:v>0.26880352038165517</x:v>
      </x:c>
      <x:c r="Q812" s="3" t="str">
        <x:f>IF(L812&lt;0,"Yes","No")</x:f>
        <x:v>No</x:v>
      </x:c>
    </x:row>
    <x:row r="813" ht="21" customHeight="1">
      <x:c r="A813" s="3" t="str">
        <x:v>ORD-101185</x:v>
      </x:c>
      <x:c r="B813" s="5" t="n">
        <x:v>45523</x:v>
      </x:c>
      <x:c r="C813" s="3" t="str">
        <x:v>CUST-00033</x:v>
      </x:c>
      <x:c r="D813" s="3" t="str">
        <x:v>South</x:v>
      </x:c>
      <x:c r="E813" s="3" t="str">
        <x:v>Fashion</x:v>
      </x:c>
      <x:c r="F813" s="3" t="str">
        <x:v>Footwear</x:v>
      </x:c>
      <x:c r="G813" s="3" t="str">
        <x:v>RunFlex Sneakers</x:v>
      </x:c>
      <x:c r="H813" s="3" t="n">
        <x:v>2</x:v>
      </x:c>
      <x:c r="I813" s="7" t="n">
        <x:v>2911.75</x:v>
      </x:c>
      <x:c r="J813" s="9" t="n">
        <x:v>0</x:v>
      </x:c>
      <x:c r="K813" s="7" t="n">
        <x:v>5823.5</x:v>
      </x:c>
      <x:c r="L813" s="7" t="n">
        <x:v>2274.72</x:v>
      </x:c>
      <x:c r="M813" s="3" t="str">
        <x:v>Credit Card</x:v>
      </x:c>
      <x:c r="N813" s="3" t="str">
        <x:f>TEXT(B813,"yyyy-mm")</x:f>
        <x:v>2024-08</x:v>
      </x:c>
      <x:c r="O813" s="3" t="str">
        <x:f>IF(J813=0,"No discount",IF(J813&lt;=0.1,"1-10%",IF(J813&lt;=0.15,"11-15%",IF(J813&lt;=0.2,"16-20%","21%+"))))</x:f>
        <x:v>No discount</x:v>
      </x:c>
      <x:c r="P813" s="9" t="n">
        <x:f>IF(K813=0,0,L813/K813)</x:f>
        <x:v>0.3906104576285738</x:v>
      </x:c>
      <x:c r="Q813" s="3" t="str">
        <x:f>IF(L813&lt;0,"Yes","No")</x:f>
        <x:v>No</x:v>
      </x:c>
    </x:row>
    <x:row r="814" ht="21" customHeight="1">
      <x:c r="A814" s="3" t="str">
        <x:v>ORD-101209</x:v>
      </x:c>
      <x:c r="B814" s="5" t="n">
        <x:v>45523</x:v>
      </x:c>
      <x:c r="C814" s="3" t="str">
        <x:v>CUST-00417</x:v>
      </x:c>
      <x:c r="D814" s="3" t="str">
        <x:v>North</x:v>
      </x:c>
      <x:c r="E814" s="3" t="str">
        <x:v>Beauty</x:v>
      </x:c>
      <x:c r="F814" s="3" t="str">
        <x:v>Skincare</x:v>
      </x:c>
      <x:c r="G814" s="3" t="str">
        <x:v>Vitamin C Serum</x:v>
      </x:c>
      <x:c r="H814" s="3" t="n">
        <x:v>1</x:v>
      </x:c>
      <x:c r="I814" s="7" t="n">
        <x:v>915.07</x:v>
      </x:c>
      <x:c r="J814" s="9" t="n">
        <x:v>0</x:v>
      </x:c>
      <x:c r="K814" s="7" t="n">
        <x:v>915.07</x:v>
      </x:c>
      <x:c r="L814" s="7" t="n">
        <x:v>502.75</x:v>
      </x:c>
      <x:c r="M814" s="3" t="str">
        <x:v>Credit Card</x:v>
      </x:c>
      <x:c r="N814" s="3" t="str">
        <x:f>TEXT(B814,"yyyy-mm")</x:f>
        <x:v>2024-08</x:v>
      </x:c>
      <x:c r="O814" s="3" t="str">
        <x:f>IF(J814=0,"No discount",IF(J814&lt;=0.1,"1-10%",IF(J814&lt;=0.15,"11-15%",IF(J814&lt;=0.2,"16-20%","21%+"))))</x:f>
        <x:v>No discount</x:v>
      </x:c>
      <x:c r="P814" s="9" t="n">
        <x:f>IF(K814=0,0,L814/K814)</x:f>
        <x:v>0.549411520430131</x:v>
      </x:c>
      <x:c r="Q814" s="3" t="str">
        <x:f>IF(L814&lt;0,"Yes","No")</x:f>
        <x:v>No</x:v>
      </x:c>
    </x:row>
    <x:row r="815" ht="21" customHeight="1">
      <x:c r="A815" s="3" t="str">
        <x:v>ORD-101732</x:v>
      </x:c>
      <x:c r="B815" s="5" t="n">
        <x:v>45523</x:v>
      </x:c>
      <x:c r="C815" s="3" t="str">
        <x:v>CUST-00482</x:v>
      </x:c>
      <x:c r="D815" s="3" t="str">
        <x:v>North</x:v>
      </x:c>
      <x:c r="E815" s="3" t="str">
        <x:v>Electronics</x:v>
      </x:c>
      <x:c r="F815" s="3" t="str">
        <x:v>Audio</x:v>
      </x:c>
      <x:c r="G815" s="3" t="str">
        <x:v>BassBoom Speaker</x:v>
      </x:c>
      <x:c r="H815" s="3" t="n">
        <x:v>1</x:v>
      </x:c>
      <x:c r="I815" s="7" t="n">
        <x:v>9267.82</x:v>
      </x:c>
      <x:c r="J815" s="9" t="n">
        <x:v>0.4</x:v>
      </x:c>
      <x:c r="K815" s="7" t="n">
        <x:v>5560.69</x:v>
      </x:c>
      <x:c r="L815" s="7" t="n">
        <x:v>-1480.37</x:v>
      </x:c>
      <x:c r="M815" s="3" t="str">
        <x:v>UPI</x:v>
      </x:c>
      <x:c r="N815" s="3" t="str">
        <x:f>TEXT(B815,"yyyy-mm")</x:f>
        <x:v>2024-08</x:v>
      </x:c>
      <x:c r="O815" s="3" t="str">
        <x:f>IF(J815=0,"No discount",IF(J815&lt;=0.1,"1-10%",IF(J815&lt;=0.15,"11-15%",IF(J815&lt;=0.2,"16-20%","21%+"))))</x:f>
        <x:v>21%+</x:v>
      </x:c>
      <x:c r="P815" s="9" t="n">
        <x:f>IF(K815=0,0,L815/K815)</x:f>
        <x:v>-0.2662205589594097</x:v>
      </x:c>
      <x:c r="Q815" s="3" t="str">
        <x:f>IF(L815&lt;0,"Yes","No")</x:f>
        <x:v>Yes</x:v>
      </x:c>
    </x:row>
    <x:row r="816" ht="21" customHeight="1">
      <x:c r="A816" s="3" t="str">
        <x:v>ORD-100830</x:v>
      </x:c>
      <x:c r="B816" s="5" t="n">
        <x:v>45524</x:v>
      </x:c>
      <x:c r="C816" s="3" t="str">
        <x:v>CUST-00151</x:v>
      </x:c>
      <x:c r="D816" s="3" t="str">
        <x:v>North</x:v>
      </x:c>
      <x:c r="E816" s="3" t="str">
        <x:v>Electronics</x:v>
      </x:c>
      <x:c r="F816" s="3" t="str">
        <x:v>Laptop</x:v>
      </x:c>
      <x:c r="G816" s="3" t="str">
        <x:v>AirBook Slim</x:v>
      </x:c>
      <x:c r="H816" s="3" t="n">
        <x:v>4</x:v>
      </x:c>
      <x:c r="I816" s="7" t="n">
        <x:v>77087.28</x:v>
      </x:c>
      <x:c r="J816" s="9" t="n">
        <x:v>0.05</x:v>
      </x:c>
      <x:c r="K816" s="7" t="n">
        <x:v>292931.66</x:v>
      </x:c>
      <x:c r="L816" s="7" t="n">
        <x:v>42603.65</x:v>
      </x:c>
      <x:c r="M816" s="3" t="str">
        <x:v>Credit Card</x:v>
      </x:c>
      <x:c r="N816" s="3" t="str">
        <x:f>TEXT(B816,"yyyy-mm")</x:f>
        <x:v>2024-08</x:v>
      </x:c>
      <x:c r="O816" s="3" t="str">
        <x:f>IF(J816=0,"No discount",IF(J816&lt;=0.1,"1-10%",IF(J816&lt;=0.15,"11-15%",IF(J816&lt;=0.2,"16-20%","21%+"))))</x:f>
        <x:v>1-10%</x:v>
      </x:c>
      <x:c r="P816" s="9" t="n">
        <x:f>IF(K816=0,0,L816/K816)</x:f>
        <x:v>0.14543887130534133</x:v>
      </x:c>
      <x:c r="Q816" s="3" t="str">
        <x:f>IF(L816&lt;0,"Yes","No")</x:f>
        <x:v>No</x:v>
      </x:c>
    </x:row>
    <x:row r="817" ht="21" customHeight="1">
      <x:c r="A817" s="3" t="str">
        <x:v>ORD-101501</x:v>
      </x:c>
      <x:c r="B817" s="5" t="n">
        <x:v>45524</x:v>
      </x:c>
      <x:c r="C817" s="3" t="str">
        <x:v>CUST-00570</x:v>
      </x:c>
      <x:c r="D817" s="3" t="str">
        <x:v>East</x:v>
      </x:c>
      <x:c r="E817" s="3" t="str">
        <x:v>Beauty</x:v>
      </x:c>
      <x:c r="F817" s="3" t="str">
        <x:v>Skincare</x:v>
      </x:c>
      <x:c r="G817" s="3" t="str">
        <x:v>Vitamin C Serum</x:v>
      </x:c>
      <x:c r="H817" s="3" t="n">
        <x:v>1</x:v>
      </x:c>
      <x:c r="I817" s="7" t="n">
        <x:v>892.9</x:v>
      </x:c>
      <x:c r="J817" s="9" t="n">
        <x:v>0.1</x:v>
      </x:c>
      <x:c r="K817" s="7" t="n">
        <x:v>803.61</x:v>
      </x:c>
      <x:c r="L817" s="7" t="n">
        <x:v>370.31</x:v>
      </x:c>
      <x:c r="M817" s="3" t="str">
        <x:v>Cash on Delivery</x:v>
      </x:c>
      <x:c r="N817" s="3" t="str">
        <x:f>TEXT(B817,"yyyy-mm")</x:f>
        <x:v>2024-08</x:v>
      </x:c>
      <x:c r="O817" s="3" t="str">
        <x:f>IF(J817=0,"No discount",IF(J817&lt;=0.1,"1-10%",IF(J817&lt;=0.15,"11-15%",IF(J817&lt;=0.2,"16-20%","21%+"))))</x:f>
        <x:v>1-10%</x:v>
      </x:c>
      <x:c r="P817" s="9" t="n">
        <x:f>IF(K817=0,0,L817/K817)</x:f>
        <x:v>0.4608081034332574</x:v>
      </x:c>
      <x:c r="Q817" s="3" t="str">
        <x:f>IF(L817&lt;0,"Yes","No")</x:f>
        <x:v>No</x:v>
      </x:c>
    </x:row>
    <x:row r="818" ht="21" customHeight="1">
      <x:c r="A818" s="3" t="str">
        <x:v>ORD-101677</x:v>
      </x:c>
      <x:c r="B818" s="5" t="n">
        <x:v>45524</x:v>
      </x:c>
      <x:c r="C818" s="3" t="str">
        <x:v>CUST-00346</x:v>
      </x:c>
      <x:c r="D818" s="3" t="str">
        <x:v>North</x:v>
      </x:c>
      <x:c r="E818" s="3" t="str">
        <x:v>Sports</x:v>
      </x:c>
      <x:c r="F818" s="3" t="str">
        <x:v>Fitness</x:v>
      </x:c>
      <x:c r="G818" s="3" t="str">
        <x:v>Adjustable Dumbbell 24kg</x:v>
      </x:c>
      <x:c r="H818" s="3" t="n">
        <x:v>2</x:v>
      </x:c>
      <x:c r="I818" s="7" t="n">
        <x:v>10014.72</x:v>
      </x:c>
      <x:c r="J818" s="9" t="n">
        <x:v>0</x:v>
      </x:c>
      <x:c r="K818" s="7" t="n">
        <x:v>20029.44</x:v>
      </x:c>
      <x:c r="L818" s="7" t="n">
        <x:v>7986.05</x:v>
      </x:c>
      <x:c r="M818" s="3" t="str">
        <x:v>Credit Card</x:v>
      </x:c>
      <x:c r="N818" s="3" t="str">
        <x:f>TEXT(B818,"yyyy-mm")</x:f>
        <x:v>2024-08</x:v>
      </x:c>
      <x:c r="O818" s="3" t="str">
        <x:f>IF(J818=0,"No discount",IF(J818&lt;=0.1,"1-10%",IF(J818&lt;=0.15,"11-15%",IF(J818&lt;=0.2,"16-20%","21%+"))))</x:f>
        <x:v>No discount</x:v>
      </x:c>
      <x:c r="P818" s="9" t="n">
        <x:f>IF(K818=0,0,L818/K818)</x:f>
        <x:v>0.3987155906505624</x:v>
      </x:c>
      <x:c r="Q818" s="3" t="str">
        <x:f>IF(L818&lt;0,"Yes","No")</x:f>
        <x:v>No</x:v>
      </x:c>
    </x:row>
    <x:row r="819" ht="21" customHeight="1">
      <x:c r="A819" s="3" t="str">
        <x:v>ORD-101782</x:v>
      </x:c>
      <x:c r="B819" s="5" t="n">
        <x:v>45524</x:v>
      </x:c>
      <x:c r="C819" s="3" t="str">
        <x:v>CUST-00451</x:v>
      </x:c>
      <x:c r="D819" s="3" t="str">
        <x:v>West</x:v>
      </x:c>
      <x:c r="E819" s="3" t="str">
        <x:v>Beauty</x:v>
      </x:c>
      <x:c r="F819" s="3" t="str">
        <x:v>Skincare</x:v>
      </x:c>
      <x:c r="G819" s="3" t="str">
        <x:v>HydraBoost Moisturizer</x:v>
      </x:c>
      <x:c r="H819" s="3" t="n">
        <x:v>1</x:v>
      </x:c>
      <x:c r="I819" s="7" t="n">
        <x:v>1243.48</x:v>
      </x:c>
      <x:c r="J819" s="9" t="n">
        <x:v>0.1</x:v>
      </x:c>
      <x:c r="K819" s="7" t="n">
        <x:v>1119.13</x:v>
      </x:c>
      <x:c r="L819" s="7" t="n">
        <x:v>484.01</x:v>
      </x:c>
      <x:c r="M819" s="3" t="str">
        <x:v>UPI</x:v>
      </x:c>
      <x:c r="N819" s="3" t="str">
        <x:f>TEXT(B819,"yyyy-mm")</x:f>
        <x:v>2024-08</x:v>
      </x:c>
      <x:c r="O819" s="3" t="str">
        <x:f>IF(J819=0,"No discount",IF(J819&lt;=0.1,"1-10%",IF(J819&lt;=0.15,"11-15%",IF(J819&lt;=0.2,"16-20%","21%+"))))</x:f>
        <x:v>1-10%</x:v>
      </x:c>
      <x:c r="P819" s="9" t="n">
        <x:f>IF(K819=0,0,L819/K819)</x:f>
        <x:v>0.4324877360092214</x:v>
      </x:c>
      <x:c r="Q819" s="3" t="str">
        <x:f>IF(L819&lt;0,"Yes","No")</x:f>
        <x:v>No</x:v>
      </x:c>
    </x:row>
    <x:row r="820" ht="21" customHeight="1">
      <x:c r="A820" s="3" t="str">
        <x:v>ORD-101804</x:v>
      </x:c>
      <x:c r="B820" s="5" t="n">
        <x:v>45524</x:v>
      </x:c>
      <x:c r="C820" s="3" t="str">
        <x:v>CUST-00308</x:v>
      </x:c>
      <x:c r="D820" s="3" t="str">
        <x:v>East</x:v>
      </x:c>
      <x:c r="E820" s="3" t="str">
        <x:v>Beauty</x:v>
      </x:c>
      <x:c r="F820" s="3" t="str">
        <x:v>Skincare</x:v>
      </x:c>
      <x:c r="G820" s="3" t="str">
        <x:v>Vitamin C Serum</x:v>
      </x:c>
      <x:c r="H820" s="3" t="n">
        <x:v>1</x:v>
      </x:c>
      <x:c r="I820" s="7" t="n">
        <x:v>883.85</x:v>
      </x:c>
      <x:c r="J820" s="9" t="n">
        <x:v>0.2</x:v>
      </x:c>
      <x:c r="K820" s="7" t="n">
        <x:v>707.08</x:v>
      </x:c>
      <x:c r="L820" s="7" t="n">
        <x:v>218.82</x:v>
      </x:c>
      <x:c r="M820" s="3" t="str">
        <x:v>UPI</x:v>
      </x:c>
      <x:c r="N820" s="3" t="str">
        <x:f>TEXT(B820,"yyyy-mm")</x:f>
        <x:v>2024-08</x:v>
      </x:c>
      <x:c r="O820" s="3" t="str">
        <x:f>IF(J820=0,"No discount",IF(J820&lt;=0.1,"1-10%",IF(J820&lt;=0.15,"11-15%",IF(J820&lt;=0.2,"16-20%","21%+"))))</x:f>
        <x:v>16-20%</x:v>
      </x:c>
      <x:c r="P820" s="9" t="n">
        <x:f>IF(K820=0,0,L820/K820)</x:f>
        <x:v>0.30946993268088474</x:v>
      </x:c>
      <x:c r="Q820" s="3" t="str">
        <x:f>IF(L820&lt;0,"Yes","No")</x:f>
        <x:v>No</x:v>
      </x:c>
    </x:row>
    <x:row r="821" ht="21" customHeight="1">
      <x:c r="A821" s="3" t="str">
        <x:v>ORD-101886</x:v>
      </x:c>
      <x:c r="B821" s="5" t="n">
        <x:v>45524</x:v>
      </x:c>
      <x:c r="C821" s="3" t="str">
        <x:v>CUST-00353</x:v>
      </x:c>
      <x:c r="D821" s="3" t="str">
        <x:v>East</x:v>
      </x:c>
      <x:c r="E821" s="3" t="str">
        <x:v>Beauty</x:v>
      </x:c>
      <x:c r="F821" s="3" t="str">
        <x:v>Makeup</x:v>
      </x:c>
      <x:c r="G821" s="3" t="str">
        <x:v>HD Foundation Kit</x:v>
      </x:c>
      <x:c r="H821" s="3" t="n">
        <x:v>5</x:v>
      </x:c>
      <x:c r="I821" s="7" t="n">
        <x:v>1533.04</x:v>
      </x:c>
      <x:c r="J821" s="9" t="n">
        <x:v>0.05</x:v>
      </x:c>
      <x:c r="K821" s="7" t="n">
        <x:v>7281.94</x:v>
      </x:c>
      <x:c r="L821" s="7" t="n">
        <x:v>3632.59</x:v>
      </x:c>
      <x:c r="M821" s="3" t="str">
        <x:v>Net Banking</x:v>
      </x:c>
      <x:c r="N821" s="3" t="str">
        <x:f>TEXT(B821,"yyyy-mm")</x:f>
        <x:v>2024-08</x:v>
      </x:c>
      <x:c r="O821" s="3" t="str">
        <x:f>IF(J821=0,"No discount",IF(J821&lt;=0.1,"1-10%",IF(J821&lt;=0.15,"11-15%",IF(J821&lt;=0.2,"16-20%","21%+"))))</x:f>
        <x:v>1-10%</x:v>
      </x:c>
      <x:c r="P821" s="9" t="n">
        <x:f>IF(K821=0,0,L821/K821)</x:f>
        <x:v>0.4988492077660624</x:v>
      </x:c>
      <x:c r="Q821" s="3" t="str">
        <x:f>IF(L821&lt;0,"Yes","No")</x:f>
        <x:v>No</x:v>
      </x:c>
    </x:row>
    <x:row r="822" ht="21" customHeight="1">
      <x:c r="A822" s="3" t="str">
        <x:v>ORD-100831</x:v>
      </x:c>
      <x:c r="B822" s="5" t="n">
        <x:v>45525</x:v>
      </x:c>
      <x:c r="C822" s="3" t="str">
        <x:v>CUST-00266</x:v>
      </x:c>
      <x:c r="D822" s="3" t="str">
        <x:v>East</x:v>
      </x:c>
      <x:c r="E822" s="3" t="str">
        <x:v>Beauty</x:v>
      </x:c>
      <x:c r="F822" s="3" t="str">
        <x:v>Skincare</x:v>
      </x:c>
      <x:c r="G822" s="3" t="str">
        <x:v>Vitamin C Serum</x:v>
      </x:c>
      <x:c r="H822" s="3" t="n">
        <x:v>1</x:v>
      </x:c>
      <x:c r="I822" s="7" t="n">
        <x:v>915.58</x:v>
      </x:c>
      <x:c r="J822" s="9" t="n">
        <x:v>0</x:v>
      </x:c>
      <x:c r="K822" s="7" t="n">
        <x:v>915.58</x:v>
      </x:c>
      <x:c r="L822" s="7" t="n">
        <x:v>529.98</x:v>
      </x:c>
      <x:c r="M822" s="3" t="str">
        <x:v>UPI</x:v>
      </x:c>
      <x:c r="N822" s="3" t="str">
        <x:f>TEXT(B822,"yyyy-mm")</x:f>
        <x:v>2024-08</x:v>
      </x:c>
      <x:c r="O822" s="3" t="str">
        <x:f>IF(J822=0,"No discount",IF(J822&lt;=0.1,"1-10%",IF(J822&lt;=0.15,"11-15%",IF(J822&lt;=0.2,"16-20%","21%+"))))</x:f>
        <x:v>No discount</x:v>
      </x:c>
      <x:c r="P822" s="9" t="n">
        <x:f>IF(K822=0,0,L822/K822)</x:f>
        <x:v>0.5788461958539942</x:v>
      </x:c>
      <x:c r="Q822" s="3" t="str">
        <x:f>IF(L822&lt;0,"Yes","No")</x:f>
        <x:v>No</x:v>
      </x:c>
    </x:row>
    <x:row r="823" ht="21" customHeight="1">
      <x:c r="A823" s="3" t="str">
        <x:v>ORD-101865</x:v>
      </x:c>
      <x:c r="B823" s="5" t="n">
        <x:v>45525</x:v>
      </x:c>
      <x:c r="C823" s="3" t="str">
        <x:v>CUST-00105</x:v>
      </x:c>
      <x:c r="D823" s="3" t="str">
        <x:v>South</x:v>
      </x:c>
      <x:c r="E823" s="3" t="str">
        <x:v>Beauty</x:v>
      </x:c>
      <x:c r="F823" s="3" t="str">
        <x:v>Makeup</x:v>
      </x:c>
      <x:c r="G823" s="3" t="str">
        <x:v>Matte Lipstick Set</x:v>
      </x:c>
      <x:c r="H823" s="3" t="n">
        <x:v>1</x:v>
      </x:c>
      <x:c r="I823" s="7" t="n">
        <x:v>1021.61</x:v>
      </x:c>
      <x:c r="J823" s="9" t="n">
        <x:v>0</x:v>
      </x:c>
      <x:c r="K823" s="7" t="n">
        <x:v>1021.61</x:v>
      </x:c>
      <x:c r="L823" s="7" t="n">
        <x:v>566.32</x:v>
      </x:c>
      <x:c r="M823" s="3" t="str">
        <x:v>Debit Card</x:v>
      </x:c>
      <x:c r="N823" s="3" t="str">
        <x:f>TEXT(B823,"yyyy-mm")</x:f>
        <x:v>2024-08</x:v>
      </x:c>
      <x:c r="O823" s="3" t="str">
        <x:f>IF(J823=0,"No discount",IF(J823&lt;=0.1,"1-10%",IF(J823&lt;=0.15,"11-15%",IF(J823&lt;=0.2,"16-20%","21%+"))))</x:f>
        <x:v>No discount</x:v>
      </x:c>
      <x:c r="P823" s="9" t="n">
        <x:f>IF(K823=0,0,L823/K823)</x:f>
        <x:v>0.5543406975264534</x:v>
      </x:c>
      <x:c r="Q823" s="3" t="str">
        <x:f>IF(L823&lt;0,"Yes","No")</x:f>
        <x:v>No</x:v>
      </x:c>
    </x:row>
    <x:row r="824" ht="21" customHeight="1">
      <x:c r="A824" s="3" t="str">
        <x:v>ORD-100699</x:v>
      </x:c>
      <x:c r="B824" s="5" t="n">
        <x:v>45526</x:v>
      </x:c>
      <x:c r="C824" s="3" t="str">
        <x:v>CUST-00411</x:v>
      </x:c>
      <x:c r="D824" s="3" t="str">
        <x:v>East</x:v>
      </x:c>
      <x:c r="E824" s="3" t="str">
        <x:v>Fashion</x:v>
      </x:c>
      <x:c r="F824" s="3" t="str">
        <x:v>Women</x:v>
      </x:c>
      <x:c r="G824" s="3" t="str">
        <x:v>Floral Summer Dress</x:v>
      </x:c>
      <x:c r="H824" s="3" t="n">
        <x:v>2</x:v>
      </x:c>
      <x:c r="I824" s="7" t="n">
        <x:v>1741.65</x:v>
      </x:c>
      <x:c r="J824" s="9" t="n">
        <x:v>0.05</x:v>
      </x:c>
      <x:c r="K824" s="7" t="n">
        <x:v>3309.14</x:v>
      </x:c>
      <x:c r="L824" s="7" t="n">
        <x:v>1329.96</x:v>
      </x:c>
      <x:c r="M824" s="3" t="str">
        <x:v>Credit Card</x:v>
      </x:c>
      <x:c r="N824" s="3" t="str">
        <x:f>TEXT(B824,"yyyy-mm")</x:f>
        <x:v>2024-08</x:v>
      </x:c>
      <x:c r="O824" s="3" t="str">
        <x:f>IF(J824=0,"No discount",IF(J824&lt;=0.1,"1-10%",IF(J824&lt;=0.15,"11-15%",IF(J824&lt;=0.2,"16-20%","21%+"))))</x:f>
        <x:v>1-10%</x:v>
      </x:c>
      <x:c r="P824" s="9" t="n">
        <x:f>IF(K824=0,0,L824/K824)</x:f>
        <x:v>0.4019050266836701</x:v>
      </x:c>
      <x:c r="Q824" s="3" t="str">
        <x:f>IF(L824&lt;0,"Yes","No")</x:f>
        <x:v>No</x:v>
      </x:c>
    </x:row>
    <x:row r="825" ht="21" customHeight="1">
      <x:c r="A825" s="3" t="str">
        <x:v>ORD-100858</x:v>
      </x:c>
      <x:c r="B825" s="5" t="n">
        <x:v>45526</x:v>
      </x:c>
      <x:c r="C825" s="3" t="str">
        <x:v>CUST-00166</x:v>
      </x:c>
      <x:c r="D825" s="3" t="str">
        <x:v>North</x:v>
      </x:c>
      <x:c r="E825" s="3" t="str">
        <x:v>Home &amp; Kitchen</x:v>
      </x:c>
      <x:c r="F825" s="3" t="str">
        <x:v>Appliances</x:v>
      </x:c>
      <x:c r="G825" s="3" t="str">
        <x:v>AirFryer Deluxe</x:v>
      </x:c>
      <x:c r="H825" s="3" t="n">
        <x:v>2</x:v>
      </x:c>
      <x:c r="I825" s="7" t="n">
        <x:v>7888.69</x:v>
      </x:c>
      <x:c r="J825" s="9" t="n">
        <x:v>0.05</x:v>
      </x:c>
      <x:c r="K825" s="7" t="n">
        <x:v>14988.51</x:v>
      </x:c>
      <x:c r="L825" s="7" t="n">
        <x:v>3722.77</x:v>
      </x:c>
      <x:c r="M825" s="3" t="str">
        <x:v>Credit Card</x:v>
      </x:c>
      <x:c r="N825" s="3" t="str">
        <x:f>TEXT(B825,"yyyy-mm")</x:f>
        <x:v>2024-08</x:v>
      </x:c>
      <x:c r="O825" s="3" t="str">
        <x:f>IF(J825=0,"No discount",IF(J825&lt;=0.1,"1-10%",IF(J825&lt;=0.15,"11-15%",IF(J825&lt;=0.2,"16-20%","21%+"))))</x:f>
        <x:v>1-10%</x:v>
      </x:c>
      <x:c r="P825" s="9" t="n">
        <x:f>IF(K825=0,0,L825/K825)</x:f>
        <x:v>0.24837492185680898</x:v>
      </x:c>
      <x:c r="Q825" s="3" t="str">
        <x:f>IF(L825&lt;0,"Yes","No")</x:f>
        <x:v>No</x:v>
      </x:c>
    </x:row>
    <x:row r="826" ht="21" customHeight="1">
      <x:c r="A826" s="3" t="str">
        <x:v>ORD-101301</x:v>
      </x:c>
      <x:c r="B826" s="5" t="n">
        <x:v>45526</x:v>
      </x:c>
      <x:c r="C826" s="3" t="str">
        <x:v>CUST-00049</x:v>
      </x:c>
      <x:c r="D826" s="3" t="str">
        <x:v>North</x:v>
      </x:c>
      <x:c r="E826" s="3" t="str">
        <x:v>Electronics</x:v>
      </x:c>
      <x:c r="F826" s="3" t="str">
        <x:v>Laptop</x:v>
      </x:c>
      <x:c r="G826" s="3" t="str">
        <x:v>ThinkPro 14</x:v>
      </x:c>
      <x:c r="H826" s="3" t="n">
        <x:v>1</x:v>
      </x:c>
      <x:c r="I826" s="7" t="n">
        <x:v>52482.52</x:v>
      </x:c>
      <x:c r="J826" s="9" t="n">
        <x:v>0</x:v>
      </x:c>
      <x:c r="K826" s="7" t="n">
        <x:v>52482.52</x:v>
      </x:c>
      <x:c r="L826" s="7" t="n">
        <x:v>9249.36</x:v>
      </x:c>
      <x:c r="M826" s="3" t="str">
        <x:v>Credit Card</x:v>
      </x:c>
      <x:c r="N826" s="3" t="str">
        <x:f>TEXT(B826,"yyyy-mm")</x:f>
        <x:v>2024-08</x:v>
      </x:c>
      <x:c r="O826" s="3" t="str">
        <x:f>IF(J826=0,"No discount",IF(J826&lt;=0.1,"1-10%",IF(J826&lt;=0.15,"11-15%",IF(J826&lt;=0.2,"16-20%","21%+"))))</x:f>
        <x:v>No discount</x:v>
      </x:c>
      <x:c r="P826" s="9" t="n">
        <x:f>IF(K826=0,0,L826/K826)</x:f>
        <x:v>0.17623696423113833</x:v>
      </x:c>
      <x:c r="Q826" s="3" t="str">
        <x:f>IF(L826&lt;0,"Yes","No")</x:f>
        <x:v>No</x:v>
      </x:c>
    </x:row>
    <x:row r="827" ht="21" customHeight="1">
      <x:c r="A827" s="3" t="str">
        <x:v>ORD-101821</x:v>
      </x:c>
      <x:c r="B827" s="5" t="n">
        <x:v>45526</x:v>
      </x:c>
      <x:c r="C827" s="3" t="str">
        <x:v>CUST-00548</x:v>
      </x:c>
      <x:c r="D827" s="3" t="str">
        <x:v>North</x:v>
      </x:c>
      <x:c r="E827" s="3" t="str">
        <x:v>Electronics</x:v>
      </x:c>
      <x:c r="F827" s="3" t="str">
        <x:v>Audio</x:v>
      </x:c>
      <x:c r="G827" s="3" t="str">
        <x:v>BassBoom Speaker</x:v>
      </x:c>
      <x:c r="H827" s="3" t="n">
        <x:v>5</x:v>
      </x:c>
      <x:c r="I827" s="7" t="n">
        <x:v>8734.55</x:v>
      </x:c>
      <x:c r="J827" s="9" t="n">
        <x:v>0</x:v>
      </x:c>
      <x:c r="K827" s="7" t="n">
        <x:v>43672.75</x:v>
      </x:c>
      <x:c r="L827" s="7" t="n">
        <x:v>6408.74</x:v>
      </x:c>
      <x:c r="M827" s="3" t="str">
        <x:v>UPI</x:v>
      </x:c>
      <x:c r="N827" s="3" t="str">
        <x:f>TEXT(B827,"yyyy-mm")</x:f>
        <x:v>2024-08</x:v>
      </x:c>
      <x:c r="O827" s="3" t="str">
        <x:f>IF(J827=0,"No discount",IF(J827&lt;=0.1,"1-10%",IF(J827&lt;=0.15,"11-15%",IF(J827&lt;=0.2,"16-20%","21%+"))))</x:f>
        <x:v>No discount</x:v>
      </x:c>
      <x:c r="P827" s="9" t="n">
        <x:f>IF(K827=0,0,L827/K827)</x:f>
        <x:v>0.14674459474157225</x:v>
      </x:c>
      <x:c r="Q827" s="3" t="str">
        <x:f>IF(L827&lt;0,"Yes","No")</x:f>
        <x:v>No</x:v>
      </x:c>
    </x:row>
    <x:row r="828" ht="21" customHeight="1">
      <x:c r="A828" s="3" t="str">
        <x:v>ORD-100838</x:v>
      </x:c>
      <x:c r="B828" s="5" t="n">
        <x:v>45527</x:v>
      </x:c>
      <x:c r="C828" s="3" t="str">
        <x:v>CUST-00129</x:v>
      </x:c>
      <x:c r="D828" s="3" t="str">
        <x:v>North</x:v>
      </x:c>
      <x:c r="E828" s="3" t="str">
        <x:v>Home &amp; Kitchen</x:v>
      </x:c>
      <x:c r="F828" s="3" t="str">
        <x:v>Furniture</x:v>
      </x:c>
      <x:c r="G828" s="3" t="str">
        <x:v>ErgoComfort Chair</x:v>
      </x:c>
      <x:c r="H828" s="3" t="n">
        <x:v>2</x:v>
      </x:c>
      <x:c r="I828" s="7" t="n">
        <x:v>8875.08</x:v>
      </x:c>
      <x:c r="J828" s="9" t="n">
        <x:v>0</x:v>
      </x:c>
      <x:c r="K828" s="7" t="n">
        <x:v>17750.16</x:v>
      </x:c>
      <x:c r="L828" s="7" t="n">
        <x:v>5835.05</x:v>
      </x:c>
      <x:c r="M828" s="3" t="str">
        <x:v>Debit Card</x:v>
      </x:c>
      <x:c r="N828" s="3" t="str">
        <x:f>TEXT(B828,"yyyy-mm")</x:f>
        <x:v>2024-08</x:v>
      </x:c>
      <x:c r="O828" s="3" t="str">
        <x:f>IF(J828=0,"No discount",IF(J828&lt;=0.1,"1-10%",IF(J828&lt;=0.15,"11-15%",IF(J828&lt;=0.2,"16-20%","21%+"))))</x:f>
        <x:v>No discount</x:v>
      </x:c>
      <x:c r="P828" s="9" t="n">
        <x:f>IF(K828=0,0,L828/K828)</x:f>
        <x:v>0.3287322480473416</x:v>
      </x:c>
      <x:c r="Q828" s="3" t="str">
        <x:f>IF(L828&lt;0,"Yes","No")</x:f>
        <x:v>No</x:v>
      </x:c>
    </x:row>
    <x:row r="829" ht="21" customHeight="1">
      <x:c r="A829" s="3" t="str">
        <x:v>ORD-101068</x:v>
      </x:c>
      <x:c r="B829" s="5" t="n">
        <x:v>45527</x:v>
      </x:c>
      <x:c r="C829" s="3" t="str">
        <x:v>CUST-00259</x:v>
      </x:c>
      <x:c r="D829" s="3" t="str">
        <x:v>South</x:v>
      </x:c>
      <x:c r="E829" s="3" t="str">
        <x:v>Fashion</x:v>
      </x:c>
      <x:c r="F829" s="3" t="str">
        <x:v>Men</x:v>
      </x:c>
      <x:c r="G829" s="3" t="str">
        <x:v>Oxford Casual Shirt</x:v>
      </x:c>
      <x:c r="H829" s="3" t="n">
        <x:v>3</x:v>
      </x:c>
      <x:c r="I829" s="7" t="n">
        <x:v>1349.23</x:v>
      </x:c>
      <x:c r="J829" s="9" t="n">
        <x:v>0.1</x:v>
      </x:c>
      <x:c r="K829" s="7" t="n">
        <x:v>3642.92</x:v>
      </x:c>
      <x:c r="L829" s="7" t="n">
        <x:v>1203.73</x:v>
      </x:c>
      <x:c r="M829" s="3" t="str">
        <x:v>UPI</x:v>
      </x:c>
      <x:c r="N829" s="3" t="str">
        <x:f>TEXT(B829,"yyyy-mm")</x:f>
        <x:v>2024-08</x:v>
      </x:c>
      <x:c r="O829" s="3" t="str">
        <x:f>IF(J829=0,"No discount",IF(J829&lt;=0.1,"1-10%",IF(J829&lt;=0.15,"11-15%",IF(J829&lt;=0.2,"16-20%","21%+"))))</x:f>
        <x:v>1-10%</x:v>
      </x:c>
      <x:c r="P829" s="9" t="n">
        <x:f>IF(K829=0,0,L829/K829)</x:f>
        <x:v>0.3304299847375183</x:v>
      </x:c>
      <x:c r="Q829" s="3" t="str">
        <x:f>IF(L829&lt;0,"Yes","No")</x:f>
        <x:v>No</x:v>
      </x:c>
    </x:row>
    <x:row r="830" ht="21" customHeight="1">
      <x:c r="A830" s="3" t="str">
        <x:v>ORD-101248</x:v>
      </x:c>
      <x:c r="B830" s="5" t="n">
        <x:v>45527</x:v>
      </x:c>
      <x:c r="C830" s="3" t="str">
        <x:v>CUST-00556</x:v>
      </x:c>
      <x:c r="D830" s="3" t="str">
        <x:v>West</x:v>
      </x:c>
      <x:c r="E830" s="3" t="str">
        <x:v>Sports</x:v>
      </x:c>
      <x:c r="F830" s="3" t="str">
        <x:v>Fitness</x:v>
      </x:c>
      <x:c r="G830" s="3" t="str">
        <x:v>Adjustable Dumbbell 24kg</x:v>
      </x:c>
      <x:c r="H830" s="3" t="n">
        <x:v>1</x:v>
      </x:c>
      <x:c r="I830" s="7" t="n">
        <x:v>10040.85</x:v>
      </x:c>
      <x:c r="J830" s="9" t="n">
        <x:v>0.1</x:v>
      </x:c>
      <x:c r="K830" s="7" t="n">
        <x:v>9036.77</x:v>
      </x:c>
      <x:c r="L830" s="7" t="n">
        <x:v>2599.59</x:v>
      </x:c>
      <x:c r="M830" s="3" t="str">
        <x:v>Cash on Delivery</x:v>
      </x:c>
      <x:c r="N830" s="3" t="str">
        <x:f>TEXT(B830,"yyyy-mm")</x:f>
        <x:v>2024-08</x:v>
      </x:c>
      <x:c r="O830" s="3" t="str">
        <x:f>IF(J830=0,"No discount",IF(J830&lt;=0.1,"1-10%",IF(J830&lt;=0.15,"11-15%",IF(J830&lt;=0.2,"16-20%","21%+"))))</x:f>
        <x:v>1-10%</x:v>
      </x:c>
      <x:c r="P830" s="9" t="n">
        <x:f>IF(K830=0,0,L830/K830)</x:f>
        <x:v>0.28766804953539815</x:v>
      </x:c>
      <x:c r="Q830" s="3" t="str">
        <x:f>IF(L830&lt;0,"Yes","No")</x:f>
        <x:v>No</x:v>
      </x:c>
    </x:row>
    <x:row r="831" ht="21" customHeight="1">
      <x:c r="A831" s="3" t="str">
        <x:v>ORD-100505</x:v>
      </x:c>
      <x:c r="B831" s="5" t="n">
        <x:v>45528</x:v>
      </x:c>
      <x:c r="C831" s="3" t="str">
        <x:v>CUST-00138</x:v>
      </x:c>
      <x:c r="D831" s="3" t="str">
        <x:v>North</x:v>
      </x:c>
      <x:c r="E831" s="3" t="str">
        <x:v>Home &amp; Kitchen</x:v>
      </x:c>
      <x:c r="F831" s="3" t="str">
        <x:v>Decor</x:v>
      </x:c>
      <x:c r="G831" s="3" t="str">
        <x:v>LED Wall Lamp</x:v>
      </x:c>
      <x:c r="H831" s="3" t="n">
        <x:v>5</x:v>
      </x:c>
      <x:c r="I831" s="7" t="n">
        <x:v>963.77</x:v>
      </x:c>
      <x:c r="J831" s="9" t="n">
        <x:v>0.05</x:v>
      </x:c>
      <x:c r="K831" s="7" t="n">
        <x:v>4577.91</x:v>
      </x:c>
      <x:c r="L831" s="7" t="n">
        <x:v>1230.87</x:v>
      </x:c>
      <x:c r="M831" s="3" t="str">
        <x:v>Credit Card</x:v>
      </x:c>
      <x:c r="N831" s="3" t="str">
        <x:f>TEXT(B831,"yyyy-mm")</x:f>
        <x:v>2024-08</x:v>
      </x:c>
      <x:c r="O831" s="3" t="str">
        <x:f>IF(J831=0,"No discount",IF(J831&lt;=0.1,"1-10%",IF(J831&lt;=0.15,"11-15%",IF(J831&lt;=0.2,"16-20%","21%+"))))</x:f>
        <x:v>1-10%</x:v>
      </x:c>
      <x:c r="P831" s="9" t="n">
        <x:f>IF(K831=0,0,L831/K831)</x:f>
        <x:v>0.26887160298039936</x:v>
      </x:c>
      <x:c r="Q831" s="3" t="str">
        <x:f>IF(L831&lt;0,"Yes","No")</x:f>
        <x:v>No</x:v>
      </x:c>
    </x:row>
    <x:row r="832" ht="21" customHeight="1">
      <x:c r="A832" s="3" t="str">
        <x:v>ORD-101294</x:v>
      </x:c>
      <x:c r="B832" s="5" t="n">
        <x:v>45528</x:v>
      </x:c>
      <x:c r="C832" s="3" t="str">
        <x:v>CUST-00285</x:v>
      </x:c>
      <x:c r="D832" s="3" t="str">
        <x:v>South</x:v>
      </x:c>
      <x:c r="E832" s="3" t="str">
        <x:v>Home &amp; Kitchen</x:v>
      </x:c>
      <x:c r="F832" s="3" t="str">
        <x:v>Furniture</x:v>
      </x:c>
      <x:c r="G832" s="3" t="str">
        <x:v>Oakwood Study Desk</x:v>
      </x:c>
      <x:c r="H832" s="3" t="n">
        <x:v>1</x:v>
      </x:c>
      <x:c r="I832" s="7" t="n">
        <x:v>13558.2</x:v>
      </x:c>
      <x:c r="J832" s="9" t="n">
        <x:v>0.4</x:v>
      </x:c>
      <x:c r="K832" s="7" t="n">
        <x:v>8134.92</x:v>
      </x:c>
      <x:c r="L832" s="7" t="n">
        <x:v>-1108</x:v>
      </x:c>
      <x:c r="M832" s="3" t="str">
        <x:v>UPI</x:v>
      </x:c>
      <x:c r="N832" s="3" t="str">
        <x:f>TEXT(B832,"yyyy-mm")</x:f>
        <x:v>2024-08</x:v>
      </x:c>
      <x:c r="O832" s="3" t="str">
        <x:f>IF(J832=0,"No discount",IF(J832&lt;=0.1,"1-10%",IF(J832&lt;=0.15,"11-15%",IF(J832&lt;=0.2,"16-20%","21%+"))))</x:f>
        <x:v>21%+</x:v>
      </x:c>
      <x:c r="P832" s="9" t="n">
        <x:f>IF(K832=0,0,L832/K832)</x:f>
        <x:v>-0.13620293745974146</x:v>
      </x:c>
      <x:c r="Q832" s="3" t="str">
        <x:f>IF(L832&lt;0,"Yes","No")</x:f>
        <x:v>Yes</x:v>
      </x:c>
    </x:row>
    <x:row r="833" ht="21" customHeight="1">
      <x:c r="A833" s="3" t="str">
        <x:v>ORD-101579</x:v>
      </x:c>
      <x:c r="B833" s="5" t="n">
        <x:v>45528</x:v>
      </x:c>
      <x:c r="C833" s="3" t="str">
        <x:v>CUST-00571</x:v>
      </x:c>
      <x:c r="D833" s="3" t="str">
        <x:v>South</x:v>
      </x:c>
      <x:c r="E833" s="3" t="str">
        <x:v>Fashion</x:v>
      </x:c>
      <x:c r="F833" s="3" t="str">
        <x:v>Women</x:v>
      </x:c>
      <x:c r="G833" s="3" t="str">
        <x:v>Knit Winter Sweater</x:v>
      </x:c>
      <x:c r="H833" s="3" t="n">
        <x:v>5</x:v>
      </x:c>
      <x:c r="I833" s="7" t="n">
        <x:v>2199.04</x:v>
      </x:c>
      <x:c r="J833" s="9" t="n">
        <x:v>0.25</x:v>
      </x:c>
      <x:c r="K833" s="7" t="n">
        <x:v>8246.4</x:v>
      </x:c>
      <x:c r="L833" s="7" t="n">
        <x:v>940.41</x:v>
      </x:c>
      <x:c r="M833" s="3" t="str">
        <x:v>UPI</x:v>
      </x:c>
      <x:c r="N833" s="3" t="str">
        <x:f>TEXT(B833,"yyyy-mm")</x:f>
        <x:v>2024-08</x:v>
      </x:c>
      <x:c r="O833" s="3" t="str">
        <x:f>IF(J833=0,"No discount",IF(J833&lt;=0.1,"1-10%",IF(J833&lt;=0.15,"11-15%",IF(J833&lt;=0.2,"16-20%","21%+"))))</x:f>
        <x:v>21%+</x:v>
      </x:c>
      <x:c r="P833" s="9" t="n">
        <x:f>IF(K833=0,0,L833/K833)</x:f>
        <x:v>0.11403885331781141</x:v>
      </x:c>
      <x:c r="Q833" s="3" t="str">
        <x:f>IF(L833&lt;0,"Yes","No")</x:f>
        <x:v>No</x:v>
      </x:c>
    </x:row>
    <x:row r="834" ht="21" customHeight="1">
      <x:c r="A834" s="3" t="str">
        <x:v>ORD-101707</x:v>
      </x:c>
      <x:c r="B834" s="5" t="n">
        <x:v>45528</x:v>
      </x:c>
      <x:c r="C834" s="3" t="str">
        <x:v>CUST-00391</x:v>
      </x:c>
      <x:c r="D834" s="3" t="str">
        <x:v>South</x:v>
      </x:c>
      <x:c r="E834" s="3" t="str">
        <x:v>Home &amp; Kitchen</x:v>
      </x:c>
      <x:c r="F834" s="3" t="str">
        <x:v>Appliances</x:v>
      </x:c>
      <x:c r="G834" s="3" t="str">
        <x:v>ColdBrew Coffee Maker</x:v>
      </x:c>
      <x:c r="H834" s="3" t="n">
        <x:v>5</x:v>
      </x:c>
      <x:c r="I834" s="7" t="n">
        <x:v>6414.15</x:v>
      </x:c>
      <x:c r="J834" s="9" t="n">
        <x:v>0</x:v>
      </x:c>
      <x:c r="K834" s="7" t="n">
        <x:v>32070.75</x:v>
      </x:c>
      <x:c r="L834" s="7" t="n">
        <x:v>11709.85</x:v>
      </x:c>
      <x:c r="M834" s="3" t="str">
        <x:v>UPI</x:v>
      </x:c>
      <x:c r="N834" s="3" t="str">
        <x:f>TEXT(B834,"yyyy-mm")</x:f>
        <x:v>2024-08</x:v>
      </x:c>
      <x:c r="O834" s="3" t="str">
        <x:f>IF(J834=0,"No discount",IF(J834&lt;=0.1,"1-10%",IF(J834&lt;=0.15,"11-15%",IF(J834&lt;=0.2,"16-20%","21%+"))))</x:f>
        <x:v>No discount</x:v>
      </x:c>
      <x:c r="P834" s="9" t="n">
        <x:f>IF(K834=0,0,L834/K834)</x:f>
        <x:v>0.3651255427453365</x:v>
      </x:c>
      <x:c r="Q834" s="3" t="str">
        <x:f>IF(L834&lt;0,"Yes","No")</x:f>
        <x:v>No</x:v>
      </x:c>
    </x:row>
    <x:row r="835" ht="21" customHeight="1">
      <x:c r="A835" s="3" t="str">
        <x:v>ORD-101795</x:v>
      </x:c>
      <x:c r="B835" s="5" t="n">
        <x:v>45528</x:v>
      </x:c>
      <x:c r="C835" s="3" t="str">
        <x:v>CUST-00524</x:v>
      </x:c>
      <x:c r="D835" s="3" t="str">
        <x:v>East</x:v>
      </x:c>
      <x:c r="E835" s="3" t="str">
        <x:v>Sports</x:v>
      </x:c>
      <x:c r="F835" s="3" t="str">
        <x:v>Fitness</x:v>
      </x:c>
      <x:c r="G835" s="3" t="str">
        <x:v>ProYoga Mat</x:v>
      </x:c>
      <x:c r="H835" s="3" t="n">
        <x:v>1</x:v>
      </x:c>
      <x:c r="I835" s="7" t="n">
        <x:v>1262.56</x:v>
      </x:c>
      <x:c r="J835" s="9" t="n">
        <x:v>0.1</x:v>
      </x:c>
      <x:c r="K835" s="7" t="n">
        <x:v>1136.3</x:v>
      </x:c>
      <x:c r="L835" s="7" t="n">
        <x:v>326.51</x:v>
      </x:c>
      <x:c r="M835" s="3" t="str">
        <x:v>UPI</x:v>
      </x:c>
      <x:c r="N835" s="3" t="str">
        <x:f>TEXT(B835,"yyyy-mm")</x:f>
        <x:v>2024-08</x:v>
      </x:c>
      <x:c r="O835" s="3" t="str">
        <x:f>IF(J835=0,"No discount",IF(J835&lt;=0.1,"1-10%",IF(J835&lt;=0.15,"11-15%",IF(J835&lt;=0.2,"16-20%","21%+"))))</x:f>
        <x:v>1-10%</x:v>
      </x:c>
      <x:c r="P835" s="9" t="n">
        <x:f>IF(K835=0,0,L835/K835)</x:f>
        <x:v>0.2873448913139136</x:v>
      </x:c>
      <x:c r="Q835" s="3" t="str">
        <x:f>IF(L835&lt;0,"Yes","No")</x:f>
        <x:v>No</x:v>
      </x:c>
    </x:row>
    <x:row r="836" ht="21" customHeight="1">
      <x:c r="A836" s="3" t="str">
        <x:v>ORD-101936</x:v>
      </x:c>
      <x:c r="B836" s="5" t="n">
        <x:v>45528</x:v>
      </x:c>
      <x:c r="C836" s="3" t="str">
        <x:v>CUST-00286</x:v>
      </x:c>
      <x:c r="D836" s="3" t="str">
        <x:v>North</x:v>
      </x:c>
      <x:c r="E836" s="3" t="str">
        <x:v>Beauty</x:v>
      </x:c>
      <x:c r="F836" s="3" t="str">
        <x:v>Skincare</x:v>
      </x:c>
      <x:c r="G836" s="3" t="str">
        <x:v>Vitamin C Serum</x:v>
      </x:c>
      <x:c r="H836" s="3" t="n">
        <x:v>3</x:v>
      </x:c>
      <x:c r="I836" s="7" t="n">
        <x:v>928.12</x:v>
      </x:c>
      <x:c r="J836" s="9" t="n">
        <x:v>0.05</x:v>
      </x:c>
      <x:c r="K836" s="7" t="n">
        <x:v>2645.14</x:v>
      </x:c>
      <x:c r="L836" s="7" t="n">
        <x:v>1401.59</x:v>
      </x:c>
      <x:c r="M836" s="3" t="str">
        <x:v>Credit Card</x:v>
      </x:c>
      <x:c r="N836" s="3" t="str">
        <x:f>TEXT(B836,"yyyy-mm")</x:f>
        <x:v>2024-08</x:v>
      </x:c>
      <x:c r="O836" s="3" t="str">
        <x:f>IF(J836=0,"No discount",IF(J836&lt;=0.1,"1-10%",IF(J836&lt;=0.15,"11-15%",IF(J836&lt;=0.2,"16-20%","21%+"))))</x:f>
        <x:v>1-10%</x:v>
      </x:c>
      <x:c r="P836" s="9" t="n">
        <x:f>IF(K836=0,0,L836/K836)</x:f>
        <x:v>0.5298736550806384</x:v>
      </x:c>
      <x:c r="Q836" s="3" t="str">
        <x:f>IF(L836&lt;0,"Yes","No")</x:f>
        <x:v>No</x:v>
      </x:c>
    </x:row>
    <x:row r="837" ht="21" customHeight="1">
      <x:c r="A837" s="3" t="str">
        <x:v>ORD-100071</x:v>
      </x:c>
      <x:c r="B837" s="5" t="n">
        <x:v>45529</x:v>
      </x:c>
      <x:c r="C837" s="3" t="str">
        <x:v>CUST-00261</x:v>
      </x:c>
      <x:c r="D837" s="3" t="str">
        <x:v>South</x:v>
      </x:c>
      <x:c r="E837" s="3" t="str">
        <x:v>Beauty</x:v>
      </x:c>
      <x:c r="F837" s="3" t="str">
        <x:v>Skincare</x:v>
      </x:c>
      <x:c r="G837" s="3" t="str">
        <x:v>Vitamin C Serum</x:v>
      </x:c>
      <x:c r="H837" s="3" t="n">
        <x:v>1</x:v>
      </x:c>
      <x:c r="I837" s="7" t="n">
        <x:v>888.44</x:v>
      </x:c>
      <x:c r="J837" s="9" t="n">
        <x:v>0.1</x:v>
      </x:c>
      <x:c r="K837" s="7" t="n">
        <x:v>799.6</x:v>
      </x:c>
      <x:c r="L837" s="7" t="n">
        <x:v>359.54</x:v>
      </x:c>
      <x:c r="M837" s="3" t="str">
        <x:v>Credit Card</x:v>
      </x:c>
      <x:c r="N837" s="3" t="str">
        <x:f>TEXT(B837,"yyyy-mm")</x:f>
        <x:v>2024-08</x:v>
      </x:c>
      <x:c r="O837" s="3" t="str">
        <x:f>IF(J837=0,"No discount",IF(J837&lt;=0.1,"1-10%",IF(J837&lt;=0.15,"11-15%",IF(J837&lt;=0.2,"16-20%","21%+"))))</x:f>
        <x:v>1-10%</x:v>
      </x:c>
      <x:c r="P837" s="9" t="n">
        <x:f>IF(K837=0,0,L837/K837)</x:f>
        <x:v>0.44964982491245625</x:v>
      </x:c>
      <x:c r="Q837" s="3" t="str">
        <x:f>IF(L837&lt;0,"Yes","No")</x:f>
        <x:v>No</x:v>
      </x:c>
    </x:row>
    <x:row r="838" ht="21" customHeight="1">
      <x:c r="A838" s="3" t="str">
        <x:v>ORD-100358</x:v>
      </x:c>
      <x:c r="B838" s="5" t="n">
        <x:v>45530</x:v>
      </x:c>
      <x:c r="C838" s="3" t="str">
        <x:v>CUST-00016</x:v>
      </x:c>
      <x:c r="D838" s="3" t="str">
        <x:v>North</x:v>
      </x:c>
      <x:c r="E838" s="3" t="str">
        <x:v>Fashion</x:v>
      </x:c>
      <x:c r="F838" s="3" t="str">
        <x:v>Women</x:v>
      </x:c>
      <x:c r="G838" s="3" t="str">
        <x:v>Floral Summer Dress</x:v>
      </x:c>
      <x:c r="H838" s="3" t="n">
        <x:v>1</x:v>
      </x:c>
      <x:c r="I838" s="7" t="n">
        <x:v>1713.03</x:v>
      </x:c>
      <x:c r="J838" s="9" t="n">
        <x:v>0.3</x:v>
      </x:c>
      <x:c r="K838" s="7" t="n">
        <x:v>1199.12</x:v>
      </x:c>
      <x:c r="L838" s="7" t="n">
        <x:v>135.24</x:v>
      </x:c>
      <x:c r="M838" s="3" t="str">
        <x:v>UPI</x:v>
      </x:c>
      <x:c r="N838" s="3" t="str">
        <x:f>TEXT(B838,"yyyy-mm")</x:f>
        <x:v>2024-08</x:v>
      </x:c>
      <x:c r="O838" s="3" t="str">
        <x:f>IF(J838=0,"No discount",IF(J838&lt;=0.1,"1-10%",IF(J838&lt;=0.15,"11-15%",IF(J838&lt;=0.2,"16-20%","21%+"))))</x:f>
        <x:v>21%+</x:v>
      </x:c>
      <x:c r="P838" s="9" t="n">
        <x:f>IF(K838=0,0,L838/K838)</x:f>
        <x:v>0.1127827073187004</x:v>
      </x:c>
      <x:c r="Q838" s="3" t="str">
        <x:f>IF(L838&lt;0,"Yes","No")</x:f>
        <x:v>No</x:v>
      </x:c>
    </x:row>
    <x:row r="839" ht="21" customHeight="1">
      <x:c r="A839" s="3" t="str">
        <x:v>ORD-100765</x:v>
      </x:c>
      <x:c r="B839" s="5" t="n">
        <x:v>45530</x:v>
      </x:c>
      <x:c r="C839" s="3" t="str">
        <x:v>CUST-00395</x:v>
      </x:c>
      <x:c r="D839" s="3" t="str">
        <x:v>South</x:v>
      </x:c>
      <x:c r="E839" s="3" t="str">
        <x:v>Fashion</x:v>
      </x:c>
      <x:c r="F839" s="3" t="str">
        <x:v>Women</x:v>
      </x:c>
      <x:c r="G839" s="3" t="str">
        <x:v>Floral Summer Dress</x:v>
      </x:c>
      <x:c r="H839" s="3" t="n">
        <x:v>1</x:v>
      </x:c>
      <x:c r="I839" s="7" t="n">
        <x:v>1838</x:v>
      </x:c>
      <x:c r="J839" s="9" t="n">
        <x:v>0.1</x:v>
      </x:c>
      <x:c r="K839" s="7" t="n">
        <x:v>1654.2</x:v>
      </x:c>
      <x:c r="L839" s="7" t="n">
        <x:v>466.65</x:v>
      </x:c>
      <x:c r="M839" s="3" t="str">
        <x:v>UPI</x:v>
      </x:c>
      <x:c r="N839" s="3" t="str">
        <x:f>TEXT(B839,"yyyy-mm")</x:f>
        <x:v>2024-08</x:v>
      </x:c>
      <x:c r="O839" s="3" t="str">
        <x:f>IF(J839=0,"No discount",IF(J839&lt;=0.1,"1-10%",IF(J839&lt;=0.15,"11-15%",IF(J839&lt;=0.2,"16-20%","21%+"))))</x:f>
        <x:v>1-10%</x:v>
      </x:c>
      <x:c r="P839" s="9" t="n">
        <x:f>IF(K839=0,0,L839/K839)</x:f>
        <x:v>0.28210010881392816</x:v>
      </x:c>
      <x:c r="Q839" s="3" t="str">
        <x:f>IF(L839&lt;0,"Yes","No")</x:f>
        <x:v>No</x:v>
      </x:c>
    </x:row>
    <x:row r="840" ht="21" customHeight="1">
      <x:c r="A840" s="3" t="str">
        <x:v>ORD-101636</x:v>
      </x:c>
      <x:c r="B840" s="5" t="n">
        <x:v>45530</x:v>
      </x:c>
      <x:c r="C840" s="3" t="str">
        <x:v>CUST-00180</x:v>
      </x:c>
      <x:c r="D840" s="3" t="str">
        <x:v>South</x:v>
      </x:c>
      <x:c r="E840" s="3" t="str">
        <x:v>Electronics</x:v>
      </x:c>
      <x:c r="F840" s="3" t="str">
        <x:v>Laptop</x:v>
      </x:c>
      <x:c r="G840" s="3" t="str">
        <x:v>ThinkPro 14</x:v>
      </x:c>
      <x:c r="H840" s="3" t="n">
        <x:v>2</x:v>
      </x:c>
      <x:c r="I840" s="7" t="n">
        <x:v>52876.15</x:v>
      </x:c>
      <x:c r="J840" s="9" t="n">
        <x:v>0.1</x:v>
      </x:c>
      <x:c r="K840" s="7" t="n">
        <x:v>95177.07</x:v>
      </x:c>
      <x:c r="L840" s="7" t="n">
        <x:v>4421.58</x:v>
      </x:c>
      <x:c r="M840" s="3" t="str">
        <x:v>Credit Card</x:v>
      </x:c>
      <x:c r="N840" s="3" t="str">
        <x:f>TEXT(B840,"yyyy-mm")</x:f>
        <x:v>2024-08</x:v>
      </x:c>
      <x:c r="O840" s="3" t="str">
        <x:f>IF(J840=0,"No discount",IF(J840&lt;=0.1,"1-10%",IF(J840&lt;=0.15,"11-15%",IF(J840&lt;=0.2,"16-20%","21%+"))))</x:f>
        <x:v>1-10%</x:v>
      </x:c>
      <x:c r="P840" s="9" t="n">
        <x:f>IF(K840=0,0,L840/K840)</x:f>
        <x:v>0.046456357607982675</x:v>
      </x:c>
      <x:c r="Q840" s="3" t="str">
        <x:f>IF(L840&lt;0,"Yes","No")</x:f>
        <x:v>No</x:v>
      </x:c>
    </x:row>
    <x:row r="841" ht="21" customHeight="1">
      <x:c r="A841" s="3" t="str">
        <x:v>ORD-101690</x:v>
      </x:c>
      <x:c r="B841" s="5" t="n">
        <x:v>45530</x:v>
      </x:c>
      <x:c r="C841" s="3" t="str">
        <x:v>CUST-00469</x:v>
      </x:c>
      <x:c r="D841" s="3" t="str">
        <x:v>North</x:v>
      </x:c>
      <x:c r="E841" s="3" t="str">
        <x:v>Beauty</x:v>
      </x:c>
      <x:c r="F841" s="3" t="str">
        <x:v>Skincare</x:v>
      </x:c>
      <x:c r="G841" s="3" t="str">
        <x:v>Vitamin C Serum</x:v>
      </x:c>
      <x:c r="H841" s="3" t="n">
        <x:v>2</x:v>
      </x:c>
      <x:c r="I841" s="7" t="n">
        <x:v>902.28</x:v>
      </x:c>
      <x:c r="J841" s="9" t="n">
        <x:v>0.1</x:v>
      </x:c>
      <x:c r="K841" s="7" t="n">
        <x:v>1624.1</x:v>
      </x:c>
      <x:c r="L841" s="7" t="n">
        <x:v>662.27</x:v>
      </x:c>
      <x:c r="M841" s="3" t="str">
        <x:v>UPI</x:v>
      </x:c>
      <x:c r="N841" s="3" t="str">
        <x:f>TEXT(B841,"yyyy-mm")</x:f>
        <x:v>2024-08</x:v>
      </x:c>
      <x:c r="O841" s="3" t="str">
        <x:f>IF(J841=0,"No discount",IF(J841&lt;=0.1,"1-10%",IF(J841&lt;=0.15,"11-15%",IF(J841&lt;=0.2,"16-20%","21%+"))))</x:f>
        <x:v>1-10%</x:v>
      </x:c>
      <x:c r="P841" s="9" t="n">
        <x:f>IF(K841=0,0,L841/K841)</x:f>
        <x:v>0.40777661474047167</x:v>
      </x:c>
      <x:c r="Q841" s="3" t="str">
        <x:f>IF(L841&lt;0,"Yes","No")</x:f>
        <x:v>No</x:v>
      </x:c>
    </x:row>
    <x:row r="842" ht="21" customHeight="1">
      <x:c r="A842" s="3" t="str">
        <x:v>ORD-100209</x:v>
      </x:c>
      <x:c r="B842" s="5" t="n">
        <x:v>45531</x:v>
      </x:c>
      <x:c r="C842" s="3" t="str">
        <x:v>CUST-00094</x:v>
      </x:c>
      <x:c r="D842" s="3" t="str">
        <x:v>South</x:v>
      </x:c>
      <x:c r="E842" s="3" t="str">
        <x:v>Electronics</x:v>
      </x:c>
      <x:c r="F842" s="3" t="str">
        <x:v>Audio</x:v>
      </x:c>
      <x:c r="G842" s="3" t="str">
        <x:v>BassBoom Speaker</x:v>
      </x:c>
      <x:c r="H842" s="3" t="n">
        <x:v>1</x:v>
      </x:c>
      <x:c r="I842" s="7" t="n">
        <x:v>9362.38</x:v>
      </x:c>
      <x:c r="J842" s="9" t="n">
        <x:v>0.05</x:v>
      </x:c>
      <x:c r="K842" s="7" t="n">
        <x:v>8894.26</x:v>
      </x:c>
      <x:c r="L842" s="7" t="n">
        <x:v>851.55</x:v>
      </x:c>
      <x:c r="M842" s="3" t="str">
        <x:v>UPI</x:v>
      </x:c>
      <x:c r="N842" s="3" t="str">
        <x:f>TEXT(B842,"yyyy-mm")</x:f>
        <x:v>2024-08</x:v>
      </x:c>
      <x:c r="O842" s="3" t="str">
        <x:f>IF(J842=0,"No discount",IF(J842&lt;=0.1,"1-10%",IF(J842&lt;=0.15,"11-15%",IF(J842&lt;=0.2,"16-20%","21%+"))))</x:f>
        <x:v>1-10%</x:v>
      </x:c>
      <x:c r="P842" s="9" t="n">
        <x:f>IF(K842=0,0,L842/K842)</x:f>
        <x:v>0.09574152318461569</x:v>
      </x:c>
      <x:c r="Q842" s="3" t="str">
        <x:f>IF(L842&lt;0,"Yes","No")</x:f>
        <x:v>No</x:v>
      </x:c>
    </x:row>
    <x:row r="843" ht="21" customHeight="1">
      <x:c r="A843" s="3" t="str">
        <x:v>ORD-100569</x:v>
      </x:c>
      <x:c r="B843" s="5" t="n">
        <x:v>45531</x:v>
      </x:c>
      <x:c r="C843" s="3" t="str">
        <x:v>CUST-00292</x:v>
      </x:c>
      <x:c r="D843" s="3" t="str">
        <x:v>East</x:v>
      </x:c>
      <x:c r="E843" s="3" t="str">
        <x:v>Sports</x:v>
      </x:c>
      <x:c r="F843" s="3" t="str">
        <x:v>Outdoor</x:v>
      </x:c>
      <x:c r="G843" s="3" t="str">
        <x:v>TrailHike Backpack 60L</x:v>
      </x:c>
      <x:c r="H843" s="3" t="n">
        <x:v>3</x:v>
      </x:c>
      <x:c r="I843" s="7" t="n">
        <x:v>3521.95</x:v>
      </x:c>
      <x:c r="J843" s="9" t="n">
        <x:v>0.4</x:v>
      </x:c>
      <x:c r="K843" s="7" t="n">
        <x:v>6339.51</x:v>
      </x:c>
      <x:c r="L843" s="7" t="n">
        <x:v>-307.17</x:v>
      </x:c>
      <x:c r="M843" s="3" t="str">
        <x:v>Credit Card</x:v>
      </x:c>
      <x:c r="N843" s="3" t="str">
        <x:f>TEXT(B843,"yyyy-mm")</x:f>
        <x:v>2024-08</x:v>
      </x:c>
      <x:c r="O843" s="3" t="str">
        <x:f>IF(J843=0,"No discount",IF(J843&lt;=0.1,"1-10%",IF(J843&lt;=0.15,"11-15%",IF(J843&lt;=0.2,"16-20%","21%+"))))</x:f>
        <x:v>21%+</x:v>
      </x:c>
      <x:c r="P843" s="9" t="n">
        <x:f>IF(K843=0,0,L843/K843)</x:f>
        <x:v>-0.04845327162509405</x:v>
      </x:c>
      <x:c r="Q843" s="3" t="str">
        <x:f>IF(L843&lt;0,"Yes","No")</x:f>
        <x:v>Yes</x:v>
      </x:c>
    </x:row>
    <x:row r="844" ht="21" customHeight="1">
      <x:c r="A844" s="3" t="str">
        <x:v>ORD-101803</x:v>
      </x:c>
      <x:c r="B844" s="5" t="n">
        <x:v>45531</x:v>
      </x:c>
      <x:c r="C844" s="3" t="str">
        <x:v>CUST-00403</x:v>
      </x:c>
      <x:c r="D844" s="3" t="str">
        <x:v>East</x:v>
      </x:c>
      <x:c r="E844" s="3" t="str">
        <x:v>Electronics</x:v>
      </x:c>
      <x:c r="F844" s="3" t="str">
        <x:v>Laptop</x:v>
      </x:c>
      <x:c r="G844" s="3" t="str">
        <x:v>AirBook Slim</x:v>
      </x:c>
      <x:c r="H844" s="3" t="n">
        <x:v>1</x:v>
      </x:c>
      <x:c r="I844" s="7" t="n">
        <x:v>76314.35</x:v>
      </x:c>
      <x:c r="J844" s="9" t="n">
        <x:v>0.15</x:v>
      </x:c>
      <x:c r="K844" s="7" t="n">
        <x:v>64867.2</x:v>
      </x:c>
      <x:c r="L844" s="7" t="n">
        <x:v>2614.21</x:v>
      </x:c>
      <x:c r="M844" s="3" t="str">
        <x:v>Credit Card</x:v>
      </x:c>
      <x:c r="N844" s="3" t="str">
        <x:f>TEXT(B844,"yyyy-mm")</x:f>
        <x:v>2024-08</x:v>
      </x:c>
      <x:c r="O844" s="3" t="str">
        <x:f>IF(J844=0,"No discount",IF(J844&lt;=0.1,"1-10%",IF(J844&lt;=0.15,"11-15%",IF(J844&lt;=0.2,"16-20%","21%+"))))</x:f>
        <x:v>11-15%</x:v>
      </x:c>
      <x:c r="P844" s="9" t="n">
        <x:f>IF(K844=0,0,L844/K844)</x:f>
        <x:v>0.040300953332346706</x:v>
      </x:c>
      <x:c r="Q844" s="3" t="str">
        <x:f>IF(L844&lt;0,"Yes","No")</x:f>
        <x:v>No</x:v>
      </x:c>
    </x:row>
    <x:row r="845" ht="21" customHeight="1">
      <x:c r="A845" s="3" t="str">
        <x:v>ORD-100311</x:v>
      </x:c>
      <x:c r="B845" s="5" t="n">
        <x:v>45532</x:v>
      </x:c>
      <x:c r="C845" s="3" t="str">
        <x:v>CUST-00072</x:v>
      </x:c>
      <x:c r="D845" s="3" t="str">
        <x:v>South</x:v>
      </x:c>
      <x:c r="E845" s="3" t="str">
        <x:v>Home &amp; Kitchen</x:v>
      </x:c>
      <x:c r="F845" s="3" t="str">
        <x:v>Appliances</x:v>
      </x:c>
      <x:c r="G845" s="3" t="str">
        <x:v>AirFryer Deluxe</x:v>
      </x:c>
      <x:c r="H845" s="3" t="n">
        <x:v>1</x:v>
      </x:c>
      <x:c r="I845" s="7" t="n">
        <x:v>8063.47</x:v>
      </x:c>
      <x:c r="J845" s="9" t="n">
        <x:v>0</x:v>
      </x:c>
      <x:c r="K845" s="7" t="n">
        <x:v>8063.47</x:v>
      </x:c>
      <x:c r="L845" s="7" t="n">
        <x:v>2952.22</x:v>
      </x:c>
      <x:c r="M845" s="3" t="str">
        <x:v>Credit Card</x:v>
      </x:c>
      <x:c r="N845" s="3" t="str">
        <x:f>TEXT(B845,"yyyy-mm")</x:f>
        <x:v>2024-08</x:v>
      </x:c>
      <x:c r="O845" s="3" t="str">
        <x:f>IF(J845=0,"No discount",IF(J845&lt;=0.1,"1-10%",IF(J845&lt;=0.15,"11-15%",IF(J845&lt;=0.2,"16-20%","21%+"))))</x:f>
        <x:v>No discount</x:v>
      </x:c>
      <x:c r="P845" s="9" t="n">
        <x:f>IF(K845=0,0,L845/K845)</x:f>
        <x:v>0.3661227734461714</x:v>
      </x:c>
      <x:c r="Q845" s="3" t="str">
        <x:f>IF(L845&lt;0,"Yes","No")</x:f>
        <x:v>No</x:v>
      </x:c>
    </x:row>
    <x:row r="846" ht="21" customHeight="1">
      <x:c r="A846" s="3" t="str">
        <x:v>ORD-100991</x:v>
      </x:c>
      <x:c r="B846" s="5" t="n">
        <x:v>45532</x:v>
      </x:c>
      <x:c r="C846" s="3" t="str">
        <x:v>CUST-00366</x:v>
      </x:c>
      <x:c r="D846" s="3" t="str">
        <x:v>North</x:v>
      </x:c>
      <x:c r="E846" s="3" t="str">
        <x:v>Beauty</x:v>
      </x:c>
      <x:c r="F846" s="3" t="str">
        <x:v>Makeup</x:v>
      </x:c>
      <x:c r="G846" s="3" t="str">
        <x:v>HD Foundation Kit</x:v>
      </x:c>
      <x:c r="H846" s="3" t="n">
        <x:v>2</x:v>
      </x:c>
      <x:c r="I846" s="7" t="n">
        <x:v>1571.24</x:v>
      </x:c>
      <x:c r="J846" s="9" t="n">
        <x:v>0.15</x:v>
      </x:c>
      <x:c r="K846" s="7" t="n">
        <x:v>2671.11</x:v>
      </x:c>
      <x:c r="L846" s="7" t="n">
        <x:v>1073.18</x:v>
      </x:c>
      <x:c r="M846" s="3" t="str">
        <x:v>UPI</x:v>
      </x:c>
      <x:c r="N846" s="3" t="str">
        <x:f>TEXT(B846,"yyyy-mm")</x:f>
        <x:v>2024-08</x:v>
      </x:c>
      <x:c r="O846" s="3" t="str">
        <x:f>IF(J846=0,"No discount",IF(J846&lt;=0.1,"1-10%",IF(J846&lt;=0.15,"11-15%",IF(J846&lt;=0.2,"16-20%","21%+"))))</x:f>
        <x:v>11-15%</x:v>
      </x:c>
      <x:c r="P846" s="9" t="n">
        <x:f>IF(K846=0,0,L846/K846)</x:f>
        <x:v>0.4017730456626646</x:v>
      </x:c>
      <x:c r="Q846" s="3" t="str">
        <x:f>IF(L846&lt;0,"Yes","No")</x:f>
        <x:v>No</x:v>
      </x:c>
    </x:row>
    <x:row r="847" ht="21" customHeight="1">
      <x:c r="A847" s="3" t="str">
        <x:v>ORD-101061</x:v>
      </x:c>
      <x:c r="B847" s="5" t="n">
        <x:v>45532</x:v>
      </x:c>
      <x:c r="C847" s="3" t="str">
        <x:v>CUST-00369</x:v>
      </x:c>
      <x:c r="D847" s="3" t="str">
        <x:v>North</x:v>
      </x:c>
      <x:c r="E847" s="3" t="str">
        <x:v>Electronics</x:v>
      </x:c>
      <x:c r="F847" s="3" t="str">
        <x:v>Audio</x:v>
      </x:c>
      <x:c r="G847" s="3" t="str">
        <x:v>SoundPods Pro</x:v>
      </x:c>
      <x:c r="H847" s="3" t="n">
        <x:v>2</x:v>
      </x:c>
      <x:c r="I847" s="7" t="n">
        <x:v>4997.34</x:v>
      </x:c>
      <x:c r="J847" s="9" t="n">
        <x:v>0.15</x:v>
      </x:c>
      <x:c r="K847" s="7" t="n">
        <x:v>8495.48</x:v>
      </x:c>
      <x:c r="L847" s="7" t="n">
        <x:v>353.89</x:v>
      </x:c>
      <x:c r="M847" s="3" t="str">
        <x:v>UPI</x:v>
      </x:c>
      <x:c r="N847" s="3" t="str">
        <x:f>TEXT(B847,"yyyy-mm")</x:f>
        <x:v>2024-08</x:v>
      </x:c>
      <x:c r="O847" s="3" t="str">
        <x:f>IF(J847=0,"No discount",IF(J847&lt;=0.1,"1-10%",IF(J847&lt;=0.15,"11-15%",IF(J847&lt;=0.2,"16-20%","21%+"))))</x:f>
        <x:v>11-15%</x:v>
      </x:c>
      <x:c r="P847" s="9" t="n">
        <x:f>IF(K847=0,0,L847/K847)</x:f>
        <x:v>0.04165626898068149</x:v>
      </x:c>
      <x:c r="Q847" s="3" t="str">
        <x:f>IF(L847&lt;0,"Yes","No")</x:f>
        <x:v>No</x:v>
      </x:c>
    </x:row>
    <x:row r="848" ht="21" customHeight="1">
      <x:c r="A848" s="3" t="str">
        <x:v>ORD-101433</x:v>
      </x:c>
      <x:c r="B848" s="5" t="n">
        <x:v>45532</x:v>
      </x:c>
      <x:c r="C848" s="3" t="str">
        <x:v>CUST-00155</x:v>
      </x:c>
      <x:c r="D848" s="3" t="str">
        <x:v>East</x:v>
      </x:c>
      <x:c r="E848" s="3" t="str">
        <x:v>Fashion</x:v>
      </x:c>
      <x:c r="F848" s="3" t="str">
        <x:v>Women</x:v>
      </x:c>
      <x:c r="G848" s="3" t="str">
        <x:v>Floral Summer Dress</x:v>
      </x:c>
      <x:c r="H848" s="3" t="n">
        <x:v>2</x:v>
      </x:c>
      <x:c r="I848" s="7" t="n">
        <x:v>1772.42</x:v>
      </x:c>
      <x:c r="J848" s="9" t="n">
        <x:v>0.3</x:v>
      </x:c>
      <x:c r="K848" s="7" t="n">
        <x:v>2481.39</x:v>
      </x:c>
      <x:c r="L848" s="7" t="n">
        <x:v>264.17</x:v>
      </x:c>
      <x:c r="M848" s="3" t="str">
        <x:v>UPI</x:v>
      </x:c>
      <x:c r="N848" s="3" t="str">
        <x:f>TEXT(B848,"yyyy-mm")</x:f>
        <x:v>2024-08</x:v>
      </x:c>
      <x:c r="O848" s="3" t="str">
        <x:f>IF(J848=0,"No discount",IF(J848&lt;=0.1,"1-10%",IF(J848&lt;=0.15,"11-15%",IF(J848&lt;=0.2,"16-20%","21%+"))))</x:f>
        <x:v>21%+</x:v>
      </x:c>
      <x:c r="P848" s="9" t="n">
        <x:f>IF(K848=0,0,L848/K848)</x:f>
        <x:v>0.10646049190171639</x:v>
      </x:c>
      <x:c r="Q848" s="3" t="str">
        <x:f>IF(L848&lt;0,"Yes","No")</x:f>
        <x:v>No</x:v>
      </x:c>
    </x:row>
    <x:row r="849" ht="21" customHeight="1">
      <x:c r="A849" s="3" t="str">
        <x:v>ORD-101935</x:v>
      </x:c>
      <x:c r="B849" s="5" t="n">
        <x:v>45532</x:v>
      </x:c>
      <x:c r="C849" s="3" t="str">
        <x:v>CUST-00455</x:v>
      </x:c>
      <x:c r="D849" s="3" t="str">
        <x:v>South</x:v>
      </x:c>
      <x:c r="E849" s="3" t="str">
        <x:v>Sports</x:v>
      </x:c>
      <x:c r="F849" s="3" t="str">
        <x:v>Fitness</x:v>
      </x:c>
      <x:c r="G849" s="3" t="str">
        <x:v>ProYoga Mat</x:v>
      </x:c>
      <x:c r="H849" s="3" t="n">
        <x:v>1</x:v>
      </x:c>
      <x:c r="I849" s="7" t="n">
        <x:v>1327.89</x:v>
      </x:c>
      <x:c r="J849" s="9" t="n">
        <x:v>0</x:v>
      </x:c>
      <x:c r="K849" s="7" t="n">
        <x:v>1327.89</x:v>
      </x:c>
      <x:c r="L849" s="7" t="n">
        <x:v>514.09</x:v>
      </x:c>
      <x:c r="M849" s="3" t="str">
        <x:v>Credit Card</x:v>
      </x:c>
      <x:c r="N849" s="3" t="str">
        <x:f>TEXT(B849,"yyyy-mm")</x:f>
        <x:v>2024-08</x:v>
      </x:c>
      <x:c r="O849" s="3" t="str">
        <x:f>IF(J849=0,"No discount",IF(J849&lt;=0.1,"1-10%",IF(J849&lt;=0.15,"11-15%",IF(J849&lt;=0.2,"16-20%","21%+"))))</x:f>
        <x:v>No discount</x:v>
      </x:c>
      <x:c r="P849" s="9" t="n">
        <x:f>IF(K849=0,0,L849/K849)</x:f>
        <x:v>0.38714803183998675</x:v>
      </x:c>
      <x:c r="Q849" s="3" t="str">
        <x:f>IF(L849&lt;0,"Yes","No")</x:f>
        <x:v>No</x:v>
      </x:c>
    </x:row>
    <x:row r="850" ht="21" customHeight="1">
      <x:c r="A850" s="3" t="str">
        <x:v>ORD-100362</x:v>
      </x:c>
      <x:c r="B850" s="5" t="n">
        <x:v>45533</x:v>
      </x:c>
      <x:c r="C850" s="3" t="str">
        <x:v>CUST-00333</x:v>
      </x:c>
      <x:c r="D850" s="3" t="str">
        <x:v>East</x:v>
      </x:c>
      <x:c r="E850" s="3" t="str">
        <x:v>Beauty</x:v>
      </x:c>
      <x:c r="F850" s="3" t="str">
        <x:v>Skincare</x:v>
      </x:c>
      <x:c r="G850" s="3" t="str">
        <x:v>HydraBoost Moisturizer</x:v>
      </x:c>
      <x:c r="H850" s="3" t="n">
        <x:v>1</x:v>
      </x:c>
      <x:c r="I850" s="7" t="n">
        <x:v>1182.27</x:v>
      </x:c>
      <x:c r="J850" s="9" t="n">
        <x:v>0</x:v>
      </x:c>
      <x:c r="K850" s="7" t="n">
        <x:v>1182.27</x:v>
      </x:c>
      <x:c r="L850" s="7" t="n">
        <x:v>607.88</x:v>
      </x:c>
      <x:c r="M850" s="3" t="str">
        <x:v>Cash on Delivery</x:v>
      </x:c>
      <x:c r="N850" s="3" t="str">
        <x:f>TEXT(B850,"yyyy-mm")</x:f>
        <x:v>2024-08</x:v>
      </x:c>
      <x:c r="O850" s="3" t="str">
        <x:f>IF(J850=0,"No discount",IF(J850&lt;=0.1,"1-10%",IF(J850&lt;=0.15,"11-15%",IF(J850&lt;=0.2,"16-20%","21%+"))))</x:f>
        <x:v>No discount</x:v>
      </x:c>
      <x:c r="P850" s="9" t="n">
        <x:f>IF(K850=0,0,L850/K850)</x:f>
        <x:v>0.5141634313650858</x:v>
      </x:c>
      <x:c r="Q850" s="3" t="str">
        <x:f>IF(L850&lt;0,"Yes","No")</x:f>
        <x:v>No</x:v>
      </x:c>
    </x:row>
    <x:row r="851" ht="21" customHeight="1">
      <x:c r="A851" s="3" t="str">
        <x:v>ORD-100525</x:v>
      </x:c>
      <x:c r="B851" s="5" t="n">
        <x:v>45533</x:v>
      </x:c>
      <x:c r="C851" s="3" t="str">
        <x:v>CUST-00165</x:v>
      </x:c>
      <x:c r="D851" s="3" t="str">
        <x:v>West</x:v>
      </x:c>
      <x:c r="E851" s="3" t="str">
        <x:v>Electronics</x:v>
      </x:c>
      <x:c r="F851" s="3" t="str">
        <x:v>Audio</x:v>
      </x:c>
      <x:c r="G851" s="3" t="str">
        <x:v>SoundPods Pro</x:v>
      </x:c>
      <x:c r="H851" s="3" t="n">
        <x:v>3</x:v>
      </x:c>
      <x:c r="I851" s="7" t="n">
        <x:v>5203.85</x:v>
      </x:c>
      <x:c r="J851" s="9" t="n">
        <x:v>0.05</x:v>
      </x:c>
      <x:c r="K851" s="7" t="n">
        <x:v>14830.97</x:v>
      </x:c>
      <x:c r="L851" s="7" t="n">
        <x:v>1689.81</x:v>
      </x:c>
      <x:c r="M851" s="3" t="str">
        <x:v>UPI</x:v>
      </x:c>
      <x:c r="N851" s="3" t="str">
        <x:f>TEXT(B851,"yyyy-mm")</x:f>
        <x:v>2024-08</x:v>
      </x:c>
      <x:c r="O851" s="3" t="str">
        <x:f>IF(J851=0,"No discount",IF(J851&lt;=0.1,"1-10%",IF(J851&lt;=0.15,"11-15%",IF(J851&lt;=0.2,"16-20%","21%+"))))</x:f>
        <x:v>1-10%</x:v>
      </x:c>
      <x:c r="P851" s="9" t="n">
        <x:f>IF(K851=0,0,L851/K851)</x:f>
        <x:v>0.1139379285373782</x:v>
      </x:c>
      <x:c r="Q851" s="3" t="str">
        <x:f>IF(L851&lt;0,"Yes","No")</x:f>
        <x:v>No</x:v>
      </x:c>
    </x:row>
    <x:row r="852" ht="21" customHeight="1">
      <x:c r="A852" s="3" t="str">
        <x:v>ORD-101260</x:v>
      </x:c>
      <x:c r="B852" s="5" t="n">
        <x:v>45533</x:v>
      </x:c>
      <x:c r="C852" s="3" t="str">
        <x:v>CUST-00039</x:v>
      </x:c>
      <x:c r="D852" s="3" t="str">
        <x:v>West</x:v>
      </x:c>
      <x:c r="E852" s="3" t="str">
        <x:v>Beauty</x:v>
      </x:c>
      <x:c r="F852" s="3" t="str">
        <x:v>Skincare</x:v>
      </x:c>
      <x:c r="G852" s="3" t="str">
        <x:v>Vitamin C Serum</x:v>
      </x:c>
      <x:c r="H852" s="3" t="n">
        <x:v>4</x:v>
      </x:c>
      <x:c r="I852" s="7" t="n">
        <x:v>868.87</x:v>
      </x:c>
      <x:c r="J852" s="9" t="n">
        <x:v>0.1</x:v>
      </x:c>
      <x:c r="K852" s="7" t="n">
        <x:v>3127.93</x:v>
      </x:c>
      <x:c r="L852" s="7" t="n">
        <x:v>1285.37</x:v>
      </x:c>
      <x:c r="M852" s="3" t="str">
        <x:v>UPI</x:v>
      </x:c>
      <x:c r="N852" s="3" t="str">
        <x:f>TEXT(B852,"yyyy-mm")</x:f>
        <x:v>2024-08</x:v>
      </x:c>
      <x:c r="O852" s="3" t="str">
        <x:f>IF(J852=0,"No discount",IF(J852&lt;=0.1,"1-10%",IF(J852&lt;=0.15,"11-15%",IF(J852&lt;=0.2,"16-20%","21%+"))))</x:f>
        <x:v>1-10%</x:v>
      </x:c>
      <x:c r="P852" s="9" t="n">
        <x:f>IF(K852=0,0,L852/K852)</x:f>
        <x:v>0.410933109116892</x:v>
      </x:c>
      <x:c r="Q852" s="3" t="str">
        <x:f>IF(L852&lt;0,"Yes","No")</x:f>
        <x:v>No</x:v>
      </x:c>
    </x:row>
    <x:row r="853" ht="21" customHeight="1">
      <x:c r="A853" s="3" t="str">
        <x:v>ORD-101276</x:v>
      </x:c>
      <x:c r="B853" s="5" t="n">
        <x:v>45533</x:v>
      </x:c>
      <x:c r="C853" s="3" t="str">
        <x:v>CUST-00148</x:v>
      </x:c>
      <x:c r="D853" s="3" t="str">
        <x:v>East</x:v>
      </x:c>
      <x:c r="E853" s="3" t="str">
        <x:v>Fashion</x:v>
      </x:c>
      <x:c r="F853" s="3" t="str">
        <x:v>Footwear</x:v>
      </x:c>
      <x:c r="G853" s="3" t="str">
        <x:v>RunFlex Sneakers</x:v>
      </x:c>
      <x:c r="H853" s="3" t="n">
        <x:v>2</x:v>
      </x:c>
      <x:c r="I853" s="7" t="n">
        <x:v>3135.56</x:v>
      </x:c>
      <x:c r="J853" s="9" t="n">
        <x:v>0.2</x:v>
      </x:c>
      <x:c r="K853" s="7" t="n">
        <x:v>5016.9</x:v>
      </x:c>
      <x:c r="L853" s="7" t="n">
        <x:v>1046.65</x:v>
      </x:c>
      <x:c r="M853" s="3" t="str">
        <x:v>Credit Card</x:v>
      </x:c>
      <x:c r="N853" s="3" t="str">
        <x:f>TEXT(B853,"yyyy-mm")</x:f>
        <x:v>2024-08</x:v>
      </x:c>
      <x:c r="O853" s="3" t="str">
        <x:f>IF(J853=0,"No discount",IF(J853&lt;=0.1,"1-10%",IF(J853&lt;=0.15,"11-15%",IF(J853&lt;=0.2,"16-20%","21%+"))))</x:f>
        <x:v>16-20%</x:v>
      </x:c>
      <x:c r="P853" s="9" t="n">
        <x:f>IF(K853=0,0,L853/K853)</x:f>
        <x:v>0.20862484801371367</x:v>
      </x:c>
      <x:c r="Q853" s="3" t="str">
        <x:f>IF(L853&lt;0,"Yes","No")</x:f>
        <x:v>No</x:v>
      </x:c>
    </x:row>
    <x:row r="854" ht="21" customHeight="1">
      <x:c r="A854" s="3" t="str">
        <x:v>ORD-101523</x:v>
      </x:c>
      <x:c r="B854" s="5" t="n">
        <x:v>45533</x:v>
      </x:c>
      <x:c r="C854" s="3" t="str">
        <x:v>CUST-00302</x:v>
      </x:c>
      <x:c r="D854" s="3" t="str">
        <x:v>North</x:v>
      </x:c>
      <x:c r="E854" s="3" t="str">
        <x:v>Sports</x:v>
      </x:c>
      <x:c r="F854" s="3" t="str">
        <x:v>Fitness</x:v>
      </x:c>
      <x:c r="G854" s="3" t="str">
        <x:v>Adjustable Dumbbell 24kg</x:v>
      </x:c>
      <x:c r="H854" s="3" t="n">
        <x:v>4</x:v>
      </x:c>
      <x:c r="I854" s="7" t="n">
        <x:v>9683.27</x:v>
      </x:c>
      <x:c r="J854" s="9" t="n">
        <x:v>0.15</x:v>
      </x:c>
      <x:c r="K854" s="7" t="n">
        <x:v>32923.12</x:v>
      </x:c>
      <x:c r="L854" s="7" t="n">
        <x:v>7766.85</x:v>
      </x:c>
      <x:c r="M854" s="3" t="str">
        <x:v>UPI</x:v>
      </x:c>
      <x:c r="N854" s="3" t="str">
        <x:f>TEXT(B854,"yyyy-mm")</x:f>
        <x:v>2024-08</x:v>
      </x:c>
      <x:c r="O854" s="3" t="str">
        <x:f>IF(J854=0,"No discount",IF(J854&lt;=0.1,"1-10%",IF(J854&lt;=0.15,"11-15%",IF(J854&lt;=0.2,"16-20%","21%+"))))</x:f>
        <x:v>11-15%</x:v>
      </x:c>
      <x:c r="P854" s="9" t="n">
        <x:f>IF(K854=0,0,L854/K854)</x:f>
        <x:v>0.23590868666153147</x:v>
      </x:c>
      <x:c r="Q854" s="3" t="str">
        <x:f>IF(L854&lt;0,"Yes","No")</x:f>
        <x:v>No</x:v>
      </x:c>
    </x:row>
    <x:row r="855" ht="21" customHeight="1">
      <x:c r="A855" s="3" t="str">
        <x:v>ORD-100202</x:v>
      </x:c>
      <x:c r="B855" s="5" t="n">
        <x:v>45534</x:v>
      </x:c>
      <x:c r="C855" s="3" t="str">
        <x:v>CUST-00360</x:v>
      </x:c>
      <x:c r="D855" s="3" t="str">
        <x:v>West</x:v>
      </x:c>
      <x:c r="E855" s="3" t="str">
        <x:v>Electronics</x:v>
      </x:c>
      <x:c r="F855" s="3" t="str">
        <x:v>Audio</x:v>
      </x:c>
      <x:c r="G855" s="3" t="str">
        <x:v>SoundPods Pro</x:v>
      </x:c>
      <x:c r="H855" s="3" t="n">
        <x:v>1</x:v>
      </x:c>
      <x:c r="I855" s="7" t="n">
        <x:v>4973.87</x:v>
      </x:c>
      <x:c r="J855" s="9" t="n">
        <x:v>0.4</x:v>
      </x:c>
      <x:c r="K855" s="7" t="n">
        <x:v>2984.32</x:v>
      </x:c>
      <x:c r="L855" s="7" t="n">
        <x:v>-871.76</x:v>
      </x:c>
      <x:c r="M855" s="3" t="str">
        <x:v>Credit Card</x:v>
      </x:c>
      <x:c r="N855" s="3" t="str">
        <x:f>TEXT(B855,"yyyy-mm")</x:f>
        <x:v>2024-08</x:v>
      </x:c>
      <x:c r="O855" s="3" t="str">
        <x:f>IF(J855=0,"No discount",IF(J855&lt;=0.1,"1-10%",IF(J855&lt;=0.15,"11-15%",IF(J855&lt;=0.2,"16-20%","21%+"))))</x:f>
        <x:v>21%+</x:v>
      </x:c>
      <x:c r="P855" s="9" t="n">
        <x:f>IF(K855=0,0,L855/K855)</x:f>
        <x:v>-0.29211344627921937</x:v>
      </x:c>
      <x:c r="Q855" s="3" t="str">
        <x:f>IF(L855&lt;0,"Yes","No")</x:f>
        <x:v>Yes</x:v>
      </x:c>
    </x:row>
    <x:row r="856" ht="21" customHeight="1">
      <x:c r="A856" s="3" t="str">
        <x:v>ORD-101182</x:v>
      </x:c>
      <x:c r="B856" s="5" t="n">
        <x:v>45534</x:v>
      </x:c>
      <x:c r="C856" s="3" t="str">
        <x:v>CUST-00096</x:v>
      </x:c>
      <x:c r="D856" s="3" t="str">
        <x:v>North</x:v>
      </x:c>
      <x:c r="E856" s="3" t="str">
        <x:v>Home &amp; Kitchen</x:v>
      </x:c>
      <x:c r="F856" s="3" t="str">
        <x:v>Furniture</x:v>
      </x:c>
      <x:c r="G856" s="3" t="str">
        <x:v>ErgoComfort Chair</x:v>
      </x:c>
      <x:c r="H856" s="3" t="n">
        <x:v>1</x:v>
      </x:c>
      <x:c r="I856" s="7" t="n">
        <x:v>9078.75</x:v>
      </x:c>
      <x:c r="J856" s="9" t="n">
        <x:v>0</x:v>
      </x:c>
      <x:c r="K856" s="7" t="n">
        <x:v>9078.75</x:v>
      </x:c>
      <x:c r="L856" s="7" t="n">
        <x:v>2959.55</x:v>
      </x:c>
      <x:c r="M856" s="3" t="str">
        <x:v>UPI</x:v>
      </x:c>
      <x:c r="N856" s="3" t="str">
        <x:f>TEXT(B856,"yyyy-mm")</x:f>
        <x:v>2024-08</x:v>
      </x:c>
      <x:c r="O856" s="3" t="str">
        <x:f>IF(J856=0,"No discount",IF(J856&lt;=0.1,"1-10%",IF(J856&lt;=0.15,"11-15%",IF(J856&lt;=0.2,"16-20%","21%+"))))</x:f>
        <x:v>No discount</x:v>
      </x:c>
      <x:c r="P856" s="9" t="n">
        <x:f>IF(K856=0,0,L856/K856)</x:f>
        <x:v>0.3259865069530497</x:v>
      </x:c>
      <x:c r="Q856" s="3" t="str">
        <x:f>IF(L856&lt;0,"Yes","No")</x:f>
        <x:v>No</x:v>
      </x:c>
    </x:row>
    <x:row r="857" ht="21" customHeight="1">
      <x:c r="A857" s="3" t="str">
        <x:v>ORD-100440</x:v>
      </x:c>
      <x:c r="B857" s="5" t="n">
        <x:v>45535</x:v>
      </x:c>
      <x:c r="C857" s="3" t="str">
        <x:v>CUST-00172</x:v>
      </x:c>
      <x:c r="D857" s="3" t="str">
        <x:v>West</x:v>
      </x:c>
      <x:c r="E857" s="3" t="str">
        <x:v>Sports</x:v>
      </x:c>
      <x:c r="F857" s="3" t="str">
        <x:v>Outdoor</x:v>
      </x:c>
      <x:c r="G857" s="3" t="str">
        <x:v>TrailHike Backpack 60L</x:v>
      </x:c>
      <x:c r="H857" s="3" t="n">
        <x:v>1</x:v>
      </x:c>
      <x:c r="I857" s="7" t="n">
        <x:v>3493.72</x:v>
      </x:c>
      <x:c r="J857" s="9" t="n">
        <x:v>0.15</x:v>
      </x:c>
      <x:c r="K857" s="7" t="n">
        <x:v>2969.66</x:v>
      </x:c>
      <x:c r="L857" s="7" t="n">
        <x:v>687.33</x:v>
      </x:c>
      <x:c r="M857" s="3" t="str">
        <x:v>UPI</x:v>
      </x:c>
      <x:c r="N857" s="3" t="str">
        <x:f>TEXT(B857,"yyyy-mm")</x:f>
        <x:v>2024-08</x:v>
      </x:c>
      <x:c r="O857" s="3" t="str">
        <x:f>IF(J857=0,"No discount",IF(J857&lt;=0.1,"1-10%",IF(J857&lt;=0.15,"11-15%",IF(J857&lt;=0.2,"16-20%","21%+"))))</x:f>
        <x:v>11-15%</x:v>
      </x:c>
      <x:c r="P857" s="9" t="n">
        <x:f>IF(K857=0,0,L857/K857)</x:f>
        <x:v>0.23145073846837688</x:v>
      </x:c>
      <x:c r="Q857" s="3" t="str">
        <x:f>IF(L857&lt;0,"Yes","No")</x:f>
        <x:v>No</x:v>
      </x:c>
    </x:row>
    <x:row r="858" ht="21" customHeight="1">
      <x:c r="A858" s="3" t="str">
        <x:v>ORD-100521</x:v>
      </x:c>
      <x:c r="B858" s="5" t="n">
        <x:v>45535</x:v>
      </x:c>
      <x:c r="C858" s="3" t="str">
        <x:v>CUST-00321</x:v>
      </x:c>
      <x:c r="D858" s="3" t="str">
        <x:v>North</x:v>
      </x:c>
      <x:c r="E858" s="3" t="str">
        <x:v>Fashion</x:v>
      </x:c>
      <x:c r="F858" s="3" t="str">
        <x:v>Men</x:v>
      </x:c>
      <x:c r="G858" s="3" t="str">
        <x:v>SlimFit Denim Jeans</x:v>
      </x:c>
      <x:c r="H858" s="3" t="n">
        <x:v>1</x:v>
      </x:c>
      <x:c r="I858" s="7" t="n">
        <x:v>2088.89</x:v>
      </x:c>
      <x:c r="J858" s="9" t="n">
        <x:v>0.2</x:v>
      </x:c>
      <x:c r="K858" s="7" t="n">
        <x:v>1671.11</x:v>
      </x:c>
      <x:c r="L858" s="7" t="n">
        <x:v>375.21</x:v>
      </x:c>
      <x:c r="M858" s="3" t="str">
        <x:v>Net Banking</x:v>
      </x:c>
      <x:c r="N858" s="3" t="str">
        <x:f>TEXT(B858,"yyyy-mm")</x:f>
        <x:v>2024-08</x:v>
      </x:c>
      <x:c r="O858" s="3" t="str">
        <x:f>IF(J858=0,"No discount",IF(J858&lt;=0.1,"1-10%",IF(J858&lt;=0.15,"11-15%",IF(J858&lt;=0.2,"16-20%","21%+"))))</x:f>
        <x:v>16-20%</x:v>
      </x:c>
      <x:c r="P858" s="9" t="n">
        <x:f>IF(K858=0,0,L858/K858)</x:f>
        <x:v>0.2245274099251396</x:v>
      </x:c>
      <x:c r="Q858" s="3" t="str">
        <x:f>IF(L858&lt;0,"Yes","No")</x:f>
        <x:v>No</x:v>
      </x:c>
    </x:row>
    <x:row r="859" ht="21" customHeight="1">
      <x:c r="A859" s="3" t="str">
        <x:v>ORD-100966</x:v>
      </x:c>
      <x:c r="B859" s="5" t="n">
        <x:v>45535</x:v>
      </x:c>
      <x:c r="C859" s="3" t="str">
        <x:v>CUST-00331</x:v>
      </x:c>
      <x:c r="D859" s="3" t="str">
        <x:v>West</x:v>
      </x:c>
      <x:c r="E859" s="3" t="str">
        <x:v>Fashion</x:v>
      </x:c>
      <x:c r="F859" s="3" t="str">
        <x:v>Footwear</x:v>
      </x:c>
      <x:c r="G859" s="3" t="str">
        <x:v>RunFlex Sneakers</x:v>
      </x:c>
      <x:c r="H859" s="3" t="n">
        <x:v>2</x:v>
      </x:c>
      <x:c r="I859" s="7" t="n">
        <x:v>3038.55</x:v>
      </x:c>
      <x:c r="J859" s="9" t="n">
        <x:v>0.15</x:v>
      </x:c>
      <x:c r="K859" s="7" t="n">
        <x:v>5165.53</x:v>
      </x:c>
      <x:c r="L859" s="7" t="n">
        <x:v>1400.04</x:v>
      </x:c>
      <x:c r="M859" s="3" t="str">
        <x:v>UPI</x:v>
      </x:c>
      <x:c r="N859" s="3" t="str">
        <x:f>TEXT(B859,"yyyy-mm")</x:f>
        <x:v>2024-08</x:v>
      </x:c>
      <x:c r="O859" s="3" t="str">
        <x:f>IF(J859=0,"No discount",IF(J859&lt;=0.1,"1-10%",IF(J859&lt;=0.15,"11-15%",IF(J859&lt;=0.2,"16-20%","21%+"))))</x:f>
        <x:v>11-15%</x:v>
      </x:c>
      <x:c r="P859" s="9" t="n">
        <x:f>IF(K859=0,0,L859/K859)</x:f>
        <x:v>0.27103511159551874</x:v>
      </x:c>
      <x:c r="Q859" s="3" t="str">
        <x:f>IF(L859&lt;0,"Yes","No")</x:f>
        <x:v>No</x:v>
      </x:c>
    </x:row>
    <x:row r="860" ht="21" customHeight="1">
      <x:c r="A860" s="3" t="str">
        <x:v>ORD-100042</x:v>
      </x:c>
      <x:c r="B860" s="5" t="n">
        <x:v>45536</x:v>
      </x:c>
      <x:c r="C860" s="3" t="str">
        <x:v>CUST-00118</x:v>
      </x:c>
      <x:c r="D860" s="3" t="str">
        <x:v>West</x:v>
      </x:c>
      <x:c r="E860" s="3" t="str">
        <x:v>Electronics</x:v>
      </x:c>
      <x:c r="F860" s="3" t="str">
        <x:v>Laptop</x:v>
      </x:c>
      <x:c r="G860" s="3" t="str">
        <x:v>ThinkPro 14</x:v>
      </x:c>
      <x:c r="H860" s="3" t="n">
        <x:v>2</x:v>
      </x:c>
      <x:c r="I860" s="7" t="n">
        <x:v>55833.64</x:v>
      </x:c>
      <x:c r="J860" s="9" t="n">
        <x:v>0.15</x:v>
      </x:c>
      <x:c r="K860" s="7" t="n">
        <x:v>94917.19</x:v>
      </x:c>
      <x:c r="L860" s="7" t="n">
        <x:v>2642.37</x:v>
      </x:c>
      <x:c r="M860" s="3" t="str">
        <x:v>UPI</x:v>
      </x:c>
      <x:c r="N860" s="3" t="str">
        <x:f>TEXT(B860,"yyyy-mm")</x:f>
        <x:v>2024-09</x:v>
      </x:c>
      <x:c r="O860" s="3" t="str">
        <x:f>IF(J860=0,"No discount",IF(J860&lt;=0.1,"1-10%",IF(J860&lt;=0.15,"11-15%",IF(J860&lt;=0.2,"16-20%","21%+"))))</x:f>
        <x:v>11-15%</x:v>
      </x:c>
      <x:c r="P860" s="9" t="n">
        <x:f>IF(K860=0,0,L860/K860)</x:f>
        <x:v>0.0278386875970517</x:v>
      </x:c>
      <x:c r="Q860" s="3" t="str">
        <x:f>IF(L860&lt;0,"Yes","No")</x:f>
        <x:v>No</x:v>
      </x:c>
    </x:row>
    <x:row r="861" ht="21" customHeight="1">
      <x:c r="A861" s="3" t="str">
        <x:v>ORD-100367</x:v>
      </x:c>
      <x:c r="B861" s="5" t="n">
        <x:v>45536</x:v>
      </x:c>
      <x:c r="C861" s="3" t="str">
        <x:v>CUST-00065</x:v>
      </x:c>
      <x:c r="D861" s="3" t="str">
        <x:v>East</x:v>
      </x:c>
      <x:c r="E861" s="3" t="str">
        <x:v>Sports</x:v>
      </x:c>
      <x:c r="F861" s="3" t="str">
        <x:v>Outdoor</x:v>
      </x:c>
      <x:c r="G861" s="3" t="str">
        <x:v>AllWeather Tent 4P</x:v>
      </x:c>
      <x:c r="H861" s="3" t="n">
        <x:v>1</x:v>
      </x:c>
      <x:c r="I861" s="7" t="n">
        <x:v>12330.07</x:v>
      </x:c>
      <x:c r="J861" s="9" t="n">
        <x:v>0.05</x:v>
      </x:c>
      <x:c r="K861" s="7" t="n">
        <x:v>11713.57</x:v>
      </x:c>
      <x:c r="L861" s="7" t="n">
        <x:v>3783.21</x:v>
      </x:c>
      <x:c r="M861" s="3" t="str">
        <x:v>Net Banking</x:v>
      </x:c>
      <x:c r="N861" s="3" t="str">
        <x:f>TEXT(B861,"yyyy-mm")</x:f>
        <x:v>2024-09</x:v>
      </x:c>
      <x:c r="O861" s="3" t="str">
        <x:f>IF(J861=0,"No discount",IF(J861&lt;=0.1,"1-10%",IF(J861&lt;=0.15,"11-15%",IF(J861&lt;=0.2,"16-20%","21%+"))))</x:f>
        <x:v>1-10%</x:v>
      </x:c>
      <x:c r="P861" s="9" t="n">
        <x:f>IF(K861=0,0,L861/K861)</x:f>
        <x:v>0.32297668430717535</x:v>
      </x:c>
      <x:c r="Q861" s="3" t="str">
        <x:f>IF(L861&lt;0,"Yes","No")</x:f>
        <x:v>No</x:v>
      </x:c>
    </x:row>
    <x:row r="862" ht="21" customHeight="1">
      <x:c r="A862" s="3" t="str">
        <x:v>ORD-100518</x:v>
      </x:c>
      <x:c r="B862" s="5" t="n">
        <x:v>45536</x:v>
      </x:c>
      <x:c r="C862" s="3" t="str">
        <x:v>CUST-00197</x:v>
      </x:c>
      <x:c r="D862" s="3" t="str">
        <x:v>East</x:v>
      </x:c>
      <x:c r="E862" s="3" t="str">
        <x:v>Home &amp; Kitchen</x:v>
      </x:c>
      <x:c r="F862" s="3" t="str">
        <x:v>Furniture</x:v>
      </x:c>
      <x:c r="G862" s="3" t="str">
        <x:v>Oakwood Study Desk</x:v>
      </x:c>
      <x:c r="H862" s="3" t="n">
        <x:v>3</x:v>
      </x:c>
      <x:c r="I862" s="7" t="n">
        <x:v>12722.18</x:v>
      </x:c>
      <x:c r="J862" s="9" t="n">
        <x:v>0</x:v>
      </x:c>
      <x:c r="K862" s="7" t="n">
        <x:v>38166.54</x:v>
      </x:c>
      <x:c r="L862" s="7" t="n">
        <x:v>11558.61</x:v>
      </x:c>
      <x:c r="M862" s="3" t="str">
        <x:v>UPI</x:v>
      </x:c>
      <x:c r="N862" s="3" t="str">
        <x:f>TEXT(B862,"yyyy-mm")</x:f>
        <x:v>2024-09</x:v>
      </x:c>
      <x:c r="O862" s="3" t="str">
        <x:f>IF(J862=0,"No discount",IF(J862&lt;=0.1,"1-10%",IF(J862&lt;=0.15,"11-15%",IF(J862&lt;=0.2,"16-20%","21%+"))))</x:f>
        <x:v>No discount</x:v>
      </x:c>
      <x:c r="P862" s="9" t="n">
        <x:f>IF(K862=0,0,L862/K862)</x:f>
        <x:v>0.30284668193658637</x:v>
      </x:c>
      <x:c r="Q862" s="3" t="str">
        <x:f>IF(L862&lt;0,"Yes","No")</x:f>
        <x:v>No</x:v>
      </x:c>
    </x:row>
    <x:row r="863" ht="21" customHeight="1">
      <x:c r="A863" s="3" t="str">
        <x:v>ORD-100981</x:v>
      </x:c>
      <x:c r="B863" s="5" t="n">
        <x:v>45536</x:v>
      </x:c>
      <x:c r="C863" s="3" t="str">
        <x:v>CUST-00432</x:v>
      </x:c>
      <x:c r="D863" s="3" t="str">
        <x:v>East</x:v>
      </x:c>
      <x:c r="E863" s="3" t="str">
        <x:v>Sports</x:v>
      </x:c>
      <x:c r="F863" s="3" t="str">
        <x:v>Outdoor</x:v>
      </x:c>
      <x:c r="G863" s="3" t="str">
        <x:v>TrailHike Backpack 60L</x:v>
      </x:c>
      <x:c r="H863" s="3" t="n">
        <x:v>2</x:v>
      </x:c>
      <x:c r="I863" s="7" t="n">
        <x:v>3601.73</x:v>
      </x:c>
      <x:c r="J863" s="9" t="n">
        <x:v>0.1</x:v>
      </x:c>
      <x:c r="K863" s="7" t="n">
        <x:v>6483.11</x:v>
      </x:c>
      <x:c r="L863" s="7" t="n">
        <x:v>1953.53</x:v>
      </x:c>
      <x:c r="M863" s="3" t="str">
        <x:v>UPI</x:v>
      </x:c>
      <x:c r="N863" s="3" t="str">
        <x:f>TEXT(B863,"yyyy-mm")</x:f>
        <x:v>2024-09</x:v>
      </x:c>
      <x:c r="O863" s="3" t="str">
        <x:f>IF(J863=0,"No discount",IF(J863&lt;=0.1,"1-10%",IF(J863&lt;=0.15,"11-15%",IF(J863&lt;=0.2,"16-20%","21%+"))))</x:f>
        <x:v>1-10%</x:v>
      </x:c>
      <x:c r="P863" s="9" t="n">
        <x:f>IF(K863=0,0,L863/K863)</x:f>
        <x:v>0.3013260611033902</x:v>
      </x:c>
      <x:c r="Q863" s="3" t="str">
        <x:f>IF(L863&lt;0,"Yes","No")</x:f>
        <x:v>No</x:v>
      </x:c>
    </x:row>
    <x:row r="864" ht="21" customHeight="1">
      <x:c r="A864" s="3" t="str">
        <x:v>ORD-101953</x:v>
      </x:c>
      <x:c r="B864" s="5" t="n">
        <x:v>45536</x:v>
      </x:c>
      <x:c r="C864" s="3" t="str">
        <x:v>CUST-00296</x:v>
      </x:c>
      <x:c r="D864" s="3" t="str">
        <x:v>West</x:v>
      </x:c>
      <x:c r="E864" s="3" t="str">
        <x:v>Fashion</x:v>
      </x:c>
      <x:c r="F864" s="3" t="str">
        <x:v>Women</x:v>
      </x:c>
      <x:c r="G864" s="3" t="str">
        <x:v>Floral Summer Dress</x:v>
      </x:c>
      <x:c r="H864" s="3" t="n">
        <x:v>4</x:v>
      </x:c>
      <x:c r="I864" s="7" t="n">
        <x:v>1785.23</x:v>
      </x:c>
      <x:c r="J864" s="9" t="n">
        <x:v>0.1</x:v>
      </x:c>
      <x:c r="K864" s="7" t="n">
        <x:v>6426.83</x:v>
      </x:c>
      <x:c r="L864" s="7" t="n">
        <x:v>1836.56</x:v>
      </x:c>
      <x:c r="M864" s="3" t="str">
        <x:v>Credit Card</x:v>
      </x:c>
      <x:c r="N864" s="3" t="str">
        <x:f>TEXT(B864,"yyyy-mm")</x:f>
        <x:v>2024-09</x:v>
      </x:c>
      <x:c r="O864" s="3" t="str">
        <x:f>IF(J864=0,"No discount",IF(J864&lt;=0.1,"1-10%",IF(J864&lt;=0.15,"11-15%",IF(J864&lt;=0.2,"16-20%","21%+"))))</x:f>
        <x:v>1-10%</x:v>
      </x:c>
      <x:c r="P864" s="9" t="n">
        <x:f>IF(K864=0,0,L864/K864)</x:f>
        <x:v>0.2857645215448362</x:v>
      </x:c>
      <x:c r="Q864" s="3" t="str">
        <x:f>IF(L864&lt;0,"Yes","No")</x:f>
        <x:v>No</x:v>
      </x:c>
    </x:row>
    <x:row r="865" ht="21" customHeight="1">
      <x:c r="A865" s="3" t="str">
        <x:v>ORD-100010</x:v>
      </x:c>
      <x:c r="B865" s="5" t="n">
        <x:v>45537</x:v>
      </x:c>
      <x:c r="C865" s="3" t="str">
        <x:v>CUST-00581</x:v>
      </x:c>
      <x:c r="D865" s="3" t="str">
        <x:v>West</x:v>
      </x:c>
      <x:c r="E865" s="3" t="str">
        <x:v>Home &amp; Kitchen</x:v>
      </x:c>
      <x:c r="F865" s="3" t="str">
        <x:v>Furniture</x:v>
      </x:c>
      <x:c r="G865" s="3" t="str">
        <x:v>Oakwood Study Desk</x:v>
      </x:c>
      <x:c r="H865" s="3" t="n">
        <x:v>2</x:v>
      </x:c>
      <x:c r="I865" s="7" t="n">
        <x:v>12494.47</x:v>
      </x:c>
      <x:c r="J865" s="9" t="n">
        <x:v>0.05</x:v>
      </x:c>
      <x:c r="K865" s="7" t="n">
        <x:v>23739.49</x:v>
      </x:c>
      <x:c r="L865" s="7" t="n">
        <x:v>6208.79</x:v>
      </x:c>
      <x:c r="M865" s="3" t="str">
        <x:v>Debit Card</x:v>
      </x:c>
      <x:c r="N865" s="3" t="str">
        <x:f>TEXT(B865,"yyyy-mm")</x:f>
        <x:v>2024-09</x:v>
      </x:c>
      <x:c r="O865" s="3" t="str">
        <x:f>IF(J865=0,"No discount",IF(J865&lt;=0.1,"1-10%",IF(J865&lt;=0.15,"11-15%",IF(J865&lt;=0.2,"16-20%","21%+"))))</x:f>
        <x:v>1-10%</x:v>
      </x:c>
      <x:c r="P865" s="9" t="n">
        <x:f>IF(K865=0,0,L865/K865)</x:f>
        <x:v>0.2615384744996628</x:v>
      </x:c>
      <x:c r="Q865" s="3" t="str">
        <x:f>IF(L865&lt;0,"Yes","No")</x:f>
        <x:v>No</x:v>
      </x:c>
    </x:row>
    <x:row r="866" ht="21" customHeight="1">
      <x:c r="A866" s="3" t="str">
        <x:v>ORD-100356</x:v>
      </x:c>
      <x:c r="B866" s="5" t="n">
        <x:v>45537</x:v>
      </x:c>
      <x:c r="C866" s="3" t="str">
        <x:v>CUST-00279</x:v>
      </x:c>
      <x:c r="D866" s="3" t="str">
        <x:v>North</x:v>
      </x:c>
      <x:c r="E866" s="3" t="str">
        <x:v>Sports</x:v>
      </x:c>
      <x:c r="F866" s="3" t="str">
        <x:v>Outdoor</x:v>
      </x:c>
      <x:c r="G866" s="3" t="str">
        <x:v>AllWeather Tent 4P</x:v>
      </x:c>
      <x:c r="H866" s="3" t="n">
        <x:v>1</x:v>
      </x:c>
      <x:c r="I866" s="7" t="n">
        <x:v>12174.17</x:v>
      </x:c>
      <x:c r="J866" s="9" t="n">
        <x:v>0.15</x:v>
      </x:c>
      <x:c r="K866" s="7" t="n">
        <x:v>10348.04</x:v>
      </x:c>
      <x:c r="L866" s="7" t="n">
        <x:v>2419.1</x:v>
      </x:c>
      <x:c r="M866" s="3" t="str">
        <x:v>UPI</x:v>
      </x:c>
      <x:c r="N866" s="3" t="str">
        <x:f>TEXT(B866,"yyyy-mm")</x:f>
        <x:v>2024-09</x:v>
      </x:c>
      <x:c r="O866" s="3" t="str">
        <x:f>IF(J866=0,"No discount",IF(J866&lt;=0.1,"1-10%",IF(J866&lt;=0.15,"11-15%",IF(J866&lt;=0.2,"16-20%","21%+"))))</x:f>
        <x:v>11-15%</x:v>
      </x:c>
      <x:c r="P866" s="9" t="n">
        <x:f>IF(K866=0,0,L866/K866)</x:f>
        <x:v>0.2337737387949795</x:v>
      </x:c>
      <x:c r="Q866" s="3" t="str">
        <x:f>IF(L866&lt;0,"Yes","No")</x:f>
        <x:v>No</x:v>
      </x:c>
    </x:row>
    <x:row r="867" ht="21" customHeight="1">
      <x:c r="A867" s="3" t="str">
        <x:v>ORD-100777</x:v>
      </x:c>
      <x:c r="B867" s="5" t="n">
        <x:v>45538</x:v>
      </x:c>
      <x:c r="C867" s="3" t="str">
        <x:v>CUST-00472</x:v>
      </x:c>
      <x:c r="D867" s="3" t="str">
        <x:v>North</x:v>
      </x:c>
      <x:c r="E867" s="3" t="str">
        <x:v>Fashion</x:v>
      </x:c>
      <x:c r="F867" s="3" t="str">
        <x:v>Men</x:v>
      </x:c>
      <x:c r="G867" s="3" t="str">
        <x:v>Oxford Casual Shirt</x:v>
      </x:c>
      <x:c r="H867" s="3" t="n">
        <x:v>1</x:v>
      </x:c>
      <x:c r="I867" s="7" t="n">
        <x:v>1357.65</x:v>
      </x:c>
      <x:c r="J867" s="9" t="n">
        <x:v>0.1</x:v>
      </x:c>
      <x:c r="K867" s="7" t="n">
        <x:v>1221.89</x:v>
      </x:c>
      <x:c r="L867" s="7" t="n">
        <x:v>380.23</x:v>
      </x:c>
      <x:c r="M867" s="3" t="str">
        <x:v>Credit Card</x:v>
      </x:c>
      <x:c r="N867" s="3" t="str">
        <x:f>TEXT(B867,"yyyy-mm")</x:f>
        <x:v>2024-09</x:v>
      </x:c>
      <x:c r="O867" s="3" t="str">
        <x:f>IF(J867=0,"No discount",IF(J867&lt;=0.1,"1-10%",IF(J867&lt;=0.15,"11-15%",IF(J867&lt;=0.2,"16-20%","21%+"))))</x:f>
        <x:v>1-10%</x:v>
      </x:c>
      <x:c r="P867" s="9" t="n">
        <x:f>IF(K867=0,0,L867/K867)</x:f>
        <x:v>0.31118185761402417</x:v>
      </x:c>
      <x:c r="Q867" s="3" t="str">
        <x:f>IF(L867&lt;0,"Yes","No")</x:f>
        <x:v>No</x:v>
      </x:c>
    </x:row>
    <x:row r="868" ht="21" customHeight="1">
      <x:c r="A868" s="3" t="str">
        <x:v>ORD-100837</x:v>
      </x:c>
      <x:c r="B868" s="5" t="n">
        <x:v>45538</x:v>
      </x:c>
      <x:c r="C868" s="3" t="str">
        <x:v>CUST-00420</x:v>
      </x:c>
      <x:c r="D868" s="3" t="str">
        <x:v>East</x:v>
      </x:c>
      <x:c r="E868" s="3" t="str">
        <x:v>Home &amp; Kitchen</x:v>
      </x:c>
      <x:c r="F868" s="3" t="str">
        <x:v>Furniture</x:v>
      </x:c>
      <x:c r="G868" s="3" t="str">
        <x:v>ErgoComfort Chair</x:v>
      </x:c>
      <x:c r="H868" s="3" t="n">
        <x:v>1</x:v>
      </x:c>
      <x:c r="I868" s="7" t="n">
        <x:v>8874.78</x:v>
      </x:c>
      <x:c r="J868" s="9" t="n">
        <x:v>0.15</x:v>
      </x:c>
      <x:c r="K868" s="7" t="n">
        <x:v>7543.56</x:v>
      </x:c>
      <x:c r="L868" s="7" t="n">
        <x:v>1161.45</x:v>
      </x:c>
      <x:c r="M868" s="3" t="str">
        <x:v>UPI</x:v>
      </x:c>
      <x:c r="N868" s="3" t="str">
        <x:f>TEXT(B868,"yyyy-mm")</x:f>
        <x:v>2024-09</x:v>
      </x:c>
      <x:c r="O868" s="3" t="str">
        <x:f>IF(J868=0,"No discount",IF(J868&lt;=0.1,"1-10%",IF(J868&lt;=0.15,"11-15%",IF(J868&lt;=0.2,"16-20%","21%+"))))</x:f>
        <x:v>11-15%</x:v>
      </x:c>
      <x:c r="P868" s="9" t="n">
        <x:f>IF(K868=0,0,L868/K868)</x:f>
        <x:v>0.153965766826273</x:v>
      </x:c>
      <x:c r="Q868" s="3" t="str">
        <x:f>IF(L868&lt;0,"Yes","No")</x:f>
        <x:v>No</x:v>
      </x:c>
    </x:row>
    <x:row r="869" ht="21" customHeight="1">
      <x:c r="A869" s="3" t="str">
        <x:v>ORD-100876</x:v>
      </x:c>
      <x:c r="B869" s="5" t="n">
        <x:v>45538</x:v>
      </x:c>
      <x:c r="C869" s="3" t="str">
        <x:v>CUST-00387</x:v>
      </x:c>
      <x:c r="D869" s="3" t="str">
        <x:v>South</x:v>
      </x:c>
      <x:c r="E869" s="3" t="str">
        <x:v>Home &amp; Kitchen</x:v>
      </x:c>
      <x:c r="F869" s="3" t="str">
        <x:v>Furniture</x:v>
      </x:c>
      <x:c r="G869" s="3" t="str">
        <x:v>Oakwood Study Desk</x:v>
      </x:c>
      <x:c r="H869" s="3" t="n">
        <x:v>1</x:v>
      </x:c>
      <x:c r="I869" s="7" t="n">
        <x:v>12902.03</x:v>
      </x:c>
      <x:c r="J869" s="9" t="n">
        <x:v>0.15</x:v>
      </x:c>
      <x:c r="K869" s="7" t="n">
        <x:v>10966.73</x:v>
      </x:c>
      <x:c r="L869" s="7" t="n">
        <x:v>1702.42</x:v>
      </x:c>
      <x:c r="M869" s="3" t="str">
        <x:v>Debit Card</x:v>
      </x:c>
      <x:c r="N869" s="3" t="str">
        <x:f>TEXT(B869,"yyyy-mm")</x:f>
        <x:v>2024-09</x:v>
      </x:c>
      <x:c r="O869" s="3" t="str">
        <x:f>IF(J869=0,"No discount",IF(J869&lt;=0.1,"1-10%",IF(J869&lt;=0.15,"11-15%",IF(J869&lt;=0.2,"16-20%","21%+"))))</x:f>
        <x:v>11-15%</x:v>
      </x:c>
      <x:c r="P869" s="9" t="n">
        <x:f>IF(K869=0,0,L869/K869)</x:f>
        <x:v>0.1552349697676518</x:v>
      </x:c>
      <x:c r="Q869" s="3" t="str">
        <x:f>IF(L869&lt;0,"Yes","No")</x:f>
        <x:v>No</x:v>
      </x:c>
    </x:row>
    <x:row r="870" ht="21" customHeight="1">
      <x:c r="A870" s="3" t="str">
        <x:v>ORD-101397</x:v>
      </x:c>
      <x:c r="B870" s="5" t="n">
        <x:v>45538</x:v>
      </x:c>
      <x:c r="C870" s="3" t="str">
        <x:v>CUST-00184</x:v>
      </x:c>
      <x:c r="D870" s="3" t="str">
        <x:v>North</x:v>
      </x:c>
      <x:c r="E870" s="3" t="str">
        <x:v>Fashion</x:v>
      </x:c>
      <x:c r="F870" s="3" t="str">
        <x:v>Men</x:v>
      </x:c>
      <x:c r="G870" s="3" t="str">
        <x:v>SlimFit Denim Jeans</x:v>
      </x:c>
      <x:c r="H870" s="3" t="n">
        <x:v>2</x:v>
      </x:c>
      <x:c r="I870" s="7" t="n">
        <x:v>1983.71</x:v>
      </x:c>
      <x:c r="J870" s="9" t="n">
        <x:v>0.1</x:v>
      </x:c>
      <x:c r="K870" s="7" t="n">
        <x:v>3570.68</x:v>
      </x:c>
      <x:c r="L870" s="7" t="n">
        <x:v>994.07</x:v>
      </x:c>
      <x:c r="M870" s="3" t="str">
        <x:v>Cash on Delivery</x:v>
      </x:c>
      <x:c r="N870" s="3" t="str">
        <x:f>TEXT(B870,"yyyy-mm")</x:f>
        <x:v>2024-09</x:v>
      </x:c>
      <x:c r="O870" s="3" t="str">
        <x:f>IF(J870=0,"No discount",IF(J870&lt;=0.1,"1-10%",IF(J870&lt;=0.15,"11-15%",IF(J870&lt;=0.2,"16-20%","21%+"))))</x:f>
        <x:v>1-10%</x:v>
      </x:c>
      <x:c r="P870" s="9" t="n">
        <x:f>IF(K870=0,0,L870/K870)</x:f>
        <x:v>0.2783979522107834</x:v>
      </x:c>
      <x:c r="Q870" s="3" t="str">
        <x:f>IF(L870&lt;0,"Yes","No")</x:f>
        <x:v>No</x:v>
      </x:c>
    </x:row>
    <x:row r="871" ht="21" customHeight="1">
      <x:c r="A871" s="3" t="str">
        <x:v>ORD-101731</x:v>
      </x:c>
      <x:c r="B871" s="5" t="n">
        <x:v>45538</x:v>
      </x:c>
      <x:c r="C871" s="3" t="str">
        <x:v>CUST-00123</x:v>
      </x:c>
      <x:c r="D871" s="3" t="str">
        <x:v>South</x:v>
      </x:c>
      <x:c r="E871" s="3" t="str">
        <x:v>Sports</x:v>
      </x:c>
      <x:c r="F871" s="3" t="str">
        <x:v>Outdoor</x:v>
      </x:c>
      <x:c r="G871" s="3" t="str">
        <x:v>TrailHike Backpack 60L</x:v>
      </x:c>
      <x:c r="H871" s="3" t="n">
        <x:v>1</x:v>
      </x:c>
      <x:c r="I871" s="7" t="n">
        <x:v>3517.74</x:v>
      </x:c>
      <x:c r="J871" s="9" t="n">
        <x:v>0.1</x:v>
      </x:c>
      <x:c r="K871" s="7" t="n">
        <x:v>3165.97</x:v>
      </x:c>
      <x:c r="L871" s="7" t="n">
        <x:v>854.4</x:v>
      </x:c>
      <x:c r="M871" s="3" t="str">
        <x:v>Debit Card</x:v>
      </x:c>
      <x:c r="N871" s="3" t="str">
        <x:f>TEXT(B871,"yyyy-mm")</x:f>
        <x:v>2024-09</x:v>
      </x:c>
      <x:c r="O871" s="3" t="str">
        <x:f>IF(J871=0,"No discount",IF(J871&lt;=0.1,"1-10%",IF(J871&lt;=0.15,"11-15%",IF(J871&lt;=0.2,"16-20%","21%+"))))</x:f>
        <x:v>1-10%</x:v>
      </x:c>
      <x:c r="P871" s="9" t="n">
        <x:f>IF(K871=0,0,L871/K871)</x:f>
        <x:v>0.269869897693282</x:v>
      </x:c>
      <x:c r="Q871" s="3" t="str">
        <x:f>IF(L871&lt;0,"Yes","No")</x:f>
        <x:v>No</x:v>
      </x:c>
    </x:row>
    <x:row r="872" ht="21" customHeight="1">
      <x:c r="A872" s="3" t="str">
        <x:v>ORD-100115</x:v>
      </x:c>
      <x:c r="B872" s="5" t="n">
        <x:v>45539</x:v>
      </x:c>
      <x:c r="C872" s="3" t="str">
        <x:v>CUST-00299</x:v>
      </x:c>
      <x:c r="D872" s="3" t="str">
        <x:v>North</x:v>
      </x:c>
      <x:c r="E872" s="3" t="str">
        <x:v>Fashion</x:v>
      </x:c>
      <x:c r="F872" s="3" t="str">
        <x:v>Women</x:v>
      </x:c>
      <x:c r="G872" s="3" t="str">
        <x:v>Floral Summer Dress</x:v>
      </x:c>
      <x:c r="H872" s="3" t="n">
        <x:v>1</x:v>
      </x:c>
      <x:c r="I872" s="7" t="n">
        <x:v>1851.87</x:v>
      </x:c>
      <x:c r="J872" s="9" t="n">
        <x:v>0.05</x:v>
      </x:c>
      <x:c r="K872" s="7" t="n">
        <x:v>1759.28</x:v>
      </x:c>
      <x:c r="L872" s="7" t="n">
        <x:v>631.7</x:v>
      </x:c>
      <x:c r="M872" s="3" t="str">
        <x:v>Net Banking</x:v>
      </x:c>
      <x:c r="N872" s="3" t="str">
        <x:f>TEXT(B872,"yyyy-mm")</x:f>
        <x:v>2024-09</x:v>
      </x:c>
      <x:c r="O872" s="3" t="str">
        <x:f>IF(J872=0,"No discount",IF(J872&lt;=0.1,"1-10%",IF(J872&lt;=0.15,"11-15%",IF(J872&lt;=0.2,"16-20%","21%+"))))</x:f>
        <x:v>1-10%</x:v>
      </x:c>
      <x:c r="P872" s="9" t="n">
        <x:f>IF(K872=0,0,L872/K872)</x:f>
        <x:v>0.35906734573234506</x:v>
      </x:c>
      <x:c r="Q872" s="3" t="str">
        <x:f>IF(L872&lt;0,"Yes","No")</x:f>
        <x:v>No</x:v>
      </x:c>
    </x:row>
    <x:row r="873" ht="21" customHeight="1">
      <x:c r="A873" s="3" t="str">
        <x:v>ORD-101015</x:v>
      </x:c>
      <x:c r="B873" s="5" t="n">
        <x:v>45539</x:v>
      </x:c>
      <x:c r="C873" s="3" t="str">
        <x:v>CUST-00380</x:v>
      </x:c>
      <x:c r="D873" s="3" t="str">
        <x:v>East</x:v>
      </x:c>
      <x:c r="E873" s="3" t="str">
        <x:v>Electronics</x:v>
      </x:c>
      <x:c r="F873" s="3" t="str">
        <x:v>Laptop</x:v>
      </x:c>
      <x:c r="G873" s="3" t="str">
        <x:v>AirBook Slim</x:v>
      </x:c>
      <x:c r="H873" s="3" t="n">
        <x:v>1</x:v>
      </x:c>
      <x:c r="I873" s="7" t="n">
        <x:v>81630.42</x:v>
      </x:c>
      <x:c r="J873" s="9" t="n">
        <x:v>0</x:v>
      </x:c>
      <x:c r="K873" s="7" t="n">
        <x:v>81630.42</x:v>
      </x:c>
      <x:c r="L873" s="7" t="n">
        <x:v>12632.98</x:v>
      </x:c>
      <x:c r="M873" s="3" t="str">
        <x:v>Debit Card</x:v>
      </x:c>
      <x:c r="N873" s="3" t="str">
        <x:f>TEXT(B873,"yyyy-mm")</x:f>
        <x:v>2024-09</x:v>
      </x:c>
      <x:c r="O873" s="3" t="str">
        <x:f>IF(J873=0,"No discount",IF(J873&lt;=0.1,"1-10%",IF(J873&lt;=0.15,"11-15%",IF(J873&lt;=0.2,"16-20%","21%+"))))</x:f>
        <x:v>No discount</x:v>
      </x:c>
      <x:c r="P873" s="9" t="n">
        <x:f>IF(K873=0,0,L873/K873)</x:f>
        <x:v>0.15475823841161174</x:v>
      </x:c>
      <x:c r="Q873" s="3" t="str">
        <x:f>IF(L873&lt;0,"Yes","No")</x:f>
        <x:v>No</x:v>
      </x:c>
    </x:row>
    <x:row r="874" ht="21" customHeight="1">
      <x:c r="A874" s="3" t="str">
        <x:v>ORD-101377</x:v>
      </x:c>
      <x:c r="B874" s="5" t="n">
        <x:v>45539</x:v>
      </x:c>
      <x:c r="C874" s="3" t="str">
        <x:v>CUST-00156</x:v>
      </x:c>
      <x:c r="D874" s="3" t="str">
        <x:v>North</x:v>
      </x:c>
      <x:c r="E874" s="3" t="str">
        <x:v>Electronics</x:v>
      </x:c>
      <x:c r="F874" s="3" t="str">
        <x:v>Laptop</x:v>
      </x:c>
      <x:c r="G874" s="3" t="str">
        <x:v>AirBook Slim</x:v>
      </x:c>
      <x:c r="H874" s="3" t="n">
        <x:v>1</x:v>
      </x:c>
      <x:c r="I874" s="7" t="n">
        <x:v>81295.25</x:v>
      </x:c>
      <x:c r="J874" s="9" t="n">
        <x:v>0.2</x:v>
      </x:c>
      <x:c r="K874" s="7" t="n">
        <x:v>65036.2</x:v>
      </x:c>
      <x:c r="L874" s="7" t="n">
        <x:v>-3980.51</x:v>
      </x:c>
      <x:c r="M874" s="3" t="str">
        <x:v>Debit Card</x:v>
      </x:c>
      <x:c r="N874" s="3" t="str">
        <x:f>TEXT(B874,"yyyy-mm")</x:f>
        <x:v>2024-09</x:v>
      </x:c>
      <x:c r="O874" s="3" t="str">
        <x:f>IF(J874=0,"No discount",IF(J874&lt;=0.1,"1-10%",IF(J874&lt;=0.15,"11-15%",IF(J874&lt;=0.2,"16-20%","21%+"))))</x:f>
        <x:v>16-20%</x:v>
      </x:c>
      <x:c r="P874" s="9" t="n">
        <x:f>IF(K874=0,0,L874/K874)</x:f>
        <x:v>-0.061204529169908456</x:v>
      </x:c>
      <x:c r="Q874" s="3" t="str">
        <x:f>IF(L874&lt;0,"Yes","No")</x:f>
        <x:v>Yes</x:v>
      </x:c>
    </x:row>
    <x:row r="875" ht="21" customHeight="1">
      <x:c r="A875" s="3" t="str">
        <x:v>ORD-100774</x:v>
      </x:c>
      <x:c r="B875" s="5" t="n">
        <x:v>45540</x:v>
      </x:c>
      <x:c r="C875" s="3" t="str">
        <x:v>CUST-00211</x:v>
      </x:c>
      <x:c r="D875" s="3" t="str">
        <x:v>East</x:v>
      </x:c>
      <x:c r="E875" s="3" t="str">
        <x:v>Sports</x:v>
      </x:c>
      <x:c r="F875" s="3" t="str">
        <x:v>Outdoor</x:v>
      </x:c>
      <x:c r="G875" s="3" t="str">
        <x:v>AllWeather Tent 4P</x:v>
      </x:c>
      <x:c r="H875" s="3" t="n">
        <x:v>3</x:v>
      </x:c>
      <x:c r="I875" s="7" t="n">
        <x:v>11509.2</x:v>
      </x:c>
      <x:c r="J875" s="9" t="n">
        <x:v>0.05</x:v>
      </x:c>
      <x:c r="K875" s="7" t="n">
        <x:v>32801.22</x:v>
      </x:c>
      <x:c r="L875" s="7" t="n">
        <x:v>11276.93</x:v>
      </x:c>
      <x:c r="M875" s="3" t="str">
        <x:v>UPI</x:v>
      </x:c>
      <x:c r="N875" s="3" t="str">
        <x:f>TEXT(B875,"yyyy-mm")</x:f>
        <x:v>2024-09</x:v>
      </x:c>
      <x:c r="O875" s="3" t="str">
        <x:f>IF(J875=0,"No discount",IF(J875&lt;=0.1,"1-10%",IF(J875&lt;=0.15,"11-15%",IF(J875&lt;=0.2,"16-20%","21%+"))))</x:f>
        <x:v>1-10%</x:v>
      </x:c>
      <x:c r="P875" s="9" t="n">
        <x:f>IF(K875=0,0,L875/K875)</x:f>
        <x:v>0.3437960539272625</x:v>
      </x:c>
      <x:c r="Q875" s="3" t="str">
        <x:f>IF(L875&lt;0,"Yes","No")</x:f>
        <x:v>No</x:v>
      </x:c>
    </x:row>
    <x:row r="876" ht="21" customHeight="1">
      <x:c r="A876" s="3" t="str">
        <x:v>ORD-101594</x:v>
      </x:c>
      <x:c r="B876" s="5" t="n">
        <x:v>45540</x:v>
      </x:c>
      <x:c r="C876" s="3" t="str">
        <x:v>CUST-00470</x:v>
      </x:c>
      <x:c r="D876" s="3" t="str">
        <x:v>North</x:v>
      </x:c>
      <x:c r="E876" s="3" t="str">
        <x:v>Electronics</x:v>
      </x:c>
      <x:c r="F876" s="3" t="str">
        <x:v>Mobile</x:v>
      </x:c>
      <x:c r="G876" s="3" t="str">
        <x:v>Galaxy Nova X5</x:v>
      </x:c>
      <x:c r="H876" s="3" t="n">
        <x:v>1</x:v>
      </x:c>
      <x:c r="I876" s="7" t="n">
        <x:v>23887.5</x:v>
      </x:c>
      <x:c r="J876" s="9" t="n">
        <x:v>0</x:v>
      </x:c>
      <x:c r="K876" s="7" t="n">
        <x:v>23887.5</x:v>
      </x:c>
      <x:c r="L876" s="7" t="n">
        <x:v>4159.24</x:v>
      </x:c>
      <x:c r="M876" s="3" t="str">
        <x:v>UPI</x:v>
      </x:c>
      <x:c r="N876" s="3" t="str">
        <x:f>TEXT(B876,"yyyy-mm")</x:f>
        <x:v>2024-09</x:v>
      </x:c>
      <x:c r="O876" s="3" t="str">
        <x:f>IF(J876=0,"No discount",IF(J876&lt;=0.1,"1-10%",IF(J876&lt;=0.15,"11-15%",IF(J876&lt;=0.2,"16-20%","21%+"))))</x:f>
        <x:v>No discount</x:v>
      </x:c>
      <x:c r="P876" s="9" t="n">
        <x:f>IF(K876=0,0,L876/K876)</x:f>
        <x:v>0.1741178440607012</x:v>
      </x:c>
      <x:c r="Q876" s="3" t="str">
        <x:f>IF(L876&lt;0,"Yes","No")</x:f>
        <x:v>No</x:v>
      </x:c>
    </x:row>
    <x:row r="877" ht="21" customHeight="1">
      <x:c r="A877" s="3" t="str">
        <x:v>ORD-101972</x:v>
      </x:c>
      <x:c r="B877" s="5" t="n">
        <x:v>45540</x:v>
      </x:c>
      <x:c r="C877" s="3" t="str">
        <x:v>CUST-00376</x:v>
      </x:c>
      <x:c r="D877" s="3" t="str">
        <x:v>North</x:v>
      </x:c>
      <x:c r="E877" s="3" t="str">
        <x:v>Beauty</x:v>
      </x:c>
      <x:c r="F877" s="3" t="str">
        <x:v>Skincare</x:v>
      </x:c>
      <x:c r="G877" s="3" t="str">
        <x:v>HydraBoost Moisturizer</x:v>
      </x:c>
      <x:c r="H877" s="3" t="n">
        <x:v>1</x:v>
      </x:c>
      <x:c r="I877" s="7" t="n">
        <x:v>1149.9</x:v>
      </x:c>
      <x:c r="J877" s="9" t="n">
        <x:v>0.2</x:v>
      </x:c>
      <x:c r="K877" s="7" t="n">
        <x:v>919.92</x:v>
      </x:c>
      <x:c r="L877" s="7" t="n">
        <x:v>279.05</x:v>
      </x:c>
      <x:c r="M877" s="3" t="str">
        <x:v>UPI</x:v>
      </x:c>
      <x:c r="N877" s="3" t="str">
        <x:f>TEXT(B877,"yyyy-mm")</x:f>
        <x:v>2024-09</x:v>
      </x:c>
      <x:c r="O877" s="3" t="str">
        <x:f>IF(J877=0,"No discount",IF(J877&lt;=0.1,"1-10%",IF(J877&lt;=0.15,"11-15%",IF(J877&lt;=0.2,"16-20%","21%+"))))</x:f>
        <x:v>16-20%</x:v>
      </x:c>
      <x:c r="P877" s="9" t="n">
        <x:f>IF(K877=0,0,L877/K877)</x:f>
        <x:v>0.30334159492129753</x:v>
      </x:c>
      <x:c r="Q877" s="3" t="str">
        <x:f>IF(L877&lt;0,"Yes","No")</x:f>
        <x:v>No</x:v>
      </x:c>
    </x:row>
    <x:row r="878" ht="21" customHeight="1">
      <x:c r="A878" s="3" t="str">
        <x:v>ORD-101355</x:v>
      </x:c>
      <x:c r="B878" s="5" t="n">
        <x:v>45541</x:v>
      </x:c>
      <x:c r="C878" s="3" t="str">
        <x:v>CUST-00088</x:v>
      </x:c>
      <x:c r="D878" s="3" t="str">
        <x:v>South</x:v>
      </x:c>
      <x:c r="E878" s="3" t="str">
        <x:v>Beauty</x:v>
      </x:c>
      <x:c r="F878" s="3" t="str">
        <x:v>Makeup</x:v>
      </x:c>
      <x:c r="G878" s="3" t="str">
        <x:v>HD Foundation Kit</x:v>
      </x:c>
      <x:c r="H878" s="3" t="n">
        <x:v>1</x:v>
      </x:c>
      <x:c r="I878" s="7" t="n">
        <x:v>1546.64</x:v>
      </x:c>
      <x:c r="J878" s="9" t="n">
        <x:v>0.1</x:v>
      </x:c>
      <x:c r="K878" s="7" t="n">
        <x:v>1391.98</x:v>
      </x:c>
      <x:c r="L878" s="7" t="n">
        <x:v>570.92</x:v>
      </x:c>
      <x:c r="M878" s="3" t="str">
        <x:v>UPI</x:v>
      </x:c>
      <x:c r="N878" s="3" t="str">
        <x:f>TEXT(B878,"yyyy-mm")</x:f>
        <x:v>2024-09</x:v>
      </x:c>
      <x:c r="O878" s="3" t="str">
        <x:f>IF(J878=0,"No discount",IF(J878&lt;=0.1,"1-10%",IF(J878&lt;=0.15,"11-15%",IF(J878&lt;=0.2,"16-20%","21%+"))))</x:f>
        <x:v>1-10%</x:v>
      </x:c>
      <x:c r="P878" s="9" t="n">
        <x:f>IF(K878=0,0,L878/K878)</x:f>
        <x:v>0.4101495711145275</x:v>
      </x:c>
      <x:c r="Q878" s="3" t="str">
        <x:f>IF(L878&lt;0,"Yes","No")</x:f>
        <x:v>No</x:v>
      </x:c>
    </x:row>
    <x:row r="879" ht="21" customHeight="1">
      <x:c r="A879" s="3" t="str">
        <x:v>ORD-100821</x:v>
      </x:c>
      <x:c r="B879" s="5" t="n">
        <x:v>45542</x:v>
      </x:c>
      <x:c r="C879" s="3" t="str">
        <x:v>CUST-00274</x:v>
      </x:c>
      <x:c r="D879" s="3" t="str">
        <x:v>North</x:v>
      </x:c>
      <x:c r="E879" s="3" t="str">
        <x:v>Home &amp; Kitchen</x:v>
      </x:c>
      <x:c r="F879" s="3" t="str">
        <x:v>Appliances</x:v>
      </x:c>
      <x:c r="G879" s="3" t="str">
        <x:v>AirFryer Deluxe</x:v>
      </x:c>
      <x:c r="H879" s="3" t="n">
        <x:v>1</x:v>
      </x:c>
      <x:c r="I879" s="7" t="n">
        <x:v>7884.58</x:v>
      </x:c>
      <x:c r="J879" s="9" t="n">
        <x:v>0.15</x:v>
      </x:c>
      <x:c r="K879" s="7" t="n">
        <x:v>6701.89</x:v>
      </x:c>
      <x:c r="L879" s="7" t="n">
        <x:v>1278.1</x:v>
      </x:c>
      <x:c r="M879" s="3" t="str">
        <x:v>Debit Card</x:v>
      </x:c>
      <x:c r="N879" s="3" t="str">
        <x:f>TEXT(B879,"yyyy-mm")</x:f>
        <x:v>2024-09</x:v>
      </x:c>
      <x:c r="O879" s="3" t="str">
        <x:f>IF(J879=0,"No discount",IF(J879&lt;=0.1,"1-10%",IF(J879&lt;=0.15,"11-15%",IF(J879&lt;=0.2,"16-20%","21%+"))))</x:f>
        <x:v>11-15%</x:v>
      </x:c>
      <x:c r="P879" s="9" t="n">
        <x:f>IF(K879=0,0,L879/K879)</x:f>
        <x:v>0.19070739746549106</x:v>
      </x:c>
      <x:c r="Q879" s="3" t="str">
        <x:f>IF(L879&lt;0,"Yes","No")</x:f>
        <x:v>No</x:v>
      </x:c>
    </x:row>
    <x:row r="880" ht="21" customHeight="1">
      <x:c r="A880" s="3" t="str">
        <x:v>ORD-100933</x:v>
      </x:c>
      <x:c r="B880" s="5" t="n">
        <x:v>45542</x:v>
      </x:c>
      <x:c r="C880" s="3" t="str">
        <x:v>CUST-00468</x:v>
      </x:c>
      <x:c r="D880" s="3" t="str">
        <x:v>North</x:v>
      </x:c>
      <x:c r="E880" s="3" t="str">
        <x:v>Beauty</x:v>
      </x:c>
      <x:c r="F880" s="3" t="str">
        <x:v>Skincare</x:v>
      </x:c>
      <x:c r="G880" s="3" t="str">
        <x:v>Vitamin C Serum</x:v>
      </x:c>
      <x:c r="H880" s="3" t="n">
        <x:v>1</x:v>
      </x:c>
      <x:c r="I880" s="7" t="n">
        <x:v>876.05</x:v>
      </x:c>
      <x:c r="J880" s="9" t="n">
        <x:v>0.1</x:v>
      </x:c>
      <x:c r="K880" s="7" t="n">
        <x:v>788.44</x:v>
      </x:c>
      <x:c r="L880" s="7" t="n">
        <x:v>361.72</x:v>
      </x:c>
      <x:c r="M880" s="3" t="str">
        <x:v>Cash on Delivery</x:v>
      </x:c>
      <x:c r="N880" s="3" t="str">
        <x:f>TEXT(B880,"yyyy-mm")</x:f>
        <x:v>2024-09</x:v>
      </x:c>
      <x:c r="O880" s="3" t="str">
        <x:f>IF(J880=0,"No discount",IF(J880&lt;=0.1,"1-10%",IF(J880&lt;=0.15,"11-15%",IF(J880&lt;=0.2,"16-20%","21%+"))))</x:f>
        <x:v>1-10%</x:v>
      </x:c>
      <x:c r="P880" s="9" t="n">
        <x:f>IF(K880=0,0,L880/K880)</x:f>
        <x:v>0.4587793617776876</x:v>
      </x:c>
      <x:c r="Q880" s="3" t="str">
        <x:f>IF(L880&lt;0,"Yes","No")</x:f>
        <x:v>No</x:v>
      </x:c>
    </x:row>
    <x:row r="881" ht="21" customHeight="1">
      <x:c r="A881" s="3" t="str">
        <x:v>ORD-101394</x:v>
      </x:c>
      <x:c r="B881" s="5" t="n">
        <x:v>45542</x:v>
      </x:c>
      <x:c r="C881" s="3" t="str">
        <x:v>CUST-00554</x:v>
      </x:c>
      <x:c r="D881" s="3" t="str">
        <x:v>West</x:v>
      </x:c>
      <x:c r="E881" s="3" t="str">
        <x:v>Electronics</x:v>
      </x:c>
      <x:c r="F881" s="3" t="str">
        <x:v>Mobile</x:v>
      </x:c>
      <x:c r="G881" s="3" t="str">
        <x:v>iPhone Zeta</x:v>
      </x:c>
      <x:c r="H881" s="3" t="n">
        <x:v>3</x:v>
      </x:c>
      <x:c r="I881" s="7" t="n">
        <x:v>71001.04</x:v>
      </x:c>
      <x:c r="J881" s="9" t="n">
        <x:v>0.1</x:v>
      </x:c>
      <x:c r="K881" s="7" t="n">
        <x:v>191702.81</x:v>
      </x:c>
      <x:c r="L881" s="7" t="n">
        <x:v>18477.8</x:v>
      </x:c>
      <x:c r="M881" s="3" t="str">
        <x:v>UPI</x:v>
      </x:c>
      <x:c r="N881" s="3" t="str">
        <x:f>TEXT(B881,"yyyy-mm")</x:f>
        <x:v>2024-09</x:v>
      </x:c>
      <x:c r="O881" s="3" t="str">
        <x:f>IF(J881=0,"No discount",IF(J881&lt;=0.1,"1-10%",IF(J881&lt;=0.15,"11-15%",IF(J881&lt;=0.2,"16-20%","21%+"))))</x:f>
        <x:v>1-10%</x:v>
      </x:c>
      <x:c r="P881" s="9" t="n">
        <x:f>IF(K881=0,0,L881/K881)</x:f>
        <x:v>0.09638773683077467</x:v>
      </x:c>
      <x:c r="Q881" s="3" t="str">
        <x:f>IF(L881&lt;0,"Yes","No")</x:f>
        <x:v>No</x:v>
      </x:c>
    </x:row>
    <x:row r="882" ht="21" customHeight="1">
      <x:c r="A882" s="3" t="str">
        <x:v>ORD-101440</x:v>
      </x:c>
      <x:c r="B882" s="5" t="n">
        <x:v>45542</x:v>
      </x:c>
      <x:c r="C882" s="3" t="str">
        <x:v>CUST-00118</x:v>
      </x:c>
      <x:c r="D882" s="3" t="str">
        <x:v>West</x:v>
      </x:c>
      <x:c r="E882" s="3" t="str">
        <x:v>Fashion</x:v>
      </x:c>
      <x:c r="F882" s="3" t="str">
        <x:v>Footwear</x:v>
      </x:c>
      <x:c r="G882" s="3" t="str">
        <x:v>UrbanLoafers</x:v>
      </x:c>
      <x:c r="H882" s="3" t="n">
        <x:v>1</x:v>
      </x:c>
      <x:c r="I882" s="7" t="n">
        <x:v>3611.34</x:v>
      </x:c>
      <x:c r="J882" s="9" t="n">
        <x:v>0.05</x:v>
      </x:c>
      <x:c r="K882" s="7" t="n">
        <x:v>3430.77</x:v>
      </x:c>
      <x:c r="L882" s="7" t="n">
        <x:v>1276.02</x:v>
      </x:c>
      <x:c r="M882" s="3" t="str">
        <x:v>UPI</x:v>
      </x:c>
      <x:c r="N882" s="3" t="str">
        <x:f>TEXT(B882,"yyyy-mm")</x:f>
        <x:v>2024-09</x:v>
      </x:c>
      <x:c r="O882" s="3" t="str">
        <x:f>IF(J882=0,"No discount",IF(J882&lt;=0.1,"1-10%",IF(J882&lt;=0.15,"11-15%",IF(J882&lt;=0.2,"16-20%","21%+"))))</x:f>
        <x:v>1-10%</x:v>
      </x:c>
      <x:c r="P882" s="9" t="n">
        <x:f>IF(K882=0,0,L882/K882)</x:f>
        <x:v>0.37193399732421584</x:v>
      </x:c>
      <x:c r="Q882" s="3" t="str">
        <x:f>IF(L882&lt;0,"Yes","No")</x:f>
        <x:v>No</x:v>
      </x:c>
    </x:row>
    <x:row r="883" ht="21" customHeight="1">
      <x:c r="A883" s="3" t="str">
        <x:v>ORD-101647</x:v>
      </x:c>
      <x:c r="B883" s="5" t="n">
        <x:v>45542</x:v>
      </x:c>
      <x:c r="C883" s="3" t="str">
        <x:v>CUST-00042</x:v>
      </x:c>
      <x:c r="D883" s="3" t="str">
        <x:v>North</x:v>
      </x:c>
      <x:c r="E883" s="3" t="str">
        <x:v>Beauty</x:v>
      </x:c>
      <x:c r="F883" s="3" t="str">
        <x:v>Skincare</x:v>
      </x:c>
      <x:c r="G883" s="3" t="str">
        <x:v>Vitamin C Serum</x:v>
      </x:c>
      <x:c r="H883" s="3" t="n">
        <x:v>1</x:v>
      </x:c>
      <x:c r="I883" s="7" t="n">
        <x:v>940.09</x:v>
      </x:c>
      <x:c r="J883" s="9" t="n">
        <x:v>0</x:v>
      </x:c>
      <x:c r="K883" s="7" t="n">
        <x:v>940.09</x:v>
      </x:c>
      <x:c r="L883" s="7" t="n">
        <x:v>498.04</x:v>
      </x:c>
      <x:c r="M883" s="3" t="str">
        <x:v>Cash on Delivery</x:v>
      </x:c>
      <x:c r="N883" s="3" t="str">
        <x:f>TEXT(B883,"yyyy-mm")</x:f>
        <x:v>2024-09</x:v>
      </x:c>
      <x:c r="O883" s="3" t="str">
        <x:f>IF(J883=0,"No discount",IF(J883&lt;=0.1,"1-10%",IF(J883&lt;=0.15,"11-15%",IF(J883&lt;=0.2,"16-20%","21%+"))))</x:f>
        <x:v>No discount</x:v>
      </x:c>
      <x:c r="P883" s="9" t="n">
        <x:f>IF(K883=0,0,L883/K883)</x:f>
        <x:v>0.5297790637066664</x:v>
      </x:c>
      <x:c r="Q883" s="3" t="str">
        <x:f>IF(L883&lt;0,"Yes","No")</x:f>
        <x:v>No</x:v>
      </x:c>
    </x:row>
    <x:row r="884" ht="21" customHeight="1">
      <x:c r="A884" s="3" t="str">
        <x:v>ORD-101761</x:v>
      </x:c>
      <x:c r="B884" s="5" t="n">
        <x:v>45542</x:v>
      </x:c>
      <x:c r="C884" s="3" t="str">
        <x:v>CUST-00196</x:v>
      </x:c>
      <x:c r="D884" s="3" t="str">
        <x:v>West</x:v>
      </x:c>
      <x:c r="E884" s="3" t="str">
        <x:v>Beauty</x:v>
      </x:c>
      <x:c r="F884" s="3" t="str">
        <x:v>Skincare</x:v>
      </x:c>
      <x:c r="G884" s="3" t="str">
        <x:v>HydraBoost Moisturizer</x:v>
      </x:c>
      <x:c r="H884" s="3" t="n">
        <x:v>1</x:v>
      </x:c>
      <x:c r="I884" s="7" t="n">
        <x:v>1207.29</x:v>
      </x:c>
      <x:c r="J884" s="9" t="n">
        <x:v>0</x:v>
      </x:c>
      <x:c r="K884" s="7" t="n">
        <x:v>1207.29</x:v>
      </x:c>
      <x:c r="L884" s="7" t="n">
        <x:v>615.95</x:v>
      </x:c>
      <x:c r="M884" s="3" t="str">
        <x:v>Debit Card</x:v>
      </x:c>
      <x:c r="N884" s="3" t="str">
        <x:f>TEXT(B884,"yyyy-mm")</x:f>
        <x:v>2024-09</x:v>
      </x:c>
      <x:c r="O884" s="3" t="str">
        <x:f>IF(J884=0,"No discount",IF(J884&lt;=0.1,"1-10%",IF(J884&lt;=0.15,"11-15%",IF(J884&lt;=0.2,"16-20%","21%+"))))</x:f>
        <x:v>No discount</x:v>
      </x:c>
      <x:c r="P884" s="9" t="n">
        <x:f>IF(K884=0,0,L884/K884)</x:f>
        <x:v>0.5101922487554772</x:v>
      </x:c>
      <x:c r="Q884" s="3" t="str">
        <x:f>IF(L884&lt;0,"Yes","No")</x:f>
        <x:v>No</x:v>
      </x:c>
    </x:row>
    <x:row r="885" ht="21" customHeight="1">
      <x:c r="A885" s="3" t="str">
        <x:v>ORD-100224</x:v>
      </x:c>
      <x:c r="B885" s="5" t="n">
        <x:v>45543</x:v>
      </x:c>
      <x:c r="C885" s="3" t="str">
        <x:v>CUST-00420</x:v>
      </x:c>
      <x:c r="D885" s="3" t="str">
        <x:v>East</x:v>
      </x:c>
      <x:c r="E885" s="3" t="str">
        <x:v>Home &amp; Kitchen</x:v>
      </x:c>
      <x:c r="F885" s="3" t="str">
        <x:v>Furniture</x:v>
      </x:c>
      <x:c r="G885" s="3" t="str">
        <x:v>ErgoComfort Chair</x:v>
      </x:c>
      <x:c r="H885" s="3" t="n">
        <x:v>1</x:v>
      </x:c>
      <x:c r="I885" s="7" t="n">
        <x:v>9056.42</x:v>
      </x:c>
      <x:c r="J885" s="9" t="n">
        <x:v>0</x:v>
      </x:c>
      <x:c r="K885" s="7" t="n">
        <x:v>9056.42</x:v>
      </x:c>
      <x:c r="L885" s="7" t="n">
        <x:v>2846.55</x:v>
      </x:c>
      <x:c r="M885" s="3" t="str">
        <x:v>Credit Card</x:v>
      </x:c>
      <x:c r="N885" s="3" t="str">
        <x:f>TEXT(B885,"yyyy-mm")</x:f>
        <x:v>2024-09</x:v>
      </x:c>
      <x:c r="O885" s="3" t="str">
        <x:f>IF(J885=0,"No discount",IF(J885&lt;=0.1,"1-10%",IF(J885&lt;=0.15,"11-15%",IF(J885&lt;=0.2,"16-20%","21%+"))))</x:f>
        <x:v>No discount</x:v>
      </x:c>
      <x:c r="P885" s="9" t="n">
        <x:f>IF(K885=0,0,L885/K885)</x:f>
        <x:v>0.3143129404334163</x:v>
      </x:c>
      <x:c r="Q885" s="3" t="str">
        <x:f>IF(L885&lt;0,"Yes","No")</x:f>
        <x:v>No</x:v>
      </x:c>
    </x:row>
    <x:row r="886" ht="21" customHeight="1">
      <x:c r="A886" s="3" t="str">
        <x:v>ORD-101197</x:v>
      </x:c>
      <x:c r="B886" s="5" t="n">
        <x:v>45543</x:v>
      </x:c>
      <x:c r="C886" s="3" t="str">
        <x:v>CUST-00350</x:v>
      </x:c>
      <x:c r="D886" s="3" t="str">
        <x:v>South</x:v>
      </x:c>
      <x:c r="E886" s="3" t="str">
        <x:v>Fashion</x:v>
      </x:c>
      <x:c r="F886" s="3" t="str">
        <x:v>Men</x:v>
      </x:c>
      <x:c r="G886" s="3" t="str">
        <x:v>Oxford Casual Shirt</x:v>
      </x:c>
      <x:c r="H886" s="3" t="n">
        <x:v>1</x:v>
      </x:c>
      <x:c r="I886" s="7" t="n">
        <x:v>1274.85</x:v>
      </x:c>
      <x:c r="J886" s="9" t="n">
        <x:v>0.15</x:v>
      </x:c>
      <x:c r="K886" s="7" t="n">
        <x:v>1083.62</x:v>
      </x:c>
      <x:c r="L886" s="7" t="n">
        <x:v>265.5</x:v>
      </x:c>
      <x:c r="M886" s="3" t="str">
        <x:v>Credit Card</x:v>
      </x:c>
      <x:c r="N886" s="3" t="str">
        <x:f>TEXT(B886,"yyyy-mm")</x:f>
        <x:v>2024-09</x:v>
      </x:c>
      <x:c r="O886" s="3" t="str">
        <x:f>IF(J886=0,"No discount",IF(J886&lt;=0.1,"1-10%",IF(J886&lt;=0.15,"11-15%",IF(J886&lt;=0.2,"16-20%","21%+"))))</x:f>
        <x:v>11-15%</x:v>
      </x:c>
      <x:c r="P886" s="9" t="n">
        <x:f>IF(K886=0,0,L886/K886)</x:f>
        <x:v>0.24501208910872818</x:v>
      </x:c>
      <x:c r="Q886" s="3" t="str">
        <x:f>IF(L886&lt;0,"Yes","No")</x:f>
        <x:v>No</x:v>
      </x:c>
    </x:row>
    <x:row r="887" ht="21" customHeight="1">
      <x:c r="A887" s="3" t="str">
        <x:v>ORD-101543</x:v>
      </x:c>
      <x:c r="B887" s="5" t="n">
        <x:v>45543</x:v>
      </x:c>
      <x:c r="C887" s="3" t="str">
        <x:v>CUST-00504</x:v>
      </x:c>
      <x:c r="D887" s="3" t="str">
        <x:v>North</x:v>
      </x:c>
      <x:c r="E887" s="3" t="str">
        <x:v>Fashion</x:v>
      </x:c>
      <x:c r="F887" s="3" t="str">
        <x:v>Footwear</x:v>
      </x:c>
      <x:c r="G887" s="3" t="str">
        <x:v>RunFlex Sneakers</x:v>
      </x:c>
      <x:c r="H887" s="3" t="n">
        <x:v>1</x:v>
      </x:c>
      <x:c r="I887" s="7" t="n">
        <x:v>3074.57</x:v>
      </x:c>
      <x:c r="J887" s="9" t="n">
        <x:v>0.05</x:v>
      </x:c>
      <x:c r="K887" s="7" t="n">
        <x:v>2920.84</x:v>
      </x:c>
      <x:c r="L887" s="7" t="n">
        <x:v>1140.34</x:v>
      </x:c>
      <x:c r="M887" s="3" t="str">
        <x:v>UPI</x:v>
      </x:c>
      <x:c r="N887" s="3" t="str">
        <x:f>TEXT(B887,"yyyy-mm")</x:f>
        <x:v>2024-09</x:v>
      </x:c>
      <x:c r="O887" s="3" t="str">
        <x:f>IF(J887=0,"No discount",IF(J887&lt;=0.1,"1-10%",IF(J887&lt;=0.15,"11-15%",IF(J887&lt;=0.2,"16-20%","21%+"))))</x:f>
        <x:v>1-10%</x:v>
      </x:c>
      <x:c r="P887" s="9" t="n">
        <x:f>IF(K887=0,0,L887/K887)</x:f>
        <x:v>0.3904150860711302</x:v>
      </x:c>
      <x:c r="Q887" s="3" t="str">
        <x:f>IF(L887&lt;0,"Yes","No")</x:f>
        <x:v>No</x:v>
      </x:c>
    </x:row>
    <x:row r="888" ht="21" customHeight="1">
      <x:c r="A888" s="3" t="str">
        <x:v>ORD-101746</x:v>
      </x:c>
      <x:c r="B888" s="5" t="n">
        <x:v>45543</x:v>
      </x:c>
      <x:c r="C888" s="3" t="str">
        <x:v>CUST-00315</x:v>
      </x:c>
      <x:c r="D888" s="3" t="str">
        <x:v>North</x:v>
      </x:c>
      <x:c r="E888" s="3" t="str">
        <x:v>Home &amp; Kitchen</x:v>
      </x:c>
      <x:c r="F888" s="3" t="str">
        <x:v>Decor</x:v>
      </x:c>
      <x:c r="G888" s="3" t="str">
        <x:v>Ceramic Vase Set</x:v>
      </x:c>
      <x:c r="H888" s="3" t="n">
        <x:v>1</x:v>
      </x:c>
      <x:c r="I888" s="7" t="n">
        <x:v>1433.32</x:v>
      </x:c>
      <x:c r="J888" s="9" t="n">
        <x:v>0.05</x:v>
      </x:c>
      <x:c r="K888" s="7" t="n">
        <x:v>1361.65</x:v>
      </x:c>
      <x:c r="L888" s="7" t="n">
        <x:v>330.63</x:v>
      </x:c>
      <x:c r="M888" s="3" t="str">
        <x:v>UPI</x:v>
      </x:c>
      <x:c r="N888" s="3" t="str">
        <x:f>TEXT(B888,"yyyy-mm")</x:f>
        <x:v>2024-09</x:v>
      </x:c>
      <x:c r="O888" s="3" t="str">
        <x:f>IF(J888=0,"No discount",IF(J888&lt;=0.1,"1-10%",IF(J888&lt;=0.15,"11-15%",IF(J888&lt;=0.2,"16-20%","21%+"))))</x:f>
        <x:v>1-10%</x:v>
      </x:c>
      <x:c r="P888" s="9" t="n">
        <x:f>IF(K888=0,0,L888/K888)</x:f>
        <x:v>0.2428157015385745</x:v>
      </x:c>
      <x:c r="Q888" s="3" t="str">
        <x:f>IF(L888&lt;0,"Yes","No")</x:f>
        <x:v>No</x:v>
      </x:c>
    </x:row>
    <x:row r="889" ht="21" customHeight="1">
      <x:c r="A889" s="3" t="str">
        <x:v>ORD-100019</x:v>
      </x:c>
      <x:c r="B889" s="5" t="n">
        <x:v>45544</x:v>
      </x:c>
      <x:c r="C889" s="3" t="str">
        <x:v>CUST-00041</x:v>
      </x:c>
      <x:c r="D889" s="3" t="str">
        <x:v>East</x:v>
      </x:c>
      <x:c r="E889" s="3" t="str">
        <x:v>Beauty</x:v>
      </x:c>
      <x:c r="F889" s="3" t="str">
        <x:v>Skincare</x:v>
      </x:c>
      <x:c r="G889" s="3" t="str">
        <x:v>Vitamin C Serum</x:v>
      </x:c>
      <x:c r="H889" s="3" t="n">
        <x:v>5</x:v>
      </x:c>
      <x:c r="I889" s="7" t="n">
        <x:v>870.76</x:v>
      </x:c>
      <x:c r="J889" s="9" t="n">
        <x:v>0</x:v>
      </x:c>
      <x:c r="K889" s="7" t="n">
        <x:v>4353.8</x:v>
      </x:c>
      <x:c r="L889" s="7" t="n">
        <x:v>2427.69</x:v>
      </x:c>
      <x:c r="M889" s="3" t="str">
        <x:v>UPI</x:v>
      </x:c>
      <x:c r="N889" s="3" t="str">
        <x:f>TEXT(B889,"yyyy-mm")</x:f>
        <x:v>2024-09</x:v>
      </x:c>
      <x:c r="O889" s="3" t="str">
        <x:f>IF(J889=0,"No discount",IF(J889&lt;=0.1,"1-10%",IF(J889&lt;=0.15,"11-15%",IF(J889&lt;=0.2,"16-20%","21%+"))))</x:f>
        <x:v>No discount</x:v>
      </x:c>
      <x:c r="P889" s="9" t="n">
        <x:f>IF(K889=0,0,L889/K889)</x:f>
        <x:v>0.5576025540906794</x:v>
      </x:c>
      <x:c r="Q889" s="3" t="str">
        <x:f>IF(L889&lt;0,"Yes","No")</x:f>
        <x:v>No</x:v>
      </x:c>
    </x:row>
    <x:row r="890" ht="21" customHeight="1">
      <x:c r="A890" s="3" t="str">
        <x:v>ORD-100467</x:v>
      </x:c>
      <x:c r="B890" s="5" t="n">
        <x:v>45544</x:v>
      </x:c>
      <x:c r="C890" s="3" t="str">
        <x:v>CUST-00445</x:v>
      </x:c>
      <x:c r="D890" s="3" t="str">
        <x:v>West</x:v>
      </x:c>
      <x:c r="E890" s="3" t="str">
        <x:v>Fashion</x:v>
      </x:c>
      <x:c r="F890" s="3" t="str">
        <x:v>Men</x:v>
      </x:c>
      <x:c r="G890" s="3" t="str">
        <x:v>Oxford Casual Shirt</x:v>
      </x:c>
      <x:c r="H890" s="3" t="n">
        <x:v>3</x:v>
      </x:c>
      <x:c r="I890" s="7" t="n">
        <x:v>1363.39</x:v>
      </x:c>
      <x:c r="J890" s="9" t="n">
        <x:v>0.05</x:v>
      </x:c>
      <x:c r="K890" s="7" t="n">
        <x:v>3885.66</x:v>
      </x:c>
      <x:c r="L890" s="7" t="n">
        <x:v>1437.02</x:v>
      </x:c>
      <x:c r="M890" s="3" t="str">
        <x:v>UPI</x:v>
      </x:c>
      <x:c r="N890" s="3" t="str">
        <x:f>TEXT(B890,"yyyy-mm")</x:f>
        <x:v>2024-09</x:v>
      </x:c>
      <x:c r="O890" s="3" t="str">
        <x:f>IF(J890=0,"No discount",IF(J890&lt;=0.1,"1-10%",IF(J890&lt;=0.15,"11-15%",IF(J890&lt;=0.2,"16-20%","21%+"))))</x:f>
        <x:v>1-10%</x:v>
      </x:c>
      <x:c r="P890" s="9" t="n">
        <x:f>IF(K890=0,0,L890/K890)</x:f>
        <x:v>0.36982649022302516</x:v>
      </x:c>
      <x:c r="Q890" s="3" t="str">
        <x:f>IF(L890&lt;0,"Yes","No")</x:f>
        <x:v>No</x:v>
      </x:c>
    </x:row>
    <x:row r="891" ht="21" customHeight="1">
      <x:c r="A891" s="3" t="str">
        <x:v>ORD-100648</x:v>
      </x:c>
      <x:c r="B891" s="5" t="n">
        <x:v>45544</x:v>
      </x:c>
      <x:c r="C891" s="3" t="str">
        <x:v>CUST-00036</x:v>
      </x:c>
      <x:c r="D891" s="3" t="str">
        <x:v>East</x:v>
      </x:c>
      <x:c r="E891" s="3" t="str">
        <x:v>Home &amp; Kitchen</x:v>
      </x:c>
      <x:c r="F891" s="3" t="str">
        <x:v>Appliances</x:v>
      </x:c>
      <x:c r="G891" s="3" t="str">
        <x:v>ColdBrew Coffee Maker</x:v>
      </x:c>
      <x:c r="H891" s="3" t="n">
        <x:v>1</x:v>
      </x:c>
      <x:c r="I891" s="7" t="n">
        <x:v>6621.5</x:v>
      </x:c>
      <x:c r="J891" s="9" t="n">
        <x:v>0.05</x:v>
      </x:c>
      <x:c r="K891" s="7" t="n">
        <x:v>6290.42</x:v>
      </x:c>
      <x:c r="L891" s="7" t="n">
        <x:v>1813</x:v>
      </x:c>
      <x:c r="M891" s="3" t="str">
        <x:v>Net Banking</x:v>
      </x:c>
      <x:c r="N891" s="3" t="str">
        <x:f>TEXT(B891,"yyyy-mm")</x:f>
        <x:v>2024-09</x:v>
      </x:c>
      <x:c r="O891" s="3" t="str">
        <x:f>IF(J891=0,"No discount",IF(J891&lt;=0.1,"1-10%",IF(J891&lt;=0.15,"11-15%",IF(J891&lt;=0.2,"16-20%","21%+"))))</x:f>
        <x:v>1-10%</x:v>
      </x:c>
      <x:c r="P891" s="9" t="n">
        <x:f>IF(K891=0,0,L891/K891)</x:f>
        <x:v>0.2882160491668283</x:v>
      </x:c>
      <x:c r="Q891" s="3" t="str">
        <x:f>IF(L891&lt;0,"Yes","No")</x:f>
        <x:v>No</x:v>
      </x:c>
    </x:row>
    <x:row r="892" ht="21" customHeight="1">
      <x:c r="A892" s="3" t="str">
        <x:v>ORD-101649</x:v>
      </x:c>
      <x:c r="B892" s="5" t="n">
        <x:v>45544</x:v>
      </x:c>
      <x:c r="C892" s="3" t="str">
        <x:v>CUST-00168</x:v>
      </x:c>
      <x:c r="D892" s="3" t="str">
        <x:v>North</x:v>
      </x:c>
      <x:c r="E892" s="3" t="str">
        <x:v>Fashion</x:v>
      </x:c>
      <x:c r="F892" s="3" t="str">
        <x:v>Women</x:v>
      </x:c>
      <x:c r="G892" s="3" t="str">
        <x:v>Knit Winter Sweater</x:v>
      </x:c>
      <x:c r="H892" s="3" t="n">
        <x:v>2</x:v>
      </x:c>
      <x:c r="I892" s="7" t="n">
        <x:v>2131.63</x:v>
      </x:c>
      <x:c r="J892" s="9" t="n">
        <x:v>0</x:v>
      </x:c>
      <x:c r="K892" s="7" t="n">
        <x:v>4263.26</x:v>
      </x:c>
      <x:c r="L892" s="7" t="n">
        <x:v>1884.62</x:v>
      </x:c>
      <x:c r="M892" s="3" t="str">
        <x:v>UPI</x:v>
      </x:c>
      <x:c r="N892" s="3" t="str">
        <x:f>TEXT(B892,"yyyy-mm")</x:f>
        <x:v>2024-09</x:v>
      </x:c>
      <x:c r="O892" s="3" t="str">
        <x:f>IF(J892=0,"No discount",IF(J892&lt;=0.1,"1-10%",IF(J892&lt;=0.15,"11-15%",IF(J892&lt;=0.2,"16-20%","21%+"))))</x:f>
        <x:v>No discount</x:v>
      </x:c>
      <x:c r="P892" s="9" t="n">
        <x:f>IF(K892=0,0,L892/K892)</x:f>
        <x:v>0.4420607703963633</x:v>
      </x:c>
      <x:c r="Q892" s="3" t="str">
        <x:f>IF(L892&lt;0,"Yes","No")</x:f>
        <x:v>No</x:v>
      </x:c>
    </x:row>
    <x:row r="893" ht="21" customHeight="1">
      <x:c r="A893" s="3" t="str">
        <x:v>ORD-101711</x:v>
      </x:c>
      <x:c r="B893" s="5" t="n">
        <x:v>45544</x:v>
      </x:c>
      <x:c r="C893" s="3" t="str">
        <x:v>CUST-00205</x:v>
      </x:c>
      <x:c r="D893" s="3" t="str">
        <x:v>West</x:v>
      </x:c>
      <x:c r="E893" s="3" t="str">
        <x:v>Home &amp; Kitchen</x:v>
      </x:c>
      <x:c r="F893" s="3" t="str">
        <x:v>Decor</x:v>
      </x:c>
      <x:c r="G893" s="3" t="str">
        <x:v>Ceramic Vase Set</x:v>
      </x:c>
      <x:c r="H893" s="3" t="n">
        <x:v>1</x:v>
      </x:c>
      <x:c r="I893" s="7" t="n">
        <x:v>1502.78</x:v>
      </x:c>
      <x:c r="J893" s="9" t="n">
        <x:v>0</x:v>
      </x:c>
      <x:c r="K893" s="7" t="n">
        <x:v>1502.78</x:v>
      </x:c>
      <x:c r="L893" s="7" t="n">
        <x:v>441.68</x:v>
      </x:c>
      <x:c r="M893" s="3" t="str">
        <x:v>Debit Card</x:v>
      </x:c>
      <x:c r="N893" s="3" t="str">
        <x:f>TEXT(B893,"yyyy-mm")</x:f>
        <x:v>2024-09</x:v>
      </x:c>
      <x:c r="O893" s="3" t="str">
        <x:f>IF(J893=0,"No discount",IF(J893&lt;=0.1,"1-10%",IF(J893&lt;=0.15,"11-15%",IF(J893&lt;=0.2,"16-20%","21%+"))))</x:f>
        <x:v>No discount</x:v>
      </x:c>
      <x:c r="P893" s="9" t="n">
        <x:f>IF(K893=0,0,L893/K893)</x:f>
        <x:v>0.29390862268595536</x:v>
      </x:c>
      <x:c r="Q893" s="3" t="str">
        <x:f>IF(L893&lt;0,"Yes","No")</x:f>
        <x:v>No</x:v>
      </x:c>
    </x:row>
    <x:row r="894" ht="21" customHeight="1">
      <x:c r="A894" s="3" t="str">
        <x:v>ORD-100012</x:v>
      </x:c>
      <x:c r="B894" s="5" t="n">
        <x:v>45545</x:v>
      </x:c>
      <x:c r="C894" s="3" t="str">
        <x:v>CUST-00347</x:v>
      </x:c>
      <x:c r="D894" s="3" t="str">
        <x:v>West</x:v>
      </x:c>
      <x:c r="E894" s="3" t="str">
        <x:v>Fashion</x:v>
      </x:c>
      <x:c r="F894" s="3" t="str">
        <x:v>Footwear</x:v>
      </x:c>
      <x:c r="G894" s="3" t="str">
        <x:v>RunFlex Sneakers</x:v>
      </x:c>
      <x:c r="H894" s="3" t="n">
        <x:v>2</x:v>
      </x:c>
      <x:c r="I894" s="7" t="n">
        <x:v>3050.49</x:v>
      </x:c>
      <x:c r="J894" s="9" t="n">
        <x:v>0.05</x:v>
      </x:c>
      <x:c r="K894" s="7" t="n">
        <x:v>5795.93</x:v>
      </x:c>
      <x:c r="L894" s="7" t="n">
        <x:v>2042.33</x:v>
      </x:c>
      <x:c r="M894" s="3" t="str">
        <x:v>Credit Card</x:v>
      </x:c>
      <x:c r="N894" s="3" t="str">
        <x:f>TEXT(B894,"yyyy-mm")</x:f>
        <x:v>2024-09</x:v>
      </x:c>
      <x:c r="O894" s="3" t="str">
        <x:f>IF(J894=0,"No discount",IF(J894&lt;=0.1,"1-10%",IF(J894&lt;=0.15,"11-15%",IF(J894&lt;=0.2,"16-20%","21%+"))))</x:f>
        <x:v>1-10%</x:v>
      </x:c>
      <x:c r="P894" s="9" t="n">
        <x:f>IF(K894=0,0,L894/K894)</x:f>
        <x:v>0.35237313080040644</x:v>
      </x:c>
      <x:c r="Q894" s="3" t="str">
        <x:f>IF(L894&lt;0,"Yes","No")</x:f>
        <x:v>No</x:v>
      </x:c>
    </x:row>
    <x:row r="895" ht="21" customHeight="1">
      <x:c r="A895" s="3" t="str">
        <x:v>ORD-100597</x:v>
      </x:c>
      <x:c r="B895" s="5" t="n">
        <x:v>45545</x:v>
      </x:c>
      <x:c r="C895" s="3" t="str">
        <x:v>CUST-00245</x:v>
      </x:c>
      <x:c r="D895" s="3" t="str">
        <x:v>West</x:v>
      </x:c>
      <x:c r="E895" s="3" t="str">
        <x:v>Home &amp; Kitchen</x:v>
      </x:c>
      <x:c r="F895" s="3" t="str">
        <x:v>Furniture</x:v>
      </x:c>
      <x:c r="G895" s="3" t="str">
        <x:v>Oakwood Study Desk</x:v>
      </x:c>
      <x:c r="H895" s="3" t="n">
        <x:v>1</x:v>
      </x:c>
      <x:c r="I895" s="7" t="n">
        <x:v>12380.28</x:v>
      </x:c>
      <x:c r="J895" s="9" t="n">
        <x:v>0.05</x:v>
      </x:c>
      <x:c r="K895" s="7" t="n">
        <x:v>11761.27</x:v>
      </x:c>
      <x:c r="L895" s="7" t="n">
        <x:v>3484.6</x:v>
      </x:c>
      <x:c r="M895" s="3" t="str">
        <x:v>Debit Card</x:v>
      </x:c>
      <x:c r="N895" s="3" t="str">
        <x:f>TEXT(B895,"yyyy-mm")</x:f>
        <x:v>2024-09</x:v>
      </x:c>
      <x:c r="O895" s="3" t="str">
        <x:f>IF(J895=0,"No discount",IF(J895&lt;=0.1,"1-10%",IF(J895&lt;=0.15,"11-15%",IF(J895&lt;=0.2,"16-20%","21%+"))))</x:f>
        <x:v>1-10%</x:v>
      </x:c>
      <x:c r="P895" s="9" t="n">
        <x:f>IF(K895=0,0,L895/K895)</x:f>
        <x:v>0.29627752785200917</x:v>
      </x:c>
      <x:c r="Q895" s="3" t="str">
        <x:f>IF(L895&lt;0,"Yes","No")</x:f>
        <x:v>No</x:v>
      </x:c>
    </x:row>
    <x:row r="896" ht="21" customHeight="1">
      <x:c r="A896" s="3" t="str">
        <x:v>ORD-100698</x:v>
      </x:c>
      <x:c r="B896" s="5" t="n">
        <x:v>45545</x:v>
      </x:c>
      <x:c r="C896" s="3" t="str">
        <x:v>CUST-00440</x:v>
      </x:c>
      <x:c r="D896" s="3" t="str">
        <x:v>North</x:v>
      </x:c>
      <x:c r="E896" s="3" t="str">
        <x:v>Home &amp; Kitchen</x:v>
      </x:c>
      <x:c r="F896" s="3" t="str">
        <x:v>Decor</x:v>
      </x:c>
      <x:c r="G896" s="3" t="str">
        <x:v>Ceramic Vase Set</x:v>
      </x:c>
      <x:c r="H896" s="3" t="n">
        <x:v>2</x:v>
      </x:c>
      <x:c r="I896" s="7" t="n">
        <x:v>1446.91</x:v>
      </x:c>
      <x:c r="J896" s="9" t="n">
        <x:v>0</x:v>
      </x:c>
      <x:c r="K896" s="7" t="n">
        <x:v>2893.82</x:v>
      </x:c>
      <x:c r="L896" s="7" t="n">
        <x:v>957.56</x:v>
      </x:c>
      <x:c r="M896" s="3" t="str">
        <x:v>Debit Card</x:v>
      </x:c>
      <x:c r="N896" s="3" t="str">
        <x:f>TEXT(B896,"yyyy-mm")</x:f>
        <x:v>2024-09</x:v>
      </x:c>
      <x:c r="O896" s="3" t="str">
        <x:f>IF(J896=0,"No discount",IF(J896&lt;=0.1,"1-10%",IF(J896&lt;=0.15,"11-15%",IF(J896&lt;=0.2,"16-20%","21%+"))))</x:f>
        <x:v>No discount</x:v>
      </x:c>
      <x:c r="P896" s="9" t="n">
        <x:f>IF(K896=0,0,L896/K896)</x:f>
        <x:v>0.33089825904859316</x:v>
      </x:c>
      <x:c r="Q896" s="3" t="str">
        <x:f>IF(L896&lt;0,"Yes","No")</x:f>
        <x:v>No</x:v>
      </x:c>
    </x:row>
    <x:row r="897" ht="21" customHeight="1">
      <x:c r="A897" s="3" t="str">
        <x:v>ORD-100360</x:v>
      </x:c>
      <x:c r="B897" s="5" t="n">
        <x:v>45546</x:v>
      </x:c>
      <x:c r="C897" s="3" t="str">
        <x:v>CUST-00454</x:v>
      </x:c>
      <x:c r="D897" s="3" t="str">
        <x:v>North</x:v>
      </x:c>
      <x:c r="E897" s="3" t="str">
        <x:v>Electronics</x:v>
      </x:c>
      <x:c r="F897" s="3" t="str">
        <x:v>Audio</x:v>
      </x:c>
      <x:c r="G897" s="3" t="str">
        <x:v>BassBoom Speaker</x:v>
      </x:c>
      <x:c r="H897" s="3" t="n">
        <x:v>1</x:v>
      </x:c>
      <x:c r="I897" s="7" t="n">
        <x:v>8774.1</x:v>
      </x:c>
      <x:c r="J897" s="9" t="n">
        <x:v>0.2</x:v>
      </x:c>
      <x:c r="K897" s="7" t="n">
        <x:v>7019.28</x:v>
      </x:c>
      <x:c r="L897" s="7" t="n">
        <x:v>-417.46</x:v>
      </x:c>
      <x:c r="M897" s="3" t="str">
        <x:v>Cash on Delivery</x:v>
      </x:c>
      <x:c r="N897" s="3" t="str">
        <x:f>TEXT(B897,"yyyy-mm")</x:f>
        <x:v>2024-09</x:v>
      </x:c>
      <x:c r="O897" s="3" t="str">
        <x:f>IF(J897=0,"No discount",IF(J897&lt;=0.1,"1-10%",IF(J897&lt;=0.15,"11-15%",IF(J897&lt;=0.2,"16-20%","21%+"))))</x:f>
        <x:v>16-20%</x:v>
      </x:c>
      <x:c r="P897" s="9" t="n">
        <x:f>IF(K897=0,0,L897/K897)</x:f>
        <x:v>-0.05947333629660022</x:v>
      </x:c>
      <x:c r="Q897" s="3" t="str">
        <x:f>IF(L897&lt;0,"Yes","No")</x:f>
        <x:v>Yes</x:v>
      </x:c>
    </x:row>
    <x:row r="898" ht="21" customHeight="1">
      <x:c r="A898" s="3" t="str">
        <x:v>ORD-101135</x:v>
      </x:c>
      <x:c r="B898" s="5" t="n">
        <x:v>45546</x:v>
      </x:c>
      <x:c r="C898" s="3" t="str">
        <x:v>CUST-00157</x:v>
      </x:c>
      <x:c r="D898" s="3" t="str">
        <x:v>West</x:v>
      </x:c>
      <x:c r="E898" s="3" t="str">
        <x:v>Electronics</x:v>
      </x:c>
      <x:c r="F898" s="3" t="str">
        <x:v>Audio</x:v>
      </x:c>
      <x:c r="G898" s="3" t="str">
        <x:v>BassBoom Speaker</x:v>
      </x:c>
      <x:c r="H898" s="3" t="n">
        <x:v>3</x:v>
      </x:c>
      <x:c r="I898" s="7" t="n">
        <x:v>9290.63</x:v>
      </x:c>
      <x:c r="J898" s="9" t="n">
        <x:v>0</x:v>
      </x:c>
      <x:c r="K898" s="7" t="n">
        <x:v>27871.89</x:v>
      </x:c>
      <x:c r="L898" s="7" t="n">
        <x:v>5139.61</x:v>
      </x:c>
      <x:c r="M898" s="3" t="str">
        <x:v>UPI</x:v>
      </x:c>
      <x:c r="N898" s="3" t="str">
        <x:f>TEXT(B898,"yyyy-mm")</x:f>
        <x:v>2024-09</x:v>
      </x:c>
      <x:c r="O898" s="3" t="str">
        <x:f>IF(J898=0,"No discount",IF(J898&lt;=0.1,"1-10%",IF(J898&lt;=0.15,"11-15%",IF(J898&lt;=0.2,"16-20%","21%+"))))</x:f>
        <x:v>No discount</x:v>
      </x:c>
      <x:c r="P898" s="9" t="n">
        <x:f>IF(K898=0,0,L898/K898)</x:f>
        <x:v>0.1844012013537654</x:v>
      </x:c>
      <x:c r="Q898" s="3" t="str">
        <x:f>IF(L898&lt;0,"Yes","No")</x:f>
        <x:v>No</x:v>
      </x:c>
    </x:row>
    <x:row r="899" ht="21" customHeight="1">
      <x:c r="A899" s="3" t="str">
        <x:v>ORD-101170</x:v>
      </x:c>
      <x:c r="B899" s="5" t="n">
        <x:v>45546</x:v>
      </x:c>
      <x:c r="C899" s="3" t="str">
        <x:v>CUST-00042</x:v>
      </x:c>
      <x:c r="D899" s="3" t="str">
        <x:v>East</x:v>
      </x:c>
      <x:c r="E899" s="3" t="str">
        <x:v>Sports</x:v>
      </x:c>
      <x:c r="F899" s="3" t="str">
        <x:v>Outdoor</x:v>
      </x:c>
      <x:c r="G899" s="3" t="str">
        <x:v>AllWeather Tent 4P</x:v>
      </x:c>
      <x:c r="H899" s="3" t="n">
        <x:v>1</x:v>
      </x:c>
      <x:c r="I899" s="7" t="n">
        <x:v>12107.88</x:v>
      </x:c>
      <x:c r="J899" s="9" t="n">
        <x:v>0</x:v>
      </x:c>
      <x:c r="K899" s="7" t="n">
        <x:v>12107.88</x:v>
      </x:c>
      <x:c r="L899" s="7" t="n">
        <x:v>4840.04</x:v>
      </x:c>
      <x:c r="M899" s="3" t="str">
        <x:v>Credit Card</x:v>
      </x:c>
      <x:c r="N899" s="3" t="str">
        <x:f>TEXT(B899,"yyyy-mm")</x:f>
        <x:v>2024-09</x:v>
      </x:c>
      <x:c r="O899" s="3" t="str">
        <x:f>IF(J899=0,"No discount",IF(J899&lt;=0.1,"1-10%",IF(J899&lt;=0.15,"11-15%",IF(J899&lt;=0.2,"16-20%","21%+"))))</x:f>
        <x:v>No discount</x:v>
      </x:c>
      <x:c r="P899" s="9" t="n">
        <x:f>IF(K899=0,0,L899/K899)</x:f>
        <x:v>0.3997429773007331</x:v>
      </x:c>
      <x:c r="Q899" s="3" t="str">
        <x:f>IF(L899&lt;0,"Yes","No")</x:f>
        <x:v>No</x:v>
      </x:c>
    </x:row>
    <x:row r="900" ht="21" customHeight="1">
      <x:c r="A900" s="3" t="str">
        <x:v>ORD-101318</x:v>
      </x:c>
      <x:c r="B900" s="5" t="n">
        <x:v>45546</x:v>
      </x:c>
      <x:c r="C900" s="3" t="str">
        <x:v>CUST-00291</x:v>
      </x:c>
      <x:c r="D900" s="3" t="str">
        <x:v>South</x:v>
      </x:c>
      <x:c r="E900" s="3" t="str">
        <x:v>Fashion</x:v>
      </x:c>
      <x:c r="F900" s="3" t="str">
        <x:v>Footwear</x:v>
      </x:c>
      <x:c r="G900" s="3" t="str">
        <x:v>RunFlex Sneakers</x:v>
      </x:c>
      <x:c r="H900" s="3" t="n">
        <x:v>1</x:v>
      </x:c>
      <x:c r="I900" s="7" t="n">
        <x:v>3086.01</x:v>
      </x:c>
      <x:c r="J900" s="9" t="n">
        <x:v>0.15</x:v>
      </x:c>
      <x:c r="K900" s="7" t="n">
        <x:v>2623.11</x:v>
      </x:c>
      <x:c r="L900" s="7" t="n">
        <x:v>633.17</x:v>
      </x:c>
      <x:c r="M900" s="3" t="str">
        <x:v>UPI</x:v>
      </x:c>
      <x:c r="N900" s="3" t="str">
        <x:f>TEXT(B900,"yyyy-mm")</x:f>
        <x:v>2024-09</x:v>
      </x:c>
      <x:c r="O900" s="3" t="str">
        <x:f>IF(J900=0,"No discount",IF(J900&lt;=0.1,"1-10%",IF(J900&lt;=0.15,"11-15%",IF(J900&lt;=0.2,"16-20%","21%+"))))</x:f>
        <x:v>11-15%</x:v>
      </x:c>
      <x:c r="P900" s="9" t="n">
        <x:f>IF(K900=0,0,L900/K900)</x:f>
        <x:v>0.24138141366545815</x:v>
      </x:c>
      <x:c r="Q900" s="3" t="str">
        <x:f>IF(L900&lt;0,"Yes","No")</x:f>
        <x:v>No</x:v>
      </x:c>
    </x:row>
    <x:row r="901" ht="21" customHeight="1">
      <x:c r="A901" s="3" t="str">
        <x:v>ORD-101323</x:v>
      </x:c>
      <x:c r="B901" s="5" t="n">
        <x:v>45546</x:v>
      </x:c>
      <x:c r="C901" s="3" t="str">
        <x:v>CUST-00168</x:v>
      </x:c>
      <x:c r="D901" s="3" t="str">
        <x:v>North</x:v>
      </x:c>
      <x:c r="E901" s="3" t="str">
        <x:v>Beauty</x:v>
      </x:c>
      <x:c r="F901" s="3" t="str">
        <x:v>Makeup</x:v>
      </x:c>
      <x:c r="G901" s="3" t="str">
        <x:v>Matte Lipstick Set</x:v>
      </x:c>
      <x:c r="H901" s="3" t="n">
        <x:v>1</x:v>
      </x:c>
      <x:c r="I901" s="7" t="n">
        <x:v>955.38</x:v>
      </x:c>
      <x:c r="J901" s="9" t="n">
        <x:v>0.1</x:v>
      </x:c>
      <x:c r="K901" s="7" t="n">
        <x:v>859.84</x:v>
      </x:c>
      <x:c r="L901" s="7" t="n">
        <x:v>360.27</x:v>
      </x:c>
      <x:c r="M901" s="3" t="str">
        <x:v>Debit Card</x:v>
      </x:c>
      <x:c r="N901" s="3" t="str">
        <x:f>TEXT(B901,"yyyy-mm")</x:f>
        <x:v>2024-09</x:v>
      </x:c>
      <x:c r="O901" s="3" t="str">
        <x:f>IF(J901=0,"No discount",IF(J901&lt;=0.1,"1-10%",IF(J901&lt;=0.15,"11-15%",IF(J901&lt;=0.2,"16-20%","21%+"))))</x:f>
        <x:v>1-10%</x:v>
      </x:c>
      <x:c r="P901" s="9" t="n">
        <x:f>IF(K901=0,0,L901/K901)</x:f>
        <x:v>0.41899655749906956</x:v>
      </x:c>
      <x:c r="Q901" s="3" t="str">
        <x:f>IF(L901&lt;0,"Yes","No")</x:f>
        <x:v>No</x:v>
      </x:c>
    </x:row>
    <x:row r="902" ht="21" customHeight="1">
      <x:c r="A902" s="3" t="str">
        <x:v>ORD-101725</x:v>
      </x:c>
      <x:c r="B902" s="5" t="n">
        <x:v>45546</x:v>
      </x:c>
      <x:c r="C902" s="3" t="str">
        <x:v>CUST-00560</x:v>
      </x:c>
      <x:c r="D902" s="3" t="str">
        <x:v>South</x:v>
      </x:c>
      <x:c r="E902" s="3" t="str">
        <x:v>Electronics</x:v>
      </x:c>
      <x:c r="F902" s="3" t="str">
        <x:v>Audio</x:v>
      </x:c>
      <x:c r="G902" s="3" t="str">
        <x:v>SoundPods Pro</x:v>
      </x:c>
      <x:c r="H902" s="3" t="n">
        <x:v>4</x:v>
      </x:c>
      <x:c r="I902" s="7" t="n">
        <x:v>5107.39</x:v>
      </x:c>
      <x:c r="J902" s="9" t="n">
        <x:v>0.15</x:v>
      </x:c>
      <x:c r="K902" s="7" t="n">
        <x:v>17365.13</x:v>
      </x:c>
      <x:c r="L902" s="7" t="n">
        <x:v>-121.3</x:v>
      </x:c>
      <x:c r="M902" s="3" t="str">
        <x:v>Credit Card</x:v>
      </x:c>
      <x:c r="N902" s="3" t="str">
        <x:f>TEXT(B902,"yyyy-mm")</x:f>
        <x:v>2024-09</x:v>
      </x:c>
      <x:c r="O902" s="3" t="str">
        <x:f>IF(J902=0,"No discount",IF(J902&lt;=0.1,"1-10%",IF(J902&lt;=0.15,"11-15%",IF(J902&lt;=0.2,"16-20%","21%+"))))</x:f>
        <x:v>11-15%</x:v>
      </x:c>
      <x:c r="P902" s="9" t="n">
        <x:f>IF(K902=0,0,L902/K902)</x:f>
        <x:v>-0.0069852629954397115</x:v>
      </x:c>
      <x:c r="Q902" s="3" t="str">
        <x:f>IF(L902&lt;0,"Yes","No")</x:f>
        <x:v>Yes</x:v>
      </x:c>
    </x:row>
    <x:row r="903" ht="21" customHeight="1">
      <x:c r="A903" s="3" t="str">
        <x:v>ORD-100596</x:v>
      </x:c>
      <x:c r="B903" s="5" t="n">
        <x:v>45547</x:v>
      </x:c>
      <x:c r="C903" s="3" t="str">
        <x:v>CUST-00338</x:v>
      </x:c>
      <x:c r="D903" s="3" t="str">
        <x:v>North</x:v>
      </x:c>
      <x:c r="E903" s="3" t="str">
        <x:v>Beauty</x:v>
      </x:c>
      <x:c r="F903" s="3" t="str">
        <x:v>Makeup</x:v>
      </x:c>
      <x:c r="G903" s="3" t="str">
        <x:v>HD Foundation Kit</x:v>
      </x:c>
      <x:c r="H903" s="3" t="n">
        <x:v>1</x:v>
      </x:c>
      <x:c r="I903" s="7" t="n">
        <x:v>1436.31</x:v>
      </x:c>
      <x:c r="J903" s="9" t="n">
        <x:v>0</x:v>
      </x:c>
      <x:c r="K903" s="7" t="n">
        <x:v>1436.31</x:v>
      </x:c>
      <x:c r="L903" s="7" t="n">
        <x:v>798.22</x:v>
      </x:c>
      <x:c r="M903" s="3" t="str">
        <x:v>Debit Card</x:v>
      </x:c>
      <x:c r="N903" s="3" t="str">
        <x:f>TEXT(B903,"yyyy-mm")</x:f>
        <x:v>2024-09</x:v>
      </x:c>
      <x:c r="O903" s="3" t="str">
        <x:f>IF(J903=0,"No discount",IF(J903&lt;=0.1,"1-10%",IF(J903&lt;=0.15,"11-15%",IF(J903&lt;=0.2,"16-20%","21%+"))))</x:f>
        <x:v>No discount</x:v>
      </x:c>
      <x:c r="P903" s="9" t="n">
        <x:f>IF(K903=0,0,L903/K903)</x:f>
        <x:v>0.5557435372586699</x:v>
      </x:c>
      <x:c r="Q903" s="3" t="str">
        <x:f>IF(L903&lt;0,"Yes","No")</x:f>
        <x:v>No</x:v>
      </x:c>
    </x:row>
    <x:row r="904" ht="21" customHeight="1">
      <x:c r="A904" s="3" t="str">
        <x:v>ORD-101053</x:v>
      </x:c>
      <x:c r="B904" s="5" t="n">
        <x:v>45547</x:v>
      </x:c>
      <x:c r="C904" s="3" t="str">
        <x:v>CUST-00482</x:v>
      </x:c>
      <x:c r="D904" s="3" t="str">
        <x:v>East</x:v>
      </x:c>
      <x:c r="E904" s="3" t="str">
        <x:v>Fashion</x:v>
      </x:c>
      <x:c r="F904" s="3" t="str">
        <x:v>Men</x:v>
      </x:c>
      <x:c r="G904" s="3" t="str">
        <x:v>Oxford Casual Shirt</x:v>
      </x:c>
      <x:c r="H904" s="3" t="n">
        <x:v>3</x:v>
      </x:c>
      <x:c r="I904" s="7" t="n">
        <x:v>1352.44</x:v>
      </x:c>
      <x:c r="J904" s="9" t="n">
        <x:v>0.1</x:v>
      </x:c>
      <x:c r="K904" s="7" t="n">
        <x:v>3651.59</x:v>
      </x:c>
      <x:c r="L904" s="7" t="n">
        <x:v>1174.53</x:v>
      </x:c>
      <x:c r="M904" s="3" t="str">
        <x:v>Debit Card</x:v>
      </x:c>
      <x:c r="N904" s="3" t="str">
        <x:f>TEXT(B904,"yyyy-mm")</x:f>
        <x:v>2024-09</x:v>
      </x:c>
      <x:c r="O904" s="3" t="str">
        <x:f>IF(J904=0,"No discount",IF(J904&lt;=0.1,"1-10%",IF(J904&lt;=0.15,"11-15%",IF(J904&lt;=0.2,"16-20%","21%+"))))</x:f>
        <x:v>1-10%</x:v>
      </x:c>
      <x:c r="P904" s="9" t="n">
        <x:f>IF(K904=0,0,L904/K904)</x:f>
        <x:v>0.32164892553654706</x:v>
      </x:c>
      <x:c r="Q904" s="3" t="str">
        <x:f>IF(L904&lt;0,"Yes","No")</x:f>
        <x:v>No</x:v>
      </x:c>
    </x:row>
    <x:row r="905" ht="21" customHeight="1">
      <x:c r="A905" s="3" t="str">
        <x:v>ORD-100130</x:v>
      </x:c>
      <x:c r="B905" s="5" t="n">
        <x:v>45548</x:v>
      </x:c>
      <x:c r="C905" s="3" t="str">
        <x:v>CUST-00565</x:v>
      </x:c>
      <x:c r="D905" s="3" t="str">
        <x:v>West</x:v>
      </x:c>
      <x:c r="E905" s="3" t="str">
        <x:v>Electronics</x:v>
      </x:c>
      <x:c r="F905" s="3" t="str">
        <x:v>Audio</x:v>
      </x:c>
      <x:c r="G905" s="3" t="str">
        <x:v>SoundPods Pro</x:v>
      </x:c>
      <x:c r="H905" s="3" t="n">
        <x:v>1</x:v>
      </x:c>
      <x:c r="I905" s="7" t="n">
        <x:v>5216.33</x:v>
      </x:c>
      <x:c r="J905" s="9" t="n">
        <x:v>0</x:v>
      </x:c>
      <x:c r="K905" s="7" t="n">
        <x:v>5216.33</x:v>
      </x:c>
      <x:c r="L905" s="7" t="n">
        <x:v>824.38</x:v>
      </x:c>
      <x:c r="M905" s="3" t="str">
        <x:v>Credit Card</x:v>
      </x:c>
      <x:c r="N905" s="3" t="str">
        <x:f>TEXT(B905,"yyyy-mm")</x:f>
        <x:v>2024-09</x:v>
      </x:c>
      <x:c r="O905" s="3" t="str">
        <x:f>IF(J905=0,"No discount",IF(J905&lt;=0.1,"1-10%",IF(J905&lt;=0.15,"11-15%",IF(J905&lt;=0.2,"16-20%","21%+"))))</x:f>
        <x:v>No discount</x:v>
      </x:c>
      <x:c r="P905" s="9" t="n">
        <x:f>IF(K905=0,0,L905/K905)</x:f>
        <x:v>0.1580383142937659</x:v>
      </x:c>
      <x:c r="Q905" s="3" t="str">
        <x:f>IF(L905&lt;0,"Yes","No")</x:f>
        <x:v>No</x:v>
      </x:c>
    </x:row>
    <x:row r="906" ht="21" customHeight="1">
      <x:c r="A906" s="3" t="str">
        <x:v>ORD-100335</x:v>
      </x:c>
      <x:c r="B906" s="5" t="n">
        <x:v>45548</x:v>
      </x:c>
      <x:c r="C906" s="3" t="str">
        <x:v>CUST-00387</x:v>
      </x:c>
      <x:c r="D906" s="3" t="str">
        <x:v>South</x:v>
      </x:c>
      <x:c r="E906" s="3" t="str">
        <x:v>Beauty</x:v>
      </x:c>
      <x:c r="F906" s="3" t="str">
        <x:v>Skincare</x:v>
      </x:c>
      <x:c r="G906" s="3" t="str">
        <x:v>HydraBoost Moisturizer</x:v>
      </x:c>
      <x:c r="H906" s="3" t="n">
        <x:v>1</x:v>
      </x:c>
      <x:c r="I906" s="7" t="n">
        <x:v>1206.03</x:v>
      </x:c>
      <x:c r="J906" s="9" t="n">
        <x:v>0.05</x:v>
      </x:c>
      <x:c r="K906" s="7" t="n">
        <x:v>1145.73</x:v>
      </x:c>
      <x:c r="L906" s="7" t="n">
        <x:v>564.56</x:v>
      </x:c>
      <x:c r="M906" s="3" t="str">
        <x:v>UPI</x:v>
      </x:c>
      <x:c r="N906" s="3" t="str">
        <x:f>TEXT(B906,"yyyy-mm")</x:f>
        <x:v>2024-09</x:v>
      </x:c>
      <x:c r="O906" s="3" t="str">
        <x:f>IF(J906=0,"No discount",IF(J906&lt;=0.1,"1-10%",IF(J906&lt;=0.15,"11-15%",IF(J906&lt;=0.2,"16-20%","21%+"))))</x:f>
        <x:v>1-10%</x:v>
      </x:c>
      <x:c r="P906" s="9" t="n">
        <x:f>IF(K906=0,0,L906/K906)</x:f>
        <x:v>0.4927513463032302</x:v>
      </x:c>
      <x:c r="Q906" s="3" t="str">
        <x:f>IF(L906&lt;0,"Yes","No")</x:f>
        <x:v>No</x:v>
      </x:c>
    </x:row>
    <x:row r="907" ht="21" customHeight="1">
      <x:c r="A907" s="3" t="str">
        <x:v>ORD-100345</x:v>
      </x:c>
      <x:c r="B907" s="5" t="n">
        <x:v>45548</x:v>
      </x:c>
      <x:c r="C907" s="3" t="str">
        <x:v>CUST-00582</x:v>
      </x:c>
      <x:c r="D907" s="3" t="str">
        <x:v>South</x:v>
      </x:c>
      <x:c r="E907" s="3" t="str">
        <x:v>Fashion</x:v>
      </x:c>
      <x:c r="F907" s="3" t="str">
        <x:v>Women</x:v>
      </x:c>
      <x:c r="G907" s="3" t="str">
        <x:v>Knit Winter Sweater</x:v>
      </x:c>
      <x:c r="H907" s="3" t="n">
        <x:v>1</x:v>
      </x:c>
      <x:c r="I907" s="7" t="n">
        <x:v>2227.73</x:v>
      </x:c>
      <x:c r="J907" s="9" t="n">
        <x:v>0.2</x:v>
      </x:c>
      <x:c r="K907" s="7" t="n">
        <x:v>1782.18</x:v>
      </x:c>
      <x:c r="L907" s="7" t="n">
        <x:v>343.46</x:v>
      </x:c>
      <x:c r="M907" s="3" t="str">
        <x:v>Credit Card</x:v>
      </x:c>
      <x:c r="N907" s="3" t="str">
        <x:f>TEXT(B907,"yyyy-mm")</x:f>
        <x:v>2024-09</x:v>
      </x:c>
      <x:c r="O907" s="3" t="str">
        <x:f>IF(J907=0,"No discount",IF(J907&lt;=0.1,"1-10%",IF(J907&lt;=0.15,"11-15%",IF(J907&lt;=0.2,"16-20%","21%+"))))</x:f>
        <x:v>16-20%</x:v>
      </x:c>
      <x:c r="P907" s="9" t="n">
        <x:f>IF(K907=0,0,L907/K907)</x:f>
        <x:v>0.1927190295031927</x:v>
      </x:c>
      <x:c r="Q907" s="3" t="str">
        <x:f>IF(L907&lt;0,"Yes","No")</x:f>
        <x:v>No</x:v>
      </x:c>
    </x:row>
    <x:row r="908" ht="21" customHeight="1">
      <x:c r="A908" s="3" t="str">
        <x:v>ORD-101589</x:v>
      </x:c>
      <x:c r="B908" s="5" t="n">
        <x:v>45548</x:v>
      </x:c>
      <x:c r="C908" s="3" t="str">
        <x:v>CUST-00280</x:v>
      </x:c>
      <x:c r="D908" s="3" t="str">
        <x:v>South</x:v>
      </x:c>
      <x:c r="E908" s="3" t="str">
        <x:v>Electronics</x:v>
      </x:c>
      <x:c r="F908" s="3" t="str">
        <x:v>Mobile</x:v>
      </x:c>
      <x:c r="G908" s="3" t="str">
        <x:v>Pixel Aura 12</x:v>
      </x:c>
      <x:c r="H908" s="3" t="n">
        <x:v>1</x:v>
      </x:c>
      <x:c r="I908" s="7" t="n">
        <x:v>32265.54</x:v>
      </x:c>
      <x:c r="J908" s="9" t="n">
        <x:v>0.15</x:v>
      </x:c>
      <x:c r="K908" s="7" t="n">
        <x:v>27425.71</x:v>
      </x:c>
      <x:c r="L908" s="7" t="n">
        <x:v>10.68</x:v>
      </x:c>
      <x:c r="M908" s="3" t="str">
        <x:v>UPI</x:v>
      </x:c>
      <x:c r="N908" s="3" t="str">
        <x:f>TEXT(B908,"yyyy-mm")</x:f>
        <x:v>2024-09</x:v>
      </x:c>
      <x:c r="O908" s="3" t="str">
        <x:f>IF(J908=0,"No discount",IF(J908&lt;=0.1,"1-10%",IF(J908&lt;=0.15,"11-15%",IF(J908&lt;=0.2,"16-20%","21%+"))))</x:f>
        <x:v>11-15%</x:v>
      </x:c>
      <x:c r="P908" s="9" t="n">
        <x:f>IF(K908=0,0,L908/K908)</x:f>
        <x:v>0.0003894156249737928</x:v>
      </x:c>
      <x:c r="Q908" s="3" t="str">
        <x:f>IF(L908&lt;0,"Yes","No")</x:f>
        <x:v>No</x:v>
      </x:c>
    </x:row>
    <x:row r="909" ht="21" customHeight="1">
      <x:c r="A909" s="3" t="str">
        <x:v>ORD-101995</x:v>
      </x:c>
      <x:c r="B909" s="5" t="n">
        <x:v>45548</x:v>
      </x:c>
      <x:c r="C909" s="3" t="str">
        <x:v>CUST-00387</x:v>
      </x:c>
      <x:c r="D909" s="3" t="str">
        <x:v>North</x:v>
      </x:c>
      <x:c r="E909" s="3" t="str">
        <x:v>Fashion</x:v>
      </x:c>
      <x:c r="F909" s="3" t="str">
        <x:v>Men</x:v>
      </x:c>
      <x:c r="G909" s="3" t="str">
        <x:v>Oxford Casual Shirt</x:v>
      </x:c>
      <x:c r="H909" s="3" t="n">
        <x:v>5</x:v>
      </x:c>
      <x:c r="I909" s="7" t="n">
        <x:v>1260.97</x:v>
      </x:c>
      <x:c r="J909" s="9" t="n">
        <x:v>0.15</x:v>
      </x:c>
      <x:c r="K909" s="7" t="n">
        <x:v>5359.12</x:v>
      </x:c>
      <x:c r="L909" s="7" t="n">
        <x:v>1507.77</x:v>
      </x:c>
      <x:c r="M909" s="3" t="str">
        <x:v>UPI</x:v>
      </x:c>
      <x:c r="N909" s="3" t="str">
        <x:f>TEXT(B909,"yyyy-mm")</x:f>
        <x:v>2024-09</x:v>
      </x:c>
      <x:c r="O909" s="3" t="str">
        <x:f>IF(J909=0,"No discount",IF(J909&lt;=0.1,"1-10%",IF(J909&lt;=0.15,"11-15%",IF(J909&lt;=0.2,"16-20%","21%+"))))</x:f>
        <x:v>11-15%</x:v>
      </x:c>
      <x:c r="P909" s="9" t="n">
        <x:f>IF(K909=0,0,L909/K909)</x:f>
        <x:v>0.28134656436131306</x:v>
      </x:c>
      <x:c r="Q909" s="3" t="str">
        <x:f>IF(L909&lt;0,"Yes","No")</x:f>
        <x:v>No</x:v>
      </x:c>
    </x:row>
    <x:row r="910" ht="21" customHeight="1">
      <x:c r="A910" s="3" t="str">
        <x:v>ORD-100813</x:v>
      </x:c>
      <x:c r="B910" s="5" t="n">
        <x:v>45549</x:v>
      </x:c>
      <x:c r="C910" s="3" t="str">
        <x:v>CUST-00367</x:v>
      </x:c>
      <x:c r="D910" s="3" t="str">
        <x:v>North</x:v>
      </x:c>
      <x:c r="E910" s="3" t="str">
        <x:v>Beauty</x:v>
      </x:c>
      <x:c r="F910" s="3" t="str">
        <x:v>Makeup</x:v>
      </x:c>
      <x:c r="G910" s="3" t="str">
        <x:v>Matte Lipstick Set</x:v>
      </x:c>
      <x:c r="H910" s="3" t="n">
        <x:v>1</x:v>
      </x:c>
      <x:c r="I910" s="7" t="n">
        <x:v>1009.14</x:v>
      </x:c>
      <x:c r="J910" s="9" t="n">
        <x:v>0</x:v>
      </x:c>
      <x:c r="K910" s="7" t="n">
        <x:v>1009.14</x:v>
      </x:c>
      <x:c r="L910" s="7" t="n">
        <x:v>541.38</x:v>
      </x:c>
      <x:c r="M910" s="3" t="str">
        <x:v>Cash on Delivery</x:v>
      </x:c>
      <x:c r="N910" s="3" t="str">
        <x:f>TEXT(B910,"yyyy-mm")</x:f>
        <x:v>2024-09</x:v>
      </x:c>
      <x:c r="O910" s="3" t="str">
        <x:f>IF(J910=0,"No discount",IF(J910&lt;=0.1,"1-10%",IF(J910&lt;=0.15,"11-15%",IF(J910&lt;=0.2,"16-20%","21%+"))))</x:f>
        <x:v>No discount</x:v>
      </x:c>
      <x:c r="P910" s="9" t="n">
        <x:f>IF(K910=0,0,L910/K910)</x:f>
        <x:v>0.5364766038408942</x:v>
      </x:c>
      <x:c r="Q910" s="3" t="str">
        <x:f>IF(L910&lt;0,"Yes","No")</x:f>
        <x:v>No</x:v>
      </x:c>
    </x:row>
    <x:row r="911" ht="21" customHeight="1">
      <x:c r="A911" s="3" t="str">
        <x:v>ORD-101122</x:v>
      </x:c>
      <x:c r="B911" s="5" t="n">
        <x:v>45549</x:v>
      </x:c>
      <x:c r="C911" s="3" t="str">
        <x:v>CUST-00418</x:v>
      </x:c>
      <x:c r="D911" s="3" t="str">
        <x:v>East</x:v>
      </x:c>
      <x:c r="E911" s="3" t="str">
        <x:v>Sports</x:v>
      </x:c>
      <x:c r="F911" s="3" t="str">
        <x:v>Outdoor</x:v>
      </x:c>
      <x:c r="G911" s="3" t="str">
        <x:v>AllWeather Tent 4P</x:v>
      </x:c>
      <x:c r="H911" s="3" t="n">
        <x:v>5</x:v>
      </x:c>
      <x:c r="I911" s="7" t="n">
        <x:v>11823.74</x:v>
      </x:c>
      <x:c r="J911" s="9" t="n">
        <x:v>0.25</x:v>
      </x:c>
      <x:c r="K911" s="7" t="n">
        <x:v>44339.02</x:v>
      </x:c>
      <x:c r="L911" s="7" t="n">
        <x:v>4475.64</x:v>
      </x:c>
      <x:c r="M911" s="3" t="str">
        <x:v>Debit Card</x:v>
      </x:c>
      <x:c r="N911" s="3" t="str">
        <x:f>TEXT(B911,"yyyy-mm")</x:f>
        <x:v>2024-09</x:v>
      </x:c>
      <x:c r="O911" s="3" t="str">
        <x:f>IF(J911=0,"No discount",IF(J911&lt;=0.1,"1-10%",IF(J911&lt;=0.15,"11-15%",IF(J911&lt;=0.2,"16-20%","21%+"))))</x:f>
        <x:v>21%+</x:v>
      </x:c>
      <x:c r="P911" s="9" t="n">
        <x:f>IF(K911=0,0,L911/K911)</x:f>
        <x:v>0.10094133790056706</x:v>
      </x:c>
      <x:c r="Q911" s="3" t="str">
        <x:f>IF(L911&lt;0,"Yes","No")</x:f>
        <x:v>No</x:v>
      </x:c>
    </x:row>
    <x:row r="912" ht="21" customHeight="1">
      <x:c r="A912" s="3" t="str">
        <x:v>ORD-101203</x:v>
      </x:c>
      <x:c r="B912" s="5" t="n">
        <x:v>45549</x:v>
      </x:c>
      <x:c r="C912" s="3" t="str">
        <x:v>CUST-00042</x:v>
      </x:c>
      <x:c r="D912" s="3" t="str">
        <x:v>South</x:v>
      </x:c>
      <x:c r="E912" s="3" t="str">
        <x:v>Electronics</x:v>
      </x:c>
      <x:c r="F912" s="3" t="str">
        <x:v>Mobile</x:v>
      </x:c>
      <x:c r="G912" s="3" t="str">
        <x:v>Pixel Aura 12</x:v>
      </x:c>
      <x:c r="H912" s="3" t="n">
        <x:v>2</x:v>
      </x:c>
      <x:c r="I912" s="7" t="n">
        <x:v>33732.4</x:v>
      </x:c>
      <x:c r="J912" s="9" t="n">
        <x:v>0</x:v>
      </x:c>
      <x:c r="K912" s="7" t="n">
        <x:v>67464.8</x:v>
      </x:c>
      <x:c r="L912" s="7" t="n">
        <x:v>14005.91</x:v>
      </x:c>
      <x:c r="M912" s="3" t="str">
        <x:v>UPI</x:v>
      </x:c>
      <x:c r="N912" s="3" t="str">
        <x:f>TEXT(B912,"yyyy-mm")</x:f>
        <x:v>2024-09</x:v>
      </x:c>
      <x:c r="O912" s="3" t="str">
        <x:f>IF(J912=0,"No discount",IF(J912&lt;=0.1,"1-10%",IF(J912&lt;=0.15,"11-15%",IF(J912&lt;=0.2,"16-20%","21%+"))))</x:f>
        <x:v>No discount</x:v>
      </x:c>
      <x:c r="P912" s="9" t="n">
        <x:f>IF(K912=0,0,L912/K912)</x:f>
        <x:v>0.20760322419987903</x:v>
      </x:c>
      <x:c r="Q912" s="3" t="str">
        <x:f>IF(L912&lt;0,"Yes","No")</x:f>
        <x:v>No</x:v>
      </x:c>
    </x:row>
    <x:row r="913" ht="21" customHeight="1">
      <x:c r="A913" s="3" t="str">
        <x:v>ORD-101298</x:v>
      </x:c>
      <x:c r="B913" s="5" t="n">
        <x:v>45549</x:v>
      </x:c>
      <x:c r="C913" s="3" t="str">
        <x:v>CUST-00003</x:v>
      </x:c>
      <x:c r="D913" s="3" t="str">
        <x:v>West</x:v>
      </x:c>
      <x:c r="E913" s="3" t="str">
        <x:v>Sports</x:v>
      </x:c>
      <x:c r="F913" s="3" t="str">
        <x:v>Outdoor</x:v>
      </x:c>
      <x:c r="G913" s="3" t="str">
        <x:v>AllWeather Tent 4P</x:v>
      </x:c>
      <x:c r="H913" s="3" t="n">
        <x:v>1</x:v>
      </x:c>
      <x:c r="I913" s="7" t="n">
        <x:v>12533.88</x:v>
      </x:c>
      <x:c r="J913" s="9" t="n">
        <x:v>0.2</x:v>
      </x:c>
      <x:c r="K913" s="7" t="n">
        <x:v>10027.1</x:v>
      </x:c>
      <x:c r="L913" s="7" t="n">
        <x:v>1304.55</x:v>
      </x:c>
      <x:c r="M913" s="3" t="str">
        <x:v>UPI</x:v>
      </x:c>
      <x:c r="N913" s="3" t="str">
        <x:f>TEXT(B913,"yyyy-mm")</x:f>
        <x:v>2024-09</x:v>
      </x:c>
      <x:c r="O913" s="3" t="str">
        <x:f>IF(J913=0,"No discount",IF(J913&lt;=0.1,"1-10%",IF(J913&lt;=0.15,"11-15%",IF(J913&lt;=0.2,"16-20%","21%+"))))</x:f>
        <x:v>16-20%</x:v>
      </x:c>
      <x:c r="P913" s="9" t="n">
        <x:f>IF(K913=0,0,L913/K913)</x:f>
        <x:v>0.1301024224352006</x:v>
      </x:c>
      <x:c r="Q913" s="3" t="str">
        <x:f>IF(L913&lt;0,"Yes","No")</x:f>
        <x:v>No</x:v>
      </x:c>
    </x:row>
    <x:row r="914" ht="21" customHeight="1">
      <x:c r="A914" s="3" t="str">
        <x:v>ORD-101337</x:v>
      </x:c>
      <x:c r="B914" s="5" t="n">
        <x:v>45549</x:v>
      </x:c>
      <x:c r="C914" s="3" t="str">
        <x:v>CUST-00530</x:v>
      </x:c>
      <x:c r="D914" s="3" t="str">
        <x:v>North</x:v>
      </x:c>
      <x:c r="E914" s="3" t="str">
        <x:v>Home &amp; Kitchen</x:v>
      </x:c>
      <x:c r="F914" s="3" t="str">
        <x:v>Appliances</x:v>
      </x:c>
      <x:c r="G914" s="3" t="str">
        <x:v>AirFryer Deluxe</x:v>
      </x:c>
      <x:c r="H914" s="3" t="n">
        <x:v>1</x:v>
      </x:c>
      <x:c r="I914" s="7" t="n">
        <x:v>7740.53</x:v>
      </x:c>
      <x:c r="J914" s="9" t="n">
        <x:v>0</x:v>
      </x:c>
      <x:c r="K914" s="7" t="n">
        <x:v>7740.53</x:v>
      </x:c>
      <x:c r="L914" s="7" t="n">
        <x:v>2683.88</x:v>
      </x:c>
      <x:c r="M914" s="3" t="str">
        <x:v>UPI</x:v>
      </x:c>
      <x:c r="N914" s="3" t="str">
        <x:f>TEXT(B914,"yyyy-mm")</x:f>
        <x:v>2024-09</x:v>
      </x:c>
      <x:c r="O914" s="3" t="str">
        <x:f>IF(J914=0,"No discount",IF(J914&lt;=0.1,"1-10%",IF(J914&lt;=0.15,"11-15%",IF(J914&lt;=0.2,"16-20%","21%+"))))</x:f>
        <x:v>No discount</x:v>
      </x:c>
      <x:c r="P914" s="9" t="n">
        <x:f>IF(K914=0,0,L914/K914)</x:f>
        <x:v>0.3467307794169133</x:v>
      </x:c>
      <x:c r="Q914" s="3" t="str">
        <x:f>IF(L914&lt;0,"Yes","No")</x:f>
        <x:v>No</x:v>
      </x:c>
    </x:row>
    <x:row r="915" ht="21" customHeight="1">
      <x:c r="A915" s="3" t="str">
        <x:v>ORD-101481</x:v>
      </x:c>
      <x:c r="B915" s="5" t="n">
        <x:v>45549</x:v>
      </x:c>
      <x:c r="C915" s="3" t="str">
        <x:v>CUST-00183</x:v>
      </x:c>
      <x:c r="D915" s="3" t="str">
        <x:v>East</x:v>
      </x:c>
      <x:c r="E915" s="3" t="str">
        <x:v>Sports</x:v>
      </x:c>
      <x:c r="F915" s="3" t="str">
        <x:v>Outdoor</x:v>
      </x:c>
      <x:c r="G915" s="3" t="str">
        <x:v>TrailHike Backpack 60L</x:v>
      </x:c>
      <x:c r="H915" s="3" t="n">
        <x:v>3</x:v>
      </x:c>
      <x:c r="I915" s="7" t="n">
        <x:v>3533.38</x:v>
      </x:c>
      <x:c r="J915" s="9" t="n">
        <x:v>0.25</x:v>
      </x:c>
      <x:c r="K915" s="7" t="n">
        <x:v>7950.1</x:v>
      </x:c>
      <x:c r="L915" s="7" t="n">
        <x:v>641.59</x:v>
      </x:c>
      <x:c r="M915" s="3" t="str">
        <x:v>Credit Card</x:v>
      </x:c>
      <x:c r="N915" s="3" t="str">
        <x:f>TEXT(B915,"yyyy-mm")</x:f>
        <x:v>2024-09</x:v>
      </x:c>
      <x:c r="O915" s="3" t="str">
        <x:f>IF(J915=0,"No discount",IF(J915&lt;=0.1,"1-10%",IF(J915&lt;=0.15,"11-15%",IF(J915&lt;=0.2,"16-20%","21%+"))))</x:f>
        <x:v>21%+</x:v>
      </x:c>
      <x:c r="P915" s="9" t="n">
        <x:f>IF(K915=0,0,L915/K915)</x:f>
        <x:v>0.08070212953296185</x:v>
      </x:c>
      <x:c r="Q915" s="3" t="str">
        <x:f>IF(L915&lt;0,"Yes","No")</x:f>
        <x:v>No</x:v>
      </x:c>
    </x:row>
    <x:row r="916" ht="21" customHeight="1">
      <x:c r="A916" s="3" t="str">
        <x:v>ORD-101654</x:v>
      </x:c>
      <x:c r="B916" s="5" t="n">
        <x:v>45549</x:v>
      </x:c>
      <x:c r="C916" s="3" t="str">
        <x:v>CUST-00146</x:v>
      </x:c>
      <x:c r="D916" s="3" t="str">
        <x:v>South</x:v>
      </x:c>
      <x:c r="E916" s="3" t="str">
        <x:v>Sports</x:v>
      </x:c>
      <x:c r="F916" s="3" t="str">
        <x:v>Fitness</x:v>
      </x:c>
      <x:c r="G916" s="3" t="str">
        <x:v>Adjustable Dumbbell 24kg</x:v>
      </x:c>
      <x:c r="H916" s="3" t="n">
        <x:v>3</x:v>
      </x:c>
      <x:c r="I916" s="7" t="n">
        <x:v>9817.52</x:v>
      </x:c>
      <x:c r="J916" s="9" t="n">
        <x:v>0</x:v>
      </x:c>
      <x:c r="K916" s="7" t="n">
        <x:v>29452.56</x:v>
      </x:c>
      <x:c r="L916" s="7" t="n">
        <x:v>11587.3</x:v>
      </x:c>
      <x:c r="M916" s="3" t="str">
        <x:v>Net Banking</x:v>
      </x:c>
      <x:c r="N916" s="3" t="str">
        <x:f>TEXT(B916,"yyyy-mm")</x:f>
        <x:v>2024-09</x:v>
      </x:c>
      <x:c r="O916" s="3" t="str">
        <x:f>IF(J916=0,"No discount",IF(J916&lt;=0.1,"1-10%",IF(J916&lt;=0.15,"11-15%",IF(J916&lt;=0.2,"16-20%","21%+"))))</x:f>
        <x:v>No discount</x:v>
      </x:c>
      <x:c r="P916" s="9" t="n">
        <x:f>IF(K916=0,0,L916/K916)</x:f>
        <x:v>0.3934225072455501</x:v>
      </x:c>
      <x:c r="Q916" s="3" t="str">
        <x:f>IF(L916&lt;0,"Yes","No")</x:f>
        <x:v>No</x:v>
      </x:c>
    </x:row>
    <x:row r="917" ht="21" customHeight="1">
      <x:c r="A917" s="3" t="str">
        <x:v>ORD-100809</x:v>
      </x:c>
      <x:c r="B917" s="5" t="n">
        <x:v>45550</x:v>
      </x:c>
      <x:c r="C917" s="3" t="str">
        <x:v>CUST-00293</x:v>
      </x:c>
      <x:c r="D917" s="3" t="str">
        <x:v>East</x:v>
      </x:c>
      <x:c r="E917" s="3" t="str">
        <x:v>Beauty</x:v>
      </x:c>
      <x:c r="F917" s="3" t="str">
        <x:v>Skincare</x:v>
      </x:c>
      <x:c r="G917" s="3" t="str">
        <x:v>Vitamin C Serum</x:v>
      </x:c>
      <x:c r="H917" s="3" t="n">
        <x:v>1</x:v>
      </x:c>
      <x:c r="I917" s="7" t="n">
        <x:v>888</x:v>
      </x:c>
      <x:c r="J917" s="9" t="n">
        <x:v>0.1</x:v>
      </x:c>
      <x:c r="K917" s="7" t="n">
        <x:v>799.2</x:v>
      </x:c>
      <x:c r="L917" s="7" t="n">
        <x:v>378.91</x:v>
      </x:c>
      <x:c r="M917" s="3" t="str">
        <x:v>UPI</x:v>
      </x:c>
      <x:c r="N917" s="3" t="str">
        <x:f>TEXT(B917,"yyyy-mm")</x:f>
        <x:v>2024-09</x:v>
      </x:c>
      <x:c r="O917" s="3" t="str">
        <x:f>IF(J917=0,"No discount",IF(J917&lt;=0.1,"1-10%",IF(J917&lt;=0.15,"11-15%",IF(J917&lt;=0.2,"16-20%","21%+"))))</x:f>
        <x:v>1-10%</x:v>
      </x:c>
      <x:c r="P917" s="9" t="n">
        <x:f>IF(K917=0,0,L917/K917)</x:f>
        <x:v>0.47411161161161164</x:v>
      </x:c>
      <x:c r="Q917" s="3" t="str">
        <x:f>IF(L917&lt;0,"Yes","No")</x:f>
        <x:v>No</x:v>
      </x:c>
    </x:row>
    <x:row r="918" ht="21" customHeight="1">
      <x:c r="A918" s="3" t="str">
        <x:v>ORD-100865</x:v>
      </x:c>
      <x:c r="B918" s="5" t="n">
        <x:v>45550</x:v>
      </x:c>
      <x:c r="C918" s="3" t="str">
        <x:v>CUST-00346</x:v>
      </x:c>
      <x:c r="D918" s="3" t="str">
        <x:v>West</x:v>
      </x:c>
      <x:c r="E918" s="3" t="str">
        <x:v>Fashion</x:v>
      </x:c>
      <x:c r="F918" s="3" t="str">
        <x:v>Women</x:v>
      </x:c>
      <x:c r="G918" s="3" t="str">
        <x:v>Floral Summer Dress</x:v>
      </x:c>
      <x:c r="H918" s="3" t="n">
        <x:v>1</x:v>
      </x:c>
      <x:c r="I918" s="7" t="n">
        <x:v>1859.82</x:v>
      </x:c>
      <x:c r="J918" s="9" t="n">
        <x:v>0.05</x:v>
      </x:c>
      <x:c r="K918" s="7" t="n">
        <x:v>1766.83</x:v>
      </x:c>
      <x:c r="L918" s="7" t="n">
        <x:v>643.78</x:v>
      </x:c>
      <x:c r="M918" s="3" t="str">
        <x:v>Debit Card</x:v>
      </x:c>
      <x:c r="N918" s="3" t="str">
        <x:f>TEXT(B918,"yyyy-mm")</x:f>
        <x:v>2024-09</x:v>
      </x:c>
      <x:c r="O918" s="3" t="str">
        <x:f>IF(J918=0,"No discount",IF(J918&lt;=0.1,"1-10%",IF(J918&lt;=0.15,"11-15%",IF(J918&lt;=0.2,"16-20%","21%+"))))</x:f>
        <x:v>1-10%</x:v>
      </x:c>
      <x:c r="P918" s="9" t="n">
        <x:f>IF(K918=0,0,L918/K918)</x:f>
        <x:v>0.364370086539169</x:v>
      </x:c>
      <x:c r="Q918" s="3" t="str">
        <x:f>IF(L918&lt;0,"Yes","No")</x:f>
        <x:v>No</x:v>
      </x:c>
    </x:row>
    <x:row r="919" ht="21" customHeight="1">
      <x:c r="A919" s="3" t="str">
        <x:v>ORD-101515</x:v>
      </x:c>
      <x:c r="B919" s="5" t="n">
        <x:v>45550</x:v>
      </x:c>
      <x:c r="C919" s="3" t="str">
        <x:v>CUST-00107</x:v>
      </x:c>
      <x:c r="D919" s="3" t="str">
        <x:v>South</x:v>
      </x:c>
      <x:c r="E919" s="3" t="str">
        <x:v>Sports</x:v>
      </x:c>
      <x:c r="F919" s="3" t="str">
        <x:v>Fitness</x:v>
      </x:c>
      <x:c r="G919" s="3" t="str">
        <x:v>Adjustable Dumbbell 24kg</x:v>
      </x:c>
      <x:c r="H919" s="3" t="n">
        <x:v>1</x:v>
      </x:c>
      <x:c r="I919" s="7" t="n">
        <x:v>10400.69</x:v>
      </x:c>
      <x:c r="J919" s="9" t="n">
        <x:v>0.1</x:v>
      </x:c>
      <x:c r="K919" s="7" t="n">
        <x:v>9360.62</x:v>
      </x:c>
      <x:c r="L919" s="7" t="n">
        <x:v>2119.68</x:v>
      </x:c>
      <x:c r="M919" s="3" t="str">
        <x:v>UPI</x:v>
      </x:c>
      <x:c r="N919" s="3" t="str">
        <x:f>TEXT(B919,"yyyy-mm")</x:f>
        <x:v>2024-09</x:v>
      </x:c>
      <x:c r="O919" s="3" t="str">
        <x:f>IF(J919=0,"No discount",IF(J919&lt;=0.1,"1-10%",IF(J919&lt;=0.15,"11-15%",IF(J919&lt;=0.2,"16-20%","21%+"))))</x:f>
        <x:v>1-10%</x:v>
      </x:c>
      <x:c r="P919" s="9" t="n">
        <x:f>IF(K919=0,0,L919/K919)</x:f>
        <x:v>0.2264465387976437</x:v>
      </x:c>
      <x:c r="Q919" s="3" t="str">
        <x:f>IF(L919&lt;0,"Yes","No")</x:f>
        <x:v>No</x:v>
      </x:c>
    </x:row>
    <x:row r="920" ht="21" customHeight="1">
      <x:c r="A920" s="3" t="str">
        <x:v>ORD-100880</x:v>
      </x:c>
      <x:c r="B920" s="5" t="n">
        <x:v>45551</x:v>
      </x:c>
      <x:c r="C920" s="3" t="str">
        <x:v>CUST-00059</x:v>
      </x:c>
      <x:c r="D920" s="3" t="str">
        <x:v>North</x:v>
      </x:c>
      <x:c r="E920" s="3" t="str">
        <x:v>Home &amp; Kitchen</x:v>
      </x:c>
      <x:c r="F920" s="3" t="str">
        <x:v>Appliances</x:v>
      </x:c>
      <x:c r="G920" s="3" t="str">
        <x:v>AirFryer Deluxe</x:v>
      </x:c>
      <x:c r="H920" s="3" t="n">
        <x:v>2</x:v>
      </x:c>
      <x:c r="I920" s="7" t="n">
        <x:v>7818.98</x:v>
      </x:c>
      <x:c r="J920" s="9" t="n">
        <x:v>0</x:v>
      </x:c>
      <x:c r="K920" s="7" t="n">
        <x:v>15637.96</x:v>
      </x:c>
      <x:c r="L920" s="7" t="n">
        <x:v>5133.92</x:v>
      </x:c>
      <x:c r="M920" s="3" t="str">
        <x:v>Credit Card</x:v>
      </x:c>
      <x:c r="N920" s="3" t="str">
        <x:f>TEXT(B920,"yyyy-mm")</x:f>
        <x:v>2024-09</x:v>
      </x:c>
      <x:c r="O920" s="3" t="str">
        <x:f>IF(J920=0,"No discount",IF(J920&lt;=0.1,"1-10%",IF(J920&lt;=0.15,"11-15%",IF(J920&lt;=0.2,"16-20%","21%+"))))</x:f>
        <x:v>No discount</x:v>
      </x:c>
      <x:c r="P920" s="9" t="n">
        <x:f>IF(K920=0,0,L920/K920)</x:f>
        <x:v>0.32829857602909845</x:v>
      </x:c>
      <x:c r="Q920" s="3" t="str">
        <x:f>IF(L920&lt;0,"Yes","No")</x:f>
        <x:v>No</x:v>
      </x:c>
    </x:row>
    <x:row r="921" ht="21" customHeight="1">
      <x:c r="A921" s="3" t="str">
        <x:v>ORD-101278</x:v>
      </x:c>
      <x:c r="B921" s="5" t="n">
        <x:v>45551</x:v>
      </x:c>
      <x:c r="C921" s="3" t="str">
        <x:v>CUST-00511</x:v>
      </x:c>
      <x:c r="D921" s="3" t="str">
        <x:v>East</x:v>
      </x:c>
      <x:c r="E921" s="3" t="str">
        <x:v>Sports</x:v>
      </x:c>
      <x:c r="F921" s="3" t="str">
        <x:v>Outdoor</x:v>
      </x:c>
      <x:c r="G921" s="3" t="str">
        <x:v>AllWeather Tent 4P</x:v>
      </x:c>
      <x:c r="H921" s="3" t="n">
        <x:v>1</x:v>
      </x:c>
      <x:c r="I921" s="7" t="n">
        <x:v>11746.83</x:v>
      </x:c>
      <x:c r="J921" s="9" t="n">
        <x:v>0.15</x:v>
      </x:c>
      <x:c r="K921" s="7" t="n">
        <x:v>9984.81</x:v>
      </x:c>
      <x:c r="L921" s="7" t="n">
        <x:v>2424.83</x:v>
      </x:c>
      <x:c r="M921" s="3" t="str">
        <x:v>UPI</x:v>
      </x:c>
      <x:c r="N921" s="3" t="str">
        <x:f>TEXT(B921,"yyyy-mm")</x:f>
        <x:v>2024-09</x:v>
      </x:c>
      <x:c r="O921" s="3" t="str">
        <x:f>IF(J921=0,"No discount",IF(J921&lt;=0.1,"1-10%",IF(J921&lt;=0.15,"11-15%",IF(J921&lt;=0.2,"16-20%","21%+"))))</x:f>
        <x:v>11-15%</x:v>
      </x:c>
      <x:c r="P921" s="9" t="n">
        <x:f>IF(K921=0,0,L921/K921)</x:f>
        <x:v>0.24285189202398444</x:v>
      </x:c>
      <x:c r="Q921" s="3" t="str">
        <x:f>IF(L921&lt;0,"Yes","No")</x:f>
        <x:v>No</x:v>
      </x:c>
    </x:row>
    <x:row r="922" ht="21" customHeight="1">
      <x:c r="A922" s="3" t="str">
        <x:v>ORD-101351</x:v>
      </x:c>
      <x:c r="B922" s="5" t="n">
        <x:v>45551</x:v>
      </x:c>
      <x:c r="C922" s="3" t="str">
        <x:v>CUST-00038</x:v>
      </x:c>
      <x:c r="D922" s="3" t="str">
        <x:v>South</x:v>
      </x:c>
      <x:c r="E922" s="3" t="str">
        <x:v>Beauty</x:v>
      </x:c>
      <x:c r="F922" s="3" t="str">
        <x:v>Skincare</x:v>
      </x:c>
      <x:c r="G922" s="3" t="str">
        <x:v>HydraBoost Moisturizer</x:v>
      </x:c>
      <x:c r="H922" s="3" t="n">
        <x:v>5</x:v>
      </x:c>
      <x:c r="I922" s="7" t="n">
        <x:v>1208.45</x:v>
      </x:c>
      <x:c r="J922" s="9" t="n">
        <x:v>0.05</x:v>
      </x:c>
      <x:c r="K922" s="7" t="n">
        <x:v>5740.14</x:v>
      </x:c>
      <x:c r="L922" s="7" t="n">
        <x:v>2658.42</x:v>
      </x:c>
      <x:c r="M922" s="3" t="str">
        <x:v>UPI</x:v>
      </x:c>
      <x:c r="N922" s="3" t="str">
        <x:f>TEXT(B922,"yyyy-mm")</x:f>
        <x:v>2024-09</x:v>
      </x:c>
      <x:c r="O922" s="3" t="str">
        <x:f>IF(J922=0,"No discount",IF(J922&lt;=0.1,"1-10%",IF(J922&lt;=0.15,"11-15%",IF(J922&lt;=0.2,"16-20%","21%+"))))</x:f>
        <x:v>1-10%</x:v>
      </x:c>
      <x:c r="P922" s="9" t="n">
        <x:f>IF(K922=0,0,L922/K922)</x:f>
        <x:v>0.46312807701554315</x:v>
      </x:c>
      <x:c r="Q922" s="3" t="str">
        <x:f>IF(L922&lt;0,"Yes","No")</x:f>
        <x:v>No</x:v>
      </x:c>
    </x:row>
    <x:row r="923" ht="21" customHeight="1">
      <x:c r="A923" s="3" t="str">
        <x:v>ORD-101907</x:v>
      </x:c>
      <x:c r="B923" s="5" t="n">
        <x:v>45551</x:v>
      </x:c>
      <x:c r="C923" s="3" t="str">
        <x:v>CUST-00293</x:v>
      </x:c>
      <x:c r="D923" s="3" t="str">
        <x:v>North</x:v>
      </x:c>
      <x:c r="E923" s="3" t="str">
        <x:v>Fashion</x:v>
      </x:c>
      <x:c r="F923" s="3" t="str">
        <x:v>Footwear</x:v>
      </x:c>
      <x:c r="G923" s="3" t="str">
        <x:v>UrbanLoafers</x:v>
      </x:c>
      <x:c r="H923" s="3" t="n">
        <x:v>1</x:v>
      </x:c>
      <x:c r="I923" s="7" t="n">
        <x:v>3354.07</x:v>
      </x:c>
      <x:c r="J923" s="9" t="n">
        <x:v>0.15</x:v>
      </x:c>
      <x:c r="K923" s="7" t="n">
        <x:v>2850.96</x:v>
      </x:c>
      <x:c r="L923" s="7" t="n">
        <x:v>638.75</x:v>
      </x:c>
      <x:c r="M923" s="3" t="str">
        <x:v>UPI</x:v>
      </x:c>
      <x:c r="N923" s="3" t="str">
        <x:f>TEXT(B923,"yyyy-mm")</x:f>
        <x:v>2024-09</x:v>
      </x:c>
      <x:c r="O923" s="3" t="str">
        <x:f>IF(J923=0,"No discount",IF(J923&lt;=0.1,"1-10%",IF(J923&lt;=0.15,"11-15%",IF(J923&lt;=0.2,"16-20%","21%+"))))</x:f>
        <x:v>11-15%</x:v>
      </x:c>
      <x:c r="P923" s="9" t="n">
        <x:f>IF(K923=0,0,L923/K923)</x:f>
        <x:v>0.224047338440385</x:v>
      </x:c>
      <x:c r="Q923" s="3" t="str">
        <x:f>IF(L923&lt;0,"Yes","No")</x:f>
        <x:v>No</x:v>
      </x:c>
    </x:row>
    <x:row r="924" ht="21" customHeight="1">
      <x:c r="A924" s="3" t="str">
        <x:v>ORD-101103</x:v>
      </x:c>
      <x:c r="B924" s="5" t="n">
        <x:v>45552</x:v>
      </x:c>
      <x:c r="C924" s="3" t="str">
        <x:v>CUST-00259</x:v>
      </x:c>
      <x:c r="D924" s="3" t="str">
        <x:v>South</x:v>
      </x:c>
      <x:c r="E924" s="3" t="str">
        <x:v>Fashion</x:v>
      </x:c>
      <x:c r="F924" s="3" t="str">
        <x:v>Footwear</x:v>
      </x:c>
      <x:c r="G924" s="3" t="str">
        <x:v>UrbanLoafers</x:v>
      </x:c>
      <x:c r="H924" s="3" t="n">
        <x:v>1</x:v>
      </x:c>
      <x:c r="I924" s="7" t="n">
        <x:v>3574.94</x:v>
      </x:c>
      <x:c r="J924" s="9" t="n">
        <x:v>0.05</x:v>
      </x:c>
      <x:c r="K924" s="7" t="n">
        <x:v>3396.19</x:v>
      </x:c>
      <x:c r="L924" s="7" t="n">
        <x:v>1348.62</x:v>
      </x:c>
      <x:c r="M924" s="3" t="str">
        <x:v>UPI</x:v>
      </x:c>
      <x:c r="N924" s="3" t="str">
        <x:f>TEXT(B924,"yyyy-mm")</x:f>
        <x:v>2024-09</x:v>
      </x:c>
      <x:c r="O924" s="3" t="str">
        <x:f>IF(J924=0,"No discount",IF(J924&lt;=0.1,"1-10%",IF(J924&lt;=0.15,"11-15%",IF(J924&lt;=0.2,"16-20%","21%+"))))</x:f>
        <x:v>1-10%</x:v>
      </x:c>
      <x:c r="P924" s="9" t="n">
        <x:f>IF(K924=0,0,L924/K924)</x:f>
        <x:v>0.39709792443885644</x:v>
      </x:c>
      <x:c r="Q924" s="3" t="str">
        <x:f>IF(L924&lt;0,"Yes","No")</x:f>
        <x:v>No</x:v>
      </x:c>
    </x:row>
    <x:row r="925" ht="21" customHeight="1">
      <x:c r="A925" s="3" t="str">
        <x:v>ORD-100095</x:v>
      </x:c>
      <x:c r="B925" s="5" t="n">
        <x:v>45553</x:v>
      </x:c>
      <x:c r="C925" s="3" t="str">
        <x:v>CUST-00123</x:v>
      </x:c>
      <x:c r="D925" s="3" t="str">
        <x:v>West</x:v>
      </x:c>
      <x:c r="E925" s="3" t="str">
        <x:v>Beauty</x:v>
      </x:c>
      <x:c r="F925" s="3" t="str">
        <x:v>Makeup</x:v>
      </x:c>
      <x:c r="G925" s="3" t="str">
        <x:v>Matte Lipstick Set</x:v>
      </x:c>
      <x:c r="H925" s="3" t="n">
        <x:v>1</x:v>
      </x:c>
      <x:c r="I925" s="7" t="n">
        <x:v>954.52</x:v>
      </x:c>
      <x:c r="J925" s="9" t="n">
        <x:v>0.4</x:v>
      </x:c>
      <x:c r="K925" s="7" t="n">
        <x:v>572.71</x:v>
      </x:c>
      <x:c r="L925" s="7" t="n">
        <x:v>38</x:v>
      </x:c>
      <x:c r="M925" s="3" t="str">
        <x:v>Debit Card</x:v>
      </x:c>
      <x:c r="N925" s="3" t="str">
        <x:f>TEXT(B925,"yyyy-mm")</x:f>
        <x:v>2024-09</x:v>
      </x:c>
      <x:c r="O925" s="3" t="str">
        <x:f>IF(J925=0,"No discount",IF(J925&lt;=0.1,"1-10%",IF(J925&lt;=0.15,"11-15%",IF(J925&lt;=0.2,"16-20%","21%+"))))</x:f>
        <x:v>21%+</x:v>
      </x:c>
      <x:c r="P925" s="9" t="n">
        <x:f>IF(K925=0,0,L925/K925)</x:f>
        <x:v>0.06635120741736655</x:v>
      </x:c>
      <x:c r="Q925" s="3" t="str">
        <x:f>IF(L925&lt;0,"Yes","No")</x:f>
        <x:v>No</x:v>
      </x:c>
    </x:row>
    <x:row r="926" ht="21" customHeight="1">
      <x:c r="A926" s="3" t="str">
        <x:v>ORD-101414</x:v>
      </x:c>
      <x:c r="B926" s="5" t="n">
        <x:v>45553</x:v>
      </x:c>
      <x:c r="C926" s="3" t="str">
        <x:v>CUST-00421</x:v>
      </x:c>
      <x:c r="D926" s="3" t="str">
        <x:v>West</x:v>
      </x:c>
      <x:c r="E926" s="3" t="str">
        <x:v>Beauty</x:v>
      </x:c>
      <x:c r="F926" s="3" t="str">
        <x:v>Makeup</x:v>
      </x:c>
      <x:c r="G926" s="3" t="str">
        <x:v>Matte Lipstick Set</x:v>
      </x:c>
      <x:c r="H926" s="3" t="n">
        <x:v>1</x:v>
      </x:c>
      <x:c r="I926" s="7" t="n">
        <x:v>965.93</x:v>
      </x:c>
      <x:c r="J926" s="9" t="n">
        <x:v>0</x:v>
      </x:c>
      <x:c r="K926" s="7" t="n">
        <x:v>965.93</x:v>
      </x:c>
      <x:c r="L926" s="7" t="n">
        <x:v>503.03</x:v>
      </x:c>
      <x:c r="M926" s="3" t="str">
        <x:v>UPI</x:v>
      </x:c>
      <x:c r="N926" s="3" t="str">
        <x:f>TEXT(B926,"yyyy-mm")</x:f>
        <x:v>2024-09</x:v>
      </x:c>
      <x:c r="O926" s="3" t="str">
        <x:f>IF(J926=0,"No discount",IF(J926&lt;=0.1,"1-10%",IF(J926&lt;=0.15,"11-15%",IF(J926&lt;=0.2,"16-20%","21%+"))))</x:f>
        <x:v>No discount</x:v>
      </x:c>
      <x:c r="P926" s="9" t="n">
        <x:f>IF(K926=0,0,L926/K926)</x:f>
        <x:v>0.5207727268021493</x:v>
      </x:c>
      <x:c r="Q926" s="3" t="str">
        <x:f>IF(L926&lt;0,"Yes","No")</x:f>
        <x:v>No</x:v>
      </x:c>
    </x:row>
    <x:row r="927" ht="21" customHeight="1">
      <x:c r="A927" s="3" t="str">
        <x:v>ORD-101511</x:v>
      </x:c>
      <x:c r="B927" s="5" t="n">
        <x:v>45553</x:v>
      </x:c>
      <x:c r="C927" s="3" t="str">
        <x:v>CUST-00585</x:v>
      </x:c>
      <x:c r="D927" s="3" t="str">
        <x:v>South</x:v>
      </x:c>
      <x:c r="E927" s="3" t="str">
        <x:v>Electronics</x:v>
      </x:c>
      <x:c r="F927" s="3" t="str">
        <x:v>Laptop</x:v>
      </x:c>
      <x:c r="G927" s="3" t="str">
        <x:v>AirBook Slim</x:v>
      </x:c>
      <x:c r="H927" s="3" t="n">
        <x:v>1</x:v>
      </x:c>
      <x:c r="I927" s="7" t="n">
        <x:v>79419.64</x:v>
      </x:c>
      <x:c r="J927" s="9" t="n">
        <x:v>0.1</x:v>
      </x:c>
      <x:c r="K927" s="7" t="n">
        <x:v>71477.68</x:v>
      </x:c>
      <x:c r="L927" s="7" t="n">
        <x:v>5190.93</x:v>
      </x:c>
      <x:c r="M927" s="3" t="str">
        <x:v>Credit Card</x:v>
      </x:c>
      <x:c r="N927" s="3" t="str">
        <x:f>TEXT(B927,"yyyy-mm")</x:f>
        <x:v>2024-09</x:v>
      </x:c>
      <x:c r="O927" s="3" t="str">
        <x:f>IF(J927=0,"No discount",IF(J927&lt;=0.1,"1-10%",IF(J927&lt;=0.15,"11-15%",IF(J927&lt;=0.2,"16-20%","21%+"))))</x:f>
        <x:v>1-10%</x:v>
      </x:c>
      <x:c r="P927" s="9" t="n">
        <x:f>IF(K927=0,0,L927/K927)</x:f>
        <x:v>0.07262309017304423</x:v>
      </x:c>
      <x:c r="Q927" s="3" t="str">
        <x:f>IF(L927&lt;0,"Yes","No")</x:f>
        <x:v>No</x:v>
      </x:c>
    </x:row>
    <x:row r="928" ht="21" customHeight="1">
      <x:c r="A928" s="3" t="str">
        <x:v>ORD-100533</x:v>
      </x:c>
      <x:c r="B928" s="5" t="n">
        <x:v>45554</x:v>
      </x:c>
      <x:c r="C928" s="3" t="str">
        <x:v>CUST-00571</x:v>
      </x:c>
      <x:c r="D928" s="3" t="str">
        <x:v>North</x:v>
      </x:c>
      <x:c r="E928" s="3" t="str">
        <x:v>Fashion</x:v>
      </x:c>
      <x:c r="F928" s="3" t="str">
        <x:v>Footwear</x:v>
      </x:c>
      <x:c r="G928" s="3" t="str">
        <x:v>UrbanLoafers</x:v>
      </x:c>
      <x:c r="H928" s="3" t="n">
        <x:v>4</x:v>
      </x:c>
      <x:c r="I928" s="7" t="n">
        <x:v>3563.48</x:v>
      </x:c>
      <x:c r="J928" s="9" t="n">
        <x:v>0.05</x:v>
      </x:c>
      <x:c r="K928" s="7" t="n">
        <x:v>13541.22</x:v>
      </x:c>
      <x:c r="L928" s="7" t="n">
        <x:v>4863.37</x:v>
      </x:c>
      <x:c r="M928" s="3" t="str">
        <x:v>UPI</x:v>
      </x:c>
      <x:c r="N928" s="3" t="str">
        <x:f>TEXT(B928,"yyyy-mm")</x:f>
        <x:v>2024-09</x:v>
      </x:c>
      <x:c r="O928" s="3" t="str">
        <x:f>IF(J928=0,"No discount",IF(J928&lt;=0.1,"1-10%",IF(J928&lt;=0.15,"11-15%",IF(J928&lt;=0.2,"16-20%","21%+"))))</x:f>
        <x:v>1-10%</x:v>
      </x:c>
      <x:c r="P928" s="9" t="n">
        <x:f>IF(K928=0,0,L928/K928)</x:f>
        <x:v>0.35915301575485814</x:v>
      </x:c>
      <x:c r="Q928" s="3" t="str">
        <x:f>IF(L928&lt;0,"Yes","No")</x:f>
        <x:v>No</x:v>
      </x:c>
    </x:row>
    <x:row r="929" ht="21" customHeight="1">
      <x:c r="A929" s="3" t="str">
        <x:v>ORD-101828</x:v>
      </x:c>
      <x:c r="B929" s="5" t="n">
        <x:v>45554</x:v>
      </x:c>
      <x:c r="C929" s="3" t="str">
        <x:v>CUST-00215</x:v>
      </x:c>
      <x:c r="D929" s="3" t="str">
        <x:v>East</x:v>
      </x:c>
      <x:c r="E929" s="3" t="str">
        <x:v>Electronics</x:v>
      </x:c>
      <x:c r="F929" s="3" t="str">
        <x:v>Laptop</x:v>
      </x:c>
      <x:c r="G929" s="3" t="str">
        <x:v>AirBook Slim</x:v>
      </x:c>
      <x:c r="H929" s="3" t="n">
        <x:v>1</x:v>
      </x:c>
      <x:c r="I929" s="7" t="n">
        <x:v>82639.91</x:v>
      </x:c>
      <x:c r="J929" s="9" t="n">
        <x:v>0</x:v>
      </x:c>
      <x:c r="K929" s="7" t="n">
        <x:v>82639.91</x:v>
      </x:c>
      <x:c r="L929" s="7" t="n">
        <x:v>16456.32</x:v>
      </x:c>
      <x:c r="M929" s="3" t="str">
        <x:v>Net Banking</x:v>
      </x:c>
      <x:c r="N929" s="3" t="str">
        <x:f>TEXT(B929,"yyyy-mm")</x:f>
        <x:v>2024-09</x:v>
      </x:c>
      <x:c r="O929" s="3" t="str">
        <x:f>IF(J929=0,"No discount",IF(J929&lt;=0.1,"1-10%",IF(J929&lt;=0.15,"11-15%",IF(J929&lt;=0.2,"16-20%","21%+"))))</x:f>
        <x:v>No discount</x:v>
      </x:c>
      <x:c r="P929" s="9" t="n">
        <x:f>IF(K929=0,0,L929/K929)</x:f>
        <x:v>0.19913284029471956</x:v>
      </x:c>
      <x:c r="Q929" s="3" t="str">
        <x:f>IF(L929&lt;0,"Yes","No")</x:f>
        <x:v>No</x:v>
      </x:c>
    </x:row>
    <x:row r="930" ht="21" customHeight="1">
      <x:c r="A930" s="3" t="str">
        <x:v>ORD-100151</x:v>
      </x:c>
      <x:c r="B930" s="5" t="n">
        <x:v>45555</x:v>
      </x:c>
      <x:c r="C930" s="3" t="str">
        <x:v>CUST-00015</x:v>
      </x:c>
      <x:c r="D930" s="3" t="str">
        <x:v>North</x:v>
      </x:c>
      <x:c r="E930" s="3" t="str">
        <x:v>Beauty</x:v>
      </x:c>
      <x:c r="F930" s="3" t="str">
        <x:v>Makeup</x:v>
      </x:c>
      <x:c r="G930" s="3" t="str">
        <x:v>Matte Lipstick Set</x:v>
      </x:c>
      <x:c r="H930" s="3" t="n">
        <x:v>3</x:v>
      </x:c>
      <x:c r="I930" s="7" t="n">
        <x:v>968.31</x:v>
      </x:c>
      <x:c r="J930" s="9" t="n">
        <x:v>0.05</x:v>
      </x:c>
      <x:c r="K930" s="7" t="n">
        <x:v>2759.68</x:v>
      </x:c>
      <x:c r="L930" s="7" t="n">
        <x:v>1273.62</x:v>
      </x:c>
      <x:c r="M930" s="3" t="str">
        <x:v>Credit Card</x:v>
      </x:c>
      <x:c r="N930" s="3" t="str">
        <x:f>TEXT(B930,"yyyy-mm")</x:f>
        <x:v>2024-09</x:v>
      </x:c>
      <x:c r="O930" s="3" t="str">
        <x:f>IF(J930=0,"No discount",IF(J930&lt;=0.1,"1-10%",IF(J930&lt;=0.15,"11-15%",IF(J930&lt;=0.2,"16-20%","21%+"))))</x:f>
        <x:v>1-10%</x:v>
      </x:c>
      <x:c r="P930" s="9" t="n">
        <x:f>IF(K930=0,0,L930/K930)</x:f>
        <x:v>0.461510030148423</x:v>
      </x:c>
      <x:c r="Q930" s="3" t="str">
        <x:f>IF(L930&lt;0,"Yes","No")</x:f>
        <x:v>No</x:v>
      </x:c>
    </x:row>
    <x:row r="931" ht="21" customHeight="1">
      <x:c r="A931" s="3" t="str">
        <x:v>ORD-100253</x:v>
      </x:c>
      <x:c r="B931" s="5" t="n">
        <x:v>45556</x:v>
      </x:c>
      <x:c r="C931" s="3" t="str">
        <x:v>CUST-00069</x:v>
      </x:c>
      <x:c r="D931" s="3" t="str">
        <x:v>South</x:v>
      </x:c>
      <x:c r="E931" s="3" t="str">
        <x:v>Fashion</x:v>
      </x:c>
      <x:c r="F931" s="3" t="str">
        <x:v>Men</x:v>
      </x:c>
      <x:c r="G931" s="3" t="str">
        <x:v>SlimFit Denim Jeans</x:v>
      </x:c>
      <x:c r="H931" s="3" t="n">
        <x:v>3</x:v>
      </x:c>
      <x:c r="I931" s="7" t="n">
        <x:v>1983.68</x:v>
      </x:c>
      <x:c r="J931" s="9" t="n">
        <x:v>0</x:v>
      </x:c>
      <x:c r="K931" s="7" t="n">
        <x:v>5951.04</x:v>
      </x:c>
      <x:c r="L931" s="7" t="n">
        <x:v>2731.9</x:v>
      </x:c>
      <x:c r="M931" s="3" t="str">
        <x:v>Cash on Delivery</x:v>
      </x:c>
      <x:c r="N931" s="3" t="str">
        <x:f>TEXT(B931,"yyyy-mm")</x:f>
        <x:v>2024-09</x:v>
      </x:c>
      <x:c r="O931" s="3" t="str">
        <x:f>IF(J931=0,"No discount",IF(J931&lt;=0.1,"1-10%",IF(J931&lt;=0.15,"11-15%",IF(J931&lt;=0.2,"16-20%","21%+"))))</x:f>
        <x:v>No discount</x:v>
      </x:c>
      <x:c r="P931" s="9" t="n">
        <x:f>IF(K931=0,0,L931/K931)</x:f>
        <x:v>0.4590626176264989</x:v>
      </x:c>
      <x:c r="Q931" s="3" t="str">
        <x:f>IF(L931&lt;0,"Yes","No")</x:f>
        <x:v>No</x:v>
      </x:c>
    </x:row>
    <x:row r="932" ht="21" customHeight="1">
      <x:c r="A932" s="3" t="str">
        <x:v>ORD-100567</x:v>
      </x:c>
      <x:c r="B932" s="5" t="n">
        <x:v>45556</x:v>
      </x:c>
      <x:c r="C932" s="3" t="str">
        <x:v>CUST-00312</x:v>
      </x:c>
      <x:c r="D932" s="3" t="str">
        <x:v>North</x:v>
      </x:c>
      <x:c r="E932" s="3" t="str">
        <x:v>Beauty</x:v>
      </x:c>
      <x:c r="F932" s="3" t="str">
        <x:v>Makeup</x:v>
      </x:c>
      <x:c r="G932" s="3" t="str">
        <x:v>Matte Lipstick Set</x:v>
      </x:c>
      <x:c r="H932" s="3" t="n">
        <x:v>1</x:v>
      </x:c>
      <x:c r="I932" s="7" t="n">
        <x:v>1001.13</x:v>
      </x:c>
      <x:c r="J932" s="9" t="n">
        <x:v>0.1</x:v>
      </x:c>
      <x:c r="K932" s="7" t="n">
        <x:v>901.02</x:v>
      </x:c>
      <x:c r="L932" s="7" t="n">
        <x:v>410.47</x:v>
      </x:c>
      <x:c r="M932" s="3" t="str">
        <x:v>UPI</x:v>
      </x:c>
      <x:c r="N932" s="3" t="str">
        <x:f>TEXT(B932,"yyyy-mm")</x:f>
        <x:v>2024-09</x:v>
      </x:c>
      <x:c r="O932" s="3" t="str">
        <x:f>IF(J932=0,"No discount",IF(J932&lt;=0.1,"1-10%",IF(J932&lt;=0.15,"11-15%",IF(J932&lt;=0.2,"16-20%","21%+"))))</x:f>
        <x:v>1-10%</x:v>
      </x:c>
      <x:c r="P932" s="9" t="n">
        <x:f>IF(K932=0,0,L932/K932)</x:f>
        <x:v>0.45556147477303505</x:v>
      </x:c>
      <x:c r="Q932" s="3" t="str">
        <x:f>IF(L932&lt;0,"Yes","No")</x:f>
        <x:v>No</x:v>
      </x:c>
    </x:row>
    <x:row r="933" ht="21" customHeight="1">
      <x:c r="A933" s="3" t="str">
        <x:v>ORD-101154</x:v>
      </x:c>
      <x:c r="B933" s="5" t="n">
        <x:v>45556</x:v>
      </x:c>
      <x:c r="C933" s="3" t="str">
        <x:v>CUST-00300</x:v>
      </x:c>
      <x:c r="D933" s="3" t="str">
        <x:v>North</x:v>
      </x:c>
      <x:c r="E933" s="3" t="str">
        <x:v>Electronics</x:v>
      </x:c>
      <x:c r="F933" s="3" t="str">
        <x:v>Audio</x:v>
      </x:c>
      <x:c r="G933" s="3" t="str">
        <x:v>BassBoom Speaker</x:v>
      </x:c>
      <x:c r="H933" s="3" t="n">
        <x:v>1</x:v>
      </x:c>
      <x:c r="I933" s="7" t="n">
        <x:v>9400.88</x:v>
      </x:c>
      <x:c r="J933" s="9" t="n">
        <x:v>0.1</x:v>
      </x:c>
      <x:c r="K933" s="7" t="n">
        <x:v>8460.79</x:v>
      </x:c>
      <x:c r="L933" s="7" t="n">
        <x:v>225.52</x:v>
      </x:c>
      <x:c r="M933" s="3" t="str">
        <x:v>Debit Card</x:v>
      </x:c>
      <x:c r="N933" s="3" t="str">
        <x:f>TEXT(B933,"yyyy-mm")</x:f>
        <x:v>2024-09</x:v>
      </x:c>
      <x:c r="O933" s="3" t="str">
        <x:f>IF(J933=0,"No discount",IF(J933&lt;=0.1,"1-10%",IF(J933&lt;=0.15,"11-15%",IF(J933&lt;=0.2,"16-20%","21%+"))))</x:f>
        <x:v>1-10%</x:v>
      </x:c>
      <x:c r="P933" s="9" t="n">
        <x:f>IF(K933=0,0,L933/K933)</x:f>
        <x:v>0.026654721367626425</x:v>
      </x:c>
      <x:c r="Q933" s="3" t="str">
        <x:f>IF(L933&lt;0,"Yes","No")</x:f>
        <x:v>No</x:v>
      </x:c>
    </x:row>
    <x:row r="934" ht="21" customHeight="1">
      <x:c r="A934" s="3" t="str">
        <x:v>ORD-101322</x:v>
      </x:c>
      <x:c r="B934" s="5" t="n">
        <x:v>45556</x:v>
      </x:c>
      <x:c r="C934" s="3" t="str">
        <x:v>CUST-00155</x:v>
      </x:c>
      <x:c r="D934" s="3" t="str">
        <x:v>North</x:v>
      </x:c>
      <x:c r="E934" s="3" t="str">
        <x:v>Fashion</x:v>
      </x:c>
      <x:c r="F934" s="3" t="str">
        <x:v>Men</x:v>
      </x:c>
      <x:c r="G934" s="3" t="str">
        <x:v>SlimFit Denim Jeans</x:v>
      </x:c>
      <x:c r="H934" s="3" t="n">
        <x:v>1</x:v>
      </x:c>
      <x:c r="I934" s="7" t="n">
        <x:v>2038.32</x:v>
      </x:c>
      <x:c r="J934" s="9" t="n">
        <x:v>0.05</x:v>
      </x:c>
      <x:c r="K934" s="7" t="n">
        <x:v>1936.4</x:v>
      </x:c>
      <x:c r="L934" s="7" t="n">
        <x:v>659.8</x:v>
      </x:c>
      <x:c r="M934" s="3" t="str">
        <x:v>Credit Card</x:v>
      </x:c>
      <x:c r="N934" s="3" t="str">
        <x:f>TEXT(B934,"yyyy-mm")</x:f>
        <x:v>2024-09</x:v>
      </x:c>
      <x:c r="O934" s="3" t="str">
        <x:f>IF(J934=0,"No discount",IF(J934&lt;=0.1,"1-10%",IF(J934&lt;=0.15,"11-15%",IF(J934&lt;=0.2,"16-20%","21%+"))))</x:f>
        <x:v>1-10%</x:v>
      </x:c>
      <x:c r="P934" s="9" t="n">
        <x:f>IF(K934=0,0,L934/K934)</x:f>
        <x:v>0.3407353852509812</x:v>
      </x:c>
      <x:c r="Q934" s="3" t="str">
        <x:f>IF(L934&lt;0,"Yes","No")</x:f>
        <x:v>No</x:v>
      </x:c>
    </x:row>
    <x:row r="935" ht="21" customHeight="1">
      <x:c r="A935" s="3" t="str">
        <x:v>ORD-101457</x:v>
      </x:c>
      <x:c r="B935" s="5" t="n">
        <x:v>45556</x:v>
      </x:c>
      <x:c r="C935" s="3" t="str">
        <x:v>CUST-00462</x:v>
      </x:c>
      <x:c r="D935" s="3" t="str">
        <x:v>North</x:v>
      </x:c>
      <x:c r="E935" s="3" t="str">
        <x:v>Electronics</x:v>
      </x:c>
      <x:c r="F935" s="3" t="str">
        <x:v>Laptop</x:v>
      </x:c>
      <x:c r="G935" s="3" t="str">
        <x:v>ThinkPro 14</x:v>
      </x:c>
      <x:c r="H935" s="3" t="n">
        <x:v>1</x:v>
      </x:c>
      <x:c r="I935" s="7" t="n">
        <x:v>55488.98</x:v>
      </x:c>
      <x:c r="J935" s="9" t="n">
        <x:v>0.25</x:v>
      </x:c>
      <x:c r="K935" s="7" t="n">
        <x:v>41616.74</x:v>
      </x:c>
      <x:c r="L935" s="7" t="n">
        <x:v>-3631.54</x:v>
      </x:c>
      <x:c r="M935" s="3" t="str">
        <x:v>Debit Card</x:v>
      </x:c>
      <x:c r="N935" s="3" t="str">
        <x:f>TEXT(B935,"yyyy-mm")</x:f>
        <x:v>2024-09</x:v>
      </x:c>
      <x:c r="O935" s="3" t="str">
        <x:f>IF(J935=0,"No discount",IF(J935&lt;=0.1,"1-10%",IF(J935&lt;=0.15,"11-15%",IF(J935&lt;=0.2,"16-20%","21%+"))))</x:f>
        <x:v>21%+</x:v>
      </x:c>
      <x:c r="P935" s="9" t="n">
        <x:f>IF(K935=0,0,L935/K935)</x:f>
        <x:v>-0.08726152024401719</x:v>
      </x:c>
      <x:c r="Q935" s="3" t="str">
        <x:f>IF(L935&lt;0,"Yes","No")</x:f>
        <x:v>Yes</x:v>
      </x:c>
    </x:row>
    <x:row r="936" ht="21" customHeight="1">
      <x:c r="A936" s="3" t="str">
        <x:v>ORD-101596</x:v>
      </x:c>
      <x:c r="B936" s="5" t="n">
        <x:v>45556</x:v>
      </x:c>
      <x:c r="C936" s="3" t="str">
        <x:v>CUST-00048</x:v>
      </x:c>
      <x:c r="D936" s="3" t="str">
        <x:v>South</x:v>
      </x:c>
      <x:c r="E936" s="3" t="str">
        <x:v>Fashion</x:v>
      </x:c>
      <x:c r="F936" s="3" t="str">
        <x:v>Men</x:v>
      </x:c>
      <x:c r="G936" s="3" t="str">
        <x:v>Oxford Casual Shirt</x:v>
      </x:c>
      <x:c r="H936" s="3" t="n">
        <x:v>4</x:v>
      </x:c>
      <x:c r="I936" s="7" t="n">
        <x:v>1235.55</x:v>
      </x:c>
      <x:c r="J936" s="9" t="n">
        <x:v>0.15</x:v>
      </x:c>
      <x:c r="K936" s="7" t="n">
        <x:v>4200.87</x:v>
      </x:c>
      <x:c r="L936" s="7" t="n">
        <x:v>1118.84</x:v>
      </x:c>
      <x:c r="M936" s="3" t="str">
        <x:v>UPI</x:v>
      </x:c>
      <x:c r="N936" s="3" t="str">
        <x:f>TEXT(B936,"yyyy-mm")</x:f>
        <x:v>2024-09</x:v>
      </x:c>
      <x:c r="O936" s="3" t="str">
        <x:f>IF(J936=0,"No discount",IF(J936&lt;=0.1,"1-10%",IF(J936&lt;=0.15,"11-15%",IF(J936&lt;=0.2,"16-20%","21%+"))))</x:f>
        <x:v>11-15%</x:v>
      </x:c>
      <x:c r="P936" s="9" t="n">
        <x:f>IF(K936=0,0,L936/K936)</x:f>
        <x:v>0.26633530673408123</x:v>
      </x:c>
      <x:c r="Q936" s="3" t="str">
        <x:f>IF(L936&lt;0,"Yes","No")</x:f>
        <x:v>No</x:v>
      </x:c>
    </x:row>
    <x:row r="937" ht="21" customHeight="1">
      <x:c r="A937" s="3" t="str">
        <x:v>ORD-100342</x:v>
      </x:c>
      <x:c r="B937" s="5" t="n">
        <x:v>45557</x:v>
      </x:c>
      <x:c r="C937" s="3" t="str">
        <x:v>CUST-00270</x:v>
      </x:c>
      <x:c r="D937" s="3" t="str">
        <x:v>North</x:v>
      </x:c>
      <x:c r="E937" s="3" t="str">
        <x:v>Sports</x:v>
      </x:c>
      <x:c r="F937" s="3" t="str">
        <x:v>Fitness</x:v>
      </x:c>
      <x:c r="G937" s="3" t="str">
        <x:v>Adjustable Dumbbell 24kg</x:v>
      </x:c>
      <x:c r="H937" s="3" t="n">
        <x:v>1</x:v>
      </x:c>
      <x:c r="I937" s="7" t="n">
        <x:v>10173.09</x:v>
      </x:c>
      <x:c r="J937" s="9" t="n">
        <x:v>0</x:v>
      </x:c>
      <x:c r="K937" s="7" t="n">
        <x:v>10173.09</x:v>
      </x:c>
      <x:c r="L937" s="7" t="n">
        <x:v>3767.65</x:v>
      </x:c>
      <x:c r="M937" s="3" t="str">
        <x:v>UPI</x:v>
      </x:c>
      <x:c r="N937" s="3" t="str">
        <x:f>TEXT(B937,"yyyy-mm")</x:f>
        <x:v>2024-09</x:v>
      </x:c>
      <x:c r="O937" s="3" t="str">
        <x:f>IF(J937=0,"No discount",IF(J937&lt;=0.1,"1-10%",IF(J937&lt;=0.15,"11-15%",IF(J937&lt;=0.2,"16-20%","21%+"))))</x:f>
        <x:v>No discount</x:v>
      </x:c>
      <x:c r="P937" s="9" t="n">
        <x:f>IF(K937=0,0,L937/K937)</x:f>
        <x:v>0.3703545333816962</x:v>
      </x:c>
      <x:c r="Q937" s="3" t="str">
        <x:f>IF(L937&lt;0,"Yes","No")</x:f>
        <x:v>No</x:v>
      </x:c>
    </x:row>
    <x:row r="938" ht="21" customHeight="1">
      <x:c r="A938" s="3" t="str">
        <x:v>ORD-100408</x:v>
      </x:c>
      <x:c r="B938" s="5" t="n">
        <x:v>45557</x:v>
      </x:c>
      <x:c r="C938" s="3" t="str">
        <x:v>CUST-00363</x:v>
      </x:c>
      <x:c r="D938" s="3" t="str">
        <x:v>South</x:v>
      </x:c>
      <x:c r="E938" s="3" t="str">
        <x:v>Beauty</x:v>
      </x:c>
      <x:c r="F938" s="3" t="str">
        <x:v>Skincare</x:v>
      </x:c>
      <x:c r="G938" s="3" t="str">
        <x:v>HydraBoost Moisturizer</x:v>
      </x:c>
      <x:c r="H938" s="3" t="n">
        <x:v>2</x:v>
      </x:c>
      <x:c r="I938" s="7" t="n">
        <x:v>1233.55</x:v>
      </x:c>
      <x:c r="J938" s="9" t="n">
        <x:v>0.1</x:v>
      </x:c>
      <x:c r="K938" s="7" t="n">
        <x:v>2220.39</x:v>
      </x:c>
      <x:c r="L938" s="7" t="n">
        <x:v>1002.6</x:v>
      </x:c>
      <x:c r="M938" s="3" t="str">
        <x:v>Debit Card</x:v>
      </x:c>
      <x:c r="N938" s="3" t="str">
        <x:f>TEXT(B938,"yyyy-mm")</x:f>
        <x:v>2024-09</x:v>
      </x:c>
      <x:c r="O938" s="3" t="str">
        <x:f>IF(J938=0,"No discount",IF(J938&lt;=0.1,"1-10%",IF(J938&lt;=0.15,"11-15%",IF(J938&lt;=0.2,"16-20%","21%+"))))</x:f>
        <x:v>1-10%</x:v>
      </x:c>
      <x:c r="P938" s="9" t="n">
        <x:f>IF(K938=0,0,L938/K938)</x:f>
        <x:v>0.45154229662356615</x:v>
      </x:c>
      <x:c r="Q938" s="3" t="str">
        <x:f>IF(L938&lt;0,"Yes","No")</x:f>
        <x:v>No</x:v>
      </x:c>
    </x:row>
    <x:row r="939" ht="21" customHeight="1">
      <x:c r="A939" s="3" t="str">
        <x:v>ORD-100743</x:v>
      </x:c>
      <x:c r="B939" s="5" t="n">
        <x:v>45557</x:v>
      </x:c>
      <x:c r="C939" s="3" t="str">
        <x:v>CUST-00056</x:v>
      </x:c>
      <x:c r="D939" s="3" t="str">
        <x:v>South</x:v>
      </x:c>
      <x:c r="E939" s="3" t="str">
        <x:v>Electronics</x:v>
      </x:c>
      <x:c r="F939" s="3" t="str">
        <x:v>Mobile</x:v>
      </x:c>
      <x:c r="G939" s="3" t="str">
        <x:v>Galaxy Nova X5</x:v>
      </x:c>
      <x:c r="H939" s="3" t="n">
        <x:v>1</x:v>
      </x:c>
      <x:c r="I939" s="7" t="n">
        <x:v>25933.4</x:v>
      </x:c>
      <x:c r="J939" s="9" t="n">
        <x:v>0</x:v>
      </x:c>
      <x:c r="K939" s="7" t="n">
        <x:v>25933.4</x:v>
      </x:c>
      <x:c r="L939" s="7" t="n">
        <x:v>4567.23</x:v>
      </x:c>
      <x:c r="M939" s="3" t="str">
        <x:v>UPI</x:v>
      </x:c>
      <x:c r="N939" s="3" t="str">
        <x:f>TEXT(B939,"yyyy-mm")</x:f>
        <x:v>2024-09</x:v>
      </x:c>
      <x:c r="O939" s="3" t="str">
        <x:f>IF(J939=0,"No discount",IF(J939&lt;=0.1,"1-10%",IF(J939&lt;=0.15,"11-15%",IF(J939&lt;=0.2,"16-20%","21%+"))))</x:f>
        <x:v>No discount</x:v>
      </x:c>
      <x:c r="P939" s="9" t="n">
        <x:f>IF(K939=0,0,L939/K939)</x:f>
        <x:v>0.1761138146174431</x:v>
      </x:c>
      <x:c r="Q939" s="3" t="str">
        <x:f>IF(L939&lt;0,"Yes","No")</x:f>
        <x:v>No</x:v>
      </x:c>
    </x:row>
    <x:row r="940" ht="21" customHeight="1">
      <x:c r="A940" s="3" t="str">
        <x:v>ORD-100947</x:v>
      </x:c>
      <x:c r="B940" s="5" t="n">
        <x:v>45557</x:v>
      </x:c>
      <x:c r="C940" s="3" t="str">
        <x:v>CUST-00024</x:v>
      </x:c>
      <x:c r="D940" s="3" t="str">
        <x:v>South</x:v>
      </x:c>
      <x:c r="E940" s="3" t="str">
        <x:v>Home &amp; Kitchen</x:v>
      </x:c>
      <x:c r="F940" s="3" t="str">
        <x:v>Decor</x:v>
      </x:c>
      <x:c r="G940" s="3" t="str">
        <x:v>LED Wall Lamp</x:v>
      </x:c>
      <x:c r="H940" s="3" t="n">
        <x:v>2</x:v>
      </x:c>
      <x:c r="I940" s="7" t="n">
        <x:v>981.14</x:v>
      </x:c>
      <x:c r="J940" s="9" t="n">
        <x:v>0</x:v>
      </x:c>
      <x:c r="K940" s="7" t="n">
        <x:v>1962.28</x:v>
      </x:c>
      <x:c r="L940" s="7" t="n">
        <x:v>604.8</x:v>
      </x:c>
      <x:c r="M940" s="3" t="str">
        <x:v>UPI</x:v>
      </x:c>
      <x:c r="N940" s="3" t="str">
        <x:f>TEXT(B940,"yyyy-mm")</x:f>
        <x:v>2024-09</x:v>
      </x:c>
      <x:c r="O940" s="3" t="str">
        <x:f>IF(J940=0,"No discount",IF(J940&lt;=0.1,"1-10%",IF(J940&lt;=0.15,"11-15%",IF(J940&lt;=0.2,"16-20%","21%+"))))</x:f>
        <x:v>No discount</x:v>
      </x:c>
      <x:c r="P940" s="9" t="n">
        <x:f>IF(K940=0,0,L940/K940)</x:f>
        <x:v>0.30821289520353873</x:v>
      </x:c>
      <x:c r="Q940" s="3" t="str">
        <x:f>IF(L940&lt;0,"Yes","No")</x:f>
        <x:v>No</x:v>
      </x:c>
    </x:row>
    <x:row r="941" ht="21" customHeight="1">
      <x:c r="A941" s="3" t="str">
        <x:v>ORD-101311</x:v>
      </x:c>
      <x:c r="B941" s="5" t="n">
        <x:v>45557</x:v>
      </x:c>
      <x:c r="C941" s="3" t="str">
        <x:v>CUST-00559</x:v>
      </x:c>
      <x:c r="D941" s="3" t="str">
        <x:v>North</x:v>
      </x:c>
      <x:c r="E941" s="3" t="str">
        <x:v>Electronics</x:v>
      </x:c>
      <x:c r="F941" s="3" t="str">
        <x:v>Audio</x:v>
      </x:c>
      <x:c r="G941" s="3" t="str">
        <x:v>BassBoom Speaker</x:v>
      </x:c>
      <x:c r="H941" s="3" t="n">
        <x:v>3</x:v>
      </x:c>
      <x:c r="I941" s="7" t="n">
        <x:v>8703.41</x:v>
      </x:c>
      <x:c r="J941" s="9" t="n">
        <x:v>0.1</x:v>
      </x:c>
      <x:c r="K941" s="7" t="n">
        <x:v>23499.21</x:v>
      </x:c>
      <x:c r="L941" s="7" t="n">
        <x:v>754.84</x:v>
      </x:c>
      <x:c r="M941" s="3" t="str">
        <x:v>UPI</x:v>
      </x:c>
      <x:c r="N941" s="3" t="str">
        <x:f>TEXT(B941,"yyyy-mm")</x:f>
        <x:v>2024-09</x:v>
      </x:c>
      <x:c r="O941" s="3" t="str">
        <x:f>IF(J941=0,"No discount",IF(J941&lt;=0.1,"1-10%",IF(J941&lt;=0.15,"11-15%",IF(J941&lt;=0.2,"16-20%","21%+"))))</x:f>
        <x:v>1-10%</x:v>
      </x:c>
      <x:c r="P941" s="9" t="n">
        <x:f>IF(K941=0,0,L941/K941)</x:f>
        <x:v>0.032121930907464555</x:v>
      </x:c>
      <x:c r="Q941" s="3" t="str">
        <x:f>IF(L941&lt;0,"Yes","No")</x:f>
        <x:v>No</x:v>
      </x:c>
    </x:row>
    <x:row r="942" ht="21" customHeight="1">
      <x:c r="A942" s="3" t="str">
        <x:v>ORD-101556</x:v>
      </x:c>
      <x:c r="B942" s="5" t="n">
        <x:v>45557</x:v>
      </x:c>
      <x:c r="C942" s="3" t="str">
        <x:v>CUST-00465</x:v>
      </x:c>
      <x:c r="D942" s="3" t="str">
        <x:v>West</x:v>
      </x:c>
      <x:c r="E942" s="3" t="str">
        <x:v>Electronics</x:v>
      </x:c>
      <x:c r="F942" s="3" t="str">
        <x:v>Laptop</x:v>
      </x:c>
      <x:c r="G942" s="3" t="str">
        <x:v>ThinkPro 14</x:v>
      </x:c>
      <x:c r="H942" s="3" t="n">
        <x:v>1</x:v>
      </x:c>
      <x:c r="I942" s="7" t="n">
        <x:v>52987.8</x:v>
      </x:c>
      <x:c r="J942" s="9" t="n">
        <x:v>0</x:v>
      </x:c>
      <x:c r="K942" s="7" t="n">
        <x:v>52987.8</x:v>
      </x:c>
      <x:c r="L942" s="7" t="n">
        <x:v>11052.05</x:v>
      </x:c>
      <x:c r="M942" s="3" t="str">
        <x:v>UPI</x:v>
      </x:c>
      <x:c r="N942" s="3" t="str">
        <x:f>TEXT(B942,"yyyy-mm")</x:f>
        <x:v>2024-09</x:v>
      </x:c>
      <x:c r="O942" s="3" t="str">
        <x:f>IF(J942=0,"No discount",IF(J942&lt;=0.1,"1-10%",IF(J942&lt;=0.15,"11-15%",IF(J942&lt;=0.2,"16-20%","21%+"))))</x:f>
        <x:v>No discount</x:v>
      </x:c>
      <x:c r="P942" s="9" t="n">
        <x:f>IF(K942=0,0,L942/K942)</x:f>
        <x:v>0.20857725740642183</x:v>
      </x:c>
      <x:c r="Q942" s="3" t="str">
        <x:f>IF(L942&lt;0,"Yes","No")</x:f>
        <x:v>No</x:v>
      </x:c>
    </x:row>
    <x:row r="943" ht="21" customHeight="1">
      <x:c r="A943" s="3" t="str">
        <x:v>ORD-101965</x:v>
      </x:c>
      <x:c r="B943" s="5" t="n">
        <x:v>45557</x:v>
      </x:c>
      <x:c r="C943" s="3" t="str">
        <x:v>CUST-00442</x:v>
      </x:c>
      <x:c r="D943" s="3" t="str">
        <x:v>North</x:v>
      </x:c>
      <x:c r="E943" s="3" t="str">
        <x:v>Beauty</x:v>
      </x:c>
      <x:c r="F943" s="3" t="str">
        <x:v>Makeup</x:v>
      </x:c>
      <x:c r="G943" s="3" t="str">
        <x:v>HD Foundation Kit</x:v>
      </x:c>
      <x:c r="H943" s="3" t="n">
        <x:v>1</x:v>
      </x:c>
      <x:c r="I943" s="7" t="n">
        <x:v>1531.22</x:v>
      </x:c>
      <x:c r="J943" s="9" t="n">
        <x:v>0</x:v>
      </x:c>
      <x:c r="K943" s="7" t="n">
        <x:v>1531.22</x:v>
      </x:c>
      <x:c r="L943" s="7" t="n">
        <x:v>823.81</x:v>
      </x:c>
      <x:c r="M943" s="3" t="str">
        <x:v>Cash on Delivery</x:v>
      </x:c>
      <x:c r="N943" s="3" t="str">
        <x:f>TEXT(B943,"yyyy-mm")</x:f>
        <x:v>2024-09</x:v>
      </x:c>
      <x:c r="O943" s="3" t="str">
        <x:f>IF(J943=0,"No discount",IF(J943&lt;=0.1,"1-10%",IF(J943&lt;=0.15,"11-15%",IF(J943&lt;=0.2,"16-20%","21%+"))))</x:f>
        <x:v>No discount</x:v>
      </x:c>
      <x:c r="P943" s="9" t="n">
        <x:f>IF(K943=0,0,L943/K943)</x:f>
        <x:v>0.5380089079296247</x:v>
      </x:c>
      <x:c r="Q943" s="3" t="str">
        <x:f>IF(L943&lt;0,"Yes","No")</x:f>
        <x:v>No</x:v>
      </x:c>
    </x:row>
    <x:row r="944" ht="21" customHeight="1">
      <x:c r="A944" s="3" t="str">
        <x:v>ORD-100314</x:v>
      </x:c>
      <x:c r="B944" s="5" t="n">
        <x:v>45558</x:v>
      </x:c>
      <x:c r="C944" s="3" t="str">
        <x:v>CUST-00553</x:v>
      </x:c>
      <x:c r="D944" s="3" t="str">
        <x:v>North</x:v>
      </x:c>
      <x:c r="E944" s="3" t="str">
        <x:v>Fashion</x:v>
      </x:c>
      <x:c r="F944" s="3" t="str">
        <x:v>Footwear</x:v>
      </x:c>
      <x:c r="G944" s="3" t="str">
        <x:v>RunFlex Sneakers</x:v>
      </x:c>
      <x:c r="H944" s="3" t="n">
        <x:v>3</x:v>
      </x:c>
      <x:c r="I944" s="7" t="n">
        <x:v>2891.04</x:v>
      </x:c>
      <x:c r="J944" s="9" t="n">
        <x:v>0.2</x:v>
      </x:c>
      <x:c r="K944" s="7" t="n">
        <x:v>6938.5</x:v>
      </x:c>
      <x:c r="L944" s="7" t="n">
        <x:v>1339.75</x:v>
      </x:c>
      <x:c r="M944" s="3" t="str">
        <x:v>Net Banking</x:v>
      </x:c>
      <x:c r="N944" s="3" t="str">
        <x:f>TEXT(B944,"yyyy-mm")</x:f>
        <x:v>2024-09</x:v>
      </x:c>
      <x:c r="O944" s="3" t="str">
        <x:f>IF(J944=0,"No discount",IF(J944&lt;=0.1,"1-10%",IF(J944&lt;=0.15,"11-15%",IF(J944&lt;=0.2,"16-20%","21%+"))))</x:f>
        <x:v>16-20%</x:v>
      </x:c>
      <x:c r="P944" s="9" t="n">
        <x:f>IF(K944=0,0,L944/K944)</x:f>
        <x:v>0.19308928442746992</x:v>
      </x:c>
      <x:c r="Q944" s="3" t="str">
        <x:f>IF(L944&lt;0,"Yes","No")</x:f>
        <x:v>No</x:v>
      </x:c>
    </x:row>
    <x:row r="945" ht="21" customHeight="1">
      <x:c r="A945" s="3" t="str">
        <x:v>ORD-100530</x:v>
      </x:c>
      <x:c r="B945" s="5" t="n">
        <x:v>45558</x:v>
      </x:c>
      <x:c r="C945" s="3" t="str">
        <x:v>CUST-00377</x:v>
      </x:c>
      <x:c r="D945" s="3" t="str">
        <x:v>South</x:v>
      </x:c>
      <x:c r="E945" s="3" t="str">
        <x:v>Beauty</x:v>
      </x:c>
      <x:c r="F945" s="3" t="str">
        <x:v>Skincare</x:v>
      </x:c>
      <x:c r="G945" s="3" t="str">
        <x:v>Vitamin C Serum</x:v>
      </x:c>
      <x:c r="H945" s="3" t="n">
        <x:v>5</x:v>
      </x:c>
      <x:c r="I945" s="7" t="n">
        <x:v>917.09</x:v>
      </x:c>
      <x:c r="J945" s="9" t="n">
        <x:v>0</x:v>
      </x:c>
      <x:c r="K945" s="7" t="n">
        <x:v>4585.45</x:v>
      </x:c>
      <x:c r="L945" s="7" t="n">
        <x:v>2400.49</x:v>
      </x:c>
      <x:c r="M945" s="3" t="str">
        <x:v>Credit Card</x:v>
      </x:c>
      <x:c r="N945" s="3" t="str">
        <x:f>TEXT(B945,"yyyy-mm")</x:f>
        <x:v>2024-09</x:v>
      </x:c>
      <x:c r="O945" s="3" t="str">
        <x:f>IF(J945=0,"No discount",IF(J945&lt;=0.1,"1-10%",IF(J945&lt;=0.15,"11-15%",IF(J945&lt;=0.2,"16-20%","21%+"))))</x:f>
        <x:v>No discount</x:v>
      </x:c>
      <x:c r="P945" s="9" t="n">
        <x:f>IF(K945=0,0,L945/K945)</x:f>
        <x:v>0.5235015102116477</x:v>
      </x:c>
      <x:c r="Q945" s="3" t="str">
        <x:f>IF(L945&lt;0,"Yes","No")</x:f>
        <x:v>No</x:v>
      </x:c>
    </x:row>
    <x:row r="946" ht="21" customHeight="1">
      <x:c r="A946" s="3" t="str">
        <x:v>ORD-101114</x:v>
      </x:c>
      <x:c r="B946" s="5" t="n">
        <x:v>45558</x:v>
      </x:c>
      <x:c r="C946" s="3" t="str">
        <x:v>CUST-00173</x:v>
      </x:c>
      <x:c r="D946" s="3" t="str">
        <x:v>North</x:v>
      </x:c>
      <x:c r="E946" s="3" t="str">
        <x:v>Home &amp; Kitchen</x:v>
      </x:c>
      <x:c r="F946" s="3" t="str">
        <x:v>Decor</x:v>
      </x:c>
      <x:c r="G946" s="3" t="str">
        <x:v>Ceramic Vase Set</x:v>
      </x:c>
      <x:c r="H946" s="3" t="n">
        <x:v>1</x:v>
      </x:c>
      <x:c r="I946" s="7" t="n">
        <x:v>1560.34</x:v>
      </x:c>
      <x:c r="J946" s="9" t="n">
        <x:v>0.15</x:v>
      </x:c>
      <x:c r="K946" s="7" t="n">
        <x:v>1326.29</x:v>
      </x:c>
      <x:c r="L946" s="7" t="n">
        <x:v>165.33</x:v>
      </x:c>
      <x:c r="M946" s="3" t="str">
        <x:v>UPI</x:v>
      </x:c>
      <x:c r="N946" s="3" t="str">
        <x:f>TEXT(B946,"yyyy-mm")</x:f>
        <x:v>2024-09</x:v>
      </x:c>
      <x:c r="O946" s="3" t="str">
        <x:f>IF(J946=0,"No discount",IF(J946&lt;=0.1,"1-10%",IF(J946&lt;=0.15,"11-15%",IF(J946&lt;=0.2,"16-20%","21%+"))))</x:f>
        <x:v>11-15%</x:v>
      </x:c>
      <x:c r="P946" s="9" t="n">
        <x:f>IF(K946=0,0,L946/K946)</x:f>
        <x:v>0.12465599529514662</x:v>
      </x:c>
      <x:c r="Q946" s="3" t="str">
        <x:f>IF(L946&lt;0,"Yes","No")</x:f>
        <x:v>No</x:v>
      </x:c>
    </x:row>
    <x:row r="947" ht="21" customHeight="1">
      <x:c r="A947" s="3" t="str">
        <x:v>ORD-101313</x:v>
      </x:c>
      <x:c r="B947" s="5" t="n">
        <x:v>45558</x:v>
      </x:c>
      <x:c r="C947" s="3" t="str">
        <x:v>CUST-00142</x:v>
      </x:c>
      <x:c r="D947" s="3" t="str">
        <x:v>West</x:v>
      </x:c>
      <x:c r="E947" s="3" t="str">
        <x:v>Electronics</x:v>
      </x:c>
      <x:c r="F947" s="3" t="str">
        <x:v>Audio</x:v>
      </x:c>
      <x:c r="G947" s="3" t="str">
        <x:v>BassBoom Speaker</x:v>
      </x:c>
      <x:c r="H947" s="3" t="n">
        <x:v>4</x:v>
      </x:c>
      <x:c r="I947" s="7" t="n">
        <x:v>9282.76</x:v>
      </x:c>
      <x:c r="J947" s="9" t="n">
        <x:v>0.05</x:v>
      </x:c>
      <x:c r="K947" s="7" t="n">
        <x:v>35274.49</x:v>
      </x:c>
      <x:c r="L947" s="7" t="n">
        <x:v>5312.76</x:v>
      </x:c>
      <x:c r="M947" s="3" t="str">
        <x:v>Net Banking</x:v>
      </x:c>
      <x:c r="N947" s="3" t="str">
        <x:f>TEXT(B947,"yyyy-mm")</x:f>
        <x:v>2024-09</x:v>
      </x:c>
      <x:c r="O947" s="3" t="str">
        <x:f>IF(J947=0,"No discount",IF(J947&lt;=0.1,"1-10%",IF(J947&lt;=0.15,"11-15%",IF(J947&lt;=0.2,"16-20%","21%+"))))</x:f>
        <x:v>1-10%</x:v>
      </x:c>
      <x:c r="P947" s="9" t="n">
        <x:f>IF(K947=0,0,L947/K947)</x:f>
        <x:v>0.150611957819943</x:v>
      </x:c>
      <x:c r="Q947" s="3" t="str">
        <x:f>IF(L947&lt;0,"Yes","No")</x:f>
        <x:v>No</x:v>
      </x:c>
    </x:row>
    <x:row r="948" ht="21" customHeight="1">
      <x:c r="A948" s="3" t="str">
        <x:v>ORD-101476</x:v>
      </x:c>
      <x:c r="B948" s="5" t="n">
        <x:v>45558</x:v>
      </x:c>
      <x:c r="C948" s="3" t="str">
        <x:v>CUST-00188</x:v>
      </x:c>
      <x:c r="D948" s="3" t="str">
        <x:v>East</x:v>
      </x:c>
      <x:c r="E948" s="3" t="str">
        <x:v>Home &amp; Kitchen</x:v>
      </x:c>
      <x:c r="F948" s="3" t="str">
        <x:v>Appliances</x:v>
      </x:c>
      <x:c r="G948" s="3" t="str">
        <x:v>ColdBrew Coffee Maker</x:v>
      </x:c>
      <x:c r="H948" s="3" t="n">
        <x:v>2</x:v>
      </x:c>
      <x:c r="I948" s="7" t="n">
        <x:v>6714.57</x:v>
      </x:c>
      <x:c r="J948" s="9" t="n">
        <x:v>0.3</x:v>
      </x:c>
      <x:c r="K948" s="7" t="n">
        <x:v>9400.4</x:v>
      </x:c>
      <x:c r="L948" s="7" t="n">
        <x:v>-158.84</x:v>
      </x:c>
      <x:c r="M948" s="3" t="str">
        <x:v>Credit Card</x:v>
      </x:c>
      <x:c r="N948" s="3" t="str">
        <x:f>TEXT(B948,"yyyy-mm")</x:f>
        <x:v>2024-09</x:v>
      </x:c>
      <x:c r="O948" s="3" t="str">
        <x:f>IF(J948=0,"No discount",IF(J948&lt;=0.1,"1-10%",IF(J948&lt;=0.15,"11-15%",IF(J948&lt;=0.2,"16-20%","21%+"))))</x:f>
        <x:v>21%+</x:v>
      </x:c>
      <x:c r="P948" s="9" t="n">
        <x:f>IF(K948=0,0,L948/K948)</x:f>
        <x:v>-0.016897153312624997</x:v>
      </x:c>
      <x:c r="Q948" s="3" t="str">
        <x:f>IF(L948&lt;0,"Yes","No")</x:f>
        <x:v>Yes</x:v>
      </x:c>
    </x:row>
    <x:row r="949" ht="21" customHeight="1">
      <x:c r="A949" s="3" t="str">
        <x:v>ORD-101483</x:v>
      </x:c>
      <x:c r="B949" s="5" t="n">
        <x:v>45558</x:v>
      </x:c>
      <x:c r="C949" s="3" t="str">
        <x:v>CUST-00392</x:v>
      </x:c>
      <x:c r="D949" s="3" t="str">
        <x:v>East</x:v>
      </x:c>
      <x:c r="E949" s="3" t="str">
        <x:v>Fashion</x:v>
      </x:c>
      <x:c r="F949" s="3" t="str">
        <x:v>Men</x:v>
      </x:c>
      <x:c r="G949" s="3" t="str">
        <x:v>Oxford Casual Shirt</x:v>
      </x:c>
      <x:c r="H949" s="3" t="n">
        <x:v>3</x:v>
      </x:c>
      <x:c r="I949" s="7" t="n">
        <x:v>1248.73</x:v>
      </x:c>
      <x:c r="J949" s="9" t="n">
        <x:v>0</x:v>
      </x:c>
      <x:c r="K949" s="7" t="n">
        <x:v>3746.19</x:v>
      </x:c>
      <x:c r="L949" s="7" t="n">
        <x:v>1476.34</x:v>
      </x:c>
      <x:c r="M949" s="3" t="str">
        <x:v>Credit Card</x:v>
      </x:c>
      <x:c r="N949" s="3" t="str">
        <x:f>TEXT(B949,"yyyy-mm")</x:f>
        <x:v>2024-09</x:v>
      </x:c>
      <x:c r="O949" s="3" t="str">
        <x:f>IF(J949=0,"No discount",IF(J949&lt;=0.1,"1-10%",IF(J949&lt;=0.15,"11-15%",IF(J949&lt;=0.2,"16-20%","21%+"))))</x:f>
        <x:v>No discount</x:v>
      </x:c>
      <x:c r="P949" s="9" t="n">
        <x:f>IF(K949=0,0,L949/K949)</x:f>
        <x:v>0.3940910631868645</x:v>
      </x:c>
      <x:c r="Q949" s="3" t="str">
        <x:f>IF(L949&lt;0,"Yes","No")</x:f>
        <x:v>No</x:v>
      </x:c>
    </x:row>
    <x:row r="950" ht="21" customHeight="1">
      <x:c r="A950" s="3" t="str">
        <x:v>ORD-101200</x:v>
      </x:c>
      <x:c r="B950" s="5" t="n">
        <x:v>45559</x:v>
      </x:c>
      <x:c r="C950" s="3" t="str">
        <x:v>CUST-00265</x:v>
      </x:c>
      <x:c r="D950" s="3" t="str">
        <x:v>South</x:v>
      </x:c>
      <x:c r="E950" s="3" t="str">
        <x:v>Beauty</x:v>
      </x:c>
      <x:c r="F950" s="3" t="str">
        <x:v>Skincare</x:v>
      </x:c>
      <x:c r="G950" s="3" t="str">
        <x:v>Vitamin C Serum</x:v>
      </x:c>
      <x:c r="H950" s="3" t="n">
        <x:v>1</x:v>
      </x:c>
      <x:c r="I950" s="7" t="n">
        <x:v>858.27</x:v>
      </x:c>
      <x:c r="J950" s="9" t="n">
        <x:v>0</x:v>
      </x:c>
      <x:c r="K950" s="7" t="n">
        <x:v>858.27</x:v>
      </x:c>
      <x:c r="L950" s="7" t="n">
        <x:v>446.12</x:v>
      </x:c>
      <x:c r="M950" s="3" t="str">
        <x:v>Debit Card</x:v>
      </x:c>
      <x:c r="N950" s="3" t="str">
        <x:f>TEXT(B950,"yyyy-mm")</x:f>
        <x:v>2024-09</x:v>
      </x:c>
      <x:c r="O950" s="3" t="str">
        <x:f>IF(J950=0,"No discount",IF(J950&lt;=0.1,"1-10%",IF(J950&lt;=0.15,"11-15%",IF(J950&lt;=0.2,"16-20%","21%+"))))</x:f>
        <x:v>No discount</x:v>
      </x:c>
      <x:c r="P950" s="9" t="n">
        <x:f>IF(K950=0,0,L950/K950)</x:f>
        <x:v>0.5197898097335337</x:v>
      </x:c>
      <x:c r="Q950" s="3" t="str">
        <x:f>IF(L950&lt;0,"Yes","No")</x:f>
        <x:v>No</x:v>
      </x:c>
    </x:row>
    <x:row r="951" ht="21" customHeight="1">
      <x:c r="A951" s="3" t="str">
        <x:v>ORD-101348</x:v>
      </x:c>
      <x:c r="B951" s="5" t="n">
        <x:v>45559</x:v>
      </x:c>
      <x:c r="C951" s="3" t="str">
        <x:v>CUST-00055</x:v>
      </x:c>
      <x:c r="D951" s="3" t="str">
        <x:v>West</x:v>
      </x:c>
      <x:c r="E951" s="3" t="str">
        <x:v>Home &amp; Kitchen</x:v>
      </x:c>
      <x:c r="F951" s="3" t="str">
        <x:v>Appliances</x:v>
      </x:c>
      <x:c r="G951" s="3" t="str">
        <x:v>AirFryer Deluxe</x:v>
      </x:c>
      <x:c r="H951" s="3" t="n">
        <x:v>3</x:v>
      </x:c>
      <x:c r="I951" s="7" t="n">
        <x:v>7736.83</x:v>
      </x:c>
      <x:c r="J951" s="9" t="n">
        <x:v>0.05</x:v>
      </x:c>
      <x:c r="K951" s="7" t="n">
        <x:v>22049.97</x:v>
      </x:c>
      <x:c r="L951" s="7" t="n">
        <x:v>5574.85</x:v>
      </x:c>
      <x:c r="M951" s="3" t="str">
        <x:v>Cash on Delivery</x:v>
      </x:c>
      <x:c r="N951" s="3" t="str">
        <x:f>TEXT(B951,"yyyy-mm")</x:f>
        <x:v>2024-09</x:v>
      </x:c>
      <x:c r="O951" s="3" t="str">
        <x:f>IF(J951=0,"No discount",IF(J951&lt;=0.1,"1-10%",IF(J951&lt;=0.15,"11-15%",IF(J951&lt;=0.2,"16-20%","21%+"))))</x:f>
        <x:v>1-10%</x:v>
      </x:c>
      <x:c r="P951" s="9" t="n">
        <x:f>IF(K951=0,0,L951/K951)</x:f>
        <x:v>0.25282800838277786</x:v>
      </x:c>
      <x:c r="Q951" s="3" t="str">
        <x:f>IF(L951&lt;0,"Yes","No")</x:f>
        <x:v>No</x:v>
      </x:c>
    </x:row>
    <x:row r="952" ht="21" customHeight="1">
      <x:c r="A952" s="3" t="str">
        <x:v>ORD-101715</x:v>
      </x:c>
      <x:c r="B952" s="5" t="n">
        <x:v>45559</x:v>
      </x:c>
      <x:c r="C952" s="3" t="str">
        <x:v>CUST-00411</x:v>
      </x:c>
      <x:c r="D952" s="3" t="str">
        <x:v>West</x:v>
      </x:c>
      <x:c r="E952" s="3" t="str">
        <x:v>Fashion</x:v>
      </x:c>
      <x:c r="F952" s="3" t="str">
        <x:v>Women</x:v>
      </x:c>
      <x:c r="G952" s="3" t="str">
        <x:v>Floral Summer Dress</x:v>
      </x:c>
      <x:c r="H952" s="3" t="n">
        <x:v>1</x:v>
      </x:c>
      <x:c r="I952" s="7" t="n">
        <x:v>1887.75</x:v>
      </x:c>
      <x:c r="J952" s="9" t="n">
        <x:v>0.25</x:v>
      </x:c>
      <x:c r="K952" s="7" t="n">
        <x:v>1415.81</x:v>
      </x:c>
      <x:c r="L952" s="7" t="n">
        <x:v>179.45</x:v>
      </x:c>
      <x:c r="M952" s="3" t="str">
        <x:v>UPI</x:v>
      </x:c>
      <x:c r="N952" s="3" t="str">
        <x:f>TEXT(B952,"yyyy-mm")</x:f>
        <x:v>2024-09</x:v>
      </x:c>
      <x:c r="O952" s="3" t="str">
        <x:f>IF(J952=0,"No discount",IF(J952&lt;=0.1,"1-10%",IF(J952&lt;=0.15,"11-15%",IF(J952&lt;=0.2,"16-20%","21%+"))))</x:f>
        <x:v>21%+</x:v>
      </x:c>
      <x:c r="P952" s="9" t="n">
        <x:f>IF(K952=0,0,L952/K952)</x:f>
        <x:v>0.12674723303268093</x:v>
      </x:c>
      <x:c r="Q952" s="3" t="str">
        <x:f>IF(L952&lt;0,"Yes","No")</x:f>
        <x:v>No</x:v>
      </x:c>
    </x:row>
    <x:row r="953" ht="21" customHeight="1">
      <x:c r="A953" s="3" t="str">
        <x:v>ORD-101369</x:v>
      </x:c>
      <x:c r="B953" s="5" t="n">
        <x:v>45560</x:v>
      </x:c>
      <x:c r="C953" s="3" t="str">
        <x:v>CUST-00247</x:v>
      </x:c>
      <x:c r="D953" s="3" t="str">
        <x:v>West</x:v>
      </x:c>
      <x:c r="E953" s="3" t="str">
        <x:v>Beauty</x:v>
      </x:c>
      <x:c r="F953" s="3" t="str">
        <x:v>Makeup</x:v>
      </x:c>
      <x:c r="G953" s="3" t="str">
        <x:v>HD Foundation Kit</x:v>
      </x:c>
      <x:c r="H953" s="3" t="n">
        <x:v>1</x:v>
      </x:c>
      <x:c r="I953" s="7" t="n">
        <x:v>1502.02</x:v>
      </x:c>
      <x:c r="J953" s="9" t="n">
        <x:v>0</x:v>
      </x:c>
      <x:c r="K953" s="7" t="n">
        <x:v>1502.02</x:v>
      </x:c>
      <x:c r="L953" s="7" t="n">
        <x:v>879.62</x:v>
      </x:c>
      <x:c r="M953" s="3" t="str">
        <x:v>UPI</x:v>
      </x:c>
      <x:c r="N953" s="3" t="str">
        <x:f>TEXT(B953,"yyyy-mm")</x:f>
        <x:v>2024-09</x:v>
      </x:c>
      <x:c r="O953" s="3" t="str">
        <x:f>IF(J953=0,"No discount",IF(J953&lt;=0.1,"1-10%",IF(J953&lt;=0.15,"11-15%",IF(J953&lt;=0.2,"16-20%","21%+"))))</x:f>
        <x:v>No discount</x:v>
      </x:c>
      <x:c r="P953" s="9" t="n">
        <x:f>IF(K953=0,0,L953/K953)</x:f>
        <x:v>0.5856246920813305</x:v>
      </x:c>
      <x:c r="Q953" s="3" t="str">
        <x:f>IF(L953&lt;0,"Yes","No")</x:f>
        <x:v>No</x:v>
      </x:c>
    </x:row>
    <x:row r="954" ht="21" customHeight="1">
      <x:c r="A954" s="3" t="str">
        <x:v>ORD-101437</x:v>
      </x:c>
      <x:c r="B954" s="5" t="n">
        <x:v>45560</x:v>
      </x:c>
      <x:c r="C954" s="3" t="str">
        <x:v>CUST-00265</x:v>
      </x:c>
      <x:c r="D954" s="3" t="str">
        <x:v>East</x:v>
      </x:c>
      <x:c r="E954" s="3" t="str">
        <x:v>Fashion</x:v>
      </x:c>
      <x:c r="F954" s="3" t="str">
        <x:v>Footwear</x:v>
      </x:c>
      <x:c r="G954" s="3" t="str">
        <x:v>RunFlex Sneakers</x:v>
      </x:c>
      <x:c r="H954" s="3" t="n">
        <x:v>2</x:v>
      </x:c>
      <x:c r="I954" s="7" t="n">
        <x:v>2996.9</x:v>
      </x:c>
      <x:c r="J954" s="9" t="n">
        <x:v>0.3</x:v>
      </x:c>
      <x:c r="K954" s="7" t="n">
        <x:v>4195.66</x:v>
      </x:c>
      <x:c r="L954" s="7" t="n">
        <x:v>413.27</x:v>
      </x:c>
      <x:c r="M954" s="3" t="str">
        <x:v>Net Banking</x:v>
      </x:c>
      <x:c r="N954" s="3" t="str">
        <x:f>TEXT(B954,"yyyy-mm")</x:f>
        <x:v>2024-09</x:v>
      </x:c>
      <x:c r="O954" s="3" t="str">
        <x:f>IF(J954=0,"No discount",IF(J954&lt;=0.1,"1-10%",IF(J954&lt;=0.15,"11-15%",IF(J954&lt;=0.2,"16-20%","21%+"))))</x:f>
        <x:v>21%+</x:v>
      </x:c>
      <x:c r="P954" s="9" t="n">
        <x:f>IF(K954=0,0,L954/K954)</x:f>
        <x:v>0.09849940176277391</x:v>
      </x:c>
      <x:c r="Q954" s="3" t="str">
        <x:f>IF(L954&lt;0,"Yes","No")</x:f>
        <x:v>No</x:v>
      </x:c>
    </x:row>
    <x:row r="955" ht="21" customHeight="1">
      <x:c r="A955" s="3" t="str">
        <x:v>ORD-101738</x:v>
      </x:c>
      <x:c r="B955" s="5" t="n">
        <x:v>45560</x:v>
      </x:c>
      <x:c r="C955" s="3" t="str">
        <x:v>CUST-00205</x:v>
      </x:c>
      <x:c r="D955" s="3" t="str">
        <x:v>North</x:v>
      </x:c>
      <x:c r="E955" s="3" t="str">
        <x:v>Beauty</x:v>
      </x:c>
      <x:c r="F955" s="3" t="str">
        <x:v>Skincare</x:v>
      </x:c>
      <x:c r="G955" s="3" t="str">
        <x:v>Vitamin C Serum</x:v>
      </x:c>
      <x:c r="H955" s="3" t="n">
        <x:v>5</x:v>
      </x:c>
      <x:c r="I955" s="7" t="n">
        <x:v>920.65</x:v>
      </x:c>
      <x:c r="J955" s="9" t="n">
        <x:v>0</x:v>
      </x:c>
      <x:c r="K955" s="7" t="n">
        <x:v>4603.25</x:v>
      </x:c>
      <x:c r="L955" s="7" t="n">
        <x:v>2583.01</x:v>
      </x:c>
      <x:c r="M955" s="3" t="str">
        <x:v>UPI</x:v>
      </x:c>
      <x:c r="N955" s="3" t="str">
        <x:f>TEXT(B955,"yyyy-mm")</x:f>
        <x:v>2024-09</x:v>
      </x:c>
      <x:c r="O955" s="3" t="str">
        <x:f>IF(J955=0,"No discount",IF(J955&lt;=0.1,"1-10%",IF(J955&lt;=0.15,"11-15%",IF(J955&lt;=0.2,"16-20%","21%+"))))</x:f>
        <x:v>No discount</x:v>
      </x:c>
      <x:c r="P955" s="9" t="n">
        <x:f>IF(K955=0,0,L955/K955)</x:f>
        <x:v>0.5611274642915332</x:v>
      </x:c>
      <x:c r="Q955" s="3" t="str">
        <x:f>IF(L955&lt;0,"Yes","No")</x:f>
        <x:v>No</x:v>
      </x:c>
    </x:row>
    <x:row r="956" ht="21" customHeight="1">
      <x:c r="A956" s="3" t="str">
        <x:v>ORD-100318</x:v>
      </x:c>
      <x:c r="B956" s="5" t="n">
        <x:v>45561</x:v>
      </x:c>
      <x:c r="C956" s="3" t="str">
        <x:v>CUST-00584</x:v>
      </x:c>
      <x:c r="D956" s="3" t="str">
        <x:v>West</x:v>
      </x:c>
      <x:c r="E956" s="3" t="str">
        <x:v>Sports</x:v>
      </x:c>
      <x:c r="F956" s="3" t="str">
        <x:v>Outdoor</x:v>
      </x:c>
      <x:c r="G956" s="3" t="str">
        <x:v>AllWeather Tent 4P</x:v>
      </x:c>
      <x:c r="H956" s="3" t="n">
        <x:v>3</x:v>
      </x:c>
      <x:c r="I956" s="7" t="n">
        <x:v>12177.21</x:v>
      </x:c>
      <x:c r="J956" s="9" t="n">
        <x:v>0</x:v>
      </x:c>
      <x:c r="K956" s="7" t="n">
        <x:v>36531.63</x:v>
      </x:c>
      <x:c r="L956" s="7" t="n">
        <x:v>12722.43</x:v>
      </x:c>
      <x:c r="M956" s="3" t="str">
        <x:v>Credit Card</x:v>
      </x:c>
      <x:c r="N956" s="3" t="str">
        <x:f>TEXT(B956,"yyyy-mm")</x:f>
        <x:v>2024-09</x:v>
      </x:c>
      <x:c r="O956" s="3" t="str">
        <x:f>IF(J956=0,"No discount",IF(J956&lt;=0.1,"1-10%",IF(J956&lt;=0.15,"11-15%",IF(J956&lt;=0.2,"16-20%","21%+"))))</x:f>
        <x:v>No discount</x:v>
      </x:c>
      <x:c r="P956" s="9" t="n">
        <x:f>IF(K956=0,0,L956/K956)</x:f>
        <x:v>0.34825793428872465</x:v>
      </x:c>
      <x:c r="Q956" s="3" t="str">
        <x:f>IF(L956&lt;0,"Yes","No")</x:f>
        <x:v>No</x:v>
      </x:c>
    </x:row>
    <x:row r="957" ht="21" customHeight="1">
      <x:c r="A957" s="3" t="str">
        <x:v>ORD-101236</x:v>
      </x:c>
      <x:c r="B957" s="5" t="n">
        <x:v>45561</x:v>
      </x:c>
      <x:c r="C957" s="3" t="str">
        <x:v>CUST-00537</x:v>
      </x:c>
      <x:c r="D957" s="3" t="str">
        <x:v>West</x:v>
      </x:c>
      <x:c r="E957" s="3" t="str">
        <x:v>Electronics</x:v>
      </x:c>
      <x:c r="F957" s="3" t="str">
        <x:v>Audio</x:v>
      </x:c>
      <x:c r="G957" s="3" t="str">
        <x:v>BassBoom Speaker</x:v>
      </x:c>
      <x:c r="H957" s="3" t="n">
        <x:v>2</x:v>
      </x:c>
      <x:c r="I957" s="7" t="n">
        <x:v>9379.5</x:v>
      </x:c>
      <x:c r="J957" s="9" t="n">
        <x:v>0.2</x:v>
      </x:c>
      <x:c r="K957" s="7" t="n">
        <x:v>15007.2</x:v>
      </x:c>
      <x:c r="L957" s="7" t="n">
        <x:v>-242.41</x:v>
      </x:c>
      <x:c r="M957" s="3" t="str">
        <x:v>Credit Card</x:v>
      </x:c>
      <x:c r="N957" s="3" t="str">
        <x:f>TEXT(B957,"yyyy-mm")</x:f>
        <x:v>2024-09</x:v>
      </x:c>
      <x:c r="O957" s="3" t="str">
        <x:f>IF(J957=0,"No discount",IF(J957&lt;=0.1,"1-10%",IF(J957&lt;=0.15,"11-15%",IF(J957&lt;=0.2,"16-20%","21%+"))))</x:f>
        <x:v>16-20%</x:v>
      </x:c>
      <x:c r="P957" s="9" t="n">
        <x:f>IF(K957=0,0,L957/K957)</x:f>
        <x:v>-0.016152913268297882</x:v>
      </x:c>
      <x:c r="Q957" s="3" t="str">
        <x:f>IF(L957&lt;0,"Yes","No")</x:f>
        <x:v>Yes</x:v>
      </x:c>
    </x:row>
    <x:row r="958" ht="21" customHeight="1">
      <x:c r="A958" s="3" t="str">
        <x:v>ORD-100323</x:v>
      </x:c>
      <x:c r="B958" s="5" t="n">
        <x:v>45562</x:v>
      </x:c>
      <x:c r="C958" s="3" t="str">
        <x:v>CUST-00351</x:v>
      </x:c>
      <x:c r="D958" s="3" t="str">
        <x:v>North</x:v>
      </x:c>
      <x:c r="E958" s="3" t="str">
        <x:v>Sports</x:v>
      </x:c>
      <x:c r="F958" s="3" t="str">
        <x:v>Fitness</x:v>
      </x:c>
      <x:c r="G958" s="3" t="str">
        <x:v>ProYoga Mat</x:v>
      </x:c>
      <x:c r="H958" s="3" t="n">
        <x:v>3</x:v>
      </x:c>
      <x:c r="I958" s="7" t="n">
        <x:v>1337.27</x:v>
      </x:c>
      <x:c r="J958" s="9" t="n">
        <x:v>0.1</x:v>
      </x:c>
      <x:c r="K958" s="7" t="n">
        <x:v>3610.63</x:v>
      </x:c>
      <x:c r="L958" s="7" t="n">
        <x:v>1049.38</x:v>
      </x:c>
      <x:c r="M958" s="3" t="str">
        <x:v>Credit Card</x:v>
      </x:c>
      <x:c r="N958" s="3" t="str">
        <x:f>TEXT(B958,"yyyy-mm")</x:f>
        <x:v>2024-09</x:v>
      </x:c>
      <x:c r="O958" s="3" t="str">
        <x:f>IF(J958=0,"No discount",IF(J958&lt;=0.1,"1-10%",IF(J958&lt;=0.15,"11-15%",IF(J958&lt;=0.2,"16-20%","21%+"))))</x:f>
        <x:v>1-10%</x:v>
      </x:c>
      <x:c r="P958" s="9" t="n">
        <x:f>IF(K958=0,0,L958/K958)</x:f>
        <x:v>0.29063626015404515</x:v>
      </x:c>
      <x:c r="Q958" s="3" t="str">
        <x:f>IF(L958&lt;0,"Yes","No")</x:f>
        <x:v>No</x:v>
      </x:c>
    </x:row>
    <x:row r="959" ht="21" customHeight="1">
      <x:c r="A959" s="3" t="str">
        <x:v>ORD-100571</x:v>
      </x:c>
      <x:c r="B959" s="5" t="n">
        <x:v>45562</x:v>
      </x:c>
      <x:c r="C959" s="3" t="str">
        <x:v>CUST-00434</x:v>
      </x:c>
      <x:c r="D959" s="3" t="str">
        <x:v>South</x:v>
      </x:c>
      <x:c r="E959" s="3" t="str">
        <x:v>Sports</x:v>
      </x:c>
      <x:c r="F959" s="3" t="str">
        <x:v>Fitness</x:v>
      </x:c>
      <x:c r="G959" s="3" t="str">
        <x:v>ProYoga Mat</x:v>
      </x:c>
      <x:c r="H959" s="3" t="n">
        <x:v>1</x:v>
      </x:c>
      <x:c r="I959" s="7" t="n">
        <x:v>1295.92</x:v>
      </x:c>
      <x:c r="J959" s="9" t="n">
        <x:v>0.2</x:v>
      </x:c>
      <x:c r="K959" s="7" t="n">
        <x:v>1036.74</x:v>
      </x:c>
      <x:c r="L959" s="7" t="n">
        <x:v>151.05</x:v>
      </x:c>
      <x:c r="M959" s="3" t="str">
        <x:v>Credit Card</x:v>
      </x:c>
      <x:c r="N959" s="3" t="str">
        <x:f>TEXT(B959,"yyyy-mm")</x:f>
        <x:v>2024-09</x:v>
      </x:c>
      <x:c r="O959" s="3" t="str">
        <x:f>IF(J959=0,"No discount",IF(J959&lt;=0.1,"1-10%",IF(J959&lt;=0.15,"11-15%",IF(J959&lt;=0.2,"16-20%","21%+"))))</x:f>
        <x:v>16-20%</x:v>
      </x:c>
      <x:c r="P959" s="9" t="n">
        <x:f>IF(K959=0,0,L959/K959)</x:f>
        <x:v>0.14569708895190694</x:v>
      </x:c>
      <x:c r="Q959" s="3" t="str">
        <x:f>IF(L959&lt;0,"Yes","No")</x:f>
        <x:v>No</x:v>
      </x:c>
    </x:row>
    <x:row r="960" ht="21" customHeight="1">
      <x:c r="A960" s="3" t="str">
        <x:v>ORD-101749</x:v>
      </x:c>
      <x:c r="B960" s="5" t="n">
        <x:v>45562</x:v>
      </x:c>
      <x:c r="C960" s="3" t="str">
        <x:v>CUST-00573</x:v>
      </x:c>
      <x:c r="D960" s="3" t="str">
        <x:v>South</x:v>
      </x:c>
      <x:c r="E960" s="3" t="str">
        <x:v>Beauty</x:v>
      </x:c>
      <x:c r="F960" s="3" t="str">
        <x:v>Skincare</x:v>
      </x:c>
      <x:c r="G960" s="3" t="str">
        <x:v>HydraBoost Moisturizer</x:v>
      </x:c>
      <x:c r="H960" s="3" t="n">
        <x:v>1</x:v>
      </x:c>
      <x:c r="I960" s="7" t="n">
        <x:v>1205.44</x:v>
      </x:c>
      <x:c r="J960" s="9" t="n">
        <x:v>0.2</x:v>
      </x:c>
      <x:c r="K960" s="7" t="n">
        <x:v>964.35</x:v>
      </x:c>
      <x:c r="L960" s="7" t="n">
        <x:v>285.05</x:v>
      </x:c>
      <x:c r="M960" s="3" t="str">
        <x:v>Credit Card</x:v>
      </x:c>
      <x:c r="N960" s="3" t="str">
        <x:f>TEXT(B960,"yyyy-mm")</x:f>
        <x:v>2024-09</x:v>
      </x:c>
      <x:c r="O960" s="3" t="str">
        <x:f>IF(J960=0,"No discount",IF(J960&lt;=0.1,"1-10%",IF(J960&lt;=0.15,"11-15%",IF(J960&lt;=0.2,"16-20%","21%+"))))</x:f>
        <x:v>16-20%</x:v>
      </x:c>
      <x:c r="P960" s="9" t="n">
        <x:f>IF(K960=0,0,L960/K960)</x:f>
        <x:v>0.2955877015606367</x:v>
      </x:c>
      <x:c r="Q960" s="3" t="str">
        <x:f>IF(L960&lt;0,"Yes","No")</x:f>
        <x:v>No</x:v>
      </x:c>
    </x:row>
    <x:row r="961" ht="21" customHeight="1">
      <x:c r="A961" s="3" t="str">
        <x:v>ORD-100020</x:v>
      </x:c>
      <x:c r="B961" s="5" t="n">
        <x:v>45563</x:v>
      </x:c>
      <x:c r="C961" s="3" t="str">
        <x:v>CUST-00308</x:v>
      </x:c>
      <x:c r="D961" s="3" t="str">
        <x:v>East</x:v>
      </x:c>
      <x:c r="E961" s="3" t="str">
        <x:v>Beauty</x:v>
      </x:c>
      <x:c r="F961" s="3" t="str">
        <x:v>Skincare</x:v>
      </x:c>
      <x:c r="G961" s="3" t="str">
        <x:v>HydraBoost Moisturizer</x:v>
      </x:c>
      <x:c r="H961" s="3" t="n">
        <x:v>2</x:v>
      </x:c>
      <x:c r="I961" s="7" t="n">
        <x:v>1176.98</x:v>
      </x:c>
      <x:c r="J961" s="9" t="n">
        <x:v>0.1</x:v>
      </x:c>
      <x:c r="K961" s="7" t="n">
        <x:v>2118.56</x:v>
      </x:c>
      <x:c r="L961" s="7" t="n">
        <x:v>881.03</x:v>
      </x:c>
      <x:c r="M961" s="3" t="str">
        <x:v>UPI</x:v>
      </x:c>
      <x:c r="N961" s="3" t="str">
        <x:f>TEXT(B961,"yyyy-mm")</x:f>
        <x:v>2024-09</x:v>
      </x:c>
      <x:c r="O961" s="3" t="str">
        <x:f>IF(J961=0,"No discount",IF(J961&lt;=0.1,"1-10%",IF(J961&lt;=0.15,"11-15%",IF(J961&lt;=0.2,"16-20%","21%+"))))</x:f>
        <x:v>1-10%</x:v>
      </x:c>
      <x:c r="P961" s="9" t="n">
        <x:f>IF(K961=0,0,L961/K961)</x:f>
        <x:v>0.41586266143040557</x:v>
      </x:c>
      <x:c r="Q961" s="3" t="str">
        <x:f>IF(L961&lt;0,"Yes","No")</x:f>
        <x:v>No</x:v>
      </x:c>
    </x:row>
    <x:row r="962" ht="21" customHeight="1">
      <x:c r="A962" s="3" t="str">
        <x:v>ORD-100247</x:v>
      </x:c>
      <x:c r="B962" s="5" t="n">
        <x:v>45563</x:v>
      </x:c>
      <x:c r="C962" s="3" t="str">
        <x:v>CUST-00305</x:v>
      </x:c>
      <x:c r="D962" s="3" t="str">
        <x:v>South</x:v>
      </x:c>
      <x:c r="E962" s="3" t="str">
        <x:v>Beauty</x:v>
      </x:c>
      <x:c r="F962" s="3" t="str">
        <x:v>Makeup</x:v>
      </x:c>
      <x:c r="G962" s="3" t="str">
        <x:v>Matte Lipstick Set</x:v>
      </x:c>
      <x:c r="H962" s="3" t="n">
        <x:v>1</x:v>
      </x:c>
      <x:c r="I962" s="7" t="n">
        <x:v>1046.39</x:v>
      </x:c>
      <x:c r="J962" s="9" t="n">
        <x:v>0.05</x:v>
      </x:c>
      <x:c r="K962" s="7" t="n">
        <x:v>994.07</x:v>
      </x:c>
      <x:c r="L962" s="7" t="n">
        <x:v>482.36</x:v>
      </x:c>
      <x:c r="M962" s="3" t="str">
        <x:v>Net Banking</x:v>
      </x:c>
      <x:c r="N962" s="3" t="str">
        <x:f>TEXT(B962,"yyyy-mm")</x:f>
        <x:v>2024-09</x:v>
      </x:c>
      <x:c r="O962" s="3" t="str">
        <x:f>IF(J962=0,"No discount",IF(J962&lt;=0.1,"1-10%",IF(J962&lt;=0.15,"11-15%",IF(J962&lt;=0.2,"16-20%","21%+"))))</x:f>
        <x:v>1-10%</x:v>
      </x:c>
      <x:c r="P962" s="9" t="n">
        <x:f>IF(K962=0,0,L962/K962)</x:f>
        <x:v>0.4852374581266913</x:v>
      </x:c>
      <x:c r="Q962" s="3" t="str">
        <x:f>IF(L962&lt;0,"Yes","No")</x:f>
        <x:v>No</x:v>
      </x:c>
    </x:row>
    <x:row r="963" ht="21" customHeight="1">
      <x:c r="A963" s="3" t="str">
        <x:v>ORD-100249</x:v>
      </x:c>
      <x:c r="B963" s="5" t="n">
        <x:v>45563</x:v>
      </x:c>
      <x:c r="C963" s="3" t="str">
        <x:v>CUST-00558</x:v>
      </x:c>
      <x:c r="D963" s="3" t="str">
        <x:v>South</x:v>
      </x:c>
      <x:c r="E963" s="3" t="str">
        <x:v>Fashion</x:v>
      </x:c>
      <x:c r="F963" s="3" t="str">
        <x:v>Men</x:v>
      </x:c>
      <x:c r="G963" s="3" t="str">
        <x:v>Oxford Casual Shirt</x:v>
      </x:c>
      <x:c r="H963" s="3" t="n">
        <x:v>5</x:v>
      </x:c>
      <x:c r="I963" s="7" t="n">
        <x:v>1249.05</x:v>
      </x:c>
      <x:c r="J963" s="9" t="n">
        <x:v>0.05</x:v>
      </x:c>
      <x:c r="K963" s="7" t="n">
        <x:v>5932.99</x:v>
      </x:c>
      <x:c r="L963" s="7" t="n">
        <x:v>2285.92</x:v>
      </x:c>
      <x:c r="M963" s="3" t="str">
        <x:v>Net Banking</x:v>
      </x:c>
      <x:c r="N963" s="3" t="str">
        <x:f>TEXT(B963,"yyyy-mm")</x:f>
        <x:v>2024-09</x:v>
      </x:c>
      <x:c r="O963" s="3" t="str">
        <x:f>IF(J963=0,"No discount",IF(J963&lt;=0.1,"1-10%",IF(J963&lt;=0.15,"11-15%",IF(J963&lt;=0.2,"16-20%","21%+"))))</x:f>
        <x:v>1-10%</x:v>
      </x:c>
      <x:c r="P963" s="9" t="n">
        <x:f>IF(K963=0,0,L963/K963)</x:f>
        <x:v>0.38528971058437655</x:v>
      </x:c>
      <x:c r="Q963" s="3" t="str">
        <x:f>IF(L963&lt;0,"Yes","No")</x:f>
        <x:v>No</x:v>
      </x:c>
    </x:row>
    <x:row r="964" ht="21" customHeight="1">
      <x:c r="A964" s="3" t="str">
        <x:v>ORD-100531</x:v>
      </x:c>
      <x:c r="B964" s="5" t="n">
        <x:v>45564</x:v>
      </x:c>
      <x:c r="C964" s="3" t="str">
        <x:v>CUST-00507</x:v>
      </x:c>
      <x:c r="D964" s="3" t="str">
        <x:v>West</x:v>
      </x:c>
      <x:c r="E964" s="3" t="str">
        <x:v>Fashion</x:v>
      </x:c>
      <x:c r="F964" s="3" t="str">
        <x:v>Footwear</x:v>
      </x:c>
      <x:c r="G964" s="3" t="str">
        <x:v>RunFlex Sneakers</x:v>
      </x:c>
      <x:c r="H964" s="3" t="n">
        <x:v>1</x:v>
      </x:c>
      <x:c r="I964" s="7" t="n">
        <x:v>3080.98</x:v>
      </x:c>
      <x:c r="J964" s="9" t="n">
        <x:v>0.1</x:v>
      </x:c>
      <x:c r="K964" s="7" t="n">
        <x:v>2772.88</x:v>
      </x:c>
      <x:c r="L964" s="7" t="n">
        <x:v>940.74</x:v>
      </x:c>
      <x:c r="M964" s="3" t="str">
        <x:v>Credit Card</x:v>
      </x:c>
      <x:c r="N964" s="3" t="str">
        <x:f>TEXT(B964,"yyyy-mm")</x:f>
        <x:v>2024-09</x:v>
      </x:c>
      <x:c r="O964" s="3" t="str">
        <x:f>IF(J964=0,"No discount",IF(J964&lt;=0.1,"1-10%",IF(J964&lt;=0.15,"11-15%",IF(J964&lt;=0.2,"16-20%","21%+"))))</x:f>
        <x:v>1-10%</x:v>
      </x:c>
      <x:c r="P964" s="9" t="n">
        <x:f>IF(K964=0,0,L964/K964)</x:f>
        <x:v>0.33926459132742853</x:v>
      </x:c>
      <x:c r="Q964" s="3" t="str">
        <x:f>IF(L964&lt;0,"Yes","No")</x:f>
        <x:v>No</x:v>
      </x:c>
    </x:row>
    <x:row r="965" ht="21" customHeight="1">
      <x:c r="A965" s="3" t="str">
        <x:v>ORD-100695</x:v>
      </x:c>
      <x:c r="B965" s="5" t="n">
        <x:v>45564</x:v>
      </x:c>
      <x:c r="C965" s="3" t="str">
        <x:v>CUST-00501</x:v>
      </x:c>
      <x:c r="D965" s="3" t="str">
        <x:v>West</x:v>
      </x:c>
      <x:c r="E965" s="3" t="str">
        <x:v>Electronics</x:v>
      </x:c>
      <x:c r="F965" s="3" t="str">
        <x:v>Mobile</x:v>
      </x:c>
      <x:c r="G965" s="3" t="str">
        <x:v>Pixel Aura 12</x:v>
      </x:c>
      <x:c r="H965" s="3" t="n">
        <x:v>1</x:v>
      </x:c>
      <x:c r="I965" s="7" t="n">
        <x:v>31453.35</x:v>
      </x:c>
      <x:c r="J965" s="9" t="n">
        <x:v>0.05</x:v>
      </x:c>
      <x:c r="K965" s="7" t="n">
        <x:v>29880.68</x:v>
      </x:c>
      <x:c r="L965" s="7" t="n">
        <x:v>4057.69</x:v>
      </x:c>
      <x:c r="M965" s="3" t="str">
        <x:v>Cash on Delivery</x:v>
      </x:c>
      <x:c r="N965" s="3" t="str">
        <x:f>TEXT(B965,"yyyy-mm")</x:f>
        <x:v>2024-09</x:v>
      </x:c>
      <x:c r="O965" s="3" t="str">
        <x:f>IF(J965=0,"No discount",IF(J965&lt;=0.1,"1-10%",IF(J965&lt;=0.15,"11-15%",IF(J965&lt;=0.2,"16-20%","21%+"))))</x:f>
        <x:v>1-10%</x:v>
      </x:c>
      <x:c r="P965" s="9" t="n">
        <x:f>IF(K965=0,0,L965/K965)</x:f>
        <x:v>0.13579644104484906</x:v>
      </x:c>
      <x:c r="Q965" s="3" t="str">
        <x:f>IF(L965&lt;0,"Yes","No")</x:f>
        <x:v>No</x:v>
      </x:c>
    </x:row>
    <x:row r="966" ht="21" customHeight="1">
      <x:c r="A966" s="3" t="str">
        <x:v>ORD-100780</x:v>
      </x:c>
      <x:c r="B966" s="5" t="n">
        <x:v>45564</x:v>
      </x:c>
      <x:c r="C966" s="3" t="str">
        <x:v>CUST-00545</x:v>
      </x:c>
      <x:c r="D966" s="3" t="str">
        <x:v>North</x:v>
      </x:c>
      <x:c r="E966" s="3" t="str">
        <x:v>Beauty</x:v>
      </x:c>
      <x:c r="F966" s="3" t="str">
        <x:v>Makeup</x:v>
      </x:c>
      <x:c r="G966" s="3" t="str">
        <x:v>HD Foundation Kit</x:v>
      </x:c>
      <x:c r="H966" s="3" t="n">
        <x:v>1</x:v>
      </x:c>
      <x:c r="I966" s="7" t="n">
        <x:v>1461.37</x:v>
      </x:c>
      <x:c r="J966" s="9" t="n">
        <x:v>0</x:v>
      </x:c>
      <x:c r="K966" s="7" t="n">
        <x:v>1461.37</x:v>
      </x:c>
      <x:c r="L966" s="7" t="n">
        <x:v>758.29</x:v>
      </x:c>
      <x:c r="M966" s="3" t="str">
        <x:v>Net Banking</x:v>
      </x:c>
      <x:c r="N966" s="3" t="str">
        <x:f>TEXT(B966,"yyyy-mm")</x:f>
        <x:v>2024-09</x:v>
      </x:c>
      <x:c r="O966" s="3" t="str">
        <x:f>IF(J966=0,"No discount",IF(J966&lt;=0.1,"1-10%",IF(J966&lt;=0.15,"11-15%",IF(J966&lt;=0.2,"16-20%","21%+"))))</x:f>
        <x:v>No discount</x:v>
      </x:c>
      <x:c r="P966" s="9" t="n">
        <x:f>IF(K966=0,0,L966/K966)</x:f>
        <x:v>0.5188898088779706</x:v>
      </x:c>
      <x:c r="Q966" s="3" t="str">
        <x:f>IF(L966&lt;0,"Yes","No")</x:f>
        <x:v>No</x:v>
      </x:c>
    </x:row>
    <x:row r="967" ht="21" customHeight="1">
      <x:c r="A967" s="3" t="str">
        <x:v>ORD-101054</x:v>
      </x:c>
      <x:c r="B967" s="5" t="n">
        <x:v>45564</x:v>
      </x:c>
      <x:c r="C967" s="3" t="str">
        <x:v>CUST-00399</x:v>
      </x:c>
      <x:c r="D967" s="3" t="str">
        <x:v>South</x:v>
      </x:c>
      <x:c r="E967" s="3" t="str">
        <x:v>Electronics</x:v>
      </x:c>
      <x:c r="F967" s="3" t="str">
        <x:v>Laptop</x:v>
      </x:c>
      <x:c r="G967" s="3" t="str">
        <x:v>ThinkPro 14</x:v>
      </x:c>
      <x:c r="H967" s="3" t="n">
        <x:v>1</x:v>
      </x:c>
      <x:c r="I967" s="7" t="n">
        <x:v>54018.12</x:v>
      </x:c>
      <x:c r="J967" s="9" t="n">
        <x:v>0</x:v>
      </x:c>
      <x:c r="K967" s="7" t="n">
        <x:v>54018.12</x:v>
      </x:c>
      <x:c r="L967" s="7" t="n">
        <x:v>9849.6</x:v>
      </x:c>
      <x:c r="M967" s="3" t="str">
        <x:v>Net Banking</x:v>
      </x:c>
      <x:c r="N967" s="3" t="str">
        <x:f>TEXT(B967,"yyyy-mm")</x:f>
        <x:v>2024-09</x:v>
      </x:c>
      <x:c r="O967" s="3" t="str">
        <x:f>IF(J967=0,"No discount",IF(J967&lt;=0.1,"1-10%",IF(J967&lt;=0.15,"11-15%",IF(J967&lt;=0.2,"16-20%","21%+"))))</x:f>
        <x:v>No discount</x:v>
      </x:c>
      <x:c r="P967" s="9" t="n">
        <x:f>IF(K967=0,0,L967/K967)</x:f>
        <x:v>0.18233881519756703</x:v>
      </x:c>
      <x:c r="Q967" s="3" t="str">
        <x:f>IF(L967&lt;0,"Yes","No")</x:f>
        <x:v>No</x:v>
      </x:c>
    </x:row>
    <x:row r="968" ht="21" customHeight="1">
      <x:c r="A968" s="3" t="str">
        <x:v>ORD-101320</x:v>
      </x:c>
      <x:c r="B968" s="5" t="n">
        <x:v>45564</x:v>
      </x:c>
      <x:c r="C968" s="3" t="str">
        <x:v>CUST-00320</x:v>
      </x:c>
      <x:c r="D968" s="3" t="str">
        <x:v>West</x:v>
      </x:c>
      <x:c r="E968" s="3" t="str">
        <x:v>Beauty</x:v>
      </x:c>
      <x:c r="F968" s="3" t="str">
        <x:v>Makeup</x:v>
      </x:c>
      <x:c r="G968" s="3" t="str">
        <x:v>HD Foundation Kit</x:v>
      </x:c>
      <x:c r="H968" s="3" t="n">
        <x:v>3</x:v>
      </x:c>
      <x:c r="I968" s="7" t="n">
        <x:v>1506.02</x:v>
      </x:c>
      <x:c r="J968" s="9" t="n">
        <x:v>0.05</x:v>
      </x:c>
      <x:c r="K968" s="7" t="n">
        <x:v>4292.16</x:v>
      </x:c>
      <x:c r="L968" s="7" t="n">
        <x:v>2189.55</x:v>
      </x:c>
      <x:c r="M968" s="3" t="str">
        <x:v>Credit Card</x:v>
      </x:c>
      <x:c r="N968" s="3" t="str">
        <x:f>TEXT(B968,"yyyy-mm")</x:f>
        <x:v>2024-09</x:v>
      </x:c>
      <x:c r="O968" s="3" t="str">
        <x:f>IF(J968=0,"No discount",IF(J968&lt;=0.1,"1-10%",IF(J968&lt;=0.15,"11-15%",IF(J968&lt;=0.2,"16-20%","21%+"))))</x:f>
        <x:v>1-10%</x:v>
      </x:c>
      <x:c r="P968" s="9" t="n">
        <x:f>IF(K968=0,0,L968/K968)</x:f>
        <x:v>0.510127767837173</x:v>
      </x:c>
      <x:c r="Q968" s="3" t="str">
        <x:f>IF(L968&lt;0,"Yes","No")</x:f>
        <x:v>No</x:v>
      </x:c>
    </x:row>
    <x:row r="969" ht="21" customHeight="1">
      <x:c r="A969" s="3" t="str">
        <x:v>ORD-101423</x:v>
      </x:c>
      <x:c r="B969" s="5" t="n">
        <x:v>45564</x:v>
      </x:c>
      <x:c r="C969" s="3" t="str">
        <x:v>CUST-00126</x:v>
      </x:c>
      <x:c r="D969" s="3" t="str">
        <x:v>East</x:v>
      </x:c>
      <x:c r="E969" s="3" t="str">
        <x:v>Electronics</x:v>
      </x:c>
      <x:c r="F969" s="3" t="str">
        <x:v>Mobile</x:v>
      </x:c>
      <x:c r="G969" s="3" t="str">
        <x:v>Galaxy Nova X5</x:v>
      </x:c>
      <x:c r="H969" s="3" t="n">
        <x:v>1</x:v>
      </x:c>
      <x:c r="I969" s="7" t="n">
        <x:v>24090.81</x:v>
      </x:c>
      <x:c r="J969" s="9" t="n">
        <x:v>0.4</x:v>
      </x:c>
      <x:c r="K969" s="7" t="n">
        <x:v>14454.49</x:v>
      </x:c>
      <x:c r="L969" s="7" t="n">
        <x:v>-4199.96</x:v>
      </x:c>
      <x:c r="M969" s="3" t="str">
        <x:v>Cash on Delivery</x:v>
      </x:c>
      <x:c r="N969" s="3" t="str">
        <x:f>TEXT(B969,"yyyy-mm")</x:f>
        <x:v>2024-09</x:v>
      </x:c>
      <x:c r="O969" s="3" t="str">
        <x:f>IF(J969=0,"No discount",IF(J969&lt;=0.1,"1-10%",IF(J969&lt;=0.15,"11-15%",IF(J969&lt;=0.2,"16-20%","21%+"))))</x:f>
        <x:v>21%+</x:v>
      </x:c>
      <x:c r="P969" s="9" t="n">
        <x:f>IF(K969=0,0,L969/K969)</x:f>
        <x:v>-0.29056438518411926</x:v>
      </x:c>
      <x:c r="Q969" s="3" t="str">
        <x:f>IF(L969&lt;0,"Yes","No")</x:f>
        <x:v>Yes</x:v>
      </x:c>
    </x:row>
    <x:row r="970" ht="21" customHeight="1">
      <x:c r="A970" s="3" t="str">
        <x:v>ORD-101661</x:v>
      </x:c>
      <x:c r="B970" s="5" t="n">
        <x:v>45564</x:v>
      </x:c>
      <x:c r="C970" s="3" t="str">
        <x:v>CUST-00129</x:v>
      </x:c>
      <x:c r="D970" s="3" t="str">
        <x:v>North</x:v>
      </x:c>
      <x:c r="E970" s="3" t="str">
        <x:v>Beauty</x:v>
      </x:c>
      <x:c r="F970" s="3" t="str">
        <x:v>Skincare</x:v>
      </x:c>
      <x:c r="G970" s="3" t="str">
        <x:v>Vitamin C Serum</x:v>
      </x:c>
      <x:c r="H970" s="3" t="n">
        <x:v>5</x:v>
      </x:c>
      <x:c r="I970" s="7" t="n">
        <x:v>893.36</x:v>
      </x:c>
      <x:c r="J970" s="9" t="n">
        <x:v>0.05</x:v>
      </x:c>
      <x:c r="K970" s="7" t="n">
        <x:v>4243.46</x:v>
      </x:c>
      <x:c r="L970" s="7" t="n">
        <x:v>2189.62</x:v>
      </x:c>
      <x:c r="M970" s="3" t="str">
        <x:v>Debit Card</x:v>
      </x:c>
      <x:c r="N970" s="3" t="str">
        <x:f>TEXT(B970,"yyyy-mm")</x:f>
        <x:v>2024-09</x:v>
      </x:c>
      <x:c r="O970" s="3" t="str">
        <x:f>IF(J970=0,"No discount",IF(J970&lt;=0.1,"1-10%",IF(J970&lt;=0.15,"11-15%",IF(J970&lt;=0.2,"16-20%","21%+"))))</x:f>
        <x:v>1-10%</x:v>
      </x:c>
      <x:c r="P970" s="9" t="n">
        <x:f>IF(K970=0,0,L970/K970)</x:f>
        <x:v>0.5159987368798103</x:v>
      </x:c>
      <x:c r="Q970" s="3" t="str">
        <x:f>IF(L970&lt;0,"Yes","No")</x:f>
        <x:v>No</x:v>
      </x:c>
    </x:row>
    <x:row r="971" ht="21" customHeight="1">
      <x:c r="A971" s="3" t="str">
        <x:v>ORD-100091</x:v>
      </x:c>
      <x:c r="B971" s="5" t="n">
        <x:v>45565</x:v>
      </x:c>
      <x:c r="C971" s="3" t="str">
        <x:v>CUST-00280</x:v>
      </x:c>
      <x:c r="D971" s="3" t="str">
        <x:v>East</x:v>
      </x:c>
      <x:c r="E971" s="3" t="str">
        <x:v>Beauty</x:v>
      </x:c>
      <x:c r="F971" s="3" t="str">
        <x:v>Skincare</x:v>
      </x:c>
      <x:c r="G971" s="3" t="str">
        <x:v>HydraBoost Moisturizer</x:v>
      </x:c>
      <x:c r="H971" s="3" t="n">
        <x:v>3</x:v>
      </x:c>
      <x:c r="I971" s="7" t="n">
        <x:v>1237.18</x:v>
      </x:c>
      <x:c r="J971" s="9" t="n">
        <x:v>0.3</x:v>
      </x:c>
      <x:c r="K971" s="7" t="n">
        <x:v>2598.08</x:v>
      </x:c>
      <x:c r="L971" s="7" t="n">
        <x:v>556.21</x:v>
      </x:c>
      <x:c r="M971" s="3" t="str">
        <x:v>UPI</x:v>
      </x:c>
      <x:c r="N971" s="3" t="str">
        <x:f>TEXT(B971,"yyyy-mm")</x:f>
        <x:v>2024-09</x:v>
      </x:c>
      <x:c r="O971" s="3" t="str">
        <x:f>IF(J971=0,"No discount",IF(J971&lt;=0.1,"1-10%",IF(J971&lt;=0.15,"11-15%",IF(J971&lt;=0.2,"16-20%","21%+"))))</x:f>
        <x:v>21%+</x:v>
      </x:c>
      <x:c r="P971" s="9" t="n">
        <x:f>IF(K971=0,0,L971/K971)</x:f>
        <x:v>0.21408501662766352</x:v>
      </x:c>
      <x:c r="Q971" s="3" t="str">
        <x:f>IF(L971&lt;0,"Yes","No")</x:f>
        <x:v>No</x:v>
      </x:c>
    </x:row>
    <x:row r="972" ht="21" customHeight="1">
      <x:c r="A972" s="3" t="str">
        <x:v>ORD-101346</x:v>
      </x:c>
      <x:c r="B972" s="5" t="n">
        <x:v>45565</x:v>
      </x:c>
      <x:c r="C972" s="3" t="str">
        <x:v>CUST-00235</x:v>
      </x:c>
      <x:c r="D972" s="3" t="str">
        <x:v>East</x:v>
      </x:c>
      <x:c r="E972" s="3" t="str">
        <x:v>Fashion</x:v>
      </x:c>
      <x:c r="F972" s="3" t="str">
        <x:v>Men</x:v>
      </x:c>
      <x:c r="G972" s="3" t="str">
        <x:v>Oxford Casual Shirt</x:v>
      </x:c>
      <x:c r="H972" s="3" t="n">
        <x:v>1</x:v>
      </x:c>
      <x:c r="I972" s="7" t="n">
        <x:v>1238.36</x:v>
      </x:c>
      <x:c r="J972" s="9" t="n">
        <x:v>0.1</x:v>
      </x:c>
      <x:c r="K972" s="7" t="n">
        <x:v>1114.52</x:v>
      </x:c>
      <x:c r="L972" s="7" t="n">
        <x:v>349.64</x:v>
      </x:c>
      <x:c r="M972" s="3" t="str">
        <x:v>UPI</x:v>
      </x:c>
      <x:c r="N972" s="3" t="str">
        <x:f>TEXT(B972,"yyyy-mm")</x:f>
        <x:v>2024-09</x:v>
      </x:c>
      <x:c r="O972" s="3" t="str">
        <x:f>IF(J972=0,"No discount",IF(J972&lt;=0.1,"1-10%",IF(J972&lt;=0.15,"11-15%",IF(J972&lt;=0.2,"16-20%","21%+"))))</x:f>
        <x:v>1-10%</x:v>
      </x:c>
      <x:c r="P972" s="9" t="n">
        <x:f>IF(K972=0,0,L972/K972)</x:f>
        <x:v>0.3137135268994724</x:v>
      </x:c>
      <x:c r="Q972" s="3" t="str">
        <x:f>IF(L972&lt;0,"Yes","No")</x:f>
        <x:v>No</x:v>
      </x:c>
    </x:row>
    <x:row r="973" ht="21" customHeight="1">
      <x:c r="A973" s="3" t="str">
        <x:v>ORD-100166</x:v>
      </x:c>
      <x:c r="B973" s="5" t="n">
        <x:v>45566</x:v>
      </x:c>
      <x:c r="C973" s="3" t="str">
        <x:v>CUST-00041</x:v>
      </x:c>
      <x:c r="D973" s="3" t="str">
        <x:v>East</x:v>
      </x:c>
      <x:c r="E973" s="3" t="str">
        <x:v>Home &amp; Kitchen</x:v>
      </x:c>
      <x:c r="F973" s="3" t="str">
        <x:v>Furniture</x:v>
      </x:c>
      <x:c r="G973" s="3" t="str">
        <x:v>ErgoComfort Chair</x:v>
      </x:c>
      <x:c r="H973" s="3" t="n">
        <x:v>2</x:v>
      </x:c>
      <x:c r="I973" s="7" t="n">
        <x:v>9311.39</x:v>
      </x:c>
      <x:c r="J973" s="9" t="n">
        <x:v>0.25</x:v>
      </x:c>
      <x:c r="K973" s="7" t="n">
        <x:v>13967.08</x:v>
      </x:c>
      <x:c r="L973" s="7" t="n">
        <x:v>138.23</x:v>
      </x:c>
      <x:c r="M973" s="3" t="str">
        <x:v>UPI</x:v>
      </x:c>
      <x:c r="N973" s="3" t="str">
        <x:f>TEXT(B973,"yyyy-mm")</x:f>
        <x:v>2024-10</x:v>
      </x:c>
      <x:c r="O973" s="3" t="str">
        <x:f>IF(J973=0,"No discount",IF(J973&lt;=0.1,"1-10%",IF(J973&lt;=0.15,"11-15%",IF(J973&lt;=0.2,"16-20%","21%+"))))</x:f>
        <x:v>21%+</x:v>
      </x:c>
      <x:c r="P973" s="9" t="n">
        <x:f>IF(K973=0,0,L973/K973)</x:f>
        <x:v>0.009896843148317328</x:v>
      </x:c>
      <x:c r="Q973" s="3" t="str">
        <x:f>IF(L973&lt;0,"Yes","No")</x:f>
        <x:v>No</x:v>
      </x:c>
    </x:row>
    <x:row r="974" ht="21" customHeight="1">
      <x:c r="A974" s="3" t="str">
        <x:v>ORD-100781</x:v>
      </x:c>
      <x:c r="B974" s="5" t="n">
        <x:v>45566</x:v>
      </x:c>
      <x:c r="C974" s="3" t="str">
        <x:v>CUST-00176</x:v>
      </x:c>
      <x:c r="D974" s="3" t="str">
        <x:v>North</x:v>
      </x:c>
      <x:c r="E974" s="3" t="str">
        <x:v>Electronics</x:v>
      </x:c>
      <x:c r="F974" s="3" t="str">
        <x:v>Laptop</x:v>
      </x:c>
      <x:c r="G974" s="3" t="str">
        <x:v>ThinkPro 14</x:v>
      </x:c>
      <x:c r="H974" s="3" t="n">
        <x:v>3</x:v>
      </x:c>
      <x:c r="I974" s="7" t="n">
        <x:v>54474.09</x:v>
      </x:c>
      <x:c r="J974" s="9" t="n">
        <x:v>0.1</x:v>
      </x:c>
      <x:c r="K974" s="7" t="n">
        <x:v>147080.04</x:v>
      </x:c>
      <x:c r="L974" s="7" t="n">
        <x:v>8299.85</x:v>
      </x:c>
      <x:c r="M974" s="3" t="str">
        <x:v>Debit Card</x:v>
      </x:c>
      <x:c r="N974" s="3" t="str">
        <x:f>TEXT(B974,"yyyy-mm")</x:f>
        <x:v>2024-10</x:v>
      </x:c>
      <x:c r="O974" s="3" t="str">
        <x:f>IF(J974=0,"No discount",IF(J974&lt;=0.1,"1-10%",IF(J974&lt;=0.15,"11-15%",IF(J974&lt;=0.2,"16-20%","21%+"))))</x:f>
        <x:v>1-10%</x:v>
      </x:c>
      <x:c r="P974" s="9" t="n">
        <x:f>IF(K974=0,0,L974/K974)</x:f>
        <x:v>0.05643083861005205</x:v>
      </x:c>
      <x:c r="Q974" s="3" t="str">
        <x:f>IF(L974&lt;0,"Yes","No")</x:f>
        <x:v>No</x:v>
      </x:c>
    </x:row>
    <x:row r="975" ht="21" customHeight="1">
      <x:c r="A975" s="3" t="str">
        <x:v>ORD-101254</x:v>
      </x:c>
      <x:c r="B975" s="5" t="n">
        <x:v>45566</x:v>
      </x:c>
      <x:c r="C975" s="3" t="str">
        <x:v>CUST-00537</x:v>
      </x:c>
      <x:c r="D975" s="3" t="str">
        <x:v>East</x:v>
      </x:c>
      <x:c r="E975" s="3" t="str">
        <x:v>Sports</x:v>
      </x:c>
      <x:c r="F975" s="3" t="str">
        <x:v>Fitness</x:v>
      </x:c>
      <x:c r="G975" s="3" t="str">
        <x:v>ProYoga Mat</x:v>
      </x:c>
      <x:c r="H975" s="3" t="n">
        <x:v>2</x:v>
      </x:c>
      <x:c r="I975" s="7" t="n">
        <x:v>1350.93</x:v>
      </x:c>
      <x:c r="J975" s="9" t="n">
        <x:v>0</x:v>
      </x:c>
      <x:c r="K975" s="7" t="n">
        <x:v>2701.86</x:v>
      </x:c>
      <x:c r="L975" s="7" t="n">
        <x:v>956.65</x:v>
      </x:c>
      <x:c r="M975" s="3" t="str">
        <x:v>Net Banking</x:v>
      </x:c>
      <x:c r="N975" s="3" t="str">
        <x:f>TEXT(B975,"yyyy-mm")</x:f>
        <x:v>2024-10</x:v>
      </x:c>
      <x:c r="O975" s="3" t="str">
        <x:f>IF(J975=0,"No discount",IF(J975&lt;=0.1,"1-10%",IF(J975&lt;=0.15,"11-15%",IF(J975&lt;=0.2,"16-20%","21%+"))))</x:f>
        <x:v>No discount</x:v>
      </x:c>
      <x:c r="P975" s="9" t="n">
        <x:f>IF(K975=0,0,L975/K975)</x:f>
        <x:v>0.35407089930640373</x:v>
      </x:c>
      <x:c r="Q975" s="3" t="str">
        <x:f>IF(L975&lt;0,"Yes","No")</x:f>
        <x:v>No</x:v>
      </x:c>
    </x:row>
    <x:row r="976" ht="21" customHeight="1">
      <x:c r="A976" s="3" t="str">
        <x:v>ORD-101652</x:v>
      </x:c>
      <x:c r="B976" s="5" t="n">
        <x:v>45566</x:v>
      </x:c>
      <x:c r="C976" s="3" t="str">
        <x:v>CUST-00580</x:v>
      </x:c>
      <x:c r="D976" s="3" t="str">
        <x:v>West</x:v>
      </x:c>
      <x:c r="E976" s="3" t="str">
        <x:v>Sports</x:v>
      </x:c>
      <x:c r="F976" s="3" t="str">
        <x:v>Fitness</x:v>
      </x:c>
      <x:c r="G976" s="3" t="str">
        <x:v>ProYoga Mat</x:v>
      </x:c>
      <x:c r="H976" s="3" t="n">
        <x:v>1</x:v>
      </x:c>
      <x:c r="I976" s="7" t="n">
        <x:v>1282.33</x:v>
      </x:c>
      <x:c r="J976" s="9" t="n">
        <x:v>0.05</x:v>
      </x:c>
      <x:c r="K976" s="7" t="n">
        <x:v>1218.21</x:v>
      </x:c>
      <x:c r="L976" s="7" t="n">
        <x:v>359.74</x:v>
      </x:c>
      <x:c r="M976" s="3" t="str">
        <x:v>UPI</x:v>
      </x:c>
      <x:c r="N976" s="3" t="str">
        <x:f>TEXT(B976,"yyyy-mm")</x:f>
        <x:v>2024-10</x:v>
      </x:c>
      <x:c r="O976" s="3" t="str">
        <x:f>IF(J976=0,"No discount",IF(J976&lt;=0.1,"1-10%",IF(J976&lt;=0.15,"11-15%",IF(J976&lt;=0.2,"16-20%","21%+"))))</x:f>
        <x:v>1-10%</x:v>
      </x:c>
      <x:c r="P976" s="9" t="n">
        <x:f>IF(K976=0,0,L976/K976)</x:f>
        <x:v>0.2953021236075882</x:v>
      </x:c>
      <x:c r="Q976" s="3" t="str">
        <x:f>IF(L976&lt;0,"Yes","No")</x:f>
        <x:v>No</x:v>
      </x:c>
    </x:row>
    <x:row r="977" ht="21" customHeight="1">
      <x:c r="A977" s="3" t="str">
        <x:v>ORD-100219</x:v>
      </x:c>
      <x:c r="B977" s="5" t="n">
        <x:v>45567</x:v>
      </x:c>
      <x:c r="C977" s="3" t="str">
        <x:v>CUST-00121</x:v>
      </x:c>
      <x:c r="D977" s="3" t="str">
        <x:v>North</x:v>
      </x:c>
      <x:c r="E977" s="3" t="str">
        <x:v>Electronics</x:v>
      </x:c>
      <x:c r="F977" s="3" t="str">
        <x:v>Mobile</x:v>
      </x:c>
      <x:c r="G977" s="3" t="str">
        <x:v>Pixel Aura 12</x:v>
      </x:c>
      <x:c r="H977" s="3" t="n">
        <x:v>4</x:v>
      </x:c>
      <x:c r="I977" s="7" t="n">
        <x:v>33932.83</x:v>
      </x:c>
      <x:c r="J977" s="9" t="n">
        <x:v>0.1</x:v>
      </x:c>
      <x:c r="K977" s="7" t="n">
        <x:v>122158.19</x:v>
      </x:c>
      <x:c r="L977" s="7" t="n">
        <x:v>10097.75</x:v>
      </x:c>
      <x:c r="M977" s="3" t="str">
        <x:v>UPI</x:v>
      </x:c>
      <x:c r="N977" s="3" t="str">
        <x:f>TEXT(B977,"yyyy-mm")</x:f>
        <x:v>2024-10</x:v>
      </x:c>
      <x:c r="O977" s="3" t="str">
        <x:f>IF(J977=0,"No discount",IF(J977&lt;=0.1,"1-10%",IF(J977&lt;=0.15,"11-15%",IF(J977&lt;=0.2,"16-20%","21%+"))))</x:f>
        <x:v>1-10%</x:v>
      </x:c>
      <x:c r="P977" s="9" t="n">
        <x:f>IF(K977=0,0,L977/K977)</x:f>
        <x:v>0.08266126077997718</x:v>
      </x:c>
      <x:c r="Q977" s="3" t="str">
        <x:f>IF(L977&lt;0,"Yes","No")</x:f>
        <x:v>No</x:v>
      </x:c>
    </x:row>
    <x:row r="978" ht="21" customHeight="1">
      <x:c r="A978" s="3" t="str">
        <x:v>ORD-100250</x:v>
      </x:c>
      <x:c r="B978" s="5" t="n">
        <x:v>45567</x:v>
      </x:c>
      <x:c r="C978" s="3" t="str">
        <x:v>CUST-00155</x:v>
      </x:c>
      <x:c r="D978" s="3" t="str">
        <x:v>South</x:v>
      </x:c>
      <x:c r="E978" s="3" t="str">
        <x:v>Sports</x:v>
      </x:c>
      <x:c r="F978" s="3" t="str">
        <x:v>Fitness</x:v>
      </x:c>
      <x:c r="G978" s="3" t="str">
        <x:v>Adjustable Dumbbell 24kg</x:v>
      </x:c>
      <x:c r="H978" s="3" t="n">
        <x:v>3</x:v>
      </x:c>
      <x:c r="I978" s="7" t="n">
        <x:v>9944.78</x:v>
      </x:c>
      <x:c r="J978" s="9" t="n">
        <x:v>0.05</x:v>
      </x:c>
      <x:c r="K978" s="7" t="n">
        <x:v>28342.62</x:v>
      </x:c>
      <x:c r="L978" s="7" t="n">
        <x:v>8603.79</x:v>
      </x:c>
      <x:c r="M978" s="3" t="str">
        <x:v>UPI</x:v>
      </x:c>
      <x:c r="N978" s="3" t="str">
        <x:f>TEXT(B978,"yyyy-mm")</x:f>
        <x:v>2024-10</x:v>
      </x:c>
      <x:c r="O978" s="3" t="str">
        <x:f>IF(J978=0,"No discount",IF(J978&lt;=0.1,"1-10%",IF(J978&lt;=0.15,"11-15%",IF(J978&lt;=0.2,"16-20%","21%+"))))</x:f>
        <x:v>1-10%</x:v>
      </x:c>
      <x:c r="P978" s="9" t="n">
        <x:f>IF(K978=0,0,L978/K978)</x:f>
        <x:v>0.3035636790106208</x:v>
      </x:c>
      <x:c r="Q978" s="3" t="str">
        <x:f>IF(L978&lt;0,"Yes","No")</x:f>
        <x:v>No</x:v>
      </x:c>
    </x:row>
    <x:row r="979" ht="21" customHeight="1">
      <x:c r="A979" s="3" t="str">
        <x:v>ORD-100541</x:v>
      </x:c>
      <x:c r="B979" s="5" t="n">
        <x:v>45567</x:v>
      </x:c>
      <x:c r="C979" s="3" t="str">
        <x:v>CUST-00006</x:v>
      </x:c>
      <x:c r="D979" s="3" t="str">
        <x:v>East</x:v>
      </x:c>
      <x:c r="E979" s="3" t="str">
        <x:v>Sports</x:v>
      </x:c>
      <x:c r="F979" s="3" t="str">
        <x:v>Outdoor</x:v>
      </x:c>
      <x:c r="G979" s="3" t="str">
        <x:v>TrailHike Backpack 60L</x:v>
      </x:c>
      <x:c r="H979" s="3" t="n">
        <x:v>3</x:v>
      </x:c>
      <x:c r="I979" s="7" t="n">
        <x:v>3352.41</x:v>
      </x:c>
      <x:c r="J979" s="9" t="n">
        <x:v>0</x:v>
      </x:c>
      <x:c r="K979" s="7" t="n">
        <x:v>10057.23</x:v>
      </x:c>
      <x:c r="L979" s="7" t="n">
        <x:v>4087.82</x:v>
      </x:c>
      <x:c r="M979" s="3" t="str">
        <x:v>Credit Card</x:v>
      </x:c>
      <x:c r="N979" s="3" t="str">
        <x:f>TEXT(B979,"yyyy-mm")</x:f>
        <x:v>2024-10</x:v>
      </x:c>
      <x:c r="O979" s="3" t="str">
        <x:f>IF(J979=0,"No discount",IF(J979&lt;=0.1,"1-10%",IF(J979&lt;=0.15,"11-15%",IF(J979&lt;=0.2,"16-20%","21%+"))))</x:f>
        <x:v>No discount</x:v>
      </x:c>
      <x:c r="P979" s="9" t="n">
        <x:f>IF(K979=0,0,L979/K979)</x:f>
        <x:v>0.4064558531524088</x:v>
      </x:c>
      <x:c r="Q979" s="3" t="str">
        <x:f>IF(L979&lt;0,"Yes","No")</x:f>
        <x:v>No</x:v>
      </x:c>
    </x:row>
    <x:row r="980" ht="21" customHeight="1">
      <x:c r="A980" s="3" t="str">
        <x:v>ORD-100836</x:v>
      </x:c>
      <x:c r="B980" s="5" t="n">
        <x:v>45567</x:v>
      </x:c>
      <x:c r="C980" s="3" t="str">
        <x:v>CUST-00590</x:v>
      </x:c>
      <x:c r="D980" s="3" t="str">
        <x:v>South</x:v>
      </x:c>
      <x:c r="E980" s="3" t="str">
        <x:v>Beauty</x:v>
      </x:c>
      <x:c r="F980" s="3" t="str">
        <x:v>Makeup</x:v>
      </x:c>
      <x:c r="G980" s="3" t="str">
        <x:v>Matte Lipstick Set</x:v>
      </x:c>
      <x:c r="H980" s="3" t="n">
        <x:v>3</x:v>
      </x:c>
      <x:c r="I980" s="7" t="n">
        <x:v>954.19</x:v>
      </x:c>
      <x:c r="J980" s="9" t="n">
        <x:v>0.1</x:v>
      </x:c>
      <x:c r="K980" s="7" t="n">
        <x:v>2576.31</x:v>
      </x:c>
      <x:c r="L980" s="7" t="n">
        <x:v>1114.99</x:v>
      </x:c>
      <x:c r="M980" s="3" t="str">
        <x:v>Credit Card</x:v>
      </x:c>
      <x:c r="N980" s="3" t="str">
        <x:f>TEXT(B980,"yyyy-mm")</x:f>
        <x:v>2024-10</x:v>
      </x:c>
      <x:c r="O980" s="3" t="str">
        <x:f>IF(J980=0,"No discount",IF(J980&lt;=0.1,"1-10%",IF(J980&lt;=0.15,"11-15%",IF(J980&lt;=0.2,"16-20%","21%+"))))</x:f>
        <x:v>1-10%</x:v>
      </x:c>
      <x:c r="P980" s="9" t="n">
        <x:f>IF(K980=0,0,L980/K980)</x:f>
        <x:v>0.4327856507951295</x:v>
      </x:c>
      <x:c r="Q980" s="3" t="str">
        <x:f>IF(L980&lt;0,"Yes","No")</x:f>
        <x:v>No</x:v>
      </x:c>
    </x:row>
    <x:row r="981" ht="21" customHeight="1">
      <x:c r="A981" s="3" t="str">
        <x:v>ORD-100941</x:v>
      </x:c>
      <x:c r="B981" s="5" t="n">
        <x:v>45567</x:v>
      </x:c>
      <x:c r="C981" s="3" t="str">
        <x:v>CUST-00270</x:v>
      </x:c>
      <x:c r="D981" s="3" t="str">
        <x:v>East</x:v>
      </x:c>
      <x:c r="E981" s="3" t="str">
        <x:v>Sports</x:v>
      </x:c>
      <x:c r="F981" s="3" t="str">
        <x:v>Fitness</x:v>
      </x:c>
      <x:c r="G981" s="3" t="str">
        <x:v>ProYoga Mat</x:v>
      </x:c>
      <x:c r="H981" s="3" t="n">
        <x:v>2</x:v>
      </x:c>
      <x:c r="I981" s="7" t="n">
        <x:v>1358.33</x:v>
      </x:c>
      <x:c r="J981" s="9" t="n">
        <x:v>0</x:v>
      </x:c>
      <x:c r="K981" s="7" t="n">
        <x:v>2716.66</x:v>
      </x:c>
      <x:c r="L981" s="7" t="n">
        <x:v>1136.9</x:v>
      </x:c>
      <x:c r="M981" s="3" t="str">
        <x:v>Debit Card</x:v>
      </x:c>
      <x:c r="N981" s="3" t="str">
        <x:f>TEXT(B981,"yyyy-mm")</x:f>
        <x:v>2024-10</x:v>
      </x:c>
      <x:c r="O981" s="3" t="str">
        <x:f>IF(J981=0,"No discount",IF(J981&lt;=0.1,"1-10%",IF(J981&lt;=0.15,"11-15%",IF(J981&lt;=0.2,"16-20%","21%+"))))</x:f>
        <x:v>No discount</x:v>
      </x:c>
      <x:c r="P981" s="9" t="n">
        <x:f>IF(K981=0,0,L981/K981)</x:f>
        <x:v>0.4184918245198148</x:v>
      </x:c>
      <x:c r="Q981" s="3" t="str">
        <x:f>IF(L981&lt;0,"Yes","No")</x:f>
        <x:v>No</x:v>
      </x:c>
    </x:row>
    <x:row r="982" ht="21" customHeight="1">
      <x:c r="A982" s="3" t="str">
        <x:v>ORD-101876</x:v>
      </x:c>
      <x:c r="B982" s="5" t="n">
        <x:v>45567</x:v>
      </x:c>
      <x:c r="C982" s="3" t="str">
        <x:v>CUST-00511</x:v>
      </x:c>
      <x:c r="D982" s="3" t="str">
        <x:v>East</x:v>
      </x:c>
      <x:c r="E982" s="3" t="str">
        <x:v>Electronics</x:v>
      </x:c>
      <x:c r="F982" s="3" t="str">
        <x:v>Audio</x:v>
      </x:c>
      <x:c r="G982" s="3" t="str">
        <x:v>BassBoom Speaker</x:v>
      </x:c>
      <x:c r="H982" s="3" t="n">
        <x:v>1</x:v>
      </x:c>
      <x:c r="I982" s="7" t="n">
        <x:v>9103.36</x:v>
      </x:c>
      <x:c r="J982" s="9" t="n">
        <x:v>0.15</x:v>
      </x:c>
      <x:c r="K982" s="7" t="n">
        <x:v>7737.86</x:v>
      </x:c>
      <x:c r="L982" s="7" t="n">
        <x:v>-151.98</x:v>
      </x:c>
      <x:c r="M982" s="3" t="str">
        <x:v>UPI</x:v>
      </x:c>
      <x:c r="N982" s="3" t="str">
        <x:f>TEXT(B982,"yyyy-mm")</x:f>
        <x:v>2024-10</x:v>
      </x:c>
      <x:c r="O982" s="3" t="str">
        <x:f>IF(J982=0,"No discount",IF(J982&lt;=0.1,"1-10%",IF(J982&lt;=0.15,"11-15%",IF(J982&lt;=0.2,"16-20%","21%+"))))</x:f>
        <x:v>11-15%</x:v>
      </x:c>
      <x:c r="P982" s="9" t="n">
        <x:f>IF(K982=0,0,L982/K982)</x:f>
        <x:v>-0.01964108939680997</x:v>
      </x:c>
      <x:c r="Q982" s="3" t="str">
        <x:f>IF(L982&lt;0,"Yes","No")</x:f>
        <x:v>Yes</x:v>
      </x:c>
    </x:row>
    <x:row r="983" ht="21" customHeight="1">
      <x:c r="A983" s="3" t="str">
        <x:v>ORD-101306</x:v>
      </x:c>
      <x:c r="B983" s="5" t="n">
        <x:v>45568</x:v>
      </x:c>
      <x:c r="C983" s="3" t="str">
        <x:v>CUST-00323</x:v>
      </x:c>
      <x:c r="D983" s="3" t="str">
        <x:v>East</x:v>
      </x:c>
      <x:c r="E983" s="3" t="str">
        <x:v>Sports</x:v>
      </x:c>
      <x:c r="F983" s="3" t="str">
        <x:v>Fitness</x:v>
      </x:c>
      <x:c r="G983" s="3" t="str">
        <x:v>Adjustable Dumbbell 24kg</x:v>
      </x:c>
      <x:c r="H983" s="3" t="n">
        <x:v>1</x:v>
      </x:c>
      <x:c r="I983" s="7" t="n">
        <x:v>9761.72</x:v>
      </x:c>
      <x:c r="J983" s="9" t="n">
        <x:v>0.15</x:v>
      </x:c>
      <x:c r="K983" s="7" t="n">
        <x:v>8297.46</x:v>
      </x:c>
      <x:c r="L983" s="7" t="n">
        <x:v>1546.45</x:v>
      </x:c>
      <x:c r="M983" s="3" t="str">
        <x:v>Credit Card</x:v>
      </x:c>
      <x:c r="N983" s="3" t="str">
        <x:f>TEXT(B983,"yyyy-mm")</x:f>
        <x:v>2024-10</x:v>
      </x:c>
      <x:c r="O983" s="3" t="str">
        <x:f>IF(J983=0,"No discount",IF(J983&lt;=0.1,"1-10%",IF(J983&lt;=0.15,"11-15%",IF(J983&lt;=0.2,"16-20%","21%+"))))</x:f>
        <x:v>11-15%</x:v>
      </x:c>
      <x:c r="P983" s="9" t="n">
        <x:f>IF(K983=0,0,L983/K983)</x:f>
        <x:v>0.1863763127511311</x:v>
      </x:c>
      <x:c r="Q983" s="3" t="str">
        <x:f>IF(L983&lt;0,"Yes","No")</x:f>
        <x:v>No</x:v>
      </x:c>
    </x:row>
    <x:row r="984" ht="21" customHeight="1">
      <x:c r="A984" s="3" t="str">
        <x:v>ORD-101316</x:v>
      </x:c>
      <x:c r="B984" s="5" t="n">
        <x:v>45568</x:v>
      </x:c>
      <x:c r="C984" s="3" t="str">
        <x:v>CUST-00434</x:v>
      </x:c>
      <x:c r="D984" s="3" t="str">
        <x:v>South</x:v>
      </x:c>
      <x:c r="E984" s="3" t="str">
        <x:v>Beauty</x:v>
      </x:c>
      <x:c r="F984" s="3" t="str">
        <x:v>Makeup</x:v>
      </x:c>
      <x:c r="G984" s="3" t="str">
        <x:v>Matte Lipstick Set</x:v>
      </x:c>
      <x:c r="H984" s="3" t="n">
        <x:v>2</x:v>
      </x:c>
      <x:c r="I984" s="7" t="n">
        <x:v>1042.37</x:v>
      </x:c>
      <x:c r="J984" s="9" t="n">
        <x:v>0.1</x:v>
      </x:c>
      <x:c r="K984" s="7" t="n">
        <x:v>1876.27</x:v>
      </x:c>
      <x:c r="L984" s="7" t="n">
        <x:v>817.81</x:v>
      </x:c>
      <x:c r="M984" s="3" t="str">
        <x:v>Debit Card</x:v>
      </x:c>
      <x:c r="N984" s="3" t="str">
        <x:f>TEXT(B984,"yyyy-mm")</x:f>
        <x:v>2024-10</x:v>
      </x:c>
      <x:c r="O984" s="3" t="str">
        <x:f>IF(J984=0,"No discount",IF(J984&lt;=0.1,"1-10%",IF(J984&lt;=0.15,"11-15%",IF(J984&lt;=0.2,"16-20%","21%+"))))</x:f>
        <x:v>1-10%</x:v>
      </x:c>
      <x:c r="P984" s="9" t="n">
        <x:f>IF(K984=0,0,L984/K984)</x:f>
        <x:v>0.4358701039829022</x:v>
      </x:c>
      <x:c r="Q984" s="3" t="str">
        <x:f>IF(L984&lt;0,"Yes","No")</x:f>
        <x:v>No</x:v>
      </x:c>
    </x:row>
    <x:row r="985" ht="21" customHeight="1">
      <x:c r="A985" s="3" t="str">
        <x:v>ORD-101903</x:v>
      </x:c>
      <x:c r="B985" s="5" t="n">
        <x:v>45568</x:v>
      </x:c>
      <x:c r="C985" s="3" t="str">
        <x:v>CUST-00405</x:v>
      </x:c>
      <x:c r="D985" s="3" t="str">
        <x:v>West</x:v>
      </x:c>
      <x:c r="E985" s="3" t="str">
        <x:v>Sports</x:v>
      </x:c>
      <x:c r="F985" s="3" t="str">
        <x:v>Fitness</x:v>
      </x:c>
      <x:c r="G985" s="3" t="str">
        <x:v>ProYoga Mat</x:v>
      </x:c>
      <x:c r="H985" s="3" t="n">
        <x:v>1</x:v>
      </x:c>
      <x:c r="I985" s="7" t="n">
        <x:v>1348.47</x:v>
      </x:c>
      <x:c r="J985" s="9" t="n">
        <x:v>0.1</x:v>
      </x:c>
      <x:c r="K985" s="7" t="n">
        <x:v>1213.62</x:v>
      </x:c>
      <x:c r="L985" s="7" t="n">
        <x:v>340.39</x:v>
      </x:c>
      <x:c r="M985" s="3" t="str">
        <x:v>Credit Card</x:v>
      </x:c>
      <x:c r="N985" s="3" t="str">
        <x:f>TEXT(B985,"yyyy-mm")</x:f>
        <x:v>2024-10</x:v>
      </x:c>
      <x:c r="O985" s="3" t="str">
        <x:f>IF(J985=0,"No discount",IF(J985&lt;=0.1,"1-10%",IF(J985&lt;=0.15,"11-15%",IF(J985&lt;=0.2,"16-20%","21%+"))))</x:f>
        <x:v>1-10%</x:v>
      </x:c>
      <x:c r="P985" s="9" t="n">
        <x:f>IF(K985=0,0,L985/K985)</x:f>
        <x:v>0.28047494273331025</x:v>
      </x:c>
      <x:c r="Q985" s="3" t="str">
        <x:f>IF(L985&lt;0,"Yes","No")</x:f>
        <x:v>No</x:v>
      </x:c>
    </x:row>
    <x:row r="986" ht="21" customHeight="1">
      <x:c r="A986" s="3" t="str">
        <x:v>ORD-100177</x:v>
      </x:c>
      <x:c r="B986" s="5" t="n">
        <x:v>45569</x:v>
      </x:c>
      <x:c r="C986" s="3" t="str">
        <x:v>CUST-00077</x:v>
      </x:c>
      <x:c r="D986" s="3" t="str">
        <x:v>East</x:v>
      </x:c>
      <x:c r="E986" s="3" t="str">
        <x:v>Home &amp; Kitchen</x:v>
      </x:c>
      <x:c r="F986" s="3" t="str">
        <x:v>Appliances</x:v>
      </x:c>
      <x:c r="G986" s="3" t="str">
        <x:v>AirFryer Deluxe</x:v>
      </x:c>
      <x:c r="H986" s="3" t="n">
        <x:v>4</x:v>
      </x:c>
      <x:c r="I986" s="7" t="n">
        <x:v>7782.84</x:v>
      </x:c>
      <x:c r="J986" s="9" t="n">
        <x:v>0.25</x:v>
      </x:c>
      <x:c r="K986" s="7" t="n">
        <x:v>23348.52</x:v>
      </x:c>
      <x:c r="L986" s="7" t="n">
        <x:v>1741.84</x:v>
      </x:c>
      <x:c r="M986" s="3" t="str">
        <x:v>Credit Card</x:v>
      </x:c>
      <x:c r="N986" s="3" t="str">
        <x:f>TEXT(B986,"yyyy-mm")</x:f>
        <x:v>2024-10</x:v>
      </x:c>
      <x:c r="O986" s="3" t="str">
        <x:f>IF(J986=0,"No discount",IF(J986&lt;=0.1,"1-10%",IF(J986&lt;=0.15,"11-15%",IF(J986&lt;=0.2,"16-20%","21%+"))))</x:f>
        <x:v>21%+</x:v>
      </x:c>
      <x:c r="P986" s="9" t="n">
        <x:f>IF(K986=0,0,L986/K986)</x:f>
        <x:v>0.07460173064502588</x:v>
      </x:c>
      <x:c r="Q986" s="3" t="str">
        <x:f>IF(L986&lt;0,"Yes","No")</x:f>
        <x:v>No</x:v>
      </x:c>
    </x:row>
    <x:row r="987" ht="21" customHeight="1">
      <x:c r="A987" s="3" t="str">
        <x:v>ORD-100387</x:v>
      </x:c>
      <x:c r="B987" s="5" t="n">
        <x:v>45569</x:v>
      </x:c>
      <x:c r="C987" s="3" t="str">
        <x:v>CUST-00369</x:v>
      </x:c>
      <x:c r="D987" s="3" t="str">
        <x:v>North</x:v>
      </x:c>
      <x:c r="E987" s="3" t="str">
        <x:v>Electronics</x:v>
      </x:c>
      <x:c r="F987" s="3" t="str">
        <x:v>Laptop</x:v>
      </x:c>
      <x:c r="G987" s="3" t="str">
        <x:v>ThinkPro 14</x:v>
      </x:c>
      <x:c r="H987" s="3" t="n">
        <x:v>3</x:v>
      </x:c>
      <x:c r="I987" s="7" t="n">
        <x:v>52541.01</x:v>
      </x:c>
      <x:c r="J987" s="9" t="n">
        <x:v>0.1</x:v>
      </x:c>
      <x:c r="K987" s="7" t="n">
        <x:v>141860.73</x:v>
      </x:c>
      <x:c r="L987" s="7" t="n">
        <x:v>10977.27</x:v>
      </x:c>
      <x:c r="M987" s="3" t="str">
        <x:v>UPI</x:v>
      </x:c>
      <x:c r="N987" s="3" t="str">
        <x:f>TEXT(B987,"yyyy-mm")</x:f>
        <x:v>2024-10</x:v>
      </x:c>
      <x:c r="O987" s="3" t="str">
        <x:f>IF(J987=0,"No discount",IF(J987&lt;=0.1,"1-10%",IF(J987&lt;=0.15,"11-15%",IF(J987&lt;=0.2,"16-20%","21%+"))))</x:f>
        <x:v>1-10%</x:v>
      </x:c>
      <x:c r="P987" s="9" t="n">
        <x:f>IF(K987=0,0,L987/K987)</x:f>
        <x:v>0.07738061125161276</x:v>
      </x:c>
      <x:c r="Q987" s="3" t="str">
        <x:f>IF(L987&lt;0,"Yes","No")</x:f>
        <x:v>No</x:v>
      </x:c>
    </x:row>
    <x:row r="988" ht="21" customHeight="1">
      <x:c r="A988" s="3" t="str">
        <x:v>ORD-100792</x:v>
      </x:c>
      <x:c r="B988" s="5" t="n">
        <x:v>45569</x:v>
      </x:c>
      <x:c r="C988" s="3" t="str">
        <x:v>CUST-00202</x:v>
      </x:c>
      <x:c r="D988" s="3" t="str">
        <x:v>South</x:v>
      </x:c>
      <x:c r="E988" s="3" t="str">
        <x:v>Home &amp; Kitchen</x:v>
      </x:c>
      <x:c r="F988" s="3" t="str">
        <x:v>Appliances</x:v>
      </x:c>
      <x:c r="G988" s="3" t="str">
        <x:v>AirFryer Deluxe</x:v>
      </x:c>
      <x:c r="H988" s="3" t="n">
        <x:v>1</x:v>
      </x:c>
      <x:c r="I988" s="7" t="n">
        <x:v>8301.94</x:v>
      </x:c>
      <x:c r="J988" s="9" t="n">
        <x:v>0</x:v>
      </x:c>
      <x:c r="K988" s="7" t="n">
        <x:v>8301.94</x:v>
      </x:c>
      <x:c r="L988" s="7" t="n">
        <x:v>2929.1</x:v>
      </x:c>
      <x:c r="M988" s="3" t="str">
        <x:v>Cash on Delivery</x:v>
      </x:c>
      <x:c r="N988" s="3" t="str">
        <x:f>TEXT(B988,"yyyy-mm")</x:f>
        <x:v>2024-10</x:v>
      </x:c>
      <x:c r="O988" s="3" t="str">
        <x:f>IF(J988=0,"No discount",IF(J988&lt;=0.1,"1-10%",IF(J988&lt;=0.15,"11-15%",IF(J988&lt;=0.2,"16-20%","21%+"))))</x:f>
        <x:v>No discount</x:v>
      </x:c>
      <x:c r="P988" s="9" t="n">
        <x:f>IF(K988=0,0,L988/K988)</x:f>
        <x:v>0.352821147828098</x:v>
      </x:c>
      <x:c r="Q988" s="3" t="str">
        <x:f>IF(L988&lt;0,"Yes","No")</x:f>
        <x:v>No</x:v>
      </x:c>
    </x:row>
    <x:row r="989" ht="21" customHeight="1">
      <x:c r="A989" s="3" t="str">
        <x:v>ORD-100816</x:v>
      </x:c>
      <x:c r="B989" s="5" t="n">
        <x:v>45569</x:v>
      </x:c>
      <x:c r="C989" s="3" t="str">
        <x:v>CUST-00107</x:v>
      </x:c>
      <x:c r="D989" s="3" t="str">
        <x:v>East</x:v>
      </x:c>
      <x:c r="E989" s="3" t="str">
        <x:v>Electronics</x:v>
      </x:c>
      <x:c r="F989" s="3" t="str">
        <x:v>Mobile</x:v>
      </x:c>
      <x:c r="G989" s="3" t="str">
        <x:v>Pixel Aura 12</x:v>
      </x:c>
      <x:c r="H989" s="3" t="n">
        <x:v>1</x:v>
      </x:c>
      <x:c r="I989" s="7" t="n">
        <x:v>34333.23</x:v>
      </x:c>
      <x:c r="J989" s="9" t="n">
        <x:v>0.25</x:v>
      </x:c>
      <x:c r="K989" s="7" t="n">
        <x:v>25749.92</x:v>
      </x:c>
      <x:c r="L989" s="7" t="n">
        <x:v>-2349.75</x:v>
      </x:c>
      <x:c r="M989" s="3" t="str">
        <x:v>UPI</x:v>
      </x:c>
      <x:c r="N989" s="3" t="str">
        <x:f>TEXT(B989,"yyyy-mm")</x:f>
        <x:v>2024-10</x:v>
      </x:c>
      <x:c r="O989" s="3" t="str">
        <x:f>IF(J989=0,"No discount",IF(J989&lt;=0.1,"1-10%",IF(J989&lt;=0.15,"11-15%",IF(J989&lt;=0.2,"16-20%","21%+"))))</x:f>
        <x:v>21%+</x:v>
      </x:c>
      <x:c r="P989" s="9" t="n">
        <x:f>IF(K989=0,0,L989/K989)</x:f>
        <x:v>-0.09125271068803321</x:v>
      </x:c>
      <x:c r="Q989" s="3" t="str">
        <x:f>IF(L989&lt;0,"Yes","No")</x:f>
        <x:v>Yes</x:v>
      </x:c>
    </x:row>
    <x:row r="990" ht="21" customHeight="1">
      <x:c r="A990" s="3" t="str">
        <x:v>ORD-100932</x:v>
      </x:c>
      <x:c r="B990" s="5" t="n">
        <x:v>45569</x:v>
      </x:c>
      <x:c r="C990" s="3" t="str">
        <x:v>CUST-00548</x:v>
      </x:c>
      <x:c r="D990" s="3" t="str">
        <x:v>West</x:v>
      </x:c>
      <x:c r="E990" s="3" t="str">
        <x:v>Beauty</x:v>
      </x:c>
      <x:c r="F990" s="3" t="str">
        <x:v>Skincare</x:v>
      </x:c>
      <x:c r="G990" s="3" t="str">
        <x:v>Vitamin C Serum</x:v>
      </x:c>
      <x:c r="H990" s="3" t="n">
        <x:v>2</x:v>
      </x:c>
      <x:c r="I990" s="7" t="n">
        <x:v>857</x:v>
      </x:c>
      <x:c r="J990" s="9" t="n">
        <x:v>0.05</x:v>
      </x:c>
      <x:c r="K990" s="7" t="n">
        <x:v>1628.3</x:v>
      </x:c>
      <x:c r="L990" s="7" t="n">
        <x:v>818.4</x:v>
      </x:c>
      <x:c r="M990" s="3" t="str">
        <x:v>Credit Card</x:v>
      </x:c>
      <x:c r="N990" s="3" t="str">
        <x:f>TEXT(B990,"yyyy-mm")</x:f>
        <x:v>2024-10</x:v>
      </x:c>
      <x:c r="O990" s="3" t="str">
        <x:f>IF(J990=0,"No discount",IF(J990&lt;=0.1,"1-10%",IF(J990&lt;=0.15,"11-15%",IF(J990&lt;=0.2,"16-20%","21%+"))))</x:f>
        <x:v>1-10%</x:v>
      </x:c>
      <x:c r="P990" s="9" t="n">
        <x:f>IF(K990=0,0,L990/K990)</x:f>
        <x:v>0.5026100841368298</x:v>
      </x:c>
      <x:c r="Q990" s="3" t="str">
        <x:f>IF(L990&lt;0,"Yes","No")</x:f>
        <x:v>No</x:v>
      </x:c>
    </x:row>
    <x:row r="991" ht="21" customHeight="1">
      <x:c r="A991" s="3" t="str">
        <x:v>ORD-101560</x:v>
      </x:c>
      <x:c r="B991" s="5" t="n">
        <x:v>45569</x:v>
      </x:c>
      <x:c r="C991" s="3" t="str">
        <x:v>CUST-00036</x:v>
      </x:c>
      <x:c r="D991" s="3" t="str">
        <x:v>East</x:v>
      </x:c>
      <x:c r="E991" s="3" t="str">
        <x:v>Electronics</x:v>
      </x:c>
      <x:c r="F991" s="3" t="str">
        <x:v>Audio</x:v>
      </x:c>
      <x:c r="G991" s="3" t="str">
        <x:v>BassBoom Speaker</x:v>
      </x:c>
      <x:c r="H991" s="3" t="n">
        <x:v>3</x:v>
      </x:c>
      <x:c r="I991" s="7" t="n">
        <x:v>9435.56</x:v>
      </x:c>
      <x:c r="J991" s="9" t="n">
        <x:v>0.3</x:v>
      </x:c>
      <x:c r="K991" s="7" t="n">
        <x:v>19814.68</x:v>
      </x:c>
      <x:c r="L991" s="7" t="n">
        <x:v>-2811.57</x:v>
      </x:c>
      <x:c r="M991" s="3" t="str">
        <x:v>Debit Card</x:v>
      </x:c>
      <x:c r="N991" s="3" t="str">
        <x:f>TEXT(B991,"yyyy-mm")</x:f>
        <x:v>2024-10</x:v>
      </x:c>
      <x:c r="O991" s="3" t="str">
        <x:f>IF(J991=0,"No discount",IF(J991&lt;=0.1,"1-10%",IF(J991&lt;=0.15,"11-15%",IF(J991&lt;=0.2,"16-20%","21%+"))))</x:f>
        <x:v>21%+</x:v>
      </x:c>
      <x:c r="P991" s="9" t="n">
        <x:f>IF(K991=0,0,L991/K991)</x:f>
        <x:v>-0.14189328316177705</x:v>
      </x:c>
      <x:c r="Q991" s="3" t="str">
        <x:f>IF(L991&lt;0,"Yes","No")</x:f>
        <x:v>Yes</x:v>
      </x:c>
    </x:row>
    <x:row r="992" ht="21" customHeight="1">
      <x:c r="A992" s="3" t="str">
        <x:v>ORD-101656</x:v>
      </x:c>
      <x:c r="B992" s="5" t="n">
        <x:v>45569</x:v>
      </x:c>
      <x:c r="C992" s="3" t="str">
        <x:v>CUST-00143</x:v>
      </x:c>
      <x:c r="D992" s="3" t="str">
        <x:v>South</x:v>
      </x:c>
      <x:c r="E992" s="3" t="str">
        <x:v>Electronics</x:v>
      </x:c>
      <x:c r="F992" s="3" t="str">
        <x:v>Mobile</x:v>
      </x:c>
      <x:c r="G992" s="3" t="str">
        <x:v>Galaxy Nova X5</x:v>
      </x:c>
      <x:c r="H992" s="3" t="n">
        <x:v>2</x:v>
      </x:c>
      <x:c r="I992" s="7" t="n">
        <x:v>25476.69</x:v>
      </x:c>
      <x:c r="J992" s="9" t="n">
        <x:v>0</x:v>
      </x:c>
      <x:c r="K992" s="7" t="n">
        <x:v>50953.38</x:v>
      </x:c>
      <x:c r="L992" s="7" t="n">
        <x:v>10639.31</x:v>
      </x:c>
      <x:c r="M992" s="3" t="str">
        <x:v>UPI</x:v>
      </x:c>
      <x:c r="N992" s="3" t="str">
        <x:f>TEXT(B992,"yyyy-mm")</x:f>
        <x:v>2024-10</x:v>
      </x:c>
      <x:c r="O992" s="3" t="str">
        <x:f>IF(J992=0,"No discount",IF(J992&lt;=0.1,"1-10%",IF(J992&lt;=0.15,"11-15%",IF(J992&lt;=0.2,"16-20%","21%+"))))</x:f>
        <x:v>No discount</x:v>
      </x:c>
      <x:c r="P992" s="9" t="n">
        <x:f>IF(K992=0,0,L992/K992)</x:f>
        <x:v>0.20880479371535313</x:v>
      </x:c>
      <x:c r="Q992" s="3" t="str">
        <x:f>IF(L992&lt;0,"Yes","No")</x:f>
        <x:v>No</x:v>
      </x:c>
    </x:row>
    <x:row r="993" ht="21" customHeight="1">
      <x:c r="A993" s="3" t="str">
        <x:v>ORD-100147</x:v>
      </x:c>
      <x:c r="B993" s="5" t="n">
        <x:v>45570</x:v>
      </x:c>
      <x:c r="C993" s="3" t="str">
        <x:v>CUST-00246</x:v>
      </x:c>
      <x:c r="D993" s="3" t="str">
        <x:v>North</x:v>
      </x:c>
      <x:c r="E993" s="3" t="str">
        <x:v>Electronics</x:v>
      </x:c>
      <x:c r="F993" s="3" t="str">
        <x:v>Laptop</x:v>
      </x:c>
      <x:c r="G993" s="3" t="str">
        <x:v>AirBook Slim</x:v>
      </x:c>
      <x:c r="H993" s="3" t="n">
        <x:v>2</x:v>
      </x:c>
      <x:c r="I993" s="7" t="n">
        <x:v>76739.52</x:v>
      </x:c>
      <x:c r="J993" s="9" t="n">
        <x:v>0.15</x:v>
      </x:c>
      <x:c r="K993" s="7" t="n">
        <x:v>130457.18</x:v>
      </x:c>
      <x:c r="L993" s="7" t="n">
        <x:v>4401.12</x:v>
      </x:c>
      <x:c r="M993" s="3" t="str">
        <x:v>Credit Card</x:v>
      </x:c>
      <x:c r="N993" s="3" t="str">
        <x:f>TEXT(B993,"yyyy-mm")</x:f>
        <x:v>2024-10</x:v>
      </x:c>
      <x:c r="O993" s="3" t="str">
        <x:f>IF(J993=0,"No discount",IF(J993&lt;=0.1,"1-10%",IF(J993&lt;=0.15,"11-15%",IF(J993&lt;=0.2,"16-20%","21%+"))))</x:f>
        <x:v>11-15%</x:v>
      </x:c>
      <x:c r="P993" s="9" t="n">
        <x:f>IF(K993=0,0,L993/K993)</x:f>
        <x:v>0.03373612705716926</x:v>
      </x:c>
      <x:c r="Q993" s="3" t="str">
        <x:f>IF(L993&lt;0,"Yes","No")</x:f>
        <x:v>No</x:v>
      </x:c>
    </x:row>
    <x:row r="994" ht="21" customHeight="1">
      <x:c r="A994" s="3" t="str">
        <x:v>ORD-100352</x:v>
      </x:c>
      <x:c r="B994" s="5" t="n">
        <x:v>45570</x:v>
      </x:c>
      <x:c r="C994" s="3" t="str">
        <x:v>CUST-00139</x:v>
      </x:c>
      <x:c r="D994" s="3" t="str">
        <x:v>South</x:v>
      </x:c>
      <x:c r="E994" s="3" t="str">
        <x:v>Fashion</x:v>
      </x:c>
      <x:c r="F994" s="3" t="str">
        <x:v>Footwear</x:v>
      </x:c>
      <x:c r="G994" s="3" t="str">
        <x:v>RunFlex Sneakers</x:v>
      </x:c>
      <x:c r="H994" s="3" t="n">
        <x:v>1</x:v>
      </x:c>
      <x:c r="I994" s="7" t="n">
        <x:v>3107.07</x:v>
      </x:c>
      <x:c r="J994" s="9" t="n">
        <x:v>0.1</x:v>
      </x:c>
      <x:c r="K994" s="7" t="n">
        <x:v>2796.36</x:v>
      </x:c>
      <x:c r="L994" s="7" t="n">
        <x:v>813.79</x:v>
      </x:c>
      <x:c r="M994" s="3" t="str">
        <x:v>Cash on Delivery</x:v>
      </x:c>
      <x:c r="N994" s="3" t="str">
        <x:f>TEXT(B994,"yyyy-mm")</x:f>
        <x:v>2024-10</x:v>
      </x:c>
      <x:c r="O994" s="3" t="str">
        <x:f>IF(J994=0,"No discount",IF(J994&lt;=0.1,"1-10%",IF(J994&lt;=0.15,"11-15%",IF(J994&lt;=0.2,"16-20%","21%+"))))</x:f>
        <x:v>1-10%</x:v>
      </x:c>
      <x:c r="P994" s="9" t="n">
        <x:f>IF(K994=0,0,L994/K994)</x:f>
        <x:v>0.2910176086054728</x:v>
      </x:c>
      <x:c r="Q994" s="3" t="str">
        <x:f>IF(L994&lt;0,"Yes","No")</x:f>
        <x:v>No</x:v>
      </x:c>
    </x:row>
    <x:row r="995" ht="21" customHeight="1">
      <x:c r="A995" s="3" t="str">
        <x:v>ORD-100357</x:v>
      </x:c>
      <x:c r="B995" s="5" t="n">
        <x:v>45570</x:v>
      </x:c>
      <x:c r="C995" s="3" t="str">
        <x:v>CUST-00504</x:v>
      </x:c>
      <x:c r="D995" s="3" t="str">
        <x:v>East</x:v>
      </x:c>
      <x:c r="E995" s="3" t="str">
        <x:v>Home &amp; Kitchen</x:v>
      </x:c>
      <x:c r="F995" s="3" t="str">
        <x:v>Appliances</x:v>
      </x:c>
      <x:c r="G995" s="3" t="str">
        <x:v>ColdBrew Coffee Maker</x:v>
      </x:c>
      <x:c r="H995" s="3" t="n">
        <x:v>1</x:v>
      </x:c>
      <x:c r="I995" s="7" t="n">
        <x:v>6292.6</x:v>
      </x:c>
      <x:c r="J995" s="9" t="n">
        <x:v>0.2</x:v>
      </x:c>
      <x:c r="K995" s="7" t="n">
        <x:v>5034.08</x:v>
      </x:c>
      <x:c r="L995" s="7" t="n">
        <x:v>418.67</x:v>
      </x:c>
      <x:c r="M995" s="3" t="str">
        <x:v>Credit Card</x:v>
      </x:c>
      <x:c r="N995" s="3" t="str">
        <x:f>TEXT(B995,"yyyy-mm")</x:f>
        <x:v>2024-10</x:v>
      </x:c>
      <x:c r="O995" s="3" t="str">
        <x:f>IF(J995=0,"No discount",IF(J995&lt;=0.1,"1-10%",IF(J995&lt;=0.15,"11-15%",IF(J995&lt;=0.2,"16-20%","21%+"))))</x:f>
        <x:v>16-20%</x:v>
      </x:c>
      <x:c r="P995" s="9" t="n">
        <x:f>IF(K995=0,0,L995/K995)</x:f>
        <x:v>0.08316713282268061</x:v>
      </x:c>
      <x:c r="Q995" s="3" t="str">
        <x:f>IF(L995&lt;0,"Yes","No")</x:f>
        <x:v>No</x:v>
      </x:c>
    </x:row>
    <x:row r="996" ht="21" customHeight="1">
      <x:c r="A996" s="3" t="str">
        <x:v>ORD-100414</x:v>
      </x:c>
      <x:c r="B996" s="5" t="n">
        <x:v>45570</x:v>
      </x:c>
      <x:c r="C996" s="3" t="str">
        <x:v>CUST-00509</x:v>
      </x:c>
      <x:c r="D996" s="3" t="str">
        <x:v>West</x:v>
      </x:c>
      <x:c r="E996" s="3" t="str">
        <x:v>Beauty</x:v>
      </x:c>
      <x:c r="F996" s="3" t="str">
        <x:v>Skincare</x:v>
      </x:c>
      <x:c r="G996" s="3" t="str">
        <x:v>HydraBoost Moisturizer</x:v>
      </x:c>
      <x:c r="H996" s="3" t="n">
        <x:v>1</x:v>
      </x:c>
      <x:c r="I996" s="7" t="n">
        <x:v>1232.85</x:v>
      </x:c>
      <x:c r="J996" s="9" t="n">
        <x:v>0</x:v>
      </x:c>
      <x:c r="K996" s="7" t="n">
        <x:v>1232.85</x:v>
      </x:c>
      <x:c r="L996" s="7" t="n">
        <x:v>659.16</x:v>
      </x:c>
      <x:c r="M996" s="3" t="str">
        <x:v>Debit Card</x:v>
      </x:c>
      <x:c r="N996" s="3" t="str">
        <x:f>TEXT(B996,"yyyy-mm")</x:f>
        <x:v>2024-10</x:v>
      </x:c>
      <x:c r="O996" s="3" t="str">
        <x:f>IF(J996=0,"No discount",IF(J996&lt;=0.1,"1-10%",IF(J996&lt;=0.15,"11-15%",IF(J996&lt;=0.2,"16-20%","21%+"))))</x:f>
        <x:v>No discount</x:v>
      </x:c>
      <x:c r="P996" s="9" t="n">
        <x:f>IF(K996=0,0,L996/K996)</x:f>
        <x:v>0.5346635843776615</x:v>
      </x:c>
      <x:c r="Q996" s="3" t="str">
        <x:f>IF(L996&lt;0,"Yes","No")</x:f>
        <x:v>No</x:v>
      </x:c>
    </x:row>
    <x:row r="997" ht="21" customHeight="1">
      <x:c r="A997" s="3" t="str">
        <x:v>ORD-101734</x:v>
      </x:c>
      <x:c r="B997" s="5" t="n">
        <x:v>45570</x:v>
      </x:c>
      <x:c r="C997" s="3" t="str">
        <x:v>CUST-00498</x:v>
      </x:c>
      <x:c r="D997" s="3" t="str">
        <x:v>East</x:v>
      </x:c>
      <x:c r="E997" s="3" t="str">
        <x:v>Fashion</x:v>
      </x:c>
      <x:c r="F997" s="3" t="str">
        <x:v>Men</x:v>
      </x:c>
      <x:c r="G997" s="3" t="str">
        <x:v>Oxford Casual Shirt</x:v>
      </x:c>
      <x:c r="H997" s="3" t="n">
        <x:v>2</x:v>
      </x:c>
      <x:c r="I997" s="7" t="n">
        <x:v>1330.94</x:v>
      </x:c>
      <x:c r="J997" s="9" t="n">
        <x:v>0</x:v>
      </x:c>
      <x:c r="K997" s="7" t="n">
        <x:v>2661.88</x:v>
      </x:c>
      <x:c r="L997" s="7" t="n">
        <x:v>1186.75</x:v>
      </x:c>
      <x:c r="M997" s="3" t="str">
        <x:v>Debit Card</x:v>
      </x:c>
      <x:c r="N997" s="3" t="str">
        <x:f>TEXT(B997,"yyyy-mm")</x:f>
        <x:v>2024-10</x:v>
      </x:c>
      <x:c r="O997" s="3" t="str">
        <x:f>IF(J997=0,"No discount",IF(J997&lt;=0.1,"1-10%",IF(J997&lt;=0.15,"11-15%",IF(J997&lt;=0.2,"16-20%","21%+"))))</x:f>
        <x:v>No discount</x:v>
      </x:c>
      <x:c r="P997" s="9" t="n">
        <x:f>IF(K997=0,0,L997/K997)</x:f>
        <x:v>0.4458315175740454</x:v>
      </x:c>
      <x:c r="Q997" s="3" t="str">
        <x:f>IF(L997&lt;0,"Yes","No")</x:f>
        <x:v>No</x:v>
      </x:c>
    </x:row>
    <x:row r="998" ht="21" customHeight="1">
      <x:c r="A998" s="3" t="str">
        <x:v>ORD-100504</x:v>
      </x:c>
      <x:c r="B998" s="5" t="n">
        <x:v>45571</x:v>
      </x:c>
      <x:c r="C998" s="3" t="str">
        <x:v>CUST-00410</x:v>
      </x:c>
      <x:c r="D998" s="3" t="str">
        <x:v>East</x:v>
      </x:c>
      <x:c r="E998" s="3" t="str">
        <x:v>Home &amp; Kitchen</x:v>
      </x:c>
      <x:c r="F998" s="3" t="str">
        <x:v>Furniture</x:v>
      </x:c>
      <x:c r="G998" s="3" t="str">
        <x:v>ErgoComfort Chair</x:v>
      </x:c>
      <x:c r="H998" s="3" t="n">
        <x:v>1</x:v>
      </x:c>
      <x:c r="I998" s="7" t="n">
        <x:v>9201.66</x:v>
      </x:c>
      <x:c r="J998" s="9" t="n">
        <x:v>0.2</x:v>
      </x:c>
      <x:c r="K998" s="7" t="n">
        <x:v>7361.33</x:v>
      </x:c>
      <x:c r="L998" s="7" t="n">
        <x:v>605.7</x:v>
      </x:c>
      <x:c r="M998" s="3" t="str">
        <x:v>Credit Card</x:v>
      </x:c>
      <x:c r="N998" s="3" t="str">
        <x:f>TEXT(B998,"yyyy-mm")</x:f>
        <x:v>2024-10</x:v>
      </x:c>
      <x:c r="O998" s="3" t="str">
        <x:f>IF(J998=0,"No discount",IF(J998&lt;=0.1,"1-10%",IF(J998&lt;=0.15,"11-15%",IF(J998&lt;=0.2,"16-20%","21%+"))))</x:f>
        <x:v>16-20%</x:v>
      </x:c>
      <x:c r="P998" s="9" t="n">
        <x:f>IF(K998=0,0,L998/K998)</x:f>
        <x:v>0.0822813268797894</x:v>
      </x:c>
      <x:c r="Q998" s="3" t="str">
        <x:f>IF(L998&lt;0,"Yes","No")</x:f>
        <x:v>No</x:v>
      </x:c>
    </x:row>
    <x:row r="999" ht="21" customHeight="1">
      <x:c r="A999" s="3" t="str">
        <x:v>ORD-100539</x:v>
      </x:c>
      <x:c r="B999" s="5" t="n">
        <x:v>45571</x:v>
      </x:c>
      <x:c r="C999" s="3" t="str">
        <x:v>CUST-00600</x:v>
      </x:c>
      <x:c r="D999" s="3" t="str">
        <x:v>North</x:v>
      </x:c>
      <x:c r="E999" s="3" t="str">
        <x:v>Sports</x:v>
      </x:c>
      <x:c r="F999" s="3" t="str">
        <x:v>Outdoor</x:v>
      </x:c>
      <x:c r="G999" s="3" t="str">
        <x:v>AllWeather Tent 4P</x:v>
      </x:c>
      <x:c r="H999" s="3" t="n">
        <x:v>1</x:v>
      </x:c>
      <x:c r="I999" s="7" t="n">
        <x:v>11576.7</x:v>
      </x:c>
      <x:c r="J999" s="9" t="n">
        <x:v>0.15</x:v>
      </x:c>
      <x:c r="K999" s="7" t="n">
        <x:v>9840.19</x:v>
      </x:c>
      <x:c r="L999" s="7" t="n">
        <x:v>1923.45</x:v>
      </x:c>
      <x:c r="M999" s="3" t="str">
        <x:v>UPI</x:v>
      </x:c>
      <x:c r="N999" s="3" t="str">
        <x:f>TEXT(B999,"yyyy-mm")</x:f>
        <x:v>2024-10</x:v>
      </x:c>
      <x:c r="O999" s="3" t="str">
        <x:f>IF(J999=0,"No discount",IF(J999&lt;=0.1,"1-10%",IF(J999&lt;=0.15,"11-15%",IF(J999&lt;=0.2,"16-20%","21%+"))))</x:f>
        <x:v>11-15%</x:v>
      </x:c>
      <x:c r="P999" s="9" t="n">
        <x:f>IF(K999=0,0,L999/K999)</x:f>
        <x:v>0.19546878667993198</x:v>
      </x:c>
      <x:c r="Q999" s="3" t="str">
        <x:f>IF(L999&lt;0,"Yes","No")</x:f>
        <x:v>No</x:v>
      </x:c>
    </x:row>
    <x:row r="1000" ht="21" customHeight="1">
      <x:c r="A1000" s="3" t="str">
        <x:v>ORD-101011</x:v>
      </x:c>
      <x:c r="B1000" s="5" t="n">
        <x:v>45571</x:v>
      </x:c>
      <x:c r="C1000" s="3" t="str">
        <x:v>CUST-00011</x:v>
      </x:c>
      <x:c r="D1000" s="3" t="str">
        <x:v>East</x:v>
      </x:c>
      <x:c r="E1000" s="3" t="str">
        <x:v>Beauty</x:v>
      </x:c>
      <x:c r="F1000" s="3" t="str">
        <x:v>Skincare</x:v>
      </x:c>
      <x:c r="G1000" s="3" t="str">
        <x:v>HydraBoost Moisturizer</x:v>
      </x:c>
      <x:c r="H1000" s="3" t="n">
        <x:v>3</x:v>
      </x:c>
      <x:c r="I1000" s="7" t="n">
        <x:v>1207.46</x:v>
      </x:c>
      <x:c r="J1000" s="9" t="n">
        <x:v>0.05</x:v>
      </x:c>
      <x:c r="K1000" s="7" t="n">
        <x:v>3441.26</x:v>
      </x:c>
      <x:c r="L1000" s="7" t="n">
        <x:v>1794.96</x:v>
      </x:c>
      <x:c r="M1000" s="3" t="str">
        <x:v>UPI</x:v>
      </x:c>
      <x:c r="N1000" s="3" t="str">
        <x:f>TEXT(B1000,"yyyy-mm")</x:f>
        <x:v>2024-10</x:v>
      </x:c>
      <x:c r="O1000" s="3" t="str">
        <x:f>IF(J1000=0,"No discount",IF(J1000&lt;=0.1,"1-10%",IF(J1000&lt;=0.15,"11-15%",IF(J1000&lt;=0.2,"16-20%","21%+"))))</x:f>
        <x:v>1-10%</x:v>
      </x:c>
      <x:c r="P1000" s="9" t="n">
        <x:f>IF(K1000=0,0,L1000/K1000)</x:f>
        <x:v>0.5215996466410558</x:v>
      </x:c>
      <x:c r="Q1000" s="3" t="str">
        <x:f>IF(L1000&lt;0,"Yes","No")</x:f>
        <x:v>No</x:v>
      </x:c>
    </x:row>
    <x:row r="1001" ht="21" customHeight="1">
      <x:c r="A1001" s="3" t="str">
        <x:v>ORD-101168</x:v>
      </x:c>
      <x:c r="B1001" s="5" t="n">
        <x:v>45571</x:v>
      </x:c>
      <x:c r="C1001" s="3" t="str">
        <x:v>CUST-00193</x:v>
      </x:c>
      <x:c r="D1001" s="3" t="str">
        <x:v>West</x:v>
      </x:c>
      <x:c r="E1001" s="3" t="str">
        <x:v>Electronics</x:v>
      </x:c>
      <x:c r="F1001" s="3" t="str">
        <x:v>Audio</x:v>
      </x:c>
      <x:c r="G1001" s="3" t="str">
        <x:v>SoundPods Pro</x:v>
      </x:c>
      <x:c r="H1001" s="3" t="n">
        <x:v>1</x:v>
      </x:c>
      <x:c r="I1001" s="7" t="n">
        <x:v>4812.37</x:v>
      </x:c>
      <x:c r="J1001" s="9" t="n">
        <x:v>0.15</x:v>
      </x:c>
      <x:c r="K1001" s="7" t="n">
        <x:v>4090.51</x:v>
      </x:c>
      <x:c r="L1001" s="7" t="n">
        <x:v>108.52</x:v>
      </x:c>
      <x:c r="M1001" s="3" t="str">
        <x:v>Credit Card</x:v>
      </x:c>
      <x:c r="N1001" s="3" t="str">
        <x:f>TEXT(B1001,"yyyy-mm")</x:f>
        <x:v>2024-10</x:v>
      </x:c>
      <x:c r="O1001" s="3" t="str">
        <x:f>IF(J1001=0,"No discount",IF(J1001&lt;=0.1,"1-10%",IF(J1001&lt;=0.15,"11-15%",IF(J1001&lt;=0.2,"16-20%","21%+"))))</x:f>
        <x:v>11-15%</x:v>
      </x:c>
      <x:c r="P1001" s="9" t="n">
        <x:f>IF(K1001=0,0,L1001/K1001)</x:f>
        <x:v>0.026529699230658278</x:v>
      </x:c>
      <x:c r="Q1001" s="3" t="str">
        <x:f>IF(L1001&lt;0,"Yes","No")</x:f>
        <x:v>No</x:v>
      </x:c>
    </x:row>
    <x:row r="1002" ht="21" customHeight="1">
      <x:c r="A1002" s="3" t="str">
        <x:v>ORD-101509</x:v>
      </x:c>
      <x:c r="B1002" s="5" t="n">
        <x:v>45571</x:v>
      </x:c>
      <x:c r="C1002" s="3" t="str">
        <x:v>CUST-00010</x:v>
      </x:c>
      <x:c r="D1002" s="3" t="str">
        <x:v>North</x:v>
      </x:c>
      <x:c r="E1002" s="3" t="str">
        <x:v>Fashion</x:v>
      </x:c>
      <x:c r="F1002" s="3" t="str">
        <x:v>Women</x:v>
      </x:c>
      <x:c r="G1002" s="3" t="str">
        <x:v>Knit Winter Sweater</x:v>
      </x:c>
      <x:c r="H1002" s="3" t="n">
        <x:v>1</x:v>
      </x:c>
      <x:c r="I1002" s="7" t="n">
        <x:v>2219.49</x:v>
      </x:c>
      <x:c r="J1002" s="9" t="n">
        <x:v>0.1</x:v>
      </x:c>
      <x:c r="K1002" s="7" t="n">
        <x:v>1997.54</x:v>
      </x:c>
      <x:c r="L1002" s="7" t="n">
        <x:v>671.75</x:v>
      </x:c>
      <x:c r="M1002" s="3" t="str">
        <x:v>UPI</x:v>
      </x:c>
      <x:c r="N1002" s="3" t="str">
        <x:f>TEXT(B1002,"yyyy-mm")</x:f>
        <x:v>2024-10</x:v>
      </x:c>
      <x:c r="O1002" s="3" t="str">
        <x:f>IF(J1002=0,"No discount",IF(J1002&lt;=0.1,"1-10%",IF(J1002&lt;=0.15,"11-15%",IF(J1002&lt;=0.2,"16-20%","21%+"))))</x:f>
        <x:v>1-10%</x:v>
      </x:c>
      <x:c r="P1002" s="9" t="n">
        <x:f>IF(K1002=0,0,L1002/K1002)</x:f>
        <x:v>0.3362886350210759</x:v>
      </x:c>
      <x:c r="Q1002" s="3" t="str">
        <x:f>IF(L1002&lt;0,"Yes","No")</x:f>
        <x:v>No</x:v>
      </x:c>
    </x:row>
    <x:row r="1003" ht="21" customHeight="1">
      <x:c r="A1003" s="3" t="str">
        <x:v>ORD-101874</x:v>
      </x:c>
      <x:c r="B1003" s="5" t="n">
        <x:v>45571</x:v>
      </x:c>
      <x:c r="C1003" s="3" t="str">
        <x:v>CUST-00045</x:v>
      </x:c>
      <x:c r="D1003" s="3" t="str">
        <x:v>North</x:v>
      </x:c>
      <x:c r="E1003" s="3" t="str">
        <x:v>Beauty</x:v>
      </x:c>
      <x:c r="F1003" s="3" t="str">
        <x:v>Makeup</x:v>
      </x:c>
      <x:c r="G1003" s="3" t="str">
        <x:v>Matte Lipstick Set</x:v>
      </x:c>
      <x:c r="H1003" s="3" t="n">
        <x:v>1</x:v>
      </x:c>
      <x:c r="I1003" s="7" t="n">
        <x:v>987.86</x:v>
      </x:c>
      <x:c r="J1003" s="9" t="n">
        <x:v>0.15</x:v>
      </x:c>
      <x:c r="K1003" s="7" t="n">
        <x:v>839.68</x:v>
      </x:c>
      <x:c r="L1003" s="7" t="n">
        <x:v>311.63</x:v>
      </x:c>
      <x:c r="M1003" s="3" t="str">
        <x:v>Credit Card</x:v>
      </x:c>
      <x:c r="N1003" s="3" t="str">
        <x:f>TEXT(B1003,"yyyy-mm")</x:f>
        <x:v>2024-10</x:v>
      </x:c>
      <x:c r="O1003" s="3" t="str">
        <x:f>IF(J1003=0,"No discount",IF(J1003&lt;=0.1,"1-10%",IF(J1003&lt;=0.15,"11-15%",IF(J1003&lt;=0.2,"16-20%","21%+"))))</x:f>
        <x:v>11-15%</x:v>
      </x:c>
      <x:c r="P1003" s="9" t="n">
        <x:f>IF(K1003=0,0,L1003/K1003)</x:f>
        <x:v>0.3711294778963415</x:v>
      </x:c>
      <x:c r="Q1003" s="3" t="str">
        <x:f>IF(L1003&lt;0,"Yes","No")</x:f>
        <x:v>No</x:v>
      </x:c>
    </x:row>
    <x:row r="1004" ht="21" customHeight="1">
      <x:c r="A1004" s="3" t="str">
        <x:v>ORD-100827</x:v>
      </x:c>
      <x:c r="B1004" s="5" t="n">
        <x:v>45572</x:v>
      </x:c>
      <x:c r="C1004" s="3" t="str">
        <x:v>CUST-00256</x:v>
      </x:c>
      <x:c r="D1004" s="3" t="str">
        <x:v>West</x:v>
      </x:c>
      <x:c r="E1004" s="3" t="str">
        <x:v>Beauty</x:v>
      </x:c>
      <x:c r="F1004" s="3" t="str">
        <x:v>Makeup</x:v>
      </x:c>
      <x:c r="G1004" s="3" t="str">
        <x:v>Matte Lipstick Set</x:v>
      </x:c>
      <x:c r="H1004" s="3" t="n">
        <x:v>5</x:v>
      </x:c>
      <x:c r="I1004" s="7" t="n">
        <x:v>1048.21</x:v>
      </x:c>
      <x:c r="J1004" s="9" t="n">
        <x:v>0.05</x:v>
      </x:c>
      <x:c r="K1004" s="7" t="n">
        <x:v>4979</x:v>
      </x:c>
      <x:c r="L1004" s="7" t="n">
        <x:v>2347.89</x:v>
      </x:c>
      <x:c r="M1004" s="3" t="str">
        <x:v>UPI</x:v>
      </x:c>
      <x:c r="N1004" s="3" t="str">
        <x:f>TEXT(B1004,"yyyy-mm")</x:f>
        <x:v>2024-10</x:v>
      </x:c>
      <x:c r="O1004" s="3" t="str">
        <x:f>IF(J1004=0,"No discount",IF(J1004&lt;=0.1,"1-10%",IF(J1004&lt;=0.15,"11-15%",IF(J1004&lt;=0.2,"16-20%","21%+"))))</x:f>
        <x:v>1-10%</x:v>
      </x:c>
      <x:c r="P1004" s="9" t="n">
        <x:f>IF(K1004=0,0,L1004/K1004)</x:f>
        <x:v>0.47155854589274954</x:v>
      </x:c>
      <x:c r="Q1004" s="3" t="str">
        <x:f>IF(L1004&lt;0,"Yes","No")</x:f>
        <x:v>No</x:v>
      </x:c>
    </x:row>
    <x:row r="1005" ht="21" customHeight="1">
      <x:c r="A1005" s="3" t="str">
        <x:v>ORD-101173</x:v>
      </x:c>
      <x:c r="B1005" s="5" t="n">
        <x:v>45572</x:v>
      </x:c>
      <x:c r="C1005" s="3" t="str">
        <x:v>CUST-00259</x:v>
      </x:c>
      <x:c r="D1005" s="3" t="str">
        <x:v>East</x:v>
      </x:c>
      <x:c r="E1005" s="3" t="str">
        <x:v>Fashion</x:v>
      </x:c>
      <x:c r="F1005" s="3" t="str">
        <x:v>Footwear</x:v>
      </x:c>
      <x:c r="G1005" s="3" t="str">
        <x:v>RunFlex Sneakers</x:v>
      </x:c>
      <x:c r="H1005" s="3" t="n">
        <x:v>1</x:v>
      </x:c>
      <x:c r="I1005" s="7" t="n">
        <x:v>3109.95</x:v>
      </x:c>
      <x:c r="J1005" s="9" t="n">
        <x:v>0.05</x:v>
      </x:c>
      <x:c r="K1005" s="7" t="n">
        <x:v>2954.45</x:v>
      </x:c>
      <x:c r="L1005" s="7" t="n">
        <x:v>1155.63</x:v>
      </x:c>
      <x:c r="M1005" s="3" t="str">
        <x:v>Credit Card</x:v>
      </x:c>
      <x:c r="N1005" s="3" t="str">
        <x:f>TEXT(B1005,"yyyy-mm")</x:f>
        <x:v>2024-10</x:v>
      </x:c>
      <x:c r="O1005" s="3" t="str">
        <x:f>IF(J1005=0,"No discount",IF(J1005&lt;=0.1,"1-10%",IF(J1005&lt;=0.15,"11-15%",IF(J1005&lt;=0.2,"16-20%","21%+"))))</x:f>
        <x:v>1-10%</x:v>
      </x:c>
      <x:c r="P1005" s="9" t="n">
        <x:f>IF(K1005=0,0,L1005/K1005)</x:f>
        <x:v>0.3911489448120632</x:v>
      </x:c>
      <x:c r="Q1005" s="3" t="str">
        <x:f>IF(L1005&lt;0,"Yes","No")</x:f>
        <x:v>No</x:v>
      </x:c>
    </x:row>
    <x:row r="1006" ht="21" customHeight="1">
      <x:c r="A1006" s="3" t="str">
        <x:v>ORD-101664</x:v>
      </x:c>
      <x:c r="B1006" s="5" t="n">
        <x:v>45572</x:v>
      </x:c>
      <x:c r="C1006" s="3" t="str">
        <x:v>CUST-00584</x:v>
      </x:c>
      <x:c r="D1006" s="3" t="str">
        <x:v>East</x:v>
      </x:c>
      <x:c r="E1006" s="3" t="str">
        <x:v>Sports</x:v>
      </x:c>
      <x:c r="F1006" s="3" t="str">
        <x:v>Fitness</x:v>
      </x:c>
      <x:c r="G1006" s="3" t="str">
        <x:v>Adjustable Dumbbell 24kg</x:v>
      </x:c>
      <x:c r="H1006" s="3" t="n">
        <x:v>3</x:v>
      </x:c>
      <x:c r="I1006" s="7" t="n">
        <x:v>9589.68</x:v>
      </x:c>
      <x:c r="J1006" s="9" t="n">
        <x:v>0.1</x:v>
      </x:c>
      <x:c r="K1006" s="7" t="n">
        <x:v>25892.14</x:v>
      </x:c>
      <x:c r="L1006" s="7" t="n">
        <x:v>7784.76</x:v>
      </x:c>
      <x:c r="M1006" s="3" t="str">
        <x:v>UPI</x:v>
      </x:c>
      <x:c r="N1006" s="3" t="str">
        <x:f>TEXT(B1006,"yyyy-mm")</x:f>
        <x:v>2024-10</x:v>
      </x:c>
      <x:c r="O1006" s="3" t="str">
        <x:f>IF(J1006=0,"No discount",IF(J1006&lt;=0.1,"1-10%",IF(J1006&lt;=0.15,"11-15%",IF(J1006&lt;=0.2,"16-20%","21%+"))))</x:f>
        <x:v>1-10%</x:v>
      </x:c>
      <x:c r="P1006" s="9" t="n">
        <x:f>IF(K1006=0,0,L1006/K1006)</x:f>
        <x:v>0.30066112727646305</x:v>
      </x:c>
      <x:c r="Q1006" s="3" t="str">
        <x:f>IF(L1006&lt;0,"Yes","No")</x:f>
        <x:v>No</x:v>
      </x:c>
    </x:row>
    <x:row r="1007" ht="21" customHeight="1">
      <x:c r="A1007" s="3" t="str">
        <x:v>ORD-101840</x:v>
      </x:c>
      <x:c r="B1007" s="5" t="n">
        <x:v>45572</x:v>
      </x:c>
      <x:c r="C1007" s="3" t="str">
        <x:v>CUST-00434</x:v>
      </x:c>
      <x:c r="D1007" s="3" t="str">
        <x:v>South</x:v>
      </x:c>
      <x:c r="E1007" s="3" t="str">
        <x:v>Electronics</x:v>
      </x:c>
      <x:c r="F1007" s="3" t="str">
        <x:v>Mobile</x:v>
      </x:c>
      <x:c r="G1007" s="3" t="str">
        <x:v>Galaxy Nova X5</x:v>
      </x:c>
      <x:c r="H1007" s="3" t="n">
        <x:v>1</x:v>
      </x:c>
      <x:c r="I1007" s="7" t="n">
        <x:v>24933.96</x:v>
      </x:c>
      <x:c r="J1007" s="9" t="n">
        <x:v>0.15</x:v>
      </x:c>
      <x:c r="K1007" s="7" t="n">
        <x:v>21193.87</x:v>
      </x:c>
      <x:c r="L1007" s="7" t="n">
        <x:v>-45.29</x:v>
      </x:c>
      <x:c r="M1007" s="3" t="str">
        <x:v>UPI</x:v>
      </x:c>
      <x:c r="N1007" s="3" t="str">
        <x:f>TEXT(B1007,"yyyy-mm")</x:f>
        <x:v>2024-10</x:v>
      </x:c>
      <x:c r="O1007" s="3" t="str">
        <x:f>IF(J1007=0,"No discount",IF(J1007&lt;=0.1,"1-10%",IF(J1007&lt;=0.15,"11-15%",IF(J1007&lt;=0.2,"16-20%","21%+"))))</x:f>
        <x:v>11-15%</x:v>
      </x:c>
      <x:c r="P1007" s="9" t="n">
        <x:f>IF(K1007=0,0,L1007/K1007)</x:f>
        <x:v>-0.002136938652544344</x:v>
      </x:c>
      <x:c r="Q1007" s="3" t="str">
        <x:f>IF(L1007&lt;0,"Yes","No")</x:f>
        <x:v>Yes</x:v>
      </x:c>
    </x:row>
    <x:row r="1008" ht="21" customHeight="1">
      <x:c r="A1008" s="3" t="str">
        <x:v>ORD-100101</x:v>
      </x:c>
      <x:c r="B1008" s="5" t="n">
        <x:v>45573</x:v>
      </x:c>
      <x:c r="C1008" s="3" t="str">
        <x:v>CUST-00361</x:v>
      </x:c>
      <x:c r="D1008" s="3" t="str">
        <x:v>South</x:v>
      </x:c>
      <x:c r="E1008" s="3" t="str">
        <x:v>Beauty</x:v>
      </x:c>
      <x:c r="F1008" s="3" t="str">
        <x:v>Makeup</x:v>
      </x:c>
      <x:c r="G1008" s="3" t="str">
        <x:v>HD Foundation Kit</x:v>
      </x:c>
      <x:c r="H1008" s="3" t="n">
        <x:v>3</x:v>
      </x:c>
      <x:c r="I1008" s="7" t="n">
        <x:v>1446.68</x:v>
      </x:c>
      <x:c r="J1008" s="9" t="n">
        <x:v>0.1</x:v>
      </x:c>
      <x:c r="K1008" s="7" t="n">
        <x:v>3906.04</x:v>
      </x:c>
      <x:c r="L1008" s="7" t="n">
        <x:v>1564.22</x:v>
      </x:c>
      <x:c r="M1008" s="3" t="str">
        <x:v>UPI</x:v>
      </x:c>
      <x:c r="N1008" s="3" t="str">
        <x:f>TEXT(B1008,"yyyy-mm")</x:f>
        <x:v>2024-10</x:v>
      </x:c>
      <x:c r="O1008" s="3" t="str">
        <x:f>IF(J1008=0,"No discount",IF(J1008&lt;=0.1,"1-10%",IF(J1008&lt;=0.15,"11-15%",IF(J1008&lt;=0.2,"16-20%","21%+"))))</x:f>
        <x:v>1-10%</x:v>
      </x:c>
      <x:c r="P1008" s="9" t="n">
        <x:f>IF(K1008=0,0,L1008/K1008)</x:f>
        <x:v>0.40046184882899305</x:v>
      </x:c>
      <x:c r="Q1008" s="3" t="str">
        <x:f>IF(L1008&lt;0,"Yes","No")</x:f>
        <x:v>No</x:v>
      </x:c>
    </x:row>
    <x:row r="1009" ht="21" customHeight="1">
      <x:c r="A1009" s="3" t="str">
        <x:v>ORD-100340</x:v>
      </x:c>
      <x:c r="B1009" s="5" t="n">
        <x:v>45573</x:v>
      </x:c>
      <x:c r="C1009" s="3" t="str">
        <x:v>CUST-00524</x:v>
      </x:c>
      <x:c r="D1009" s="3" t="str">
        <x:v>West</x:v>
      </x:c>
      <x:c r="E1009" s="3" t="str">
        <x:v>Sports</x:v>
      </x:c>
      <x:c r="F1009" s="3" t="str">
        <x:v>Fitness</x:v>
      </x:c>
      <x:c r="G1009" s="3" t="str">
        <x:v>ProYoga Mat</x:v>
      </x:c>
      <x:c r="H1009" s="3" t="n">
        <x:v>3</x:v>
      </x:c>
      <x:c r="I1009" s="7" t="n">
        <x:v>1275.02</x:v>
      </x:c>
      <x:c r="J1009" s="9" t="n">
        <x:v>0.05</x:v>
      </x:c>
      <x:c r="K1009" s="7" t="n">
        <x:v>3633.81</x:v>
      </x:c>
      <x:c r="L1009" s="7" t="n">
        <x:v>1287.64</x:v>
      </x:c>
      <x:c r="M1009" s="3" t="str">
        <x:v>Credit Card</x:v>
      </x:c>
      <x:c r="N1009" s="3" t="str">
        <x:f>TEXT(B1009,"yyyy-mm")</x:f>
        <x:v>2024-10</x:v>
      </x:c>
      <x:c r="O1009" s="3" t="str">
        <x:f>IF(J1009=0,"No discount",IF(J1009&lt;=0.1,"1-10%",IF(J1009&lt;=0.15,"11-15%",IF(J1009&lt;=0.2,"16-20%","21%+"))))</x:f>
        <x:v>1-10%</x:v>
      </x:c>
      <x:c r="P1009" s="9" t="n">
        <x:f>IF(K1009=0,0,L1009/K1009)</x:f>
        <x:v>0.3543498421766686</x:v>
      </x:c>
      <x:c r="Q1009" s="3" t="str">
        <x:f>IF(L1009&lt;0,"Yes","No")</x:f>
        <x:v>No</x:v>
      </x:c>
    </x:row>
    <x:row r="1010" ht="21" customHeight="1">
      <x:c r="A1010" s="3" t="str">
        <x:v>ORD-100522</x:v>
      </x:c>
      <x:c r="B1010" s="5" t="n">
        <x:v>45573</x:v>
      </x:c>
      <x:c r="C1010" s="3" t="str">
        <x:v>CUST-00261</x:v>
      </x:c>
      <x:c r="D1010" s="3" t="str">
        <x:v>North</x:v>
      </x:c>
      <x:c r="E1010" s="3" t="str">
        <x:v>Home &amp; Kitchen</x:v>
      </x:c>
      <x:c r="F1010" s="3" t="str">
        <x:v>Appliances</x:v>
      </x:c>
      <x:c r="G1010" s="3" t="str">
        <x:v>ColdBrew Coffee Maker</x:v>
      </x:c>
      <x:c r="H1010" s="3" t="n">
        <x:v>3</x:v>
      </x:c>
      <x:c r="I1010" s="7" t="n">
        <x:v>6782.03</x:v>
      </x:c>
      <x:c r="J1010" s="9" t="n">
        <x:v>0.15</x:v>
      </x:c>
      <x:c r="K1010" s="7" t="n">
        <x:v>17294.18</x:v>
      </x:c>
      <x:c r="L1010" s="7" t="n">
        <x:v>2333.69</x:v>
      </x:c>
      <x:c r="M1010" s="3" t="str">
        <x:v>UPI</x:v>
      </x:c>
      <x:c r="N1010" s="3" t="str">
        <x:f>TEXT(B1010,"yyyy-mm")</x:f>
        <x:v>2024-10</x:v>
      </x:c>
      <x:c r="O1010" s="3" t="str">
        <x:f>IF(J1010=0,"No discount",IF(J1010&lt;=0.1,"1-10%",IF(J1010&lt;=0.15,"11-15%",IF(J1010&lt;=0.2,"16-20%","21%+"))))</x:f>
        <x:v>11-15%</x:v>
      </x:c>
      <x:c r="P1010" s="9" t="n">
        <x:f>IF(K1010=0,0,L1010/K1010)</x:f>
        <x:v>0.13494077198225068</x:v>
      </x:c>
      <x:c r="Q1010" s="3" t="str">
        <x:f>IF(L1010&lt;0,"Yes","No")</x:f>
        <x:v>No</x:v>
      </x:c>
    </x:row>
    <x:row r="1011" ht="21" customHeight="1">
      <x:c r="A1011" s="3" t="str">
        <x:v>ORD-100616</x:v>
      </x:c>
      <x:c r="B1011" s="5" t="n">
        <x:v>45573</x:v>
      </x:c>
      <x:c r="C1011" s="3" t="str">
        <x:v>CUST-00142</x:v>
      </x:c>
      <x:c r="D1011" s="3" t="str">
        <x:v>East</x:v>
      </x:c>
      <x:c r="E1011" s="3" t="str">
        <x:v>Home &amp; Kitchen</x:v>
      </x:c>
      <x:c r="F1011" s="3" t="str">
        <x:v>Furniture</x:v>
      </x:c>
      <x:c r="G1011" s="3" t="str">
        <x:v>Oakwood Study Desk</x:v>
      </x:c>
      <x:c r="H1011" s="3" t="n">
        <x:v>1</x:v>
      </x:c>
      <x:c r="I1011" s="7" t="n">
        <x:v>13058.83</x:v>
      </x:c>
      <x:c r="J1011" s="9" t="n">
        <x:v>0.05</x:v>
      </x:c>
      <x:c r="K1011" s="7" t="n">
        <x:v>12405.89</x:v>
      </x:c>
      <x:c r="L1011" s="7" t="n">
        <x:v>3215.61</x:v>
      </x:c>
      <x:c r="M1011" s="3" t="str">
        <x:v>UPI</x:v>
      </x:c>
      <x:c r="N1011" s="3" t="str">
        <x:f>TEXT(B1011,"yyyy-mm")</x:f>
        <x:v>2024-10</x:v>
      </x:c>
      <x:c r="O1011" s="3" t="str">
        <x:f>IF(J1011=0,"No discount",IF(J1011&lt;=0.1,"1-10%",IF(J1011&lt;=0.15,"11-15%",IF(J1011&lt;=0.2,"16-20%","21%+"))))</x:f>
        <x:v>1-10%</x:v>
      </x:c>
      <x:c r="P1011" s="9" t="n">
        <x:f>IF(K1011=0,0,L1011/K1011)</x:f>
        <x:v>0.2592002669699635</x:v>
      </x:c>
      <x:c r="Q1011" s="3" t="str">
        <x:f>IF(L1011&lt;0,"Yes","No")</x:f>
        <x:v>No</x:v>
      </x:c>
    </x:row>
    <x:row r="1012" ht="21" customHeight="1">
      <x:c r="A1012" s="3" t="str">
        <x:v>ORD-100958</x:v>
      </x:c>
      <x:c r="B1012" s="5" t="n">
        <x:v>45573</x:v>
      </x:c>
      <x:c r="C1012" s="3" t="str">
        <x:v>CUST-00332</x:v>
      </x:c>
      <x:c r="D1012" s="3" t="str">
        <x:v>West</x:v>
      </x:c>
      <x:c r="E1012" s="3" t="str">
        <x:v>Electronics</x:v>
      </x:c>
      <x:c r="F1012" s="3" t="str">
        <x:v>Laptop</x:v>
      </x:c>
      <x:c r="G1012" s="3" t="str">
        <x:v>AirBook Slim</x:v>
      </x:c>
      <x:c r="H1012" s="3" t="n">
        <x:v>1</x:v>
      </x:c>
      <x:c r="I1012" s="7" t="n">
        <x:v>80187.4</x:v>
      </x:c>
      <x:c r="J1012" s="9" t="n">
        <x:v>0.15</x:v>
      </x:c>
      <x:c r="K1012" s="7" t="n">
        <x:v>68159.29</x:v>
      </x:c>
      <x:c r="L1012" s="7" t="n">
        <x:v>2202.47</x:v>
      </x:c>
      <x:c r="M1012" s="3" t="str">
        <x:v>UPI</x:v>
      </x:c>
      <x:c r="N1012" s="3" t="str">
        <x:f>TEXT(B1012,"yyyy-mm")</x:f>
        <x:v>2024-10</x:v>
      </x:c>
      <x:c r="O1012" s="3" t="str">
        <x:f>IF(J1012=0,"No discount",IF(J1012&lt;=0.1,"1-10%",IF(J1012&lt;=0.15,"11-15%",IF(J1012&lt;=0.2,"16-20%","21%+"))))</x:f>
        <x:v>11-15%</x:v>
      </x:c>
      <x:c r="P1012" s="9" t="n">
        <x:f>IF(K1012=0,0,L1012/K1012)</x:f>
        <x:v>0.032313570167764365</x:v>
      </x:c>
      <x:c r="Q1012" s="3" t="str">
        <x:f>IF(L1012&lt;0,"Yes","No")</x:f>
        <x:v>No</x:v>
      </x:c>
    </x:row>
    <x:row r="1013" ht="21" customHeight="1">
      <x:c r="A1013" s="3" t="str">
        <x:v>ORD-100064</x:v>
      </x:c>
      <x:c r="B1013" s="5" t="n">
        <x:v>45574</x:v>
      </x:c>
      <x:c r="C1013" s="3" t="str">
        <x:v>CUST-00425</x:v>
      </x:c>
      <x:c r="D1013" s="3" t="str">
        <x:v>South</x:v>
      </x:c>
      <x:c r="E1013" s="3" t="str">
        <x:v>Beauty</x:v>
      </x:c>
      <x:c r="F1013" s="3" t="str">
        <x:v>Makeup</x:v>
      </x:c>
      <x:c r="G1013" s="3" t="str">
        <x:v>HD Foundation Kit</x:v>
      </x:c>
      <x:c r="H1013" s="3" t="n">
        <x:v>3</x:v>
      </x:c>
      <x:c r="I1013" s="7" t="n">
        <x:v>1460.59</x:v>
      </x:c>
      <x:c r="J1013" s="9" t="n">
        <x:v>0.4</x:v>
      </x:c>
      <x:c r="K1013" s="7" t="n">
        <x:v>2629.06</x:v>
      </x:c>
      <x:c r="L1013" s="7" t="n">
        <x:v>247.4</x:v>
      </x:c>
      <x:c r="M1013" s="3" t="str">
        <x:v>Net Banking</x:v>
      </x:c>
      <x:c r="N1013" s="3" t="str">
        <x:f>TEXT(B1013,"yyyy-mm")</x:f>
        <x:v>2024-10</x:v>
      </x:c>
      <x:c r="O1013" s="3" t="str">
        <x:f>IF(J1013=0,"No discount",IF(J1013&lt;=0.1,"1-10%",IF(J1013&lt;=0.15,"11-15%",IF(J1013&lt;=0.2,"16-20%","21%+"))))</x:f>
        <x:v>21%+</x:v>
      </x:c>
      <x:c r="P1013" s="9" t="n">
        <x:f>IF(K1013=0,0,L1013/K1013)</x:f>
        <x:v>0.09410207450571688</x:v>
      </x:c>
      <x:c r="Q1013" s="3" t="str">
        <x:f>IF(L1013&lt;0,"Yes","No")</x:f>
        <x:v>No</x:v>
      </x:c>
    </x:row>
    <x:row r="1014" ht="21" customHeight="1">
      <x:c r="A1014" s="3" t="str">
        <x:v>ORD-100184</x:v>
      </x:c>
      <x:c r="B1014" s="5" t="n">
        <x:v>45574</x:v>
      </x:c>
      <x:c r="C1014" s="3" t="str">
        <x:v>CUST-00496</x:v>
      </x:c>
      <x:c r="D1014" s="3" t="str">
        <x:v>North</x:v>
      </x:c>
      <x:c r="E1014" s="3" t="str">
        <x:v>Beauty</x:v>
      </x:c>
      <x:c r="F1014" s="3" t="str">
        <x:v>Skincare</x:v>
      </x:c>
      <x:c r="G1014" s="3" t="str">
        <x:v>Vitamin C Serum</x:v>
      </x:c>
      <x:c r="H1014" s="3" t="n">
        <x:v>2</x:v>
      </x:c>
      <x:c r="I1014" s="7" t="n">
        <x:v>878.23</x:v>
      </x:c>
      <x:c r="J1014" s="9" t="n">
        <x:v>0</x:v>
      </x:c>
      <x:c r="K1014" s="7" t="n">
        <x:v>1756.46</x:v>
      </x:c>
      <x:c r="L1014" s="7" t="n">
        <x:v>933.51</x:v>
      </x:c>
      <x:c r="M1014" s="3" t="str">
        <x:v>UPI</x:v>
      </x:c>
      <x:c r="N1014" s="3" t="str">
        <x:f>TEXT(B1014,"yyyy-mm")</x:f>
        <x:v>2024-10</x:v>
      </x:c>
      <x:c r="O1014" s="3" t="str">
        <x:f>IF(J1014=0,"No discount",IF(J1014&lt;=0.1,"1-10%",IF(J1014&lt;=0.15,"11-15%",IF(J1014&lt;=0.2,"16-20%","21%+"))))</x:f>
        <x:v>No discount</x:v>
      </x:c>
      <x:c r="P1014" s="9" t="n">
        <x:f>IF(K1014=0,0,L1014/K1014)</x:f>
        <x:v>0.5314723933365975</x:v>
      </x:c>
      <x:c r="Q1014" s="3" t="str">
        <x:f>IF(L1014&lt;0,"Yes","No")</x:f>
        <x:v>No</x:v>
      </x:c>
    </x:row>
    <x:row r="1015" ht="21" customHeight="1">
      <x:c r="A1015" s="3" t="str">
        <x:v>ORD-100975</x:v>
      </x:c>
      <x:c r="B1015" s="5" t="n">
        <x:v>45574</x:v>
      </x:c>
      <x:c r="C1015" s="3" t="str">
        <x:v>CUST-00412</x:v>
      </x:c>
      <x:c r="D1015" s="3" t="str">
        <x:v>West</x:v>
      </x:c>
      <x:c r="E1015" s="3" t="str">
        <x:v>Fashion</x:v>
      </x:c>
      <x:c r="F1015" s="3" t="str">
        <x:v>Men</x:v>
      </x:c>
      <x:c r="G1015" s="3" t="str">
        <x:v>Oxford Casual Shirt</x:v>
      </x:c>
      <x:c r="H1015" s="3" t="n">
        <x:v>3</x:v>
      </x:c>
      <x:c r="I1015" s="7" t="n">
        <x:v>1284.84</x:v>
      </x:c>
      <x:c r="J1015" s="9" t="n">
        <x:v>0.1</x:v>
      </x:c>
      <x:c r="K1015" s="7" t="n">
        <x:v>3469.07</x:v>
      </x:c>
      <x:c r="L1015" s="7" t="n">
        <x:v>972.97</x:v>
      </x:c>
      <x:c r="M1015" s="3" t="str">
        <x:v>UPI</x:v>
      </x:c>
      <x:c r="N1015" s="3" t="str">
        <x:f>TEXT(B1015,"yyyy-mm")</x:f>
        <x:v>2024-10</x:v>
      </x:c>
      <x:c r="O1015" s="3" t="str">
        <x:f>IF(J1015=0,"No discount",IF(J1015&lt;=0.1,"1-10%",IF(J1015&lt;=0.15,"11-15%",IF(J1015&lt;=0.2,"16-20%","21%+"))))</x:f>
        <x:v>1-10%</x:v>
      </x:c>
      <x:c r="P1015" s="9" t="n">
        <x:f>IF(K1015=0,0,L1015/K1015)</x:f>
        <x:v>0.2804699818683393</x:v>
      </x:c>
      <x:c r="Q1015" s="3" t="str">
        <x:f>IF(L1015&lt;0,"Yes","No")</x:f>
        <x:v>No</x:v>
      </x:c>
    </x:row>
    <x:row r="1016" ht="21" customHeight="1">
      <x:c r="A1016" s="3" t="str">
        <x:v>ORD-101130</x:v>
      </x:c>
      <x:c r="B1016" s="5" t="n">
        <x:v>45574</x:v>
      </x:c>
      <x:c r="C1016" s="3" t="str">
        <x:v>CUST-00043</x:v>
      </x:c>
      <x:c r="D1016" s="3" t="str">
        <x:v>North</x:v>
      </x:c>
      <x:c r="E1016" s="3" t="str">
        <x:v>Sports</x:v>
      </x:c>
      <x:c r="F1016" s="3" t="str">
        <x:v>Outdoor</x:v>
      </x:c>
      <x:c r="G1016" s="3" t="str">
        <x:v>AllWeather Tent 4P</x:v>
      </x:c>
      <x:c r="H1016" s="3" t="n">
        <x:v>2</x:v>
      </x:c>
      <x:c r="I1016" s="7" t="n">
        <x:v>11571.78</x:v>
      </x:c>
      <x:c r="J1016" s="9" t="n">
        <x:v>0.1</x:v>
      </x:c>
      <x:c r="K1016" s="7" t="n">
        <x:v>20829.2</x:v>
      </x:c>
      <x:c r="L1016" s="7" t="n">
        <x:v>5956.5</x:v>
      </x:c>
      <x:c r="M1016" s="3" t="str">
        <x:v>Credit Card</x:v>
      </x:c>
      <x:c r="N1016" s="3" t="str">
        <x:f>TEXT(B1016,"yyyy-mm")</x:f>
        <x:v>2024-10</x:v>
      </x:c>
      <x:c r="O1016" s="3" t="str">
        <x:f>IF(J1016=0,"No discount",IF(J1016&lt;=0.1,"1-10%",IF(J1016&lt;=0.15,"11-15%",IF(J1016&lt;=0.2,"16-20%","21%+"))))</x:f>
        <x:v>1-10%</x:v>
      </x:c>
      <x:c r="P1016" s="9" t="n">
        <x:f>IF(K1016=0,0,L1016/K1016)</x:f>
        <x:v>0.28596873619726154</x:v>
      </x:c>
      <x:c r="Q1016" s="3" t="str">
        <x:f>IF(L1016&lt;0,"Yes","No")</x:f>
        <x:v>No</x:v>
      </x:c>
    </x:row>
    <x:row r="1017" ht="21" customHeight="1">
      <x:c r="A1017" s="3" t="str">
        <x:v>ORD-101410</x:v>
      </x:c>
      <x:c r="B1017" s="5" t="n">
        <x:v>45574</x:v>
      </x:c>
      <x:c r="C1017" s="3" t="str">
        <x:v>CUST-00397</x:v>
      </x:c>
      <x:c r="D1017" s="3" t="str">
        <x:v>North</x:v>
      </x:c>
      <x:c r="E1017" s="3" t="str">
        <x:v>Beauty</x:v>
      </x:c>
      <x:c r="F1017" s="3" t="str">
        <x:v>Skincare</x:v>
      </x:c>
      <x:c r="G1017" s="3" t="str">
        <x:v>Vitamin C Serum</x:v>
      </x:c>
      <x:c r="H1017" s="3" t="n">
        <x:v>2</x:v>
      </x:c>
      <x:c r="I1017" s="7" t="n">
        <x:v>873.66</x:v>
      </x:c>
      <x:c r="J1017" s="9" t="n">
        <x:v>0.3</x:v>
      </x:c>
      <x:c r="K1017" s="7" t="n">
        <x:v>1223.12</x:v>
      </x:c>
      <x:c r="L1017" s="7" t="n">
        <x:v>294.2</x:v>
      </x:c>
      <x:c r="M1017" s="3" t="str">
        <x:v>UPI</x:v>
      </x:c>
      <x:c r="N1017" s="3" t="str">
        <x:f>TEXT(B1017,"yyyy-mm")</x:f>
        <x:v>2024-10</x:v>
      </x:c>
      <x:c r="O1017" s="3" t="str">
        <x:f>IF(J1017=0,"No discount",IF(J1017&lt;=0.1,"1-10%",IF(J1017&lt;=0.15,"11-15%",IF(J1017&lt;=0.2,"16-20%","21%+"))))</x:f>
        <x:v>21%+</x:v>
      </x:c>
      <x:c r="P1017" s="9" t="n">
        <x:f>IF(K1017=0,0,L1017/K1017)</x:f>
        <x:v>0.2405324089214468</x:v>
      </x:c>
      <x:c r="Q1017" s="3" t="str">
        <x:f>IF(L1017&lt;0,"Yes","No")</x:f>
        <x:v>No</x:v>
      </x:c>
    </x:row>
    <x:row r="1018" ht="21" customHeight="1">
      <x:c r="A1018" s="3" t="str">
        <x:v>ORD-101699</x:v>
      </x:c>
      <x:c r="B1018" s="5" t="n">
        <x:v>45574</x:v>
      </x:c>
      <x:c r="C1018" s="3" t="str">
        <x:v>CUST-00430</x:v>
      </x:c>
      <x:c r="D1018" s="3" t="str">
        <x:v>North</x:v>
      </x:c>
      <x:c r="E1018" s="3" t="str">
        <x:v>Electronics</x:v>
      </x:c>
      <x:c r="F1018" s="3" t="str">
        <x:v>Laptop</x:v>
      </x:c>
      <x:c r="G1018" s="3" t="str">
        <x:v>ThinkPro 14</x:v>
      </x:c>
      <x:c r="H1018" s="3" t="n">
        <x:v>1</x:v>
      </x:c>
      <x:c r="I1018" s="7" t="n">
        <x:v>57561.63</x:v>
      </x:c>
      <x:c r="J1018" s="9" t="n">
        <x:v>0.1</x:v>
      </x:c>
      <x:c r="K1018" s="7" t="n">
        <x:v>51805.47</x:v>
      </x:c>
      <x:c r="L1018" s="7" t="n">
        <x:v>5238.19</x:v>
      </x:c>
      <x:c r="M1018" s="3" t="str">
        <x:v>Credit Card</x:v>
      </x:c>
      <x:c r="N1018" s="3" t="str">
        <x:f>TEXT(B1018,"yyyy-mm")</x:f>
        <x:v>2024-10</x:v>
      </x:c>
      <x:c r="O1018" s="3" t="str">
        <x:f>IF(J1018=0,"No discount",IF(J1018&lt;=0.1,"1-10%",IF(J1018&lt;=0.15,"11-15%",IF(J1018&lt;=0.2,"16-20%","21%+"))))</x:f>
        <x:v>1-10%</x:v>
      </x:c>
      <x:c r="P1018" s="9" t="n">
        <x:f>IF(K1018=0,0,L1018/K1018)</x:f>
        <x:v>0.10111268173032692</x:v>
      </x:c>
      <x:c r="Q1018" s="3" t="str">
        <x:f>IF(L1018&lt;0,"Yes","No")</x:f>
        <x:v>No</x:v>
      </x:c>
    </x:row>
    <x:row r="1019" ht="21" customHeight="1">
      <x:c r="A1019" s="3" t="str">
        <x:v>ORD-100446</x:v>
      </x:c>
      <x:c r="B1019" s="5" t="n">
        <x:v>45575</x:v>
      </x:c>
      <x:c r="C1019" s="3" t="str">
        <x:v>CUST-00332</x:v>
      </x:c>
      <x:c r="D1019" s="3" t="str">
        <x:v>East</x:v>
      </x:c>
      <x:c r="E1019" s="3" t="str">
        <x:v>Sports</x:v>
      </x:c>
      <x:c r="F1019" s="3" t="str">
        <x:v>Fitness</x:v>
      </x:c>
      <x:c r="G1019" s="3" t="str">
        <x:v>ProYoga Mat</x:v>
      </x:c>
      <x:c r="H1019" s="3" t="n">
        <x:v>2</x:v>
      </x:c>
      <x:c r="I1019" s="7" t="n">
        <x:v>1294.71</x:v>
      </x:c>
      <x:c r="J1019" s="9" t="n">
        <x:v>0</x:v>
      </x:c>
      <x:c r="K1019" s="7" t="n">
        <x:v>2589.42</x:v>
      </x:c>
      <x:c r="L1019" s="7" t="n">
        <x:v>1074.34</x:v>
      </x:c>
      <x:c r="M1019" s="3" t="str">
        <x:v>Net Banking</x:v>
      </x:c>
      <x:c r="N1019" s="3" t="str">
        <x:f>TEXT(B1019,"yyyy-mm")</x:f>
        <x:v>2024-10</x:v>
      </x:c>
      <x:c r="O1019" s="3" t="str">
        <x:f>IF(J1019=0,"No discount",IF(J1019&lt;=0.1,"1-10%",IF(J1019&lt;=0.15,"11-15%",IF(J1019&lt;=0.2,"16-20%","21%+"))))</x:f>
        <x:v>No discount</x:v>
      </x:c>
      <x:c r="P1019" s="9" t="n">
        <x:f>IF(K1019=0,0,L1019/K1019)</x:f>
        <x:v>0.4148959998764202</x:v>
      </x:c>
      <x:c r="Q1019" s="3" t="str">
        <x:f>IF(L1019&lt;0,"Yes","No")</x:f>
        <x:v>No</x:v>
      </x:c>
    </x:row>
    <x:row r="1020" ht="21" customHeight="1">
      <x:c r="A1020" s="3" t="str">
        <x:v>ORD-101104</x:v>
      </x:c>
      <x:c r="B1020" s="5" t="n">
        <x:v>45575</x:v>
      </x:c>
      <x:c r="C1020" s="3" t="str">
        <x:v>CUST-00431</x:v>
      </x:c>
      <x:c r="D1020" s="3" t="str">
        <x:v>South</x:v>
      </x:c>
      <x:c r="E1020" s="3" t="str">
        <x:v>Electronics</x:v>
      </x:c>
      <x:c r="F1020" s="3" t="str">
        <x:v>Laptop</x:v>
      </x:c>
      <x:c r="G1020" s="3" t="str">
        <x:v>AirBook Slim</x:v>
      </x:c>
      <x:c r="H1020" s="3" t="n">
        <x:v>1</x:v>
      </x:c>
      <x:c r="I1020" s="7" t="n">
        <x:v>82428.52</x:v>
      </x:c>
      <x:c r="J1020" s="9" t="n">
        <x:v>0</x:v>
      </x:c>
      <x:c r="K1020" s="7" t="n">
        <x:v>82428.52</x:v>
      </x:c>
      <x:c r="L1020" s="7" t="n">
        <x:v>17658.2</x:v>
      </x:c>
      <x:c r="M1020" s="3" t="str">
        <x:v>Cash on Delivery</x:v>
      </x:c>
      <x:c r="N1020" s="3" t="str">
        <x:f>TEXT(B1020,"yyyy-mm")</x:f>
        <x:v>2024-10</x:v>
      </x:c>
      <x:c r="O1020" s="3" t="str">
        <x:f>IF(J1020=0,"No discount",IF(J1020&lt;=0.1,"1-10%",IF(J1020&lt;=0.15,"11-15%",IF(J1020&lt;=0.2,"16-20%","21%+"))))</x:f>
        <x:v>No discount</x:v>
      </x:c>
      <x:c r="P1020" s="9" t="n">
        <x:f>IF(K1020=0,0,L1020/K1020)</x:f>
        <x:v>0.21422439708974514</x:v>
      </x:c>
      <x:c r="Q1020" s="3" t="str">
        <x:f>IF(L1020&lt;0,"Yes","No")</x:f>
        <x:v>No</x:v>
      </x:c>
    </x:row>
    <x:row r="1021" ht="21" customHeight="1">
      <x:c r="A1021" s="3" t="str">
        <x:v>ORD-101565</x:v>
      </x:c>
      <x:c r="B1021" s="5" t="n">
        <x:v>45575</x:v>
      </x:c>
      <x:c r="C1021" s="3" t="str">
        <x:v>CUST-00477</x:v>
      </x:c>
      <x:c r="D1021" s="3" t="str">
        <x:v>East</x:v>
      </x:c>
      <x:c r="E1021" s="3" t="str">
        <x:v>Fashion</x:v>
      </x:c>
      <x:c r="F1021" s="3" t="str">
        <x:v>Footwear</x:v>
      </x:c>
      <x:c r="G1021" s="3" t="str">
        <x:v>RunFlex Sneakers</x:v>
      </x:c>
      <x:c r="H1021" s="3" t="n">
        <x:v>1</x:v>
      </x:c>
      <x:c r="I1021" s="7" t="n">
        <x:v>3033.83</x:v>
      </x:c>
      <x:c r="J1021" s="9" t="n">
        <x:v>0.05</x:v>
      </x:c>
      <x:c r="K1021" s="7" t="n">
        <x:v>2882.14</x:v>
      </x:c>
      <x:c r="L1021" s="7" t="n">
        <x:v>952.27</x:v>
      </x:c>
      <x:c r="M1021" s="3" t="str">
        <x:v>UPI</x:v>
      </x:c>
      <x:c r="N1021" s="3" t="str">
        <x:f>TEXT(B1021,"yyyy-mm")</x:f>
        <x:v>2024-10</x:v>
      </x:c>
      <x:c r="O1021" s="3" t="str">
        <x:f>IF(J1021=0,"No discount",IF(J1021&lt;=0.1,"1-10%",IF(J1021&lt;=0.15,"11-15%",IF(J1021&lt;=0.2,"16-20%","21%+"))))</x:f>
        <x:v>1-10%</x:v>
      </x:c>
      <x:c r="P1021" s="9" t="n">
        <x:f>IF(K1021=0,0,L1021/K1021)</x:f>
        <x:v>0.33040379717848545</x:v>
      </x:c>
      <x:c r="Q1021" s="3" t="str">
        <x:f>IF(L1021&lt;0,"Yes","No")</x:f>
        <x:v>No</x:v>
      </x:c>
    </x:row>
    <x:row r="1022" ht="21" customHeight="1">
      <x:c r="A1022" s="3" t="str">
        <x:v>ORD-101784</x:v>
      </x:c>
      <x:c r="B1022" s="5" t="n">
        <x:v>45575</x:v>
      </x:c>
      <x:c r="C1022" s="3" t="str">
        <x:v>CUST-00431</x:v>
      </x:c>
      <x:c r="D1022" s="3" t="str">
        <x:v>East</x:v>
      </x:c>
      <x:c r="E1022" s="3" t="str">
        <x:v>Electronics</x:v>
      </x:c>
      <x:c r="F1022" s="3" t="str">
        <x:v>Audio</x:v>
      </x:c>
      <x:c r="G1022" s="3" t="str">
        <x:v>SoundPods Pro</x:v>
      </x:c>
      <x:c r="H1022" s="3" t="n">
        <x:v>3</x:v>
      </x:c>
      <x:c r="I1022" s="7" t="n">
        <x:v>5069.68</x:v>
      </x:c>
      <x:c r="J1022" s="9" t="n">
        <x:v>0.05</x:v>
      </x:c>
      <x:c r="K1022" s="7" t="n">
        <x:v>14448.59</x:v>
      </x:c>
      <x:c r="L1022" s="7" t="n">
        <x:v>2202.01</x:v>
      </x:c>
      <x:c r="M1022" s="3" t="str">
        <x:v>Debit Card</x:v>
      </x:c>
      <x:c r="N1022" s="3" t="str">
        <x:f>TEXT(B1022,"yyyy-mm")</x:f>
        <x:v>2024-10</x:v>
      </x:c>
      <x:c r="O1022" s="3" t="str">
        <x:f>IF(J1022=0,"No discount",IF(J1022&lt;=0.1,"1-10%",IF(J1022&lt;=0.15,"11-15%",IF(J1022&lt;=0.2,"16-20%","21%+"))))</x:f>
        <x:v>1-10%</x:v>
      </x:c>
      <x:c r="P1022" s="9" t="n">
        <x:f>IF(K1022=0,0,L1022/K1022)</x:f>
        <x:v>0.1524031064622915</x:v>
      </x:c>
      <x:c r="Q1022" s="3" t="str">
        <x:f>IF(L1022&lt;0,"Yes","No")</x:f>
        <x:v>No</x:v>
      </x:c>
    </x:row>
    <x:row r="1023" ht="21" customHeight="1">
      <x:c r="A1023" s="3" t="str">
        <x:v>ORD-100404</x:v>
      </x:c>
      <x:c r="B1023" s="5" t="n">
        <x:v>45576</x:v>
      </x:c>
      <x:c r="C1023" s="3" t="str">
        <x:v>CUST-00571</x:v>
      </x:c>
      <x:c r="D1023" s="3" t="str">
        <x:v>East</x:v>
      </x:c>
      <x:c r="E1023" s="3" t="str">
        <x:v>Beauty</x:v>
      </x:c>
      <x:c r="F1023" s="3" t="str">
        <x:v>Makeup</x:v>
      </x:c>
      <x:c r="G1023" s="3" t="str">
        <x:v>Matte Lipstick Set</x:v>
      </x:c>
      <x:c r="H1023" s="3" t="n">
        <x:v>1</x:v>
      </x:c>
      <x:c r="I1023" s="7" t="n">
        <x:v>994.38</x:v>
      </x:c>
      <x:c r="J1023" s="9" t="n">
        <x:v>0.1</x:v>
      </x:c>
      <x:c r="K1023" s="7" t="n">
        <x:v>894.94</x:v>
      </x:c>
      <x:c r="L1023" s="7" t="n">
        <x:v>385.14</x:v>
      </x:c>
      <x:c r="M1023" s="3" t="str">
        <x:v>UPI</x:v>
      </x:c>
      <x:c r="N1023" s="3" t="str">
        <x:f>TEXT(B1023,"yyyy-mm")</x:f>
        <x:v>2024-10</x:v>
      </x:c>
      <x:c r="O1023" s="3" t="str">
        <x:f>IF(J1023=0,"No discount",IF(J1023&lt;=0.1,"1-10%",IF(J1023&lt;=0.15,"11-15%",IF(J1023&lt;=0.2,"16-20%","21%+"))))</x:f>
        <x:v>1-10%</x:v>
      </x:c>
      <x:c r="P1023" s="9" t="n">
        <x:f>IF(K1023=0,0,L1023/K1023)</x:f>
        <x:v>0.43035287281828943</x:v>
      </x:c>
      <x:c r="Q1023" s="3" t="str">
        <x:f>IF(L1023&lt;0,"Yes","No")</x:f>
        <x:v>No</x:v>
      </x:c>
    </x:row>
    <x:row r="1024" ht="21" customHeight="1">
      <x:c r="A1024" s="3" t="str">
        <x:v>ORD-100877</x:v>
      </x:c>
      <x:c r="B1024" s="5" t="n">
        <x:v>45576</x:v>
      </x:c>
      <x:c r="C1024" s="3" t="str">
        <x:v>CUST-00448</x:v>
      </x:c>
      <x:c r="D1024" s="3" t="str">
        <x:v>West</x:v>
      </x:c>
      <x:c r="E1024" s="3" t="str">
        <x:v>Sports</x:v>
      </x:c>
      <x:c r="F1024" s="3" t="str">
        <x:v>Outdoor</x:v>
      </x:c>
      <x:c r="G1024" s="3" t="str">
        <x:v>AllWeather Tent 4P</x:v>
      </x:c>
      <x:c r="H1024" s="3" t="n">
        <x:v>1</x:v>
      </x:c>
      <x:c r="I1024" s="7" t="n">
        <x:v>12035.82</x:v>
      </x:c>
      <x:c r="J1024" s="9" t="n">
        <x:v>0.1</x:v>
      </x:c>
      <x:c r="K1024" s="7" t="n">
        <x:v>10832.24</x:v>
      </x:c>
      <x:c r="L1024" s="7" t="n">
        <x:v>3202.69</x:v>
      </x:c>
      <x:c r="M1024" s="3" t="str">
        <x:v>Cash on Delivery</x:v>
      </x:c>
      <x:c r="N1024" s="3" t="str">
        <x:f>TEXT(B1024,"yyyy-mm")</x:f>
        <x:v>2024-10</x:v>
      </x:c>
      <x:c r="O1024" s="3" t="str">
        <x:f>IF(J1024=0,"No discount",IF(J1024&lt;=0.1,"1-10%",IF(J1024&lt;=0.15,"11-15%",IF(J1024&lt;=0.2,"16-20%","21%+"))))</x:f>
        <x:v>1-10%</x:v>
      </x:c>
      <x:c r="P1024" s="9" t="n">
        <x:f>IF(K1024=0,0,L1024/K1024)</x:f>
        <x:v>0.2956627622726232</x:v>
      </x:c>
      <x:c r="Q1024" s="3" t="str">
        <x:f>IF(L1024&lt;0,"Yes","No")</x:f>
        <x:v>No</x:v>
      </x:c>
    </x:row>
    <x:row r="1025" ht="21" customHeight="1">
      <x:c r="A1025" s="3" t="str">
        <x:v>ORD-101693</x:v>
      </x:c>
      <x:c r="B1025" s="5" t="n">
        <x:v>45576</x:v>
      </x:c>
      <x:c r="C1025" s="3" t="str">
        <x:v>CUST-00252</x:v>
      </x:c>
      <x:c r="D1025" s="3" t="str">
        <x:v>North</x:v>
      </x:c>
      <x:c r="E1025" s="3" t="str">
        <x:v>Fashion</x:v>
      </x:c>
      <x:c r="F1025" s="3" t="str">
        <x:v>Men</x:v>
      </x:c>
      <x:c r="G1025" s="3" t="str">
        <x:v>Oxford Casual Shirt</x:v>
      </x:c>
      <x:c r="H1025" s="3" t="n">
        <x:v>1</x:v>
      </x:c>
      <x:c r="I1025" s="7" t="n">
        <x:v>1255.15</x:v>
      </x:c>
      <x:c r="J1025" s="9" t="n">
        <x:v>0.1</x:v>
      </x:c>
      <x:c r="K1025" s="7" t="n">
        <x:v>1129.64</x:v>
      </x:c>
      <x:c r="L1025" s="7" t="n">
        <x:v>389.67</x:v>
      </x:c>
      <x:c r="M1025" s="3" t="str">
        <x:v>Net Banking</x:v>
      </x:c>
      <x:c r="N1025" s="3" t="str">
        <x:f>TEXT(B1025,"yyyy-mm")</x:f>
        <x:v>2024-10</x:v>
      </x:c>
      <x:c r="O1025" s="3" t="str">
        <x:f>IF(J1025=0,"No discount",IF(J1025&lt;=0.1,"1-10%",IF(J1025&lt;=0.15,"11-15%",IF(J1025&lt;=0.2,"16-20%","21%+"))))</x:f>
        <x:v>1-10%</x:v>
      </x:c>
      <x:c r="P1025" s="9" t="n">
        <x:f>IF(K1025=0,0,L1025/K1025)</x:f>
        <x:v>0.34495060373216246</x:v>
      </x:c>
      <x:c r="Q1025" s="3" t="str">
        <x:f>IF(L1025&lt;0,"Yes","No")</x:f>
        <x:v>No</x:v>
      </x:c>
    </x:row>
    <x:row r="1026" ht="21" customHeight="1">
      <x:c r="A1026" s="3" t="str">
        <x:v>ORD-101777</x:v>
      </x:c>
      <x:c r="B1026" s="5" t="n">
        <x:v>45576</x:v>
      </x:c>
      <x:c r="C1026" s="3" t="str">
        <x:v>CUST-00218</x:v>
      </x:c>
      <x:c r="D1026" s="3" t="str">
        <x:v>South</x:v>
      </x:c>
      <x:c r="E1026" s="3" t="str">
        <x:v>Electronics</x:v>
      </x:c>
      <x:c r="F1026" s="3" t="str">
        <x:v>Mobile</x:v>
      </x:c>
      <x:c r="G1026" s="3" t="str">
        <x:v>Galaxy Nova X5</x:v>
      </x:c>
      <x:c r="H1026" s="3" t="n">
        <x:v>3</x:v>
      </x:c>
      <x:c r="I1026" s="7" t="n">
        <x:v>23870.32</x:v>
      </x:c>
      <x:c r="J1026" s="9" t="n">
        <x:v>0.05</x:v>
      </x:c>
      <x:c r="K1026" s="7" t="n">
        <x:v>68030.41</x:v>
      </x:c>
      <x:c r="L1026" s="7" t="n">
        <x:v>8940.36</x:v>
      </x:c>
      <x:c r="M1026" s="3" t="str">
        <x:v>UPI</x:v>
      </x:c>
      <x:c r="N1026" s="3" t="str">
        <x:f>TEXT(B1026,"yyyy-mm")</x:f>
        <x:v>2024-10</x:v>
      </x:c>
      <x:c r="O1026" s="3" t="str">
        <x:f>IF(J1026=0,"No discount",IF(J1026&lt;=0.1,"1-10%",IF(J1026&lt;=0.15,"11-15%",IF(J1026&lt;=0.2,"16-20%","21%+"))))</x:f>
        <x:v>1-10%</x:v>
      </x:c>
      <x:c r="P1026" s="9" t="n">
        <x:f>IF(K1026=0,0,L1026/K1026)</x:f>
        <x:v>0.13141711184748114</x:v>
      </x:c>
      <x:c r="Q1026" s="3" t="str">
        <x:f>IF(L1026&lt;0,"Yes","No")</x:f>
        <x:v>No</x:v>
      </x:c>
    </x:row>
    <x:row r="1027" ht="21" customHeight="1">
      <x:c r="A1027" s="3" t="str">
        <x:v>ORD-100805</x:v>
      </x:c>
      <x:c r="B1027" s="5" t="n">
        <x:v>45577</x:v>
      </x:c>
      <x:c r="C1027" s="3" t="str">
        <x:v>CUST-00311</x:v>
      </x:c>
      <x:c r="D1027" s="3" t="str">
        <x:v>East</x:v>
      </x:c>
      <x:c r="E1027" s="3" t="str">
        <x:v>Sports</x:v>
      </x:c>
      <x:c r="F1027" s="3" t="str">
        <x:v>Fitness</x:v>
      </x:c>
      <x:c r="G1027" s="3" t="str">
        <x:v>ProYoga Mat</x:v>
      </x:c>
      <x:c r="H1027" s="3" t="n">
        <x:v>2</x:v>
      </x:c>
      <x:c r="I1027" s="7" t="n">
        <x:v>1327.48</x:v>
      </x:c>
      <x:c r="J1027" s="9" t="n">
        <x:v>0.05</x:v>
      </x:c>
      <x:c r="K1027" s="7" t="n">
        <x:v>2522.21</x:v>
      </x:c>
      <x:c r="L1027" s="7" t="n">
        <x:v>780.99</x:v>
      </x:c>
      <x:c r="M1027" s="3" t="str">
        <x:v>Debit Card</x:v>
      </x:c>
      <x:c r="N1027" s="3" t="str">
        <x:f>TEXT(B1027,"yyyy-mm")</x:f>
        <x:v>2024-10</x:v>
      </x:c>
      <x:c r="O1027" s="3" t="str">
        <x:f>IF(J1027=0,"No discount",IF(J1027&lt;=0.1,"1-10%",IF(J1027&lt;=0.15,"11-15%",IF(J1027&lt;=0.2,"16-20%","21%+"))))</x:f>
        <x:v>1-10%</x:v>
      </x:c>
      <x:c r="P1027" s="9" t="n">
        <x:f>IF(K1027=0,0,L1027/K1027)</x:f>
        <x:v>0.30964511281772733</x:v>
      </x:c>
      <x:c r="Q1027" s="3" t="str">
        <x:f>IF(L1027&lt;0,"Yes","No")</x:f>
        <x:v>No</x:v>
      </x:c>
    </x:row>
    <x:row r="1028" ht="21" customHeight="1">
      <x:c r="A1028" s="3" t="str">
        <x:v>ORD-100846</x:v>
      </x:c>
      <x:c r="B1028" s="5" t="n">
        <x:v>45577</x:v>
      </x:c>
      <x:c r="C1028" s="3" t="str">
        <x:v>CUST-00212</x:v>
      </x:c>
      <x:c r="D1028" s="3" t="str">
        <x:v>West</x:v>
      </x:c>
      <x:c r="E1028" s="3" t="str">
        <x:v>Fashion</x:v>
      </x:c>
      <x:c r="F1028" s="3" t="str">
        <x:v>Men</x:v>
      </x:c>
      <x:c r="G1028" s="3" t="str">
        <x:v>Oxford Casual Shirt</x:v>
      </x:c>
      <x:c r="H1028" s="3" t="n">
        <x:v>1</x:v>
      </x:c>
      <x:c r="I1028" s="7" t="n">
        <x:v>1349.06</x:v>
      </x:c>
      <x:c r="J1028" s="9" t="n">
        <x:v>0.05</x:v>
      </x:c>
      <x:c r="K1028" s="7" t="n">
        <x:v>1281.61</x:v>
      </x:c>
      <x:c r="L1028" s="7" t="n">
        <x:v>442.9</x:v>
      </x:c>
      <x:c r="M1028" s="3" t="str">
        <x:v>Cash on Delivery</x:v>
      </x:c>
      <x:c r="N1028" s="3" t="str">
        <x:f>TEXT(B1028,"yyyy-mm")</x:f>
        <x:v>2024-10</x:v>
      </x:c>
      <x:c r="O1028" s="3" t="str">
        <x:f>IF(J1028=0,"No discount",IF(J1028&lt;=0.1,"1-10%",IF(J1028&lt;=0.15,"11-15%",IF(J1028&lt;=0.2,"16-20%","21%+"))))</x:f>
        <x:v>1-10%</x:v>
      </x:c>
      <x:c r="P1028" s="9" t="n">
        <x:f>IF(K1028=0,0,L1028/K1028)</x:f>
        <x:v>0.34558094896263297</x:v>
      </x:c>
      <x:c r="Q1028" s="3" t="str">
        <x:f>IF(L1028&lt;0,"Yes","No")</x:f>
        <x:v>No</x:v>
      </x:c>
    </x:row>
    <x:row r="1029" ht="21" customHeight="1">
      <x:c r="A1029" s="3" t="str">
        <x:v>ORD-101120</x:v>
      </x:c>
      <x:c r="B1029" s="5" t="n">
        <x:v>45577</x:v>
      </x:c>
      <x:c r="C1029" s="3" t="str">
        <x:v>CUST-00466</x:v>
      </x:c>
      <x:c r="D1029" s="3" t="str">
        <x:v>West</x:v>
      </x:c>
      <x:c r="E1029" s="3" t="str">
        <x:v>Sports</x:v>
      </x:c>
      <x:c r="F1029" s="3" t="str">
        <x:v>Fitness</x:v>
      </x:c>
      <x:c r="G1029" s="3" t="str">
        <x:v>ProYoga Mat</x:v>
      </x:c>
      <x:c r="H1029" s="3" t="n">
        <x:v>1</x:v>
      </x:c>
      <x:c r="I1029" s="7" t="n">
        <x:v>1251.23</x:v>
      </x:c>
      <x:c r="J1029" s="9" t="n">
        <x:v>0</x:v>
      </x:c>
      <x:c r="K1029" s="7" t="n">
        <x:v>1251.23</x:v>
      </x:c>
      <x:c r="L1029" s="7" t="n">
        <x:v>511.67</x:v>
      </x:c>
      <x:c r="M1029" s="3" t="str">
        <x:v>Credit Card</x:v>
      </x:c>
      <x:c r="N1029" s="3" t="str">
        <x:f>TEXT(B1029,"yyyy-mm")</x:f>
        <x:v>2024-10</x:v>
      </x:c>
      <x:c r="O1029" s="3" t="str">
        <x:f>IF(J1029=0,"No discount",IF(J1029&lt;=0.1,"1-10%",IF(J1029&lt;=0.15,"11-15%",IF(J1029&lt;=0.2,"16-20%","21%+"))))</x:f>
        <x:v>No discount</x:v>
      </x:c>
      <x:c r="P1029" s="9" t="n">
        <x:f>IF(K1029=0,0,L1029/K1029)</x:f>
        <x:v>0.4089336093284208</x:v>
      </x:c>
      <x:c r="Q1029" s="3" t="str">
        <x:f>IF(L1029&lt;0,"Yes","No")</x:f>
        <x:v>No</x:v>
      </x:c>
    </x:row>
    <x:row r="1030" ht="21" customHeight="1">
      <x:c r="A1030" s="3" t="str">
        <x:v>ORD-100138</x:v>
      </x:c>
      <x:c r="B1030" s="5" t="n">
        <x:v>45578</x:v>
      </x:c>
      <x:c r="C1030" s="3" t="str">
        <x:v>CUST-00122</x:v>
      </x:c>
      <x:c r="D1030" s="3" t="str">
        <x:v>North</x:v>
      </x:c>
      <x:c r="E1030" s="3" t="str">
        <x:v>Home &amp; Kitchen</x:v>
      </x:c>
      <x:c r="F1030" s="3" t="str">
        <x:v>Decor</x:v>
      </x:c>
      <x:c r="G1030" s="3" t="str">
        <x:v>LED Wall Lamp</x:v>
      </x:c>
      <x:c r="H1030" s="3" t="n">
        <x:v>1</x:v>
      </x:c>
      <x:c r="I1030" s="7" t="n">
        <x:v>1005.18</x:v>
      </x:c>
      <x:c r="J1030" s="9" t="n">
        <x:v>0</x:v>
      </x:c>
      <x:c r="K1030" s="7" t="n">
        <x:v>1005.18</x:v>
      </x:c>
      <x:c r="L1030" s="7" t="n">
        <x:v>320.65</x:v>
      </x:c>
      <x:c r="M1030" s="3" t="str">
        <x:v>UPI</x:v>
      </x:c>
      <x:c r="N1030" s="3" t="str">
        <x:f>TEXT(B1030,"yyyy-mm")</x:f>
        <x:v>2024-10</x:v>
      </x:c>
      <x:c r="O1030" s="3" t="str">
        <x:f>IF(J1030=0,"No discount",IF(J1030&lt;=0.1,"1-10%",IF(J1030&lt;=0.15,"11-15%",IF(J1030&lt;=0.2,"16-20%","21%+"))))</x:f>
        <x:v>No discount</x:v>
      </x:c>
      <x:c r="P1030" s="9" t="n">
        <x:f>IF(K1030=0,0,L1030/K1030)</x:f>
        <x:v>0.31899759247100024</x:v>
      </x:c>
      <x:c r="Q1030" s="3" t="str">
        <x:f>IF(L1030&lt;0,"Yes","No")</x:f>
        <x:v>No</x:v>
      </x:c>
    </x:row>
    <x:row r="1031" ht="21" customHeight="1">
      <x:c r="A1031" s="3" t="str">
        <x:v>ORD-100343</x:v>
      </x:c>
      <x:c r="B1031" s="5" t="n">
        <x:v>45578</x:v>
      </x:c>
      <x:c r="C1031" s="3" t="str">
        <x:v>CUST-00586</x:v>
      </x:c>
      <x:c r="D1031" s="3" t="str">
        <x:v>South</x:v>
      </x:c>
      <x:c r="E1031" s="3" t="str">
        <x:v>Fashion</x:v>
      </x:c>
      <x:c r="F1031" s="3" t="str">
        <x:v>Women</x:v>
      </x:c>
      <x:c r="G1031" s="3" t="str">
        <x:v>Knit Winter Sweater</x:v>
      </x:c>
      <x:c r="H1031" s="3" t="n">
        <x:v>4</x:v>
      </x:c>
      <x:c r="I1031" s="7" t="n">
        <x:v>2129.49</x:v>
      </x:c>
      <x:c r="J1031" s="9" t="n">
        <x:v>0.05</x:v>
      </x:c>
      <x:c r="K1031" s="7" t="n">
        <x:v>8092.06</x:v>
      </x:c>
      <x:c r="L1031" s="7" t="n">
        <x:v>2884.14</x:v>
      </x:c>
      <x:c r="M1031" s="3" t="str">
        <x:v>Debit Card</x:v>
      </x:c>
      <x:c r="N1031" s="3" t="str">
        <x:f>TEXT(B1031,"yyyy-mm")</x:f>
        <x:v>2024-10</x:v>
      </x:c>
      <x:c r="O1031" s="3" t="str">
        <x:f>IF(J1031=0,"No discount",IF(J1031&lt;=0.1,"1-10%",IF(J1031&lt;=0.15,"11-15%",IF(J1031&lt;=0.2,"16-20%","21%+"))))</x:f>
        <x:v>1-10%</x:v>
      </x:c>
      <x:c r="P1031" s="9" t="n">
        <x:f>IF(K1031=0,0,L1031/K1031)</x:f>
        <x:v>0.35641604239217206</x:v>
      </x:c>
      <x:c r="Q1031" s="3" t="str">
        <x:f>IF(L1031&lt;0,"Yes","No")</x:f>
        <x:v>No</x:v>
      </x:c>
    </x:row>
    <x:row r="1032" ht="21" customHeight="1">
      <x:c r="A1032" s="3" t="str">
        <x:v>ORD-100390</x:v>
      </x:c>
      <x:c r="B1032" s="5" t="n">
        <x:v>45578</x:v>
      </x:c>
      <x:c r="C1032" s="3" t="str">
        <x:v>CUST-00350</x:v>
      </x:c>
      <x:c r="D1032" s="3" t="str">
        <x:v>North</x:v>
      </x:c>
      <x:c r="E1032" s="3" t="str">
        <x:v>Electronics</x:v>
      </x:c>
      <x:c r="F1032" s="3" t="str">
        <x:v>Laptop</x:v>
      </x:c>
      <x:c r="G1032" s="3" t="str">
        <x:v>AirBook Slim</x:v>
      </x:c>
      <x:c r="H1032" s="3" t="n">
        <x:v>1</x:v>
      </x:c>
      <x:c r="I1032" s="7" t="n">
        <x:v>82917.31</x:v>
      </x:c>
      <x:c r="J1032" s="9" t="n">
        <x:v>0.05</x:v>
      </x:c>
      <x:c r="K1032" s="7" t="n">
        <x:v>78771.44</x:v>
      </x:c>
      <x:c r="L1032" s="7" t="n">
        <x:v>12665.43</x:v>
      </x:c>
      <x:c r="M1032" s="3" t="str">
        <x:v>UPI</x:v>
      </x:c>
      <x:c r="N1032" s="3" t="str">
        <x:f>TEXT(B1032,"yyyy-mm")</x:f>
        <x:v>2024-10</x:v>
      </x:c>
      <x:c r="O1032" s="3" t="str">
        <x:f>IF(J1032=0,"No discount",IF(J1032&lt;=0.1,"1-10%",IF(J1032&lt;=0.15,"11-15%",IF(J1032&lt;=0.2,"16-20%","21%+"))))</x:f>
        <x:v>1-10%</x:v>
      </x:c>
      <x:c r="P1032" s="9" t="n">
        <x:f>IF(K1032=0,0,L1032/K1032)</x:f>
        <x:v>0.1607870822216783</x:v>
      </x:c>
      <x:c r="Q1032" s="3" t="str">
        <x:f>IF(L1032&lt;0,"Yes","No")</x:f>
        <x:v>No</x:v>
      </x:c>
    </x:row>
    <x:row r="1033" ht="21" customHeight="1">
      <x:c r="A1033" s="3" t="str">
        <x:v>ORD-100435</x:v>
      </x:c>
      <x:c r="B1033" s="5" t="n">
        <x:v>45578</x:v>
      </x:c>
      <x:c r="C1033" s="3" t="str">
        <x:v>CUST-00081</x:v>
      </x:c>
      <x:c r="D1033" s="3" t="str">
        <x:v>South</x:v>
      </x:c>
      <x:c r="E1033" s="3" t="str">
        <x:v>Beauty</x:v>
      </x:c>
      <x:c r="F1033" s="3" t="str">
        <x:v>Makeup</x:v>
      </x:c>
      <x:c r="G1033" s="3" t="str">
        <x:v>Matte Lipstick Set</x:v>
      </x:c>
      <x:c r="H1033" s="3" t="n">
        <x:v>5</x:v>
      </x:c>
      <x:c r="I1033" s="7" t="n">
        <x:v>1019.47</x:v>
      </x:c>
      <x:c r="J1033" s="9" t="n">
        <x:v>0.1</x:v>
      </x:c>
      <x:c r="K1033" s="7" t="n">
        <x:v>4587.62</x:v>
      </x:c>
      <x:c r="L1033" s="7" t="n">
        <x:v>1853.64</x:v>
      </x:c>
      <x:c r="M1033" s="3" t="str">
        <x:v>Credit Card</x:v>
      </x:c>
      <x:c r="N1033" s="3" t="str">
        <x:f>TEXT(B1033,"yyyy-mm")</x:f>
        <x:v>2024-10</x:v>
      </x:c>
      <x:c r="O1033" s="3" t="str">
        <x:f>IF(J1033=0,"No discount",IF(J1033&lt;=0.1,"1-10%",IF(J1033&lt;=0.15,"11-15%",IF(J1033&lt;=0.2,"16-20%","21%+"))))</x:f>
        <x:v>1-10%</x:v>
      </x:c>
      <x:c r="P1033" s="9" t="n">
        <x:f>IF(K1033=0,0,L1033/K1033)</x:f>
        <x:v>0.4040526460343272</x:v>
      </x:c>
      <x:c r="Q1033" s="3" t="str">
        <x:f>IF(L1033&lt;0,"Yes","No")</x:f>
        <x:v>No</x:v>
      </x:c>
    </x:row>
    <x:row r="1034" ht="21" customHeight="1">
      <x:c r="A1034" s="3" t="str">
        <x:v>ORD-101109</x:v>
      </x:c>
      <x:c r="B1034" s="5" t="n">
        <x:v>45578</x:v>
      </x:c>
      <x:c r="C1034" s="3" t="str">
        <x:v>CUST-00245</x:v>
      </x:c>
      <x:c r="D1034" s="3" t="str">
        <x:v>West</x:v>
      </x:c>
      <x:c r="E1034" s="3" t="str">
        <x:v>Sports</x:v>
      </x:c>
      <x:c r="F1034" s="3" t="str">
        <x:v>Fitness</x:v>
      </x:c>
      <x:c r="G1034" s="3" t="str">
        <x:v>ProYoga Mat</x:v>
      </x:c>
      <x:c r="H1034" s="3" t="n">
        <x:v>1</x:v>
      </x:c>
      <x:c r="I1034" s="7" t="n">
        <x:v>1265.49</x:v>
      </x:c>
      <x:c r="J1034" s="9" t="n">
        <x:v>0.05</x:v>
      </x:c>
      <x:c r="K1034" s="7" t="n">
        <x:v>1202.22</x:v>
      </x:c>
      <x:c r="L1034" s="7" t="n">
        <x:v>398.26</x:v>
      </x:c>
      <x:c r="M1034" s="3" t="str">
        <x:v>Net Banking</x:v>
      </x:c>
      <x:c r="N1034" s="3" t="str">
        <x:f>TEXT(B1034,"yyyy-mm")</x:f>
        <x:v>2024-10</x:v>
      </x:c>
      <x:c r="O1034" s="3" t="str">
        <x:f>IF(J1034=0,"No discount",IF(J1034&lt;=0.1,"1-10%",IF(J1034&lt;=0.15,"11-15%",IF(J1034&lt;=0.2,"16-20%","21%+"))))</x:f>
        <x:v>1-10%</x:v>
      </x:c>
      <x:c r="P1034" s="9" t="n">
        <x:f>IF(K1034=0,0,L1034/K1034)</x:f>
        <x:v>0.33127048293989453</x:v>
      </x:c>
      <x:c r="Q1034" s="3" t="str">
        <x:f>IF(L1034&lt;0,"Yes","No")</x:f>
        <x:v>No</x:v>
      </x:c>
    </x:row>
    <x:row r="1035" ht="21" customHeight="1">
      <x:c r="A1035" s="3" t="str">
        <x:v>ORD-101234</x:v>
      </x:c>
      <x:c r="B1035" s="5" t="n">
        <x:v>45578</x:v>
      </x:c>
      <x:c r="C1035" s="3" t="str">
        <x:v>CUST-00508</x:v>
      </x:c>
      <x:c r="D1035" s="3" t="str">
        <x:v>North</x:v>
      </x:c>
      <x:c r="E1035" s="3" t="str">
        <x:v>Fashion</x:v>
      </x:c>
      <x:c r="F1035" s="3" t="str">
        <x:v>Footwear</x:v>
      </x:c>
      <x:c r="G1035" s="3" t="str">
        <x:v>RunFlex Sneakers</x:v>
      </x:c>
      <x:c r="H1035" s="3" t="n">
        <x:v>3</x:v>
      </x:c>
      <x:c r="I1035" s="7" t="n">
        <x:v>3041.61</x:v>
      </x:c>
      <x:c r="J1035" s="9" t="n">
        <x:v>0.25</x:v>
      </x:c>
      <x:c r="K1035" s="7" t="n">
        <x:v>6843.62</x:v>
      </x:c>
      <x:c r="L1035" s="7" t="n">
        <x:v>976.3</x:v>
      </x:c>
      <x:c r="M1035" s="3" t="str">
        <x:v>UPI</x:v>
      </x:c>
      <x:c r="N1035" s="3" t="str">
        <x:f>TEXT(B1035,"yyyy-mm")</x:f>
        <x:v>2024-10</x:v>
      </x:c>
      <x:c r="O1035" s="3" t="str">
        <x:f>IF(J1035=0,"No discount",IF(J1035&lt;=0.1,"1-10%",IF(J1035&lt;=0.15,"11-15%",IF(J1035&lt;=0.2,"16-20%","21%+"))))</x:f>
        <x:v>21%+</x:v>
      </x:c>
      <x:c r="P1035" s="9" t="n">
        <x:f>IF(K1035=0,0,L1035/K1035)</x:f>
        <x:v>0.14265841762108358</x:v>
      </x:c>
      <x:c r="Q1035" s="3" t="str">
        <x:f>IF(L1035&lt;0,"Yes","No")</x:f>
        <x:v>No</x:v>
      </x:c>
    </x:row>
    <x:row r="1036" ht="21" customHeight="1">
      <x:c r="A1036" s="3" t="str">
        <x:v>ORD-101265</x:v>
      </x:c>
      <x:c r="B1036" s="5" t="n">
        <x:v>45578</x:v>
      </x:c>
      <x:c r="C1036" s="3" t="str">
        <x:v>CUST-00348</x:v>
      </x:c>
      <x:c r="D1036" s="3" t="str">
        <x:v>East</x:v>
      </x:c>
      <x:c r="E1036" s="3" t="str">
        <x:v>Beauty</x:v>
      </x:c>
      <x:c r="F1036" s="3" t="str">
        <x:v>Makeup</x:v>
      </x:c>
      <x:c r="G1036" s="3" t="str">
        <x:v>HD Foundation Kit</x:v>
      </x:c>
      <x:c r="H1036" s="3" t="n">
        <x:v>1</x:v>
      </x:c>
      <x:c r="I1036" s="7" t="n">
        <x:v>1553.35</x:v>
      </x:c>
      <x:c r="J1036" s="9" t="n">
        <x:v>0</x:v>
      </x:c>
      <x:c r="K1036" s="7" t="n">
        <x:v>1553.35</x:v>
      </x:c>
      <x:c r="L1036" s="7" t="n">
        <x:v>809.38</x:v>
      </x:c>
      <x:c r="M1036" s="3" t="str">
        <x:v>Credit Card</x:v>
      </x:c>
      <x:c r="N1036" s="3" t="str">
        <x:f>TEXT(B1036,"yyyy-mm")</x:f>
        <x:v>2024-10</x:v>
      </x:c>
      <x:c r="O1036" s="3" t="str">
        <x:f>IF(J1036=0,"No discount",IF(J1036&lt;=0.1,"1-10%",IF(J1036&lt;=0.15,"11-15%",IF(J1036&lt;=0.2,"16-20%","21%+"))))</x:f>
        <x:v>No discount</x:v>
      </x:c>
      <x:c r="P1036" s="9" t="n">
        <x:f>IF(K1036=0,0,L1036/K1036)</x:f>
        <x:v>0.5210544951234429</x:v>
      </x:c>
      <x:c r="Q1036" s="3" t="str">
        <x:f>IF(L1036&lt;0,"Yes","No")</x:f>
        <x:v>No</x:v>
      </x:c>
    </x:row>
    <x:row r="1037" ht="21" customHeight="1">
      <x:c r="A1037" s="3" t="str">
        <x:v>ORD-101572</x:v>
      </x:c>
      <x:c r="B1037" s="5" t="n">
        <x:v>45578</x:v>
      </x:c>
      <x:c r="C1037" s="3" t="str">
        <x:v>CUST-00115</x:v>
      </x:c>
      <x:c r="D1037" s="3" t="str">
        <x:v>South</x:v>
      </x:c>
      <x:c r="E1037" s="3" t="str">
        <x:v>Sports</x:v>
      </x:c>
      <x:c r="F1037" s="3" t="str">
        <x:v>Fitness</x:v>
      </x:c>
      <x:c r="G1037" s="3" t="str">
        <x:v>Adjustable Dumbbell 24kg</x:v>
      </x:c>
      <x:c r="H1037" s="3" t="n">
        <x:v>1</x:v>
      </x:c>
      <x:c r="I1037" s="7" t="n">
        <x:v>9524</x:v>
      </x:c>
      <x:c r="J1037" s="9" t="n">
        <x:v>0</x:v>
      </x:c>
      <x:c r="K1037" s="7" t="n">
        <x:v>9524</x:v>
      </x:c>
      <x:c r="L1037" s="7" t="n">
        <x:v>3865.7</x:v>
      </x:c>
      <x:c r="M1037" s="3" t="str">
        <x:v>Net Banking</x:v>
      </x:c>
      <x:c r="N1037" s="3" t="str">
        <x:f>TEXT(B1037,"yyyy-mm")</x:f>
        <x:v>2024-10</x:v>
      </x:c>
      <x:c r="O1037" s="3" t="str">
        <x:f>IF(J1037=0,"No discount",IF(J1037&lt;=0.1,"1-10%",IF(J1037&lt;=0.15,"11-15%",IF(J1037&lt;=0.2,"16-20%","21%+"))))</x:f>
        <x:v>No discount</x:v>
      </x:c>
      <x:c r="P1037" s="9" t="n">
        <x:f>IF(K1037=0,0,L1037/K1037)</x:f>
        <x:v>0.4058903821923561</x:v>
      </x:c>
      <x:c r="Q1037" s="3" t="str">
        <x:f>IF(L1037&lt;0,"Yes","No")</x:f>
        <x:v>No</x:v>
      </x:c>
    </x:row>
    <x:row r="1038" ht="21" customHeight="1">
      <x:c r="A1038" s="3" t="str">
        <x:v>ORD-101785</x:v>
      </x:c>
      <x:c r="B1038" s="5" t="n">
        <x:v>45578</x:v>
      </x:c>
      <x:c r="C1038" s="3" t="str">
        <x:v>CUST-00431</x:v>
      </x:c>
      <x:c r="D1038" s="3" t="str">
        <x:v>East</x:v>
      </x:c>
      <x:c r="E1038" s="3" t="str">
        <x:v>Fashion</x:v>
      </x:c>
      <x:c r="F1038" s="3" t="str">
        <x:v>Men</x:v>
      </x:c>
      <x:c r="G1038" s="3" t="str">
        <x:v>SlimFit Denim Jeans</x:v>
      </x:c>
      <x:c r="H1038" s="3" t="n">
        <x:v>1</x:v>
      </x:c>
      <x:c r="I1038" s="7" t="n">
        <x:v>1905.27</x:v>
      </x:c>
      <x:c r="J1038" s="9" t="n">
        <x:v>0.2</x:v>
      </x:c>
      <x:c r="K1038" s="7" t="n">
        <x:v>1524.22</x:v>
      </x:c>
      <x:c r="L1038" s="7" t="n">
        <x:v>307.02</x:v>
      </x:c>
      <x:c r="M1038" s="3" t="str">
        <x:v>UPI</x:v>
      </x:c>
      <x:c r="N1038" s="3" t="str">
        <x:f>TEXT(B1038,"yyyy-mm")</x:f>
        <x:v>2024-10</x:v>
      </x:c>
      <x:c r="O1038" s="3" t="str">
        <x:f>IF(J1038=0,"No discount",IF(J1038&lt;=0.1,"1-10%",IF(J1038&lt;=0.15,"11-15%",IF(J1038&lt;=0.2,"16-20%","21%+"))))</x:f>
        <x:v>16-20%</x:v>
      </x:c>
      <x:c r="P1038" s="9" t="n">
        <x:f>IF(K1038=0,0,L1038/K1038)</x:f>
        <x:v>0.2014276154360919</x:v>
      </x:c>
      <x:c r="Q1038" s="3" t="str">
        <x:f>IF(L1038&lt;0,"Yes","No")</x:f>
        <x:v>No</x:v>
      </x:c>
    </x:row>
    <x:row r="1039" ht="21" customHeight="1">
      <x:c r="A1039" s="3" t="str">
        <x:v>ORD-100536</x:v>
      </x:c>
      <x:c r="B1039" s="5" t="n">
        <x:v>45579</x:v>
      </x:c>
      <x:c r="C1039" s="3" t="str">
        <x:v>CUST-00441</x:v>
      </x:c>
      <x:c r="D1039" s="3" t="str">
        <x:v>North</x:v>
      </x:c>
      <x:c r="E1039" s="3" t="str">
        <x:v>Sports</x:v>
      </x:c>
      <x:c r="F1039" s="3" t="str">
        <x:v>Fitness</x:v>
      </x:c>
      <x:c r="G1039" s="3" t="str">
        <x:v>ProYoga Mat</x:v>
      </x:c>
      <x:c r="H1039" s="3" t="n">
        <x:v>1</x:v>
      </x:c>
      <x:c r="I1039" s="7" t="n">
        <x:v>1252.47</x:v>
      </x:c>
      <x:c r="J1039" s="9" t="n">
        <x:v>0.1</x:v>
      </x:c>
      <x:c r="K1039" s="7" t="n">
        <x:v>1127.22</x:v>
      </x:c>
      <x:c r="L1039" s="7" t="n">
        <x:v>264.16</x:v>
      </x:c>
      <x:c r="M1039" s="3" t="str">
        <x:v>UPI</x:v>
      </x:c>
      <x:c r="N1039" s="3" t="str">
        <x:f>TEXT(B1039,"yyyy-mm")</x:f>
        <x:v>2024-10</x:v>
      </x:c>
      <x:c r="O1039" s="3" t="str">
        <x:f>IF(J1039=0,"No discount",IF(J1039&lt;=0.1,"1-10%",IF(J1039&lt;=0.15,"11-15%",IF(J1039&lt;=0.2,"16-20%","21%+"))))</x:f>
        <x:v>1-10%</x:v>
      </x:c>
      <x:c r="P1039" s="9" t="n">
        <x:f>IF(K1039=0,0,L1039/K1039)</x:f>
        <x:v>0.23434644523695464</x:v>
      </x:c>
      <x:c r="Q1039" s="3" t="str">
        <x:f>IF(L1039&lt;0,"Yes","No")</x:f>
        <x:v>No</x:v>
      </x:c>
    </x:row>
    <x:row r="1040" ht="21" customHeight="1">
      <x:c r="A1040" s="3" t="str">
        <x:v>ORD-101030</x:v>
      </x:c>
      <x:c r="B1040" s="5" t="n">
        <x:v>45579</x:v>
      </x:c>
      <x:c r="C1040" s="3" t="str">
        <x:v>CUST-00256</x:v>
      </x:c>
      <x:c r="D1040" s="3" t="str">
        <x:v>South</x:v>
      </x:c>
      <x:c r="E1040" s="3" t="str">
        <x:v>Fashion</x:v>
      </x:c>
      <x:c r="F1040" s="3" t="str">
        <x:v>Men</x:v>
      </x:c>
      <x:c r="G1040" s="3" t="str">
        <x:v>SlimFit Denim Jeans</x:v>
      </x:c>
      <x:c r="H1040" s="3" t="n">
        <x:v>1</x:v>
      </x:c>
      <x:c r="I1040" s="7" t="n">
        <x:v>2022.65</x:v>
      </x:c>
      <x:c r="J1040" s="9" t="n">
        <x:v>0.1</x:v>
      </x:c>
      <x:c r="K1040" s="7" t="n">
        <x:v>1820.39</x:v>
      </x:c>
      <x:c r="L1040" s="7" t="n">
        <x:v>505.45</x:v>
      </x:c>
      <x:c r="M1040" s="3" t="str">
        <x:v>Credit Card</x:v>
      </x:c>
      <x:c r="N1040" s="3" t="str">
        <x:f>TEXT(B1040,"yyyy-mm")</x:f>
        <x:v>2024-10</x:v>
      </x:c>
      <x:c r="O1040" s="3" t="str">
        <x:f>IF(J1040=0,"No discount",IF(J1040&lt;=0.1,"1-10%",IF(J1040&lt;=0.15,"11-15%",IF(J1040&lt;=0.2,"16-20%","21%+"))))</x:f>
        <x:v>1-10%</x:v>
      </x:c>
      <x:c r="P1040" s="9" t="n">
        <x:f>IF(K1040=0,0,L1040/K1040)</x:f>
        <x:v>0.2776602815880113</x:v>
      </x:c>
      <x:c r="Q1040" s="3" t="str">
        <x:f>IF(L1040&lt;0,"Yes","No")</x:f>
        <x:v>No</x:v>
      </x:c>
    </x:row>
    <x:row r="1041" ht="21" customHeight="1">
      <x:c r="A1041" s="3" t="str">
        <x:v>ORD-101074</x:v>
      </x:c>
      <x:c r="B1041" s="5" t="n">
        <x:v>45579</x:v>
      </x:c>
      <x:c r="C1041" s="3" t="str">
        <x:v>CUST-00491</x:v>
      </x:c>
      <x:c r="D1041" s="3" t="str">
        <x:v>East</x:v>
      </x:c>
      <x:c r="E1041" s="3" t="str">
        <x:v>Sports</x:v>
      </x:c>
      <x:c r="F1041" s="3" t="str">
        <x:v>Fitness</x:v>
      </x:c>
      <x:c r="G1041" s="3" t="str">
        <x:v>ProYoga Mat</x:v>
      </x:c>
      <x:c r="H1041" s="3" t="n">
        <x:v>1</x:v>
      </x:c>
      <x:c r="I1041" s="7" t="n">
        <x:v>1287.62</x:v>
      </x:c>
      <x:c r="J1041" s="9" t="n">
        <x:v>0.2</x:v>
      </x:c>
      <x:c r="K1041" s="7" t="n">
        <x:v>1030.1</x:v>
      </x:c>
      <x:c r="L1041" s="7" t="n">
        <x:v>193.49</x:v>
      </x:c>
      <x:c r="M1041" s="3" t="str">
        <x:v>UPI</x:v>
      </x:c>
      <x:c r="N1041" s="3" t="str">
        <x:f>TEXT(B1041,"yyyy-mm")</x:f>
        <x:v>2024-10</x:v>
      </x:c>
      <x:c r="O1041" s="3" t="str">
        <x:f>IF(J1041=0,"No discount",IF(J1041&lt;=0.1,"1-10%",IF(J1041&lt;=0.15,"11-15%",IF(J1041&lt;=0.2,"16-20%","21%+"))))</x:f>
        <x:v>16-20%</x:v>
      </x:c>
      <x:c r="P1041" s="9" t="n">
        <x:f>IF(K1041=0,0,L1041/K1041)</x:f>
        <x:v>0.18783613241432873</x:v>
      </x:c>
      <x:c r="Q1041" s="3" t="str">
        <x:f>IF(L1041&lt;0,"Yes","No")</x:f>
        <x:v>No</x:v>
      </x:c>
    </x:row>
    <x:row r="1042" ht="21" customHeight="1">
      <x:c r="A1042" s="3" t="str">
        <x:v>ORD-101162</x:v>
      </x:c>
      <x:c r="B1042" s="5" t="n">
        <x:v>45579</x:v>
      </x:c>
      <x:c r="C1042" s="3" t="str">
        <x:v>CUST-00422</x:v>
      </x:c>
      <x:c r="D1042" s="3" t="str">
        <x:v>North</x:v>
      </x:c>
      <x:c r="E1042" s="3" t="str">
        <x:v>Sports</x:v>
      </x:c>
      <x:c r="F1042" s="3" t="str">
        <x:v>Outdoor</x:v>
      </x:c>
      <x:c r="G1042" s="3" t="str">
        <x:v>TrailHike Backpack 60L</x:v>
      </x:c>
      <x:c r="H1042" s="3" t="n">
        <x:v>3</x:v>
      </x:c>
      <x:c r="I1042" s="7" t="n">
        <x:v>3429.09</x:v>
      </x:c>
      <x:c r="J1042" s="9" t="n">
        <x:v>0</x:v>
      </x:c>
      <x:c r="K1042" s="7" t="n">
        <x:v>10287.27</x:v>
      </x:c>
      <x:c r="L1042" s="7" t="n">
        <x:v>4291.09</x:v>
      </x:c>
      <x:c r="M1042" s="3" t="str">
        <x:v>UPI</x:v>
      </x:c>
      <x:c r="N1042" s="3" t="str">
        <x:f>TEXT(B1042,"yyyy-mm")</x:f>
        <x:v>2024-10</x:v>
      </x:c>
      <x:c r="O1042" s="3" t="str">
        <x:f>IF(J1042=0,"No discount",IF(J1042&lt;=0.1,"1-10%",IF(J1042&lt;=0.15,"11-15%",IF(J1042&lt;=0.2,"16-20%","21%+"))))</x:f>
        <x:v>No discount</x:v>
      </x:c>
      <x:c r="P1042" s="9" t="n">
        <x:f>IF(K1042=0,0,L1042/K1042)</x:f>
        <x:v>0.4171262152155042</x:v>
      </x:c>
      <x:c r="Q1042" s="3" t="str">
        <x:f>IF(L1042&lt;0,"Yes","No")</x:f>
        <x:v>No</x:v>
      </x:c>
    </x:row>
    <x:row r="1043" ht="21" customHeight="1">
      <x:c r="A1043" s="3" t="str">
        <x:v>ORD-101426</x:v>
      </x:c>
      <x:c r="B1043" s="5" t="n">
        <x:v>45579</x:v>
      </x:c>
      <x:c r="C1043" s="3" t="str">
        <x:v>CUST-00215</x:v>
      </x:c>
      <x:c r="D1043" s="3" t="str">
        <x:v>North</x:v>
      </x:c>
      <x:c r="E1043" s="3" t="str">
        <x:v>Sports</x:v>
      </x:c>
      <x:c r="F1043" s="3" t="str">
        <x:v>Outdoor</x:v>
      </x:c>
      <x:c r="G1043" s="3" t="str">
        <x:v>TrailHike Backpack 60L</x:v>
      </x:c>
      <x:c r="H1043" s="3" t="n">
        <x:v>1</x:v>
      </x:c>
      <x:c r="I1043" s="7" t="n">
        <x:v>3452.94</x:v>
      </x:c>
      <x:c r="J1043" s="9" t="n">
        <x:v>0</x:v>
      </x:c>
      <x:c r="K1043" s="7" t="n">
        <x:v>3452.94</x:v>
      </x:c>
      <x:c r="L1043" s="7" t="n">
        <x:v>1325.65</x:v>
      </x:c>
      <x:c r="M1043" s="3" t="str">
        <x:v>Cash on Delivery</x:v>
      </x:c>
      <x:c r="N1043" s="3" t="str">
        <x:f>TEXT(B1043,"yyyy-mm")</x:f>
        <x:v>2024-10</x:v>
      </x:c>
      <x:c r="O1043" s="3" t="str">
        <x:f>IF(J1043=0,"No discount",IF(J1043&lt;=0.1,"1-10%",IF(J1043&lt;=0.15,"11-15%",IF(J1043&lt;=0.2,"16-20%","21%+"))))</x:f>
        <x:v>No discount</x:v>
      </x:c>
      <x:c r="P1043" s="9" t="n">
        <x:f>IF(K1043=0,0,L1043/K1043)</x:f>
        <x:v>0.38391921087537</x:v>
      </x:c>
      <x:c r="Q1043" s="3" t="str">
        <x:f>IF(L1043&lt;0,"Yes","No")</x:f>
        <x:v>No</x:v>
      </x:c>
    </x:row>
    <x:row r="1044" ht="21" customHeight="1">
      <x:c r="A1044" s="3" t="str">
        <x:v>ORD-101885</x:v>
      </x:c>
      <x:c r="B1044" s="5" t="n">
        <x:v>45579</x:v>
      </x:c>
      <x:c r="C1044" s="3" t="str">
        <x:v>CUST-00066</x:v>
      </x:c>
      <x:c r="D1044" s="3" t="str">
        <x:v>South</x:v>
      </x:c>
      <x:c r="E1044" s="3" t="str">
        <x:v>Beauty</x:v>
      </x:c>
      <x:c r="F1044" s="3" t="str">
        <x:v>Skincare</x:v>
      </x:c>
      <x:c r="G1044" s="3" t="str">
        <x:v>Vitamin C Serum</x:v>
      </x:c>
      <x:c r="H1044" s="3" t="n">
        <x:v>1</x:v>
      </x:c>
      <x:c r="I1044" s="7" t="n">
        <x:v>917.77</x:v>
      </x:c>
      <x:c r="J1044" s="9" t="n">
        <x:v>0</x:v>
      </x:c>
      <x:c r="K1044" s="7" t="n">
        <x:v>917.77</x:v>
      </x:c>
      <x:c r="L1044" s="7" t="n">
        <x:v>515.64</x:v>
      </x:c>
      <x:c r="M1044" s="3" t="str">
        <x:v>UPI</x:v>
      </x:c>
      <x:c r="N1044" s="3" t="str">
        <x:f>TEXT(B1044,"yyyy-mm")</x:f>
        <x:v>2024-10</x:v>
      </x:c>
      <x:c r="O1044" s="3" t="str">
        <x:f>IF(J1044=0,"No discount",IF(J1044&lt;=0.1,"1-10%",IF(J1044&lt;=0.15,"11-15%",IF(J1044&lt;=0.2,"16-20%","21%+"))))</x:f>
        <x:v>No discount</x:v>
      </x:c>
      <x:c r="P1044" s="9" t="n">
        <x:f>IF(K1044=0,0,L1044/K1044)</x:f>
        <x:v>0.5618401124464735</x:v>
      </x:c>
      <x:c r="Q1044" s="3" t="str">
        <x:f>IF(L1044&lt;0,"Yes","No")</x:f>
        <x:v>No</x:v>
      </x:c>
    </x:row>
    <x:row r="1045" ht="21" customHeight="1">
      <x:c r="A1045" s="3" t="str">
        <x:v>ORD-100410</x:v>
      </x:c>
      <x:c r="B1045" s="5" t="n">
        <x:v>45580</x:v>
      </x:c>
      <x:c r="C1045" s="3" t="str">
        <x:v>CUST-00070</x:v>
      </x:c>
      <x:c r="D1045" s="3" t="str">
        <x:v>South</x:v>
      </x:c>
      <x:c r="E1045" s="3" t="str">
        <x:v>Sports</x:v>
      </x:c>
      <x:c r="F1045" s="3" t="str">
        <x:v>Fitness</x:v>
      </x:c>
      <x:c r="G1045" s="3" t="str">
        <x:v>ProYoga Mat</x:v>
      </x:c>
      <x:c r="H1045" s="3" t="n">
        <x:v>3</x:v>
      </x:c>
      <x:c r="I1045" s="7" t="n">
        <x:v>1287.83</x:v>
      </x:c>
      <x:c r="J1045" s="9" t="n">
        <x:v>0.4</x:v>
      </x:c>
      <x:c r="K1045" s="7" t="n">
        <x:v>2318.09</x:v>
      </x:c>
      <x:c r="L1045" s="7" t="n">
        <x:v>-216.27</x:v>
      </x:c>
      <x:c r="M1045" s="3" t="str">
        <x:v>Credit Card</x:v>
      </x:c>
      <x:c r="N1045" s="3" t="str">
        <x:f>TEXT(B1045,"yyyy-mm")</x:f>
        <x:v>2024-10</x:v>
      </x:c>
      <x:c r="O1045" s="3" t="str">
        <x:f>IF(J1045=0,"No discount",IF(J1045&lt;=0.1,"1-10%",IF(J1045&lt;=0.15,"11-15%",IF(J1045&lt;=0.2,"16-20%","21%+"))))</x:f>
        <x:v>21%+</x:v>
      </x:c>
      <x:c r="P1045" s="9" t="n">
        <x:f>IF(K1045=0,0,L1045/K1045)</x:f>
        <x:v>-0.09329663645501253</x:v>
      </x:c>
      <x:c r="Q1045" s="3" t="str">
        <x:f>IF(L1045&lt;0,"Yes","No")</x:f>
        <x:v>Yes</x:v>
      </x:c>
    </x:row>
    <x:row r="1046" ht="21" customHeight="1">
      <x:c r="A1046" s="3" t="str">
        <x:v>ORD-101478</x:v>
      </x:c>
      <x:c r="B1046" s="5" t="n">
        <x:v>45580</x:v>
      </x:c>
      <x:c r="C1046" s="3" t="str">
        <x:v>CUST-00520</x:v>
      </x:c>
      <x:c r="D1046" s="3" t="str">
        <x:v>South</x:v>
      </x:c>
      <x:c r="E1046" s="3" t="str">
        <x:v>Fashion</x:v>
      </x:c>
      <x:c r="F1046" s="3" t="str">
        <x:v>Men</x:v>
      </x:c>
      <x:c r="G1046" s="3" t="str">
        <x:v>Oxford Casual Shirt</x:v>
      </x:c>
      <x:c r="H1046" s="3" t="n">
        <x:v>2</x:v>
      </x:c>
      <x:c r="I1046" s="7" t="n">
        <x:v>1310.03</x:v>
      </x:c>
      <x:c r="J1046" s="9" t="n">
        <x:v>0.15</x:v>
      </x:c>
      <x:c r="K1046" s="7" t="n">
        <x:v>2227.05</x:v>
      </x:c>
      <x:c r="L1046" s="7" t="n">
        <x:v>584.71</x:v>
      </x:c>
      <x:c r="M1046" s="3" t="str">
        <x:v>Debit Card</x:v>
      </x:c>
      <x:c r="N1046" s="3" t="str">
        <x:f>TEXT(B1046,"yyyy-mm")</x:f>
        <x:v>2024-10</x:v>
      </x:c>
      <x:c r="O1046" s="3" t="str">
        <x:f>IF(J1046=0,"No discount",IF(J1046&lt;=0.1,"1-10%",IF(J1046&lt;=0.15,"11-15%",IF(J1046&lt;=0.2,"16-20%","21%+"))))</x:f>
        <x:v>11-15%</x:v>
      </x:c>
      <x:c r="P1046" s="9" t="n">
        <x:f>IF(K1046=0,0,L1046/K1046)</x:f>
        <x:v>0.26254911205406256</x:v>
      </x:c>
      <x:c r="Q1046" s="3" t="str">
        <x:f>IF(L1046&lt;0,"Yes","No")</x:f>
        <x:v>No</x:v>
      </x:c>
    </x:row>
    <x:row r="1047" ht="21" customHeight="1">
      <x:c r="A1047" s="3" t="str">
        <x:v>ORD-101847</x:v>
      </x:c>
      <x:c r="B1047" s="5" t="n">
        <x:v>45580</x:v>
      </x:c>
      <x:c r="C1047" s="3" t="str">
        <x:v>CUST-00577</x:v>
      </x:c>
      <x:c r="D1047" s="3" t="str">
        <x:v>North</x:v>
      </x:c>
      <x:c r="E1047" s="3" t="str">
        <x:v>Home &amp; Kitchen</x:v>
      </x:c>
      <x:c r="F1047" s="3" t="str">
        <x:v>Decor</x:v>
      </x:c>
      <x:c r="G1047" s="3" t="str">
        <x:v>Ceramic Vase Set</x:v>
      </x:c>
      <x:c r="H1047" s="3" t="n">
        <x:v>1</x:v>
      </x:c>
      <x:c r="I1047" s="7" t="n">
        <x:v>1548.95</x:v>
      </x:c>
      <x:c r="J1047" s="9" t="n">
        <x:v>0.1</x:v>
      </x:c>
      <x:c r="K1047" s="7" t="n">
        <x:v>1394.06</x:v>
      </x:c>
      <x:c r="L1047" s="7" t="n">
        <x:v>317.21</x:v>
      </x:c>
      <x:c r="M1047" s="3" t="str">
        <x:v>Credit Card</x:v>
      </x:c>
      <x:c r="N1047" s="3" t="str">
        <x:f>TEXT(B1047,"yyyy-mm")</x:f>
        <x:v>2024-10</x:v>
      </x:c>
      <x:c r="O1047" s="3" t="str">
        <x:f>IF(J1047=0,"No discount",IF(J1047&lt;=0.1,"1-10%",IF(J1047&lt;=0.15,"11-15%",IF(J1047&lt;=0.2,"16-20%","21%+"))))</x:f>
        <x:v>1-10%</x:v>
      </x:c>
      <x:c r="P1047" s="9" t="n">
        <x:f>IF(K1047=0,0,L1047/K1047)</x:f>
        <x:v>0.22754400814886017</x:v>
      </x:c>
      <x:c r="Q1047" s="3" t="str">
        <x:f>IF(L1047&lt;0,"Yes","No")</x:f>
        <x:v>No</x:v>
      </x:c>
    </x:row>
    <x:row r="1048" ht="21" customHeight="1">
      <x:c r="A1048" s="3" t="str">
        <x:v>ORD-100104</x:v>
      </x:c>
      <x:c r="B1048" s="5" t="n">
        <x:v>45581</x:v>
      </x:c>
      <x:c r="C1048" s="3" t="str">
        <x:v>CUST-00347</x:v>
      </x:c>
      <x:c r="D1048" s="3" t="str">
        <x:v>East</x:v>
      </x:c>
      <x:c r="E1048" s="3" t="str">
        <x:v>Electronics</x:v>
      </x:c>
      <x:c r="F1048" s="3" t="str">
        <x:v>Audio</x:v>
      </x:c>
      <x:c r="G1048" s="3" t="str">
        <x:v>SoundPods Pro</x:v>
      </x:c>
      <x:c r="H1048" s="3" t="n">
        <x:v>1</x:v>
      </x:c>
      <x:c r="I1048" s="7" t="n">
        <x:v>5244.44</x:v>
      </x:c>
      <x:c r="J1048" s="9" t="n">
        <x:v>0.15</x:v>
      </x:c>
      <x:c r="K1048" s="7" t="n">
        <x:v>4457.77</x:v>
      </x:c>
      <x:c r="L1048" s="7" t="n">
        <x:v>42.02</x:v>
      </x:c>
      <x:c r="M1048" s="3" t="str">
        <x:v>UPI</x:v>
      </x:c>
      <x:c r="N1048" s="3" t="str">
        <x:f>TEXT(B1048,"yyyy-mm")</x:f>
        <x:v>2024-10</x:v>
      </x:c>
      <x:c r="O1048" s="3" t="str">
        <x:f>IF(J1048=0,"No discount",IF(J1048&lt;=0.1,"1-10%",IF(J1048&lt;=0.15,"11-15%",IF(J1048&lt;=0.2,"16-20%","21%+"))))</x:f>
        <x:v>11-15%</x:v>
      </x:c>
      <x:c r="P1048" s="9" t="n">
        <x:f>IF(K1048=0,0,L1048/K1048)</x:f>
        <x:v>0.009426237782568413</x:v>
      </x:c>
      <x:c r="Q1048" s="3" t="str">
        <x:f>IF(L1048&lt;0,"Yes","No")</x:f>
        <x:v>No</x:v>
      </x:c>
    </x:row>
    <x:row r="1049" ht="21" customHeight="1">
      <x:c r="A1049" s="3" t="str">
        <x:v>ORD-100168</x:v>
      </x:c>
      <x:c r="B1049" s="5" t="n">
        <x:v>45581</x:v>
      </x:c>
      <x:c r="C1049" s="3" t="str">
        <x:v>CUST-00547</x:v>
      </x:c>
      <x:c r="D1049" s="3" t="str">
        <x:v>North</x:v>
      </x:c>
      <x:c r="E1049" s="3" t="str">
        <x:v>Electronics</x:v>
      </x:c>
      <x:c r="F1049" s="3" t="str">
        <x:v>Audio</x:v>
      </x:c>
      <x:c r="G1049" s="3" t="str">
        <x:v>BassBoom Speaker</x:v>
      </x:c>
      <x:c r="H1049" s="3" t="n">
        <x:v>4</x:v>
      </x:c>
      <x:c r="I1049" s="7" t="n">
        <x:v>9182.37</x:v>
      </x:c>
      <x:c r="J1049" s="9" t="n">
        <x:v>0.1</x:v>
      </x:c>
      <x:c r="K1049" s="7" t="n">
        <x:v>33056.53</x:v>
      </x:c>
      <x:c r="L1049" s="7" t="n">
        <x:v>1875.32</x:v>
      </x:c>
      <x:c r="M1049" s="3" t="str">
        <x:v>UPI</x:v>
      </x:c>
      <x:c r="N1049" s="3" t="str">
        <x:f>TEXT(B1049,"yyyy-mm")</x:f>
        <x:v>2024-10</x:v>
      </x:c>
      <x:c r="O1049" s="3" t="str">
        <x:f>IF(J1049=0,"No discount",IF(J1049&lt;=0.1,"1-10%",IF(J1049&lt;=0.15,"11-15%",IF(J1049&lt;=0.2,"16-20%","21%+"))))</x:f>
        <x:v>1-10%</x:v>
      </x:c>
      <x:c r="P1049" s="9" t="n">
        <x:f>IF(K1049=0,0,L1049/K1049)</x:f>
        <x:v>0.0567306973841477</x:v>
      </x:c>
      <x:c r="Q1049" s="3" t="str">
        <x:f>IF(L1049&lt;0,"Yes","No")</x:f>
        <x:v>No</x:v>
      </x:c>
    </x:row>
    <x:row r="1050" ht="21" customHeight="1">
      <x:c r="A1050" s="3" t="str">
        <x:v>ORD-100223</x:v>
      </x:c>
      <x:c r="B1050" s="5" t="n">
        <x:v>45581</x:v>
      </x:c>
      <x:c r="C1050" s="3" t="str">
        <x:v>CUST-00319</x:v>
      </x:c>
      <x:c r="D1050" s="3" t="str">
        <x:v>North</x:v>
      </x:c>
      <x:c r="E1050" s="3" t="str">
        <x:v>Home &amp; Kitchen</x:v>
      </x:c>
      <x:c r="F1050" s="3" t="str">
        <x:v>Decor</x:v>
      </x:c>
      <x:c r="G1050" s="3" t="str">
        <x:v>Ceramic Vase Set</x:v>
      </x:c>
      <x:c r="H1050" s="3" t="n">
        <x:v>2</x:v>
      </x:c>
      <x:c r="I1050" s="7" t="n">
        <x:v>1524.98</x:v>
      </x:c>
      <x:c r="J1050" s="9" t="n">
        <x:v>0</x:v>
      </x:c>
      <x:c r="K1050" s="7" t="n">
        <x:v>3049.96</x:v>
      </x:c>
      <x:c r="L1050" s="7" t="n">
        <x:v>897.34</x:v>
      </x:c>
      <x:c r="M1050" s="3" t="str">
        <x:v>Credit Card</x:v>
      </x:c>
      <x:c r="N1050" s="3" t="str">
        <x:f>TEXT(B1050,"yyyy-mm")</x:f>
        <x:v>2024-10</x:v>
      </x:c>
      <x:c r="O1050" s="3" t="str">
        <x:f>IF(J1050=0,"No discount",IF(J1050&lt;=0.1,"1-10%",IF(J1050&lt;=0.15,"11-15%",IF(J1050&lt;=0.2,"16-20%","21%+"))))</x:f>
        <x:v>No discount</x:v>
      </x:c>
      <x:c r="P1050" s="9" t="n">
        <x:f>IF(K1050=0,0,L1050/K1050)</x:f>
        <x:v>0.2942136946058309</x:v>
      </x:c>
      <x:c r="Q1050" s="3" t="str">
        <x:f>IF(L1050&lt;0,"Yes","No")</x:f>
        <x:v>No</x:v>
      </x:c>
    </x:row>
    <x:row r="1051" ht="21" customHeight="1">
      <x:c r="A1051" s="3" t="str">
        <x:v>ORD-100264</x:v>
      </x:c>
      <x:c r="B1051" s="5" t="n">
        <x:v>45581</x:v>
      </x:c>
      <x:c r="C1051" s="3" t="str">
        <x:v>CUST-00111</x:v>
      </x:c>
      <x:c r="D1051" s="3" t="str">
        <x:v>West</x:v>
      </x:c>
      <x:c r="E1051" s="3" t="str">
        <x:v>Home &amp; Kitchen</x:v>
      </x:c>
      <x:c r="F1051" s="3" t="str">
        <x:v>Appliances</x:v>
      </x:c>
      <x:c r="G1051" s="3" t="str">
        <x:v>ColdBrew Coffee Maker</x:v>
      </x:c>
      <x:c r="H1051" s="3" t="n">
        <x:v>2</x:v>
      </x:c>
      <x:c r="I1051" s="7" t="n">
        <x:v>6823.58</x:v>
      </x:c>
      <x:c r="J1051" s="9" t="n">
        <x:v>0</x:v>
      </x:c>
      <x:c r="K1051" s="7" t="n">
        <x:v>13647.16</x:v>
      </x:c>
      <x:c r="L1051" s="7" t="n">
        <x:v>5012.86</x:v>
      </x:c>
      <x:c r="M1051" s="3" t="str">
        <x:v>Credit Card</x:v>
      </x:c>
      <x:c r="N1051" s="3" t="str">
        <x:f>TEXT(B1051,"yyyy-mm")</x:f>
        <x:v>2024-10</x:v>
      </x:c>
      <x:c r="O1051" s="3" t="str">
        <x:f>IF(J1051=0,"No discount",IF(J1051&lt;=0.1,"1-10%",IF(J1051&lt;=0.15,"11-15%",IF(J1051&lt;=0.2,"16-20%","21%+"))))</x:f>
        <x:v>No discount</x:v>
      </x:c>
      <x:c r="P1051" s="9" t="n">
        <x:f>IF(K1051=0,0,L1051/K1051)</x:f>
        <x:v>0.3673189147045979</x:v>
      </x:c>
      <x:c r="Q1051" s="3" t="str">
        <x:f>IF(L1051&lt;0,"Yes","No")</x:f>
        <x:v>No</x:v>
      </x:c>
    </x:row>
    <x:row r="1052" ht="21" customHeight="1">
      <x:c r="A1052" s="3" t="str">
        <x:v>ORD-100542</x:v>
      </x:c>
      <x:c r="B1052" s="5" t="n">
        <x:v>45581</x:v>
      </x:c>
      <x:c r="C1052" s="3" t="str">
        <x:v>CUST-00057</x:v>
      </x:c>
      <x:c r="D1052" s="3" t="str">
        <x:v>South</x:v>
      </x:c>
      <x:c r="E1052" s="3" t="str">
        <x:v>Home &amp; Kitchen</x:v>
      </x:c>
      <x:c r="F1052" s="3" t="str">
        <x:v>Furniture</x:v>
      </x:c>
      <x:c r="G1052" s="3" t="str">
        <x:v>ErgoComfort Chair</x:v>
      </x:c>
      <x:c r="H1052" s="3" t="n">
        <x:v>1</x:v>
      </x:c>
      <x:c r="I1052" s="7" t="n">
        <x:v>9209.86</x:v>
      </x:c>
      <x:c r="J1052" s="9" t="n">
        <x:v>0.15</x:v>
      </x:c>
      <x:c r="K1052" s="7" t="n">
        <x:v>7828.38</x:v>
      </x:c>
      <x:c r="L1052" s="7" t="n">
        <x:v>1519.43</x:v>
      </x:c>
      <x:c r="M1052" s="3" t="str">
        <x:v>UPI</x:v>
      </x:c>
      <x:c r="N1052" s="3" t="str">
        <x:f>TEXT(B1052,"yyyy-mm")</x:f>
        <x:v>2024-10</x:v>
      </x:c>
      <x:c r="O1052" s="3" t="str">
        <x:f>IF(J1052=0,"No discount",IF(J1052&lt;=0.1,"1-10%",IF(J1052&lt;=0.15,"11-15%",IF(J1052&lt;=0.2,"16-20%","21%+"))))</x:f>
        <x:v>11-15%</x:v>
      </x:c>
      <x:c r="P1052" s="9" t="n">
        <x:f>IF(K1052=0,0,L1052/K1052)</x:f>
        <x:v>0.1940925197805932</x:v>
      </x:c>
      <x:c r="Q1052" s="3" t="str">
        <x:f>IF(L1052&lt;0,"Yes","No")</x:f>
        <x:v>No</x:v>
      </x:c>
    </x:row>
    <x:row r="1053" ht="21" customHeight="1">
      <x:c r="A1053" s="3" t="str">
        <x:v>ORD-100668</x:v>
      </x:c>
      <x:c r="B1053" s="5" t="n">
        <x:v>45581</x:v>
      </x:c>
      <x:c r="C1053" s="3" t="str">
        <x:v>CUST-00200</x:v>
      </x:c>
      <x:c r="D1053" s="3" t="str">
        <x:v>South</x:v>
      </x:c>
      <x:c r="E1053" s="3" t="str">
        <x:v>Electronics</x:v>
      </x:c>
      <x:c r="F1053" s="3" t="str">
        <x:v>Audio</x:v>
      </x:c>
      <x:c r="G1053" s="3" t="str">
        <x:v>BassBoom Speaker</x:v>
      </x:c>
      <x:c r="H1053" s="3" t="n">
        <x:v>1</x:v>
      </x:c>
      <x:c r="I1053" s="7" t="n">
        <x:v>9440.23</x:v>
      </x:c>
      <x:c r="J1053" s="9" t="n">
        <x:v>0.1</x:v>
      </x:c>
      <x:c r="K1053" s="7" t="n">
        <x:v>8496.21</x:v>
      </x:c>
      <x:c r="L1053" s="7" t="n">
        <x:v>727.42</x:v>
      </x:c>
      <x:c r="M1053" s="3" t="str">
        <x:v>Credit Card</x:v>
      </x:c>
      <x:c r="N1053" s="3" t="str">
        <x:f>TEXT(B1053,"yyyy-mm")</x:f>
        <x:v>2024-10</x:v>
      </x:c>
      <x:c r="O1053" s="3" t="str">
        <x:f>IF(J1053=0,"No discount",IF(J1053&lt;=0.1,"1-10%",IF(J1053&lt;=0.15,"11-15%",IF(J1053&lt;=0.2,"16-20%","21%+"))))</x:f>
        <x:v>1-10%</x:v>
      </x:c>
      <x:c r="P1053" s="9" t="n">
        <x:f>IF(K1053=0,0,L1053/K1053)</x:f>
        <x:v>0.08561699863821634</x:v>
      </x:c>
      <x:c r="Q1053" s="3" t="str">
        <x:f>IF(L1053&lt;0,"Yes","No")</x:f>
        <x:v>No</x:v>
      </x:c>
    </x:row>
    <x:row r="1054" ht="21" customHeight="1">
      <x:c r="A1054" s="3" t="str">
        <x:v>ORD-100351</x:v>
      </x:c>
      <x:c r="B1054" s="5" t="n">
        <x:v>45582</x:v>
      </x:c>
      <x:c r="C1054" s="3" t="str">
        <x:v>CUST-00130</x:v>
      </x:c>
      <x:c r="D1054" s="3" t="str">
        <x:v>South</x:v>
      </x:c>
      <x:c r="E1054" s="3" t="str">
        <x:v>Sports</x:v>
      </x:c>
      <x:c r="F1054" s="3" t="str">
        <x:v>Fitness</x:v>
      </x:c>
      <x:c r="G1054" s="3" t="str">
        <x:v>ProYoga Mat</x:v>
      </x:c>
      <x:c r="H1054" s="3" t="n">
        <x:v>1</x:v>
      </x:c>
      <x:c r="I1054" s="7" t="n">
        <x:v>1319.11</x:v>
      </x:c>
      <x:c r="J1054" s="9" t="n">
        <x:v>0</x:v>
      </x:c>
      <x:c r="K1054" s="7" t="n">
        <x:v>1319.11</x:v>
      </x:c>
      <x:c r="L1054" s="7" t="n">
        <x:v>541.94</x:v>
      </x:c>
      <x:c r="M1054" s="3" t="str">
        <x:v>UPI</x:v>
      </x:c>
      <x:c r="N1054" s="3" t="str">
        <x:f>TEXT(B1054,"yyyy-mm")</x:f>
        <x:v>2024-10</x:v>
      </x:c>
      <x:c r="O1054" s="3" t="str">
        <x:f>IF(J1054=0,"No discount",IF(J1054&lt;=0.1,"1-10%",IF(J1054&lt;=0.15,"11-15%",IF(J1054&lt;=0.2,"16-20%","21%+"))))</x:f>
        <x:v>No discount</x:v>
      </x:c>
      <x:c r="P1054" s="9" t="n">
        <x:f>IF(K1054=0,0,L1054/K1054)</x:f>
        <x:v>0.410837610206882</x:v>
      </x:c>
      <x:c r="Q1054" s="3" t="str">
        <x:f>IF(L1054&lt;0,"Yes","No")</x:f>
        <x:v>No</x:v>
      </x:c>
    </x:row>
    <x:row r="1055" ht="21" customHeight="1">
      <x:c r="A1055" s="3" t="str">
        <x:v>ORD-100501</x:v>
      </x:c>
      <x:c r="B1055" s="5" t="n">
        <x:v>45582</x:v>
      </x:c>
      <x:c r="C1055" s="3" t="str">
        <x:v>CUST-00320</x:v>
      </x:c>
      <x:c r="D1055" s="3" t="str">
        <x:v>South</x:v>
      </x:c>
      <x:c r="E1055" s="3" t="str">
        <x:v>Beauty</x:v>
      </x:c>
      <x:c r="F1055" s="3" t="str">
        <x:v>Skincare</x:v>
      </x:c>
      <x:c r="G1055" s="3" t="str">
        <x:v>HydraBoost Moisturizer</x:v>
      </x:c>
      <x:c r="H1055" s="3" t="n">
        <x:v>2</x:v>
      </x:c>
      <x:c r="I1055" s="7" t="n">
        <x:v>1205.85</x:v>
      </x:c>
      <x:c r="J1055" s="9" t="n">
        <x:v>0.15</x:v>
      </x:c>
      <x:c r="K1055" s="7" t="n">
        <x:v>2049.94</x:v>
      </x:c>
      <x:c r="L1055" s="7" t="n">
        <x:v>698.51</x:v>
      </x:c>
      <x:c r="M1055" s="3" t="str">
        <x:v>UPI</x:v>
      </x:c>
      <x:c r="N1055" s="3" t="str">
        <x:f>TEXT(B1055,"yyyy-mm")</x:f>
        <x:v>2024-10</x:v>
      </x:c>
      <x:c r="O1055" s="3" t="str">
        <x:f>IF(J1055=0,"No discount",IF(J1055&lt;=0.1,"1-10%",IF(J1055&lt;=0.15,"11-15%",IF(J1055&lt;=0.2,"16-20%","21%+"))))</x:f>
        <x:v>11-15%</x:v>
      </x:c>
      <x:c r="P1055" s="9" t="n">
        <x:f>IF(K1055=0,0,L1055/K1055)</x:f>
        <x:v>0.34074655843585666</x:v>
      </x:c>
      <x:c r="Q1055" s="3" t="str">
        <x:f>IF(L1055&lt;0,"Yes","No")</x:f>
        <x:v>No</x:v>
      </x:c>
    </x:row>
    <x:row r="1056" ht="21" customHeight="1">
      <x:c r="A1056" s="3" t="str">
        <x:v>ORD-100915</x:v>
      </x:c>
      <x:c r="B1056" s="5" t="n">
        <x:v>45582</x:v>
      </x:c>
      <x:c r="C1056" s="3" t="str">
        <x:v>CUST-00503</x:v>
      </x:c>
      <x:c r="D1056" s="3" t="str">
        <x:v>West</x:v>
      </x:c>
      <x:c r="E1056" s="3" t="str">
        <x:v>Sports</x:v>
      </x:c>
      <x:c r="F1056" s="3" t="str">
        <x:v>Fitness</x:v>
      </x:c>
      <x:c r="G1056" s="3" t="str">
        <x:v>ProYoga Mat</x:v>
      </x:c>
      <x:c r="H1056" s="3" t="n">
        <x:v>2</x:v>
      </x:c>
      <x:c r="I1056" s="7" t="n">
        <x:v>1279.73</x:v>
      </x:c>
      <x:c r="J1056" s="9" t="n">
        <x:v>0</x:v>
      </x:c>
      <x:c r="K1056" s="7" t="n">
        <x:v>2559.46</x:v>
      </x:c>
      <x:c r="L1056" s="7" t="n">
        <x:v>958.58</x:v>
      </x:c>
      <x:c r="M1056" s="3" t="str">
        <x:v>UPI</x:v>
      </x:c>
      <x:c r="N1056" s="3" t="str">
        <x:f>TEXT(B1056,"yyyy-mm")</x:f>
        <x:v>2024-10</x:v>
      </x:c>
      <x:c r="O1056" s="3" t="str">
        <x:f>IF(J1056=0,"No discount",IF(J1056&lt;=0.1,"1-10%",IF(J1056&lt;=0.15,"11-15%",IF(J1056&lt;=0.2,"16-20%","21%+"))))</x:f>
        <x:v>No discount</x:v>
      </x:c>
      <x:c r="P1056" s="9" t="n">
        <x:f>IF(K1056=0,0,L1056/K1056)</x:f>
        <x:v>0.37452431372242584</x:v>
      </x:c>
      <x:c r="Q1056" s="3" t="str">
        <x:f>IF(L1056&lt;0,"Yes","No")</x:f>
        <x:v>No</x:v>
      </x:c>
    </x:row>
    <x:row r="1057" ht="21" customHeight="1">
      <x:c r="A1057" s="3" t="str">
        <x:v>ORD-101249</x:v>
      </x:c>
      <x:c r="B1057" s="5" t="n">
        <x:v>45582</x:v>
      </x:c>
      <x:c r="C1057" s="3" t="str">
        <x:v>CUST-00559</x:v>
      </x:c>
      <x:c r="D1057" s="3" t="str">
        <x:v>East</x:v>
      </x:c>
      <x:c r="E1057" s="3" t="str">
        <x:v>Sports</x:v>
      </x:c>
      <x:c r="F1057" s="3" t="str">
        <x:v>Outdoor</x:v>
      </x:c>
      <x:c r="G1057" s="3" t="str">
        <x:v>AllWeather Tent 4P</x:v>
      </x:c>
      <x:c r="H1057" s="3" t="n">
        <x:v>2</x:v>
      </x:c>
      <x:c r="I1057" s="7" t="n">
        <x:v>12125.71</x:v>
      </x:c>
      <x:c r="J1057" s="9" t="n">
        <x:v>0</x:v>
      </x:c>
      <x:c r="K1057" s="7" t="n">
        <x:v>24251.42</x:v>
      </x:c>
      <x:c r="L1057" s="7" t="n">
        <x:v>9887.08</x:v>
      </x:c>
      <x:c r="M1057" s="3" t="str">
        <x:v>Credit Card</x:v>
      </x:c>
      <x:c r="N1057" s="3" t="str">
        <x:f>TEXT(B1057,"yyyy-mm")</x:f>
        <x:v>2024-10</x:v>
      </x:c>
      <x:c r="O1057" s="3" t="str">
        <x:f>IF(J1057=0,"No discount",IF(J1057&lt;=0.1,"1-10%",IF(J1057&lt;=0.15,"11-15%",IF(J1057&lt;=0.2,"16-20%","21%+"))))</x:f>
        <x:v>No discount</x:v>
      </x:c>
      <x:c r="P1057" s="9" t="n">
        <x:f>IF(K1057=0,0,L1057/K1057)</x:f>
        <x:v>0.4076907661489513</x:v>
      </x:c>
      <x:c r="Q1057" s="3" t="str">
        <x:f>IF(L1057&lt;0,"Yes","No")</x:f>
        <x:v>No</x:v>
      </x:c>
    </x:row>
    <x:row r="1058" ht="21" customHeight="1">
      <x:c r="A1058" s="3" t="str">
        <x:v>ORD-101450</x:v>
      </x:c>
      <x:c r="B1058" s="5" t="n">
        <x:v>45582</x:v>
      </x:c>
      <x:c r="C1058" s="3" t="str">
        <x:v>CUST-00052</x:v>
      </x:c>
      <x:c r="D1058" s="3" t="str">
        <x:v>North</x:v>
      </x:c>
      <x:c r="E1058" s="3" t="str">
        <x:v>Electronics</x:v>
      </x:c>
      <x:c r="F1058" s="3" t="str">
        <x:v>Audio</x:v>
      </x:c>
      <x:c r="G1058" s="3" t="str">
        <x:v>SoundPods Pro</x:v>
      </x:c>
      <x:c r="H1058" s="3" t="n">
        <x:v>1</x:v>
      </x:c>
      <x:c r="I1058" s="7" t="n">
        <x:v>4923.57</x:v>
      </x:c>
      <x:c r="J1058" s="9" t="n">
        <x:v>0</x:v>
      </x:c>
      <x:c r="K1058" s="7" t="n">
        <x:v>4923.57</x:v>
      </x:c>
      <x:c r="L1058" s="7" t="n">
        <x:v>1007.38</x:v>
      </x:c>
      <x:c r="M1058" s="3" t="str">
        <x:v>UPI</x:v>
      </x:c>
      <x:c r="N1058" s="3" t="str">
        <x:f>TEXT(B1058,"yyyy-mm")</x:f>
        <x:v>2024-10</x:v>
      </x:c>
      <x:c r="O1058" s="3" t="str">
        <x:f>IF(J1058=0,"No discount",IF(J1058&lt;=0.1,"1-10%",IF(J1058&lt;=0.15,"11-15%",IF(J1058&lt;=0.2,"16-20%","21%+"))))</x:f>
        <x:v>No discount</x:v>
      </x:c>
      <x:c r="P1058" s="9" t="n">
        <x:f>IF(K1058=0,0,L1058/K1058)</x:f>
        <x:v>0.2046035701736748</x:v>
      </x:c>
      <x:c r="Q1058" s="3" t="str">
        <x:f>IF(L1058&lt;0,"Yes","No")</x:f>
        <x:v>No</x:v>
      </x:c>
    </x:row>
    <x:row r="1059" ht="21" customHeight="1">
      <x:c r="A1059" s="3" t="str">
        <x:v>ORD-101548</x:v>
      </x:c>
      <x:c r="B1059" s="5" t="n">
        <x:v>45582</x:v>
      </x:c>
      <x:c r="C1059" s="3" t="str">
        <x:v>CUST-00139</x:v>
      </x:c>
      <x:c r="D1059" s="3" t="str">
        <x:v>South</x:v>
      </x:c>
      <x:c r="E1059" s="3" t="str">
        <x:v>Sports</x:v>
      </x:c>
      <x:c r="F1059" s="3" t="str">
        <x:v>Fitness</x:v>
      </x:c>
      <x:c r="G1059" s="3" t="str">
        <x:v>ProYoga Mat</x:v>
      </x:c>
      <x:c r="H1059" s="3" t="n">
        <x:v>2</x:v>
      </x:c>
      <x:c r="I1059" s="7" t="n">
        <x:v>1303.55</x:v>
      </x:c>
      <x:c r="J1059" s="9" t="n">
        <x:v>0.05</x:v>
      </x:c>
      <x:c r="K1059" s="7" t="n">
        <x:v>2476.74</x:v>
      </x:c>
      <x:c r="L1059" s="7" t="n">
        <x:v>719.7</x:v>
      </x:c>
      <x:c r="M1059" s="3" t="str">
        <x:v>UPI</x:v>
      </x:c>
      <x:c r="N1059" s="3" t="str">
        <x:f>TEXT(B1059,"yyyy-mm")</x:f>
        <x:v>2024-10</x:v>
      </x:c>
      <x:c r="O1059" s="3" t="str">
        <x:f>IF(J1059=0,"No discount",IF(J1059&lt;=0.1,"1-10%",IF(J1059&lt;=0.15,"11-15%",IF(J1059&lt;=0.2,"16-20%","21%+"))))</x:f>
        <x:v>1-10%</x:v>
      </x:c>
      <x:c r="P1059" s="9" t="n">
        <x:f>IF(K1059=0,0,L1059/K1059)</x:f>
        <x:v>0.2905835897187432</x:v>
      </x:c>
      <x:c r="Q1059" s="3" t="str">
        <x:f>IF(L1059&lt;0,"Yes","No")</x:f>
        <x:v>No</x:v>
      </x:c>
    </x:row>
    <x:row r="1060" ht="21" customHeight="1">
      <x:c r="A1060" s="3" t="str">
        <x:v>ORD-100111</x:v>
      </x:c>
      <x:c r="B1060" s="5" t="n">
        <x:v>45583</x:v>
      </x:c>
      <x:c r="C1060" s="3" t="str">
        <x:v>CUST-00165</x:v>
      </x:c>
      <x:c r="D1060" s="3" t="str">
        <x:v>East</x:v>
      </x:c>
      <x:c r="E1060" s="3" t="str">
        <x:v>Sports</x:v>
      </x:c>
      <x:c r="F1060" s="3" t="str">
        <x:v>Outdoor</x:v>
      </x:c>
      <x:c r="G1060" s="3" t="str">
        <x:v>TrailHike Backpack 60L</x:v>
      </x:c>
      <x:c r="H1060" s="3" t="n">
        <x:v>3</x:v>
      </x:c>
      <x:c r="I1060" s="7" t="n">
        <x:v>3372.48</x:v>
      </x:c>
      <x:c r="J1060" s="9" t="n">
        <x:v>0.15</x:v>
      </x:c>
      <x:c r="K1060" s="7" t="n">
        <x:v>8599.82</x:v>
      </x:c>
      <x:c r="L1060" s="7" t="n">
        <x:v>1612.47</x:v>
      </x:c>
      <x:c r="M1060" s="3" t="str">
        <x:v>Net Banking</x:v>
      </x:c>
      <x:c r="N1060" s="3" t="str">
        <x:f>TEXT(B1060,"yyyy-mm")</x:f>
        <x:v>2024-10</x:v>
      </x:c>
      <x:c r="O1060" s="3" t="str">
        <x:f>IF(J1060=0,"No discount",IF(J1060&lt;=0.1,"1-10%",IF(J1060&lt;=0.15,"11-15%",IF(J1060&lt;=0.2,"16-20%","21%+"))))</x:f>
        <x:v>11-15%</x:v>
      </x:c>
      <x:c r="P1060" s="9" t="n">
        <x:f>IF(K1060=0,0,L1060/K1060)</x:f>
        <x:v>0.18750043605563838</x:v>
      </x:c>
      <x:c r="Q1060" s="3" t="str">
        <x:f>IF(L1060&lt;0,"Yes","No")</x:f>
        <x:v>No</x:v>
      </x:c>
    </x:row>
    <x:row r="1061" ht="21" customHeight="1">
      <x:c r="A1061" s="3" t="str">
        <x:v>ORD-100213</x:v>
      </x:c>
      <x:c r="B1061" s="5" t="n">
        <x:v>45583</x:v>
      </x:c>
      <x:c r="C1061" s="3" t="str">
        <x:v>CUST-00028</x:v>
      </x:c>
      <x:c r="D1061" s="3" t="str">
        <x:v>East</x:v>
      </x:c>
      <x:c r="E1061" s="3" t="str">
        <x:v>Fashion</x:v>
      </x:c>
      <x:c r="F1061" s="3" t="str">
        <x:v>Men</x:v>
      </x:c>
      <x:c r="G1061" s="3" t="str">
        <x:v>Oxford Casual Shirt</x:v>
      </x:c>
      <x:c r="H1061" s="3" t="n">
        <x:v>1</x:v>
      </x:c>
      <x:c r="I1061" s="7" t="n">
        <x:v>1336.81</x:v>
      </x:c>
      <x:c r="J1061" s="9" t="n">
        <x:v>0.05</x:v>
      </x:c>
      <x:c r="K1061" s="7" t="n">
        <x:v>1269.97</x:v>
      </x:c>
      <x:c r="L1061" s="7" t="n">
        <x:v>434.74</x:v>
      </x:c>
      <x:c r="M1061" s="3" t="str">
        <x:v>UPI</x:v>
      </x:c>
      <x:c r="N1061" s="3" t="str">
        <x:f>TEXT(B1061,"yyyy-mm")</x:f>
        <x:v>2024-10</x:v>
      </x:c>
      <x:c r="O1061" s="3" t="str">
        <x:f>IF(J1061=0,"No discount",IF(J1061&lt;=0.1,"1-10%",IF(J1061&lt;=0.15,"11-15%",IF(J1061&lt;=0.2,"16-20%","21%+"))))</x:f>
        <x:v>1-10%</x:v>
      </x:c>
      <x:c r="P1061" s="9" t="n">
        <x:f>IF(K1061=0,0,L1061/K1061)</x:f>
        <x:v>0.34232304700111027</x:v>
      </x:c>
      <x:c r="Q1061" s="3" t="str">
        <x:f>IF(L1061&lt;0,"Yes","No")</x:f>
        <x:v>No</x:v>
      </x:c>
    </x:row>
    <x:row r="1062" ht="21" customHeight="1">
      <x:c r="A1062" s="3" t="str">
        <x:v>ORD-100347</x:v>
      </x:c>
      <x:c r="B1062" s="5" t="n">
        <x:v>45583</x:v>
      </x:c>
      <x:c r="C1062" s="3" t="str">
        <x:v>CUST-00523</x:v>
      </x:c>
      <x:c r="D1062" s="3" t="str">
        <x:v>North</x:v>
      </x:c>
      <x:c r="E1062" s="3" t="str">
        <x:v>Beauty</x:v>
      </x:c>
      <x:c r="F1062" s="3" t="str">
        <x:v>Makeup</x:v>
      </x:c>
      <x:c r="G1062" s="3" t="str">
        <x:v>HD Foundation Kit</x:v>
      </x:c>
      <x:c r="H1062" s="3" t="n">
        <x:v>1</x:v>
      </x:c>
      <x:c r="I1062" s="7" t="n">
        <x:v>1554.07</x:v>
      </x:c>
      <x:c r="J1062" s="9" t="n">
        <x:v>0</x:v>
      </x:c>
      <x:c r="K1062" s="7" t="n">
        <x:v>1554.07</x:v>
      </x:c>
      <x:c r="L1062" s="7" t="n">
        <x:v>912.32</x:v>
      </x:c>
      <x:c r="M1062" s="3" t="str">
        <x:v>Credit Card</x:v>
      </x:c>
      <x:c r="N1062" s="3" t="str">
        <x:f>TEXT(B1062,"yyyy-mm")</x:f>
        <x:v>2024-10</x:v>
      </x:c>
      <x:c r="O1062" s="3" t="str">
        <x:f>IF(J1062=0,"No discount",IF(J1062&lt;=0.1,"1-10%",IF(J1062&lt;=0.15,"11-15%",IF(J1062&lt;=0.2,"16-20%","21%+"))))</x:f>
        <x:v>No discount</x:v>
      </x:c>
      <x:c r="P1062" s="9" t="n">
        <x:f>IF(K1062=0,0,L1062/K1062)</x:f>
        <x:v>0.5870520632918723</x:v>
      </x:c>
      <x:c r="Q1062" s="3" t="str">
        <x:f>IF(L1062&lt;0,"Yes","No")</x:f>
        <x:v>No</x:v>
      </x:c>
    </x:row>
    <x:row r="1063" ht="21" customHeight="1">
      <x:c r="A1063" s="3" t="str">
        <x:v>ORD-100768</x:v>
      </x:c>
      <x:c r="B1063" s="5" t="n">
        <x:v>45583</x:v>
      </x:c>
      <x:c r="C1063" s="3" t="str">
        <x:v>CUST-00413</x:v>
      </x:c>
      <x:c r="D1063" s="3" t="str">
        <x:v>West</x:v>
      </x:c>
      <x:c r="E1063" s="3" t="str">
        <x:v>Beauty</x:v>
      </x:c>
      <x:c r="F1063" s="3" t="str">
        <x:v>Makeup</x:v>
      </x:c>
      <x:c r="G1063" s="3" t="str">
        <x:v>Matte Lipstick Set</x:v>
      </x:c>
      <x:c r="H1063" s="3" t="n">
        <x:v>2</x:v>
      </x:c>
      <x:c r="I1063" s="7" t="n">
        <x:v>1013.35</x:v>
      </x:c>
      <x:c r="J1063" s="9" t="n">
        <x:v>0</x:v>
      </x:c>
      <x:c r="K1063" s="7" t="n">
        <x:v>2026.7</x:v>
      </x:c>
      <x:c r="L1063" s="7" t="n">
        <x:v>1172.42</x:v>
      </x:c>
      <x:c r="M1063" s="3" t="str">
        <x:v>Net Banking</x:v>
      </x:c>
      <x:c r="N1063" s="3" t="str">
        <x:f>TEXT(B1063,"yyyy-mm")</x:f>
        <x:v>2024-10</x:v>
      </x:c>
      <x:c r="O1063" s="3" t="str">
        <x:f>IF(J1063=0,"No discount",IF(J1063&lt;=0.1,"1-10%",IF(J1063&lt;=0.15,"11-15%",IF(J1063&lt;=0.2,"16-20%","21%+"))))</x:f>
        <x:v>No discount</x:v>
      </x:c>
      <x:c r="P1063" s="9" t="n">
        <x:f>IF(K1063=0,0,L1063/K1063)</x:f>
        <x:v>0.5784871959342774</x:v>
      </x:c>
      <x:c r="Q1063" s="3" t="str">
        <x:f>IF(L1063&lt;0,"Yes","No")</x:f>
        <x:v>No</x:v>
      </x:c>
    </x:row>
    <x:row r="1064" ht="21" customHeight="1">
      <x:c r="A1064" s="3" t="str">
        <x:v>ORD-101387</x:v>
      </x:c>
      <x:c r="B1064" s="5" t="n">
        <x:v>45583</x:v>
      </x:c>
      <x:c r="C1064" s="3" t="str">
        <x:v>CUST-00556</x:v>
      </x:c>
      <x:c r="D1064" s="3" t="str">
        <x:v>South</x:v>
      </x:c>
      <x:c r="E1064" s="3" t="str">
        <x:v>Electronics</x:v>
      </x:c>
      <x:c r="F1064" s="3" t="str">
        <x:v>Mobile</x:v>
      </x:c>
      <x:c r="G1064" s="3" t="str">
        <x:v>Pixel Aura 12</x:v>
      </x:c>
      <x:c r="H1064" s="3" t="n">
        <x:v>1</x:v>
      </x:c>
      <x:c r="I1064" s="7" t="n">
        <x:v>34247.31</x:v>
      </x:c>
      <x:c r="J1064" s="9" t="n">
        <x:v>0.25</x:v>
      </x:c>
      <x:c r="K1064" s="7" t="n">
        <x:v>25685.48</x:v>
      </x:c>
      <x:c r="L1064" s="7" t="n">
        <x:v>-2908.3</x:v>
      </x:c>
      <x:c r="M1064" s="3" t="str">
        <x:v>Credit Card</x:v>
      </x:c>
      <x:c r="N1064" s="3" t="str">
        <x:f>TEXT(B1064,"yyyy-mm")</x:f>
        <x:v>2024-10</x:v>
      </x:c>
      <x:c r="O1064" s="3" t="str">
        <x:f>IF(J1064=0,"No discount",IF(J1064&lt;=0.1,"1-10%",IF(J1064&lt;=0.15,"11-15%",IF(J1064&lt;=0.2,"16-20%","21%+"))))</x:f>
        <x:v>21%+</x:v>
      </x:c>
      <x:c r="P1064" s="9" t="n">
        <x:f>IF(K1064=0,0,L1064/K1064)</x:f>
        <x:v>-0.11322739540004705</x:v>
      </x:c>
      <x:c r="Q1064" s="3" t="str">
        <x:f>IF(L1064&lt;0,"Yes","No")</x:f>
        <x:v>Yes</x:v>
      </x:c>
    </x:row>
    <x:row r="1065" ht="21" customHeight="1">
      <x:c r="A1065" s="3" t="str">
        <x:v>ORD-101887</x:v>
      </x:c>
      <x:c r="B1065" s="5" t="n">
        <x:v>45583</x:v>
      </x:c>
      <x:c r="C1065" s="3" t="str">
        <x:v>CUST-00297</x:v>
      </x:c>
      <x:c r="D1065" s="3" t="str">
        <x:v>East</x:v>
      </x:c>
      <x:c r="E1065" s="3" t="str">
        <x:v>Fashion</x:v>
      </x:c>
      <x:c r="F1065" s="3" t="str">
        <x:v>Men</x:v>
      </x:c>
      <x:c r="G1065" s="3" t="str">
        <x:v>SlimFit Denim Jeans</x:v>
      </x:c>
      <x:c r="H1065" s="3" t="n">
        <x:v>1</x:v>
      </x:c>
      <x:c r="I1065" s="7" t="n">
        <x:v>2024.49</x:v>
      </x:c>
      <x:c r="J1065" s="9" t="n">
        <x:v>0.05</x:v>
      </x:c>
      <x:c r="K1065" s="7" t="n">
        <x:v>1923.27</x:v>
      </x:c>
      <x:c r="L1065" s="7" t="n">
        <x:v>691.87</x:v>
      </x:c>
      <x:c r="M1065" s="3" t="str">
        <x:v>Debit Card</x:v>
      </x:c>
      <x:c r="N1065" s="3" t="str">
        <x:f>TEXT(B1065,"yyyy-mm")</x:f>
        <x:v>2024-10</x:v>
      </x:c>
      <x:c r="O1065" s="3" t="str">
        <x:f>IF(J1065=0,"No discount",IF(J1065&lt;=0.1,"1-10%",IF(J1065&lt;=0.15,"11-15%",IF(J1065&lt;=0.2,"16-20%","21%+"))))</x:f>
        <x:v>1-10%</x:v>
      </x:c>
      <x:c r="P1065" s="9" t="n">
        <x:f>IF(K1065=0,0,L1065/K1065)</x:f>
        <x:v>0.35973628247723927</x:v>
      </x:c>
      <x:c r="Q1065" s="3" t="str">
        <x:f>IF(L1065&lt;0,"Yes","No")</x:f>
        <x:v>No</x:v>
      </x:c>
    </x:row>
    <x:row r="1066" ht="21" customHeight="1">
      <x:c r="A1066" s="3" t="str">
        <x:v>ORD-101296</x:v>
      </x:c>
      <x:c r="B1066" s="5" t="n">
        <x:v>45584</x:v>
      </x:c>
      <x:c r="C1066" s="3" t="str">
        <x:v>CUST-00061</x:v>
      </x:c>
      <x:c r="D1066" s="3" t="str">
        <x:v>East</x:v>
      </x:c>
      <x:c r="E1066" s="3" t="str">
        <x:v>Home &amp; Kitchen</x:v>
      </x:c>
      <x:c r="F1066" s="3" t="str">
        <x:v>Appliances</x:v>
      </x:c>
      <x:c r="G1066" s="3" t="str">
        <x:v>AirFryer Deluxe</x:v>
      </x:c>
      <x:c r="H1066" s="3" t="n">
        <x:v>1</x:v>
      </x:c>
      <x:c r="I1066" s="7" t="n">
        <x:v>8290.21</x:v>
      </x:c>
      <x:c r="J1066" s="9" t="n">
        <x:v>0</x:v>
      </x:c>
      <x:c r="K1066" s="7" t="n">
        <x:v>8290.21</x:v>
      </x:c>
      <x:c r="L1066" s="7" t="n">
        <x:v>2953.15</x:v>
      </x:c>
      <x:c r="M1066" s="3" t="str">
        <x:v>Credit Card</x:v>
      </x:c>
      <x:c r="N1066" s="3" t="str">
        <x:f>TEXT(B1066,"yyyy-mm")</x:f>
        <x:v>2024-10</x:v>
      </x:c>
      <x:c r="O1066" s="3" t="str">
        <x:f>IF(J1066=0,"No discount",IF(J1066&lt;=0.1,"1-10%",IF(J1066&lt;=0.15,"11-15%",IF(J1066&lt;=0.2,"16-20%","21%+"))))</x:f>
        <x:v>No discount</x:v>
      </x:c>
      <x:c r="P1066" s="9" t="n">
        <x:f>IF(K1066=0,0,L1066/K1066)</x:f>
        <x:v>0.35622137436808</x:v>
      </x:c>
      <x:c r="Q1066" s="3" t="str">
        <x:f>IF(L1066&lt;0,"Yes","No")</x:f>
        <x:v>No</x:v>
      </x:c>
    </x:row>
    <x:row r="1067" ht="21" customHeight="1">
      <x:c r="A1067" s="3" t="str">
        <x:v>ORD-101488</x:v>
      </x:c>
      <x:c r="B1067" s="5" t="n">
        <x:v>45584</x:v>
      </x:c>
      <x:c r="C1067" s="3" t="str">
        <x:v>CUST-00331</x:v>
      </x:c>
      <x:c r="D1067" s="3" t="str">
        <x:v>East</x:v>
      </x:c>
      <x:c r="E1067" s="3" t="str">
        <x:v>Sports</x:v>
      </x:c>
      <x:c r="F1067" s="3" t="str">
        <x:v>Outdoor</x:v>
      </x:c>
      <x:c r="G1067" s="3" t="str">
        <x:v>TrailHike Backpack 60L</x:v>
      </x:c>
      <x:c r="H1067" s="3" t="n">
        <x:v>1</x:v>
      </x:c>
      <x:c r="I1067" s="7" t="n">
        <x:v>3333.77</x:v>
      </x:c>
      <x:c r="J1067" s="9" t="n">
        <x:v>0.1</x:v>
      </x:c>
      <x:c r="K1067" s="7" t="n">
        <x:v>3000.39</x:v>
      </x:c>
      <x:c r="L1067" s="7" t="n">
        <x:v>763.63</x:v>
      </x:c>
      <x:c r="M1067" s="3" t="str">
        <x:v>UPI</x:v>
      </x:c>
      <x:c r="N1067" s="3" t="str">
        <x:f>TEXT(B1067,"yyyy-mm")</x:f>
        <x:v>2024-10</x:v>
      </x:c>
      <x:c r="O1067" s="3" t="str">
        <x:f>IF(J1067=0,"No discount",IF(J1067&lt;=0.1,"1-10%",IF(J1067&lt;=0.15,"11-15%",IF(J1067&lt;=0.2,"16-20%","21%+"))))</x:f>
        <x:v>1-10%</x:v>
      </x:c>
      <x:c r="P1067" s="9" t="n">
        <x:f>IF(K1067=0,0,L1067/K1067)</x:f>
        <x:v>0.2545102470012232</x:v>
      </x:c>
      <x:c r="Q1067" s="3" t="str">
        <x:f>IF(L1067&lt;0,"Yes","No")</x:f>
        <x:v>No</x:v>
      </x:c>
    </x:row>
    <x:row r="1068" ht="21" customHeight="1">
      <x:c r="A1068" s="3" t="str">
        <x:v>ORD-101533</x:v>
      </x:c>
      <x:c r="B1068" s="5" t="n">
        <x:v>45584</x:v>
      </x:c>
      <x:c r="C1068" s="3" t="str">
        <x:v>CUST-00446</x:v>
      </x:c>
      <x:c r="D1068" s="3" t="str">
        <x:v>South</x:v>
      </x:c>
      <x:c r="E1068" s="3" t="str">
        <x:v>Beauty</x:v>
      </x:c>
      <x:c r="F1068" s="3" t="str">
        <x:v>Makeup</x:v>
      </x:c>
      <x:c r="G1068" s="3" t="str">
        <x:v>Matte Lipstick Set</x:v>
      </x:c>
      <x:c r="H1068" s="3" t="n">
        <x:v>3</x:v>
      </x:c>
      <x:c r="I1068" s="7" t="n">
        <x:v>984.28</x:v>
      </x:c>
      <x:c r="J1068" s="9" t="n">
        <x:v>0.1</x:v>
      </x:c>
      <x:c r="K1068" s="7" t="n">
        <x:v>2657.56</x:v>
      </x:c>
      <x:c r="L1068" s="7" t="n">
        <x:v>1086.75</x:v>
      </x:c>
      <x:c r="M1068" s="3" t="str">
        <x:v>UPI</x:v>
      </x:c>
      <x:c r="N1068" s="3" t="str">
        <x:f>TEXT(B1068,"yyyy-mm")</x:f>
        <x:v>2024-10</x:v>
      </x:c>
      <x:c r="O1068" s="3" t="str">
        <x:f>IF(J1068=0,"No discount",IF(J1068&lt;=0.1,"1-10%",IF(J1068&lt;=0.15,"11-15%",IF(J1068&lt;=0.2,"16-20%","21%+"))))</x:f>
        <x:v>1-10%</x:v>
      </x:c>
      <x:c r="P1068" s="9" t="n">
        <x:f>IF(K1068=0,0,L1068/K1068)</x:f>
        <x:v>0.40892773822604195</x:v>
      </x:c>
      <x:c r="Q1068" s="3" t="str">
        <x:f>IF(L1068&lt;0,"Yes","No")</x:f>
        <x:v>No</x:v>
      </x:c>
    </x:row>
    <x:row r="1069" ht="21" customHeight="1">
      <x:c r="A1069" s="3" t="str">
        <x:v>ORD-100295</x:v>
      </x:c>
      <x:c r="B1069" s="5" t="n">
        <x:v>45585</x:v>
      </x:c>
      <x:c r="C1069" s="3" t="str">
        <x:v>CUST-00150</x:v>
      </x:c>
      <x:c r="D1069" s="3" t="str">
        <x:v>East</x:v>
      </x:c>
      <x:c r="E1069" s="3" t="str">
        <x:v>Electronics</x:v>
      </x:c>
      <x:c r="F1069" s="3" t="str">
        <x:v>Audio</x:v>
      </x:c>
      <x:c r="G1069" s="3" t="str">
        <x:v>SoundPods Pro</x:v>
      </x:c>
      <x:c r="H1069" s="3" t="n">
        <x:v>1</x:v>
      </x:c>
      <x:c r="I1069" s="7" t="n">
        <x:v>5084.11</x:v>
      </x:c>
      <x:c r="J1069" s="9" t="n">
        <x:v>0</x:v>
      </x:c>
      <x:c r="K1069" s="7" t="n">
        <x:v>5084.11</x:v>
      </x:c>
      <x:c r="L1069" s="7" t="n">
        <x:v>793.08</x:v>
      </x:c>
      <x:c r="M1069" s="3" t="str">
        <x:v>UPI</x:v>
      </x:c>
      <x:c r="N1069" s="3" t="str">
        <x:f>TEXT(B1069,"yyyy-mm")</x:f>
        <x:v>2024-10</x:v>
      </x:c>
      <x:c r="O1069" s="3" t="str">
        <x:f>IF(J1069=0,"No discount",IF(J1069&lt;=0.1,"1-10%",IF(J1069&lt;=0.15,"11-15%",IF(J1069&lt;=0.2,"16-20%","21%+"))))</x:f>
        <x:v>No discount</x:v>
      </x:c>
      <x:c r="P1069" s="9" t="n">
        <x:f>IF(K1069=0,0,L1069/K1069)</x:f>
        <x:v>0.15599190418775363</x:v>
      </x:c>
      <x:c r="Q1069" s="3" t="str">
        <x:f>IF(L1069&lt;0,"Yes","No")</x:f>
        <x:v>No</x:v>
      </x:c>
    </x:row>
    <x:row r="1070" ht="21" customHeight="1">
      <x:c r="A1070" s="3" t="str">
        <x:v>ORD-101442</x:v>
      </x:c>
      <x:c r="B1070" s="5" t="n">
        <x:v>45585</x:v>
      </x:c>
      <x:c r="C1070" s="3" t="str">
        <x:v>CUST-00235</x:v>
      </x:c>
      <x:c r="D1070" s="3" t="str">
        <x:v>East</x:v>
      </x:c>
      <x:c r="E1070" s="3" t="str">
        <x:v>Home &amp; Kitchen</x:v>
      </x:c>
      <x:c r="F1070" s="3" t="str">
        <x:v>Furniture</x:v>
      </x:c>
      <x:c r="G1070" s="3" t="str">
        <x:v>Oakwood Study Desk</x:v>
      </x:c>
      <x:c r="H1070" s="3" t="n">
        <x:v>3</x:v>
      </x:c>
      <x:c r="I1070" s="7" t="n">
        <x:v>13356.17</x:v>
      </x:c>
      <x:c r="J1070" s="9" t="n">
        <x:v>0</x:v>
      </x:c>
      <x:c r="K1070" s="7" t="n">
        <x:v>40068.51</x:v>
      </x:c>
      <x:c r="L1070" s="7" t="n">
        <x:v>12179.27</x:v>
      </x:c>
      <x:c r="M1070" s="3" t="str">
        <x:v>Credit Card</x:v>
      </x:c>
      <x:c r="N1070" s="3" t="str">
        <x:f>TEXT(B1070,"yyyy-mm")</x:f>
        <x:v>2024-10</x:v>
      </x:c>
      <x:c r="O1070" s="3" t="str">
        <x:f>IF(J1070=0,"No discount",IF(J1070&lt;=0.1,"1-10%",IF(J1070&lt;=0.15,"11-15%",IF(J1070&lt;=0.2,"16-20%","21%+"))))</x:f>
        <x:v>No discount</x:v>
      </x:c>
      <x:c r="P1070" s="9" t="n">
        <x:f>IF(K1070=0,0,L1070/K1070)</x:f>
        <x:v>0.30396114055651186</x:v>
      </x:c>
      <x:c r="Q1070" s="3" t="str">
        <x:f>IF(L1070&lt;0,"Yes","No")</x:f>
        <x:v>No</x:v>
      </x:c>
    </x:row>
    <x:row r="1071" ht="21" customHeight="1">
      <x:c r="A1071" s="3" t="str">
        <x:v>ORD-100337</x:v>
      </x:c>
      <x:c r="B1071" s="5" t="n">
        <x:v>45586</x:v>
      </x:c>
      <x:c r="C1071" s="3" t="str">
        <x:v>CUST-00351</x:v>
      </x:c>
      <x:c r="D1071" s="3" t="str">
        <x:v>East</x:v>
      </x:c>
      <x:c r="E1071" s="3" t="str">
        <x:v>Fashion</x:v>
      </x:c>
      <x:c r="F1071" s="3" t="str">
        <x:v>Footwear</x:v>
      </x:c>
      <x:c r="G1071" s="3" t="str">
        <x:v>RunFlex Sneakers</x:v>
      </x:c>
      <x:c r="H1071" s="3" t="n">
        <x:v>3</x:v>
      </x:c>
      <x:c r="I1071" s="7" t="n">
        <x:v>2954.94</x:v>
      </x:c>
      <x:c r="J1071" s="9" t="n">
        <x:v>0.05</x:v>
      </x:c>
      <x:c r="K1071" s="7" t="n">
        <x:v>8421.58</x:v>
      </x:c>
      <x:c r="L1071" s="7" t="n">
        <x:v>3076.84</x:v>
      </x:c>
      <x:c r="M1071" s="3" t="str">
        <x:v>UPI</x:v>
      </x:c>
      <x:c r="N1071" s="3" t="str">
        <x:f>TEXT(B1071,"yyyy-mm")</x:f>
        <x:v>2024-10</x:v>
      </x:c>
      <x:c r="O1071" s="3" t="str">
        <x:f>IF(J1071=0,"No discount",IF(J1071&lt;=0.1,"1-10%",IF(J1071&lt;=0.15,"11-15%",IF(J1071&lt;=0.2,"16-20%","21%+"))))</x:f>
        <x:v>1-10%</x:v>
      </x:c>
      <x:c r="P1071" s="9" t="n">
        <x:f>IF(K1071=0,0,L1071/K1071)</x:f>
        <x:v>0.36535186983915136</x:v>
      </x:c>
      <x:c r="Q1071" s="3" t="str">
        <x:f>IF(L1071&lt;0,"Yes","No")</x:f>
        <x:v>No</x:v>
      </x:c>
    </x:row>
    <x:row r="1072" ht="21" customHeight="1">
      <x:c r="A1072" s="3" t="str">
        <x:v>ORD-100489</x:v>
      </x:c>
      <x:c r="B1072" s="5" t="n">
        <x:v>45586</x:v>
      </x:c>
      <x:c r="C1072" s="3" t="str">
        <x:v>CUST-00504</x:v>
      </x:c>
      <x:c r="D1072" s="3" t="str">
        <x:v>North</x:v>
      </x:c>
      <x:c r="E1072" s="3" t="str">
        <x:v>Fashion</x:v>
      </x:c>
      <x:c r="F1072" s="3" t="str">
        <x:v>Men</x:v>
      </x:c>
      <x:c r="G1072" s="3" t="str">
        <x:v>SlimFit Denim Jeans</x:v>
      </x:c>
      <x:c r="H1072" s="3" t="n">
        <x:v>1</x:v>
      </x:c>
      <x:c r="I1072" s="7" t="n">
        <x:v>2027.1</x:v>
      </x:c>
      <x:c r="J1072" s="9" t="n">
        <x:v>0.05</x:v>
      </x:c>
      <x:c r="K1072" s="7" t="n">
        <x:v>1925.74</x:v>
      </x:c>
      <x:c r="L1072" s="7" t="n">
        <x:v>719.12</x:v>
      </x:c>
      <x:c r="M1072" s="3" t="str">
        <x:v>Credit Card</x:v>
      </x:c>
      <x:c r="N1072" s="3" t="str">
        <x:f>TEXT(B1072,"yyyy-mm")</x:f>
        <x:v>2024-10</x:v>
      </x:c>
      <x:c r="O1072" s="3" t="str">
        <x:f>IF(J1072=0,"No discount",IF(J1072&lt;=0.1,"1-10%",IF(J1072&lt;=0.15,"11-15%",IF(J1072&lt;=0.2,"16-20%","21%+"))))</x:f>
        <x:v>1-10%</x:v>
      </x:c>
      <x:c r="P1072" s="9" t="n">
        <x:f>IF(K1072=0,0,L1072/K1072)</x:f>
        <x:v>0.37342528067132635</x:v>
      </x:c>
      <x:c r="Q1072" s="3" t="str">
        <x:f>IF(L1072&lt;0,"Yes","No")</x:f>
        <x:v>No</x:v>
      </x:c>
    </x:row>
    <x:row r="1073" ht="21" customHeight="1">
      <x:c r="A1073" s="3" t="str">
        <x:v>ORD-100626</x:v>
      </x:c>
      <x:c r="B1073" s="5" t="n">
        <x:v>45586</x:v>
      </x:c>
      <x:c r="C1073" s="3" t="str">
        <x:v>CUST-00468</x:v>
      </x:c>
      <x:c r="D1073" s="3" t="str">
        <x:v>South</x:v>
      </x:c>
      <x:c r="E1073" s="3" t="str">
        <x:v>Sports</x:v>
      </x:c>
      <x:c r="F1073" s="3" t="str">
        <x:v>Fitness</x:v>
      </x:c>
      <x:c r="G1073" s="3" t="str">
        <x:v>Adjustable Dumbbell 24kg</x:v>
      </x:c>
      <x:c r="H1073" s="3" t="n">
        <x:v>2</x:v>
      </x:c>
      <x:c r="I1073" s="7" t="n">
        <x:v>9827.91</x:v>
      </x:c>
      <x:c r="J1073" s="9" t="n">
        <x:v>0</x:v>
      </x:c>
      <x:c r="K1073" s="7" t="n">
        <x:v>19655.82</x:v>
      </x:c>
      <x:c r="L1073" s="7" t="n">
        <x:v>7578.07</x:v>
      </x:c>
      <x:c r="M1073" s="3" t="str">
        <x:v>Credit Card</x:v>
      </x:c>
      <x:c r="N1073" s="3" t="str">
        <x:f>TEXT(B1073,"yyyy-mm")</x:f>
        <x:v>2024-10</x:v>
      </x:c>
      <x:c r="O1073" s="3" t="str">
        <x:f>IF(J1073=0,"No discount",IF(J1073&lt;=0.1,"1-10%",IF(J1073&lt;=0.15,"11-15%",IF(J1073&lt;=0.2,"16-20%","21%+"))))</x:f>
        <x:v>No discount</x:v>
      </x:c>
      <x:c r="P1073" s="9" t="n">
        <x:f>IF(K1073=0,0,L1073/K1073)</x:f>
        <x:v>0.38553822735454435</x:v>
      </x:c>
      <x:c r="Q1073" s="3" t="str">
        <x:f>IF(L1073&lt;0,"Yes","No")</x:f>
        <x:v>No</x:v>
      </x:c>
    </x:row>
    <x:row r="1074" ht="21" customHeight="1">
      <x:c r="A1074" s="3" t="str">
        <x:v>ORD-101018</x:v>
      </x:c>
      <x:c r="B1074" s="5" t="n">
        <x:v>45586</x:v>
      </x:c>
      <x:c r="C1074" s="3" t="str">
        <x:v>CUST-00147</x:v>
      </x:c>
      <x:c r="D1074" s="3" t="str">
        <x:v>West</x:v>
      </x:c>
      <x:c r="E1074" s="3" t="str">
        <x:v>Fashion</x:v>
      </x:c>
      <x:c r="F1074" s="3" t="str">
        <x:v>Footwear</x:v>
      </x:c>
      <x:c r="G1074" s="3" t="str">
        <x:v>RunFlex Sneakers</x:v>
      </x:c>
      <x:c r="H1074" s="3" t="n">
        <x:v>1</x:v>
      </x:c>
      <x:c r="I1074" s="7" t="n">
        <x:v>2856.64</x:v>
      </x:c>
      <x:c r="J1074" s="9" t="n">
        <x:v>0.15</x:v>
      </x:c>
      <x:c r="K1074" s="7" t="n">
        <x:v>2428.14</x:v>
      </x:c>
      <x:c r="L1074" s="7" t="n">
        <x:v>589.41</x:v>
      </x:c>
      <x:c r="M1074" s="3" t="str">
        <x:v>Credit Card</x:v>
      </x:c>
      <x:c r="N1074" s="3" t="str">
        <x:f>TEXT(B1074,"yyyy-mm")</x:f>
        <x:v>2024-10</x:v>
      </x:c>
      <x:c r="O1074" s="3" t="str">
        <x:f>IF(J1074=0,"No discount",IF(J1074&lt;=0.1,"1-10%",IF(J1074&lt;=0.15,"11-15%",IF(J1074&lt;=0.2,"16-20%","21%+"))))</x:f>
        <x:v>11-15%</x:v>
      </x:c>
      <x:c r="P1074" s="9" t="n">
        <x:f>IF(K1074=0,0,L1074/K1074)</x:f>
        <x:v>0.242741357582347</x:v>
      </x:c>
      <x:c r="Q1074" s="3" t="str">
        <x:f>IF(L1074&lt;0,"Yes","No")</x:f>
        <x:v>No</x:v>
      </x:c>
    </x:row>
    <x:row r="1075" ht="21" customHeight="1">
      <x:c r="A1075" s="3" t="str">
        <x:v>ORD-101121</x:v>
      </x:c>
      <x:c r="B1075" s="5" t="n">
        <x:v>45586</x:v>
      </x:c>
      <x:c r="C1075" s="3" t="str">
        <x:v>CUST-00502</x:v>
      </x:c>
      <x:c r="D1075" s="3" t="str">
        <x:v>West</x:v>
      </x:c>
      <x:c r="E1075" s="3" t="str">
        <x:v>Fashion</x:v>
      </x:c>
      <x:c r="F1075" s="3" t="str">
        <x:v>Footwear</x:v>
      </x:c>
      <x:c r="G1075" s="3" t="str">
        <x:v>RunFlex Sneakers</x:v>
      </x:c>
      <x:c r="H1075" s="3" t="n">
        <x:v>2</x:v>
      </x:c>
      <x:c r="I1075" s="7" t="n">
        <x:v>3030.79</x:v>
      </x:c>
      <x:c r="J1075" s="9" t="n">
        <x:v>0</x:v>
      </x:c>
      <x:c r="K1075" s="7" t="n">
        <x:v>6061.58</x:v>
      </x:c>
      <x:c r="L1075" s="7" t="n">
        <x:v>2323.9</x:v>
      </x:c>
      <x:c r="M1075" s="3" t="str">
        <x:v>UPI</x:v>
      </x:c>
      <x:c r="N1075" s="3" t="str">
        <x:f>TEXT(B1075,"yyyy-mm")</x:f>
        <x:v>2024-10</x:v>
      </x:c>
      <x:c r="O1075" s="3" t="str">
        <x:f>IF(J1075=0,"No discount",IF(J1075&lt;=0.1,"1-10%",IF(J1075&lt;=0.15,"11-15%",IF(J1075&lt;=0.2,"16-20%","21%+"))))</x:f>
        <x:v>No discount</x:v>
      </x:c>
      <x:c r="P1075" s="9" t="n">
        <x:f>IF(K1075=0,0,L1075/K1075)</x:f>
        <x:v>0.38338189053019184</x:v>
      </x:c>
      <x:c r="Q1075" s="3" t="str">
        <x:f>IF(L1075&lt;0,"Yes","No")</x:f>
        <x:v>No</x:v>
      </x:c>
    </x:row>
    <x:row r="1076" ht="21" customHeight="1">
      <x:c r="A1076" s="3" t="str">
        <x:v>ORD-101169</x:v>
      </x:c>
      <x:c r="B1076" s="5" t="n">
        <x:v>45586</x:v>
      </x:c>
      <x:c r="C1076" s="3" t="str">
        <x:v>CUST-00128</x:v>
      </x:c>
      <x:c r="D1076" s="3" t="str">
        <x:v>North</x:v>
      </x:c>
      <x:c r="E1076" s="3" t="str">
        <x:v>Sports</x:v>
      </x:c>
      <x:c r="F1076" s="3" t="str">
        <x:v>Fitness</x:v>
      </x:c>
      <x:c r="G1076" s="3" t="str">
        <x:v>ProYoga Mat</x:v>
      </x:c>
      <x:c r="H1076" s="3" t="n">
        <x:v>1</x:v>
      </x:c>
      <x:c r="I1076" s="7" t="n">
        <x:v>1284.51</x:v>
      </x:c>
      <x:c r="J1076" s="9" t="n">
        <x:v>0.1</x:v>
      </x:c>
      <x:c r="K1076" s="7" t="n">
        <x:v>1156.06</x:v>
      </x:c>
      <x:c r="L1076" s="7" t="n">
        <x:v>336.42</x:v>
      </x:c>
      <x:c r="M1076" s="3" t="str">
        <x:v>UPI</x:v>
      </x:c>
      <x:c r="N1076" s="3" t="str">
        <x:f>TEXT(B1076,"yyyy-mm")</x:f>
        <x:v>2024-10</x:v>
      </x:c>
      <x:c r="O1076" s="3" t="str">
        <x:f>IF(J1076=0,"No discount",IF(J1076&lt;=0.1,"1-10%",IF(J1076&lt;=0.15,"11-15%",IF(J1076&lt;=0.2,"16-20%","21%+"))))</x:f>
        <x:v>1-10%</x:v>
      </x:c>
      <x:c r="P1076" s="9" t="n">
        <x:f>IF(K1076=0,0,L1076/K1076)</x:f>
        <x:v>0.2910056571458229</x:v>
      </x:c>
      <x:c r="Q1076" s="3" t="str">
        <x:f>IF(L1076&lt;0,"Yes","No")</x:f>
        <x:v>No</x:v>
      </x:c>
    </x:row>
    <x:row r="1077" ht="21" customHeight="1">
      <x:c r="A1077" s="3" t="str">
        <x:v>ORD-101671</x:v>
      </x:c>
      <x:c r="B1077" s="5" t="n">
        <x:v>45586</x:v>
      </x:c>
      <x:c r="C1077" s="3" t="str">
        <x:v>CUST-00202</x:v>
      </x:c>
      <x:c r="D1077" s="3" t="str">
        <x:v>South</x:v>
      </x:c>
      <x:c r="E1077" s="3" t="str">
        <x:v>Home &amp; Kitchen</x:v>
      </x:c>
      <x:c r="F1077" s="3" t="str">
        <x:v>Appliances</x:v>
      </x:c>
      <x:c r="G1077" s="3" t="str">
        <x:v>AirFryer Deluxe</x:v>
      </x:c>
      <x:c r="H1077" s="3" t="n">
        <x:v>5</x:v>
      </x:c>
      <x:c r="I1077" s="7" t="n">
        <x:v>8349.91</x:v>
      </x:c>
      <x:c r="J1077" s="9" t="n">
        <x:v>0</x:v>
      </x:c>
      <x:c r="K1077" s="7" t="n">
        <x:v>41749.55</x:v>
      </x:c>
      <x:c r="L1077" s="7" t="n">
        <x:v>14496.83</x:v>
      </x:c>
      <x:c r="M1077" s="3" t="str">
        <x:v>UPI</x:v>
      </x:c>
      <x:c r="N1077" s="3" t="str">
        <x:f>TEXT(B1077,"yyyy-mm")</x:f>
        <x:v>2024-10</x:v>
      </x:c>
      <x:c r="O1077" s="3" t="str">
        <x:f>IF(J1077=0,"No discount",IF(J1077&lt;=0.1,"1-10%",IF(J1077&lt;=0.15,"11-15%",IF(J1077&lt;=0.2,"16-20%","21%+"))))</x:f>
        <x:v>No discount</x:v>
      </x:c>
      <x:c r="P1077" s="9" t="n">
        <x:f>IF(K1077=0,0,L1077/K1077)</x:f>
        <x:v>0.3472332037111777</x:v>
      </x:c>
      <x:c r="Q1077" s="3" t="str">
        <x:f>IF(L1077&lt;0,"Yes","No")</x:f>
        <x:v>No</x:v>
      </x:c>
    </x:row>
    <x:row r="1078" ht="21" customHeight="1">
      <x:c r="A1078" s="3" t="str">
        <x:v>ORD-101869</x:v>
      </x:c>
      <x:c r="B1078" s="5" t="n">
        <x:v>45586</x:v>
      </x:c>
      <x:c r="C1078" s="3" t="str">
        <x:v>CUST-00132</x:v>
      </x:c>
      <x:c r="D1078" s="3" t="str">
        <x:v>North</x:v>
      </x:c>
      <x:c r="E1078" s="3" t="str">
        <x:v>Beauty</x:v>
      </x:c>
      <x:c r="F1078" s="3" t="str">
        <x:v>Makeup</x:v>
      </x:c>
      <x:c r="G1078" s="3" t="str">
        <x:v>Matte Lipstick Set</x:v>
      </x:c>
      <x:c r="H1078" s="3" t="n">
        <x:v>3</x:v>
      </x:c>
      <x:c r="I1078" s="7" t="n">
        <x:v>1039.6</x:v>
      </x:c>
      <x:c r="J1078" s="9" t="n">
        <x:v>0.05</x:v>
      </x:c>
      <x:c r="K1078" s="7" t="n">
        <x:v>2962.86</x:v>
      </x:c>
      <x:c r="L1078" s="7" t="n">
        <x:v>1561.09</x:v>
      </x:c>
      <x:c r="M1078" s="3" t="str">
        <x:v>Credit Card</x:v>
      </x:c>
      <x:c r="N1078" s="3" t="str">
        <x:f>TEXT(B1078,"yyyy-mm")</x:f>
        <x:v>2024-10</x:v>
      </x:c>
      <x:c r="O1078" s="3" t="str">
        <x:f>IF(J1078=0,"No discount",IF(J1078&lt;=0.1,"1-10%",IF(J1078&lt;=0.15,"11-15%",IF(J1078&lt;=0.2,"16-20%","21%+"))))</x:f>
        <x:v>1-10%</x:v>
      </x:c>
      <x:c r="P1078" s="9" t="n">
        <x:f>IF(K1078=0,0,L1078/K1078)</x:f>
        <x:v>0.5268861842949042</x:v>
      </x:c>
      <x:c r="Q1078" s="3" t="str">
        <x:f>IF(L1078&lt;0,"Yes","No")</x:f>
        <x:v>No</x:v>
      </x:c>
    </x:row>
    <x:row r="1079" ht="21" customHeight="1">
      <x:c r="A1079" s="3" t="str">
        <x:v>ORD-100057</x:v>
      </x:c>
      <x:c r="B1079" s="5" t="n">
        <x:v>45587</x:v>
      </x:c>
      <x:c r="C1079" s="3" t="str">
        <x:v>CUST-00480</x:v>
      </x:c>
      <x:c r="D1079" s="3" t="str">
        <x:v>South</x:v>
      </x:c>
      <x:c r="E1079" s="3" t="str">
        <x:v>Fashion</x:v>
      </x:c>
      <x:c r="F1079" s="3" t="str">
        <x:v>Footwear</x:v>
      </x:c>
      <x:c r="G1079" s="3" t="str">
        <x:v>RunFlex Sneakers</x:v>
      </x:c>
      <x:c r="H1079" s="3" t="n">
        <x:v>4</x:v>
      </x:c>
      <x:c r="I1079" s="7" t="n">
        <x:v>2870.47</x:v>
      </x:c>
      <x:c r="J1079" s="9" t="n">
        <x:v>0.2</x:v>
      </x:c>
      <x:c r="K1079" s="7" t="n">
        <x:v>9185.5</x:v>
      </x:c>
      <x:c r="L1079" s="7" t="n">
        <x:v>1499.75</x:v>
      </x:c>
      <x:c r="M1079" s="3" t="str">
        <x:v>Debit Card</x:v>
      </x:c>
      <x:c r="N1079" s="3" t="str">
        <x:f>TEXT(B1079,"yyyy-mm")</x:f>
        <x:v>2024-10</x:v>
      </x:c>
      <x:c r="O1079" s="3" t="str">
        <x:f>IF(J1079=0,"No discount",IF(J1079&lt;=0.1,"1-10%",IF(J1079&lt;=0.15,"11-15%",IF(J1079&lt;=0.2,"16-20%","21%+"))))</x:f>
        <x:v>16-20%</x:v>
      </x:c>
      <x:c r="P1079" s="9" t="n">
        <x:f>IF(K1079=0,0,L1079/K1079)</x:f>
        <x:v>0.1632736377987045</x:v>
      </x:c>
      <x:c r="Q1079" s="3" t="str">
        <x:f>IF(L1079&lt;0,"Yes","No")</x:f>
        <x:v>No</x:v>
      </x:c>
    </x:row>
    <x:row r="1080" ht="21" customHeight="1">
      <x:c r="A1080" s="3" t="str">
        <x:v>ORD-100200</x:v>
      </x:c>
      <x:c r="B1080" s="5" t="n">
        <x:v>45587</x:v>
      </x:c>
      <x:c r="C1080" s="3" t="str">
        <x:v>CUST-00469</x:v>
      </x:c>
      <x:c r="D1080" s="3" t="str">
        <x:v>North</x:v>
      </x:c>
      <x:c r="E1080" s="3" t="str">
        <x:v>Sports</x:v>
      </x:c>
      <x:c r="F1080" s="3" t="str">
        <x:v>Outdoor</x:v>
      </x:c>
      <x:c r="G1080" s="3" t="str">
        <x:v>AllWeather Tent 4P</x:v>
      </x:c>
      <x:c r="H1080" s="3" t="n">
        <x:v>1</x:v>
      </x:c>
      <x:c r="I1080" s="7" t="n">
        <x:v>11436.08</x:v>
      </x:c>
      <x:c r="J1080" s="9" t="n">
        <x:v>0</x:v>
      </x:c>
      <x:c r="K1080" s="7" t="n">
        <x:v>11436.08</x:v>
      </x:c>
      <x:c r="L1080" s="7" t="n">
        <x:v>4584.55</x:v>
      </x:c>
      <x:c r="M1080" s="3" t="str">
        <x:v>UPI</x:v>
      </x:c>
      <x:c r="N1080" s="3" t="str">
        <x:f>TEXT(B1080,"yyyy-mm")</x:f>
        <x:v>2024-10</x:v>
      </x:c>
      <x:c r="O1080" s="3" t="str">
        <x:f>IF(J1080=0,"No discount",IF(J1080&lt;=0.1,"1-10%",IF(J1080&lt;=0.15,"11-15%",IF(J1080&lt;=0.2,"16-20%","21%+"))))</x:f>
        <x:v>No discount</x:v>
      </x:c>
      <x:c r="P1080" s="9" t="n">
        <x:f>IF(K1080=0,0,L1080/K1080)</x:f>
        <x:v>0.40088474372337374</x:v>
      </x:c>
      <x:c r="Q1080" s="3" t="str">
        <x:f>IF(L1080&lt;0,"Yes","No")</x:f>
        <x:v>No</x:v>
      </x:c>
    </x:row>
    <x:row r="1081" ht="21" customHeight="1">
      <x:c r="A1081" s="3" t="str">
        <x:v>ORD-100640</x:v>
      </x:c>
      <x:c r="B1081" s="5" t="n">
        <x:v>45587</x:v>
      </x:c>
      <x:c r="C1081" s="3" t="str">
        <x:v>CUST-00235</x:v>
      </x:c>
      <x:c r="D1081" s="3" t="str">
        <x:v>East</x:v>
      </x:c>
      <x:c r="E1081" s="3" t="str">
        <x:v>Beauty</x:v>
      </x:c>
      <x:c r="F1081" s="3" t="str">
        <x:v>Makeup</x:v>
      </x:c>
      <x:c r="G1081" s="3" t="str">
        <x:v>HD Foundation Kit</x:v>
      </x:c>
      <x:c r="H1081" s="3" t="n">
        <x:v>1</x:v>
      </x:c>
      <x:c r="I1081" s="7" t="n">
        <x:v>1542.02</x:v>
      </x:c>
      <x:c r="J1081" s="9" t="n">
        <x:v>0.05</x:v>
      </x:c>
      <x:c r="K1081" s="7" t="n">
        <x:v>1464.92</x:v>
      </x:c>
      <x:c r="L1081" s="7" t="n">
        <x:v>667.52</x:v>
      </x:c>
      <x:c r="M1081" s="3" t="str">
        <x:v>UPI</x:v>
      </x:c>
      <x:c r="N1081" s="3" t="str">
        <x:f>TEXT(B1081,"yyyy-mm")</x:f>
        <x:v>2024-10</x:v>
      </x:c>
      <x:c r="O1081" s="3" t="str">
        <x:f>IF(J1081=0,"No discount",IF(J1081&lt;=0.1,"1-10%",IF(J1081&lt;=0.15,"11-15%",IF(J1081&lt;=0.2,"16-20%","21%+"))))</x:f>
        <x:v>1-10%</x:v>
      </x:c>
      <x:c r="P1081" s="9" t="n">
        <x:f>IF(K1081=0,0,L1081/K1081)</x:f>
        <x:v>0.4556699341943587</x:v>
      </x:c>
      <x:c r="Q1081" s="3" t="str">
        <x:f>IF(L1081&lt;0,"Yes","No")</x:f>
        <x:v>No</x:v>
      </x:c>
    </x:row>
    <x:row r="1082" ht="21" customHeight="1">
      <x:c r="A1082" s="3" t="str">
        <x:v>ORD-100652</x:v>
      </x:c>
      <x:c r="B1082" s="5" t="n">
        <x:v>45587</x:v>
      </x:c>
      <x:c r="C1082" s="3" t="str">
        <x:v>CUST-00175</x:v>
      </x:c>
      <x:c r="D1082" s="3" t="str">
        <x:v>East</x:v>
      </x:c>
      <x:c r="E1082" s="3" t="str">
        <x:v>Sports</x:v>
      </x:c>
      <x:c r="F1082" s="3" t="str">
        <x:v>Outdoor</x:v>
      </x:c>
      <x:c r="G1082" s="3" t="str">
        <x:v>TrailHike Backpack 60L</x:v>
      </x:c>
      <x:c r="H1082" s="3" t="n">
        <x:v>5</x:v>
      </x:c>
      <x:c r="I1082" s="7" t="n">
        <x:v>3324.6</x:v>
      </x:c>
      <x:c r="J1082" s="9" t="n">
        <x:v>0.15</x:v>
      </x:c>
      <x:c r="K1082" s="7" t="n">
        <x:v>14129.55</x:v>
      </x:c>
      <x:c r="L1082" s="7" t="n">
        <x:v>2445.65</x:v>
      </x:c>
      <x:c r="M1082" s="3" t="str">
        <x:v>Credit Card</x:v>
      </x:c>
      <x:c r="N1082" s="3" t="str">
        <x:f>TEXT(B1082,"yyyy-mm")</x:f>
        <x:v>2024-10</x:v>
      </x:c>
      <x:c r="O1082" s="3" t="str">
        <x:f>IF(J1082=0,"No discount",IF(J1082&lt;=0.1,"1-10%",IF(J1082&lt;=0.15,"11-15%",IF(J1082&lt;=0.2,"16-20%","21%+"))))</x:f>
        <x:v>11-15%</x:v>
      </x:c>
      <x:c r="P1082" s="9" t="n">
        <x:f>IF(K1082=0,0,L1082/K1082)</x:f>
        <x:v>0.17308760717786484</x:v>
      </x:c>
      <x:c r="Q1082" s="3" t="str">
        <x:f>IF(L1082&lt;0,"Yes","No")</x:f>
        <x:v>No</x:v>
      </x:c>
    </x:row>
    <x:row r="1083" ht="21" customHeight="1">
      <x:c r="A1083" s="3" t="str">
        <x:v>ORD-100889</x:v>
      </x:c>
      <x:c r="B1083" s="5" t="n">
        <x:v>45587</x:v>
      </x:c>
      <x:c r="C1083" s="3" t="str">
        <x:v>CUST-00516</x:v>
      </x:c>
      <x:c r="D1083" s="3" t="str">
        <x:v>East</x:v>
      </x:c>
      <x:c r="E1083" s="3" t="str">
        <x:v>Electronics</x:v>
      </x:c>
      <x:c r="F1083" s="3" t="str">
        <x:v>Audio</x:v>
      </x:c>
      <x:c r="G1083" s="3" t="str">
        <x:v>BassBoom Speaker</x:v>
      </x:c>
      <x:c r="H1083" s="3" t="n">
        <x:v>1</x:v>
      </x:c>
      <x:c r="I1083" s="7" t="n">
        <x:v>9443.33</x:v>
      </x:c>
      <x:c r="J1083" s="9" t="n">
        <x:v>0.1</x:v>
      </x:c>
      <x:c r="K1083" s="7" t="n">
        <x:v>8499</x:v>
      </x:c>
      <x:c r="L1083" s="7" t="n">
        <x:v>507.46</x:v>
      </x:c>
      <x:c r="M1083" s="3" t="str">
        <x:v>Credit Card</x:v>
      </x:c>
      <x:c r="N1083" s="3" t="str">
        <x:f>TEXT(B1083,"yyyy-mm")</x:f>
        <x:v>2024-10</x:v>
      </x:c>
      <x:c r="O1083" s="3" t="str">
        <x:f>IF(J1083=0,"No discount",IF(J1083&lt;=0.1,"1-10%",IF(J1083&lt;=0.15,"11-15%",IF(J1083&lt;=0.2,"16-20%","21%+"))))</x:f>
        <x:v>1-10%</x:v>
      </x:c>
      <x:c r="P1083" s="9" t="n">
        <x:f>IF(K1083=0,0,L1083/K1083)</x:f>
        <x:v>0.05970820096481939</x:v>
      </x:c>
      <x:c r="Q1083" s="3" t="str">
        <x:f>IF(L1083&lt;0,"Yes","No")</x:f>
        <x:v>No</x:v>
      </x:c>
    </x:row>
    <x:row r="1084" ht="21" customHeight="1">
      <x:c r="A1084" s="3" t="str">
        <x:v>ORD-100918</x:v>
      </x:c>
      <x:c r="B1084" s="5" t="n">
        <x:v>45587</x:v>
      </x:c>
      <x:c r="C1084" s="3" t="str">
        <x:v>CUST-00343</x:v>
      </x:c>
      <x:c r="D1084" s="3" t="str">
        <x:v>West</x:v>
      </x:c>
      <x:c r="E1084" s="3" t="str">
        <x:v>Sports</x:v>
      </x:c>
      <x:c r="F1084" s="3" t="str">
        <x:v>Fitness</x:v>
      </x:c>
      <x:c r="G1084" s="3" t="str">
        <x:v>Adjustable Dumbbell 24kg</x:v>
      </x:c>
      <x:c r="H1084" s="3" t="n">
        <x:v>1</x:v>
      </x:c>
      <x:c r="I1084" s="7" t="n">
        <x:v>10325.11</x:v>
      </x:c>
      <x:c r="J1084" s="9" t="n">
        <x:v>0.05</x:v>
      </x:c>
      <x:c r="K1084" s="7" t="n">
        <x:v>9808.85</x:v>
      </x:c>
      <x:c r="L1084" s="7" t="n">
        <x:v>3123.69</x:v>
      </x:c>
      <x:c r="M1084" s="3" t="str">
        <x:v>UPI</x:v>
      </x:c>
      <x:c r="N1084" s="3" t="str">
        <x:f>TEXT(B1084,"yyyy-mm")</x:f>
        <x:v>2024-10</x:v>
      </x:c>
      <x:c r="O1084" s="3" t="str">
        <x:f>IF(J1084=0,"No discount",IF(J1084&lt;=0.1,"1-10%",IF(J1084&lt;=0.15,"11-15%",IF(J1084&lt;=0.2,"16-20%","21%+"))))</x:f>
        <x:v>1-10%</x:v>
      </x:c>
      <x:c r="P1084" s="9" t="n">
        <x:f>IF(K1084=0,0,L1084/K1084)</x:f>
        <x:v>0.31845629202200054</x:v>
      </x:c>
      <x:c r="Q1084" s="3" t="str">
        <x:f>IF(L1084&lt;0,"Yes","No")</x:f>
        <x:v>No</x:v>
      </x:c>
    </x:row>
    <x:row r="1085" ht="21" customHeight="1">
      <x:c r="A1085" s="3" t="str">
        <x:v>ORD-100451</x:v>
      </x:c>
      <x:c r="B1085" s="5" t="n">
        <x:v>45588</x:v>
      </x:c>
      <x:c r="C1085" s="3" t="str">
        <x:v>CUST-00181</x:v>
      </x:c>
      <x:c r="D1085" s="3" t="str">
        <x:v>South</x:v>
      </x:c>
      <x:c r="E1085" s="3" t="str">
        <x:v>Home &amp; Kitchen</x:v>
      </x:c>
      <x:c r="F1085" s="3" t="str">
        <x:v>Decor</x:v>
      </x:c>
      <x:c r="G1085" s="3" t="str">
        <x:v>LED Wall Lamp</x:v>
      </x:c>
      <x:c r="H1085" s="3" t="n">
        <x:v>1</x:v>
      </x:c>
      <x:c r="I1085" s="7" t="n">
        <x:v>1044.84</x:v>
      </x:c>
      <x:c r="J1085" s="9" t="n">
        <x:v>0.1</x:v>
      </x:c>
      <x:c r="K1085" s="7" t="n">
        <x:v>940.36</x:v>
      </x:c>
      <x:c r="L1085" s="7" t="n">
        <x:v>171.38</x:v>
      </x:c>
      <x:c r="M1085" s="3" t="str">
        <x:v>Cash on Delivery</x:v>
      </x:c>
      <x:c r="N1085" s="3" t="str">
        <x:f>TEXT(B1085,"yyyy-mm")</x:f>
        <x:v>2024-10</x:v>
      </x:c>
      <x:c r="O1085" s="3" t="str">
        <x:f>IF(J1085=0,"No discount",IF(J1085&lt;=0.1,"1-10%",IF(J1085&lt;=0.15,"11-15%",IF(J1085&lt;=0.2,"16-20%","21%+"))))</x:f>
        <x:v>1-10%</x:v>
      </x:c>
      <x:c r="P1085" s="9" t="n">
        <x:f>IF(K1085=0,0,L1085/K1085)</x:f>
        <x:v>0.18224935131226339</x:v>
      </x:c>
      <x:c r="Q1085" s="3" t="str">
        <x:f>IF(L1085&lt;0,"Yes","No")</x:f>
        <x:v>No</x:v>
      </x:c>
    </x:row>
    <x:row r="1086" ht="21" customHeight="1">
      <x:c r="A1086" s="3" t="str">
        <x:v>ORD-100790</x:v>
      </x:c>
      <x:c r="B1086" s="5" t="n">
        <x:v>45588</x:v>
      </x:c>
      <x:c r="C1086" s="3" t="str">
        <x:v>CUST-00167</x:v>
      </x:c>
      <x:c r="D1086" s="3" t="str">
        <x:v>East</x:v>
      </x:c>
      <x:c r="E1086" s="3" t="str">
        <x:v>Beauty</x:v>
      </x:c>
      <x:c r="F1086" s="3" t="str">
        <x:v>Makeup</x:v>
      </x:c>
      <x:c r="G1086" s="3" t="str">
        <x:v>HD Foundation Kit</x:v>
      </x:c>
      <x:c r="H1086" s="3" t="n">
        <x:v>1</x:v>
      </x:c>
      <x:c r="I1086" s="7" t="n">
        <x:v>1563.04</x:v>
      </x:c>
      <x:c r="J1086" s="9" t="n">
        <x:v>0</x:v>
      </x:c>
      <x:c r="K1086" s="7" t="n">
        <x:v>1563.04</x:v>
      </x:c>
      <x:c r="L1086" s="7" t="n">
        <x:v>815.55</x:v>
      </x:c>
      <x:c r="M1086" s="3" t="str">
        <x:v>Credit Card</x:v>
      </x:c>
      <x:c r="N1086" s="3" t="str">
        <x:f>TEXT(B1086,"yyyy-mm")</x:f>
        <x:v>2024-10</x:v>
      </x:c>
      <x:c r="O1086" s="3" t="str">
        <x:f>IF(J1086=0,"No discount",IF(J1086&lt;=0.1,"1-10%",IF(J1086&lt;=0.15,"11-15%",IF(J1086&lt;=0.2,"16-20%","21%+"))))</x:f>
        <x:v>No discount</x:v>
      </x:c>
      <x:c r="P1086" s="9" t="n">
        <x:f>IF(K1086=0,0,L1086/K1086)</x:f>
        <x:v>0.521771675708875</x:v>
      </x:c>
      <x:c r="Q1086" s="3" t="str">
        <x:f>IF(L1086&lt;0,"Yes","No")</x:f>
        <x:v>No</x:v>
      </x:c>
    </x:row>
    <x:row r="1087" ht="21" customHeight="1">
      <x:c r="A1087" s="3" t="str">
        <x:v>ORD-100916</x:v>
      </x:c>
      <x:c r="B1087" s="5" t="n">
        <x:v>45588</x:v>
      </x:c>
      <x:c r="C1087" s="3" t="str">
        <x:v>CUST-00163</x:v>
      </x:c>
      <x:c r="D1087" s="3" t="str">
        <x:v>North</x:v>
      </x:c>
      <x:c r="E1087" s="3" t="str">
        <x:v>Fashion</x:v>
      </x:c>
      <x:c r="F1087" s="3" t="str">
        <x:v>Women</x:v>
      </x:c>
      <x:c r="G1087" s="3" t="str">
        <x:v>Floral Summer Dress</x:v>
      </x:c>
      <x:c r="H1087" s="3" t="n">
        <x:v>1</x:v>
      </x:c>
      <x:c r="I1087" s="7" t="n">
        <x:v>1731.27</x:v>
      </x:c>
      <x:c r="J1087" s="9" t="n">
        <x:v>0.25</x:v>
      </x:c>
      <x:c r="K1087" s="7" t="n">
        <x:v>1298.45</x:v>
      </x:c>
      <x:c r="L1087" s="7" t="n">
        <x:v>161.22</x:v>
      </x:c>
      <x:c r="M1087" s="3" t="str">
        <x:v>UPI</x:v>
      </x:c>
      <x:c r="N1087" s="3" t="str">
        <x:f>TEXT(B1087,"yyyy-mm")</x:f>
        <x:v>2024-10</x:v>
      </x:c>
      <x:c r="O1087" s="3" t="str">
        <x:f>IF(J1087=0,"No discount",IF(J1087&lt;=0.1,"1-10%",IF(J1087&lt;=0.15,"11-15%",IF(J1087&lt;=0.2,"16-20%","21%+"))))</x:f>
        <x:v>21%+</x:v>
      </x:c>
      <x:c r="P1087" s="9" t="n">
        <x:f>IF(K1087=0,0,L1087/K1087)</x:f>
        <x:v>0.12416342562285802</x:v>
      </x:c>
      <x:c r="Q1087" s="3" t="str">
        <x:f>IF(L1087&lt;0,"Yes","No")</x:f>
        <x:v>No</x:v>
      </x:c>
    </x:row>
    <x:row r="1088" ht="21" customHeight="1">
      <x:c r="A1088" s="3" t="str">
        <x:v>ORD-101029</x:v>
      </x:c>
      <x:c r="B1088" s="5" t="n">
        <x:v>45588</x:v>
      </x:c>
      <x:c r="C1088" s="3" t="str">
        <x:v>CUST-00576</x:v>
      </x:c>
      <x:c r="D1088" s="3" t="str">
        <x:v>South</x:v>
      </x:c>
      <x:c r="E1088" s="3" t="str">
        <x:v>Fashion</x:v>
      </x:c>
      <x:c r="F1088" s="3" t="str">
        <x:v>Women</x:v>
      </x:c>
      <x:c r="G1088" s="3" t="str">
        <x:v>Floral Summer Dress</x:v>
      </x:c>
      <x:c r="H1088" s="3" t="n">
        <x:v>1</x:v>
      </x:c>
      <x:c r="I1088" s="7" t="n">
        <x:v>1814.01</x:v>
      </x:c>
      <x:c r="J1088" s="9" t="n">
        <x:v>0.25</x:v>
      </x:c>
      <x:c r="K1088" s="7" t="n">
        <x:v>1360.51</x:v>
      </x:c>
      <x:c r="L1088" s="7" t="n">
        <x:v>216</x:v>
      </x:c>
      <x:c r="M1088" s="3" t="str">
        <x:v>Debit Card</x:v>
      </x:c>
      <x:c r="N1088" s="3" t="str">
        <x:f>TEXT(B1088,"yyyy-mm")</x:f>
        <x:v>2024-10</x:v>
      </x:c>
      <x:c r="O1088" s="3" t="str">
        <x:f>IF(J1088=0,"No discount",IF(J1088&lt;=0.1,"1-10%",IF(J1088&lt;=0.15,"11-15%",IF(J1088&lt;=0.2,"16-20%","21%+"))))</x:f>
        <x:v>21%+</x:v>
      </x:c>
      <x:c r="P1088" s="9" t="n">
        <x:f>IF(K1088=0,0,L1088/K1088)</x:f>
        <x:v>0.1587639929144218</x:v>
      </x:c>
      <x:c r="Q1088" s="3" t="str">
        <x:f>IF(L1088&lt;0,"Yes","No")</x:f>
        <x:v>No</x:v>
      </x:c>
    </x:row>
    <x:row r="1089" ht="21" customHeight="1">
      <x:c r="A1089" s="3" t="str">
        <x:v>ORD-100273</x:v>
      </x:c>
      <x:c r="B1089" s="5" t="n">
        <x:v>45589</x:v>
      </x:c>
      <x:c r="C1089" s="3" t="str">
        <x:v>CUST-00533</x:v>
      </x:c>
      <x:c r="D1089" s="3" t="str">
        <x:v>North</x:v>
      </x:c>
      <x:c r="E1089" s="3" t="str">
        <x:v>Fashion</x:v>
      </x:c>
      <x:c r="F1089" s="3" t="str">
        <x:v>Men</x:v>
      </x:c>
      <x:c r="G1089" s="3" t="str">
        <x:v>Oxford Casual Shirt</x:v>
      </x:c>
      <x:c r="H1089" s="3" t="n">
        <x:v>1</x:v>
      </x:c>
      <x:c r="I1089" s="7" t="n">
        <x:v>1299.43</x:v>
      </x:c>
      <x:c r="J1089" s="9" t="n">
        <x:v>0</x:v>
      </x:c>
      <x:c r="K1089" s="7" t="n">
        <x:v>1299.43</x:v>
      </x:c>
      <x:c r="L1089" s="7" t="n">
        <x:v>525.61</x:v>
      </x:c>
      <x:c r="M1089" s="3" t="str">
        <x:v>UPI</x:v>
      </x:c>
      <x:c r="N1089" s="3" t="str">
        <x:f>TEXT(B1089,"yyyy-mm")</x:f>
        <x:v>2024-10</x:v>
      </x:c>
      <x:c r="O1089" s="3" t="str">
        <x:f>IF(J1089=0,"No discount",IF(J1089&lt;=0.1,"1-10%",IF(J1089&lt;=0.15,"11-15%",IF(J1089&lt;=0.2,"16-20%","21%+"))))</x:f>
        <x:v>No discount</x:v>
      </x:c>
      <x:c r="P1089" s="9" t="n">
        <x:f>IF(K1089=0,0,L1089/K1089)</x:f>
        <x:v>0.40449273912407746</x:v>
      </x:c>
      <x:c r="Q1089" s="3" t="str">
        <x:f>IF(L1089&lt;0,"Yes","No")</x:f>
        <x:v>No</x:v>
      </x:c>
    </x:row>
    <x:row r="1090" ht="21" customHeight="1">
      <x:c r="A1090" s="3" t="str">
        <x:v>ORD-100279</x:v>
      </x:c>
      <x:c r="B1090" s="5" t="n">
        <x:v>45589</x:v>
      </x:c>
      <x:c r="C1090" s="3" t="str">
        <x:v>CUST-00321</x:v>
      </x:c>
      <x:c r="D1090" s="3" t="str">
        <x:v>North</x:v>
      </x:c>
      <x:c r="E1090" s="3" t="str">
        <x:v>Beauty</x:v>
      </x:c>
      <x:c r="F1090" s="3" t="str">
        <x:v>Skincare</x:v>
      </x:c>
      <x:c r="G1090" s="3" t="str">
        <x:v>Vitamin C Serum</x:v>
      </x:c>
      <x:c r="H1090" s="3" t="n">
        <x:v>4</x:v>
      </x:c>
      <x:c r="I1090" s="7" t="n">
        <x:v>895.11</x:v>
      </x:c>
      <x:c r="J1090" s="9" t="n">
        <x:v>0.1</x:v>
      </x:c>
      <x:c r="K1090" s="7" t="n">
        <x:v>3222.4</x:v>
      </x:c>
      <x:c r="L1090" s="7" t="n">
        <x:v>1524.79</x:v>
      </x:c>
      <x:c r="M1090" s="3" t="str">
        <x:v>UPI</x:v>
      </x:c>
      <x:c r="N1090" s="3" t="str">
        <x:f>TEXT(B1090,"yyyy-mm")</x:f>
        <x:v>2024-10</x:v>
      </x:c>
      <x:c r="O1090" s="3" t="str">
        <x:f>IF(J1090=0,"No discount",IF(J1090&lt;=0.1,"1-10%",IF(J1090&lt;=0.15,"11-15%",IF(J1090&lt;=0.2,"16-20%","21%+"))))</x:f>
        <x:v>1-10%</x:v>
      </x:c>
      <x:c r="P1090" s="9" t="n">
        <x:f>IF(K1090=0,0,L1090/K1090)</x:f>
        <x:v>0.47318458291956306</x:v>
      </x:c>
      <x:c r="Q1090" s="3" t="str">
        <x:f>IF(L1090&lt;0,"Yes","No")</x:f>
        <x:v>No</x:v>
      </x:c>
    </x:row>
    <x:row r="1091" ht="21" customHeight="1">
      <x:c r="A1091" s="3" t="str">
        <x:v>ORD-100553</x:v>
      </x:c>
      <x:c r="B1091" s="5" t="n">
        <x:v>45589</x:v>
      </x:c>
      <x:c r="C1091" s="3" t="str">
        <x:v>CUST-00410</x:v>
      </x:c>
      <x:c r="D1091" s="3" t="str">
        <x:v>North</x:v>
      </x:c>
      <x:c r="E1091" s="3" t="str">
        <x:v>Beauty</x:v>
      </x:c>
      <x:c r="F1091" s="3" t="str">
        <x:v>Skincare</x:v>
      </x:c>
      <x:c r="G1091" s="3" t="str">
        <x:v>Vitamin C Serum</x:v>
      </x:c>
      <x:c r="H1091" s="3" t="n">
        <x:v>1</x:v>
      </x:c>
      <x:c r="I1091" s="7" t="n">
        <x:v>889.27</x:v>
      </x:c>
      <x:c r="J1091" s="9" t="n">
        <x:v>0.2</x:v>
      </x:c>
      <x:c r="K1091" s="7" t="n">
        <x:v>711.42</x:v>
      </x:c>
      <x:c r="L1091" s="7" t="n">
        <x:v>218.2</x:v>
      </x:c>
      <x:c r="M1091" s="3" t="str">
        <x:v>Debit Card</x:v>
      </x:c>
      <x:c r="N1091" s="3" t="str">
        <x:f>TEXT(B1091,"yyyy-mm")</x:f>
        <x:v>2024-10</x:v>
      </x:c>
      <x:c r="O1091" s="3" t="str">
        <x:f>IF(J1091=0,"No discount",IF(J1091&lt;=0.1,"1-10%",IF(J1091&lt;=0.15,"11-15%",IF(J1091&lt;=0.2,"16-20%","21%+"))))</x:f>
        <x:v>16-20%</x:v>
      </x:c>
      <x:c r="P1091" s="9" t="n">
        <x:f>IF(K1091=0,0,L1091/K1091)</x:f>
        <x:v>0.30671052261673837</x:v>
      </x:c>
      <x:c r="Q1091" s="3" t="str">
        <x:f>IF(L1091&lt;0,"Yes","No")</x:f>
        <x:v>No</x:v>
      </x:c>
    </x:row>
    <x:row r="1092" ht="21" customHeight="1">
      <x:c r="A1092" s="3" t="str">
        <x:v>ORD-101621</x:v>
      </x:c>
      <x:c r="B1092" s="5" t="n">
        <x:v>45589</x:v>
      </x:c>
      <x:c r="C1092" s="3" t="str">
        <x:v>CUST-00251</x:v>
      </x:c>
      <x:c r="D1092" s="3" t="str">
        <x:v>East</x:v>
      </x:c>
      <x:c r="E1092" s="3" t="str">
        <x:v>Fashion</x:v>
      </x:c>
      <x:c r="F1092" s="3" t="str">
        <x:v>Men</x:v>
      </x:c>
      <x:c r="G1092" s="3" t="str">
        <x:v>Oxford Casual Shirt</x:v>
      </x:c>
      <x:c r="H1092" s="3" t="n">
        <x:v>4</x:v>
      </x:c>
      <x:c r="I1092" s="7" t="n">
        <x:v>1327.54</x:v>
      </x:c>
      <x:c r="J1092" s="9" t="n">
        <x:v>0.05</x:v>
      </x:c>
      <x:c r="K1092" s="7" t="n">
        <x:v>5044.65</x:v>
      </x:c>
      <x:c r="L1092" s="7" t="n">
        <x:v>1935.09</x:v>
      </x:c>
      <x:c r="M1092" s="3" t="str">
        <x:v>Cash on Delivery</x:v>
      </x:c>
      <x:c r="N1092" s="3" t="str">
        <x:f>TEXT(B1092,"yyyy-mm")</x:f>
        <x:v>2024-10</x:v>
      </x:c>
      <x:c r="O1092" s="3" t="str">
        <x:f>IF(J1092=0,"No discount",IF(J1092&lt;=0.1,"1-10%",IF(J1092&lt;=0.15,"11-15%",IF(J1092&lt;=0.2,"16-20%","21%+"))))</x:f>
        <x:v>1-10%</x:v>
      </x:c>
      <x:c r="P1092" s="9" t="n">
        <x:f>IF(K1092=0,0,L1092/K1092)</x:f>
        <x:v>0.38359251880705303</x:v>
      </x:c>
      <x:c r="Q1092" s="3" t="str">
        <x:f>IF(L1092&lt;0,"Yes","No")</x:f>
        <x:v>No</x:v>
      </x:c>
    </x:row>
    <x:row r="1093" ht="21" customHeight="1">
      <x:c r="A1093" s="3" t="str">
        <x:v>ORD-101947</x:v>
      </x:c>
      <x:c r="B1093" s="5" t="n">
        <x:v>45589</x:v>
      </x:c>
      <x:c r="C1093" s="3" t="str">
        <x:v>CUST-00452</x:v>
      </x:c>
      <x:c r="D1093" s="3" t="str">
        <x:v>West</x:v>
      </x:c>
      <x:c r="E1093" s="3" t="str">
        <x:v>Beauty</x:v>
      </x:c>
      <x:c r="F1093" s="3" t="str">
        <x:v>Skincare</x:v>
      </x:c>
      <x:c r="G1093" s="3" t="str">
        <x:v>HydraBoost Moisturizer</x:v>
      </x:c>
      <x:c r="H1093" s="3" t="n">
        <x:v>4</x:v>
      </x:c>
      <x:c r="I1093" s="7" t="n">
        <x:v>1177.07</x:v>
      </x:c>
      <x:c r="J1093" s="9" t="n">
        <x:v>0.1</x:v>
      </x:c>
      <x:c r="K1093" s="7" t="n">
        <x:v>4237.45</x:v>
      </x:c>
      <x:c r="L1093" s="7" t="n">
        <x:v>1987.12</x:v>
      </x:c>
      <x:c r="M1093" s="3" t="str">
        <x:v>Cash on Delivery</x:v>
      </x:c>
      <x:c r="N1093" s="3" t="str">
        <x:f>TEXT(B1093,"yyyy-mm")</x:f>
        <x:v>2024-10</x:v>
      </x:c>
      <x:c r="O1093" s="3" t="str">
        <x:f>IF(J1093=0,"No discount",IF(J1093&lt;=0.1,"1-10%",IF(J1093&lt;=0.15,"11-15%",IF(J1093&lt;=0.2,"16-20%","21%+"))))</x:f>
        <x:v>1-10%</x:v>
      </x:c>
      <x:c r="P1093" s="9" t="n">
        <x:f>IF(K1093=0,0,L1093/K1093)</x:f>
        <x:v>0.4689424064000755</x:v>
      </x:c>
      <x:c r="Q1093" s="3" t="str">
        <x:f>IF(L1093&lt;0,"Yes","No")</x:f>
        <x:v>No</x:v>
      </x:c>
    </x:row>
    <x:row r="1094" ht="21" customHeight="1">
      <x:c r="A1094" s="3" t="str">
        <x:v>ORD-101957</x:v>
      </x:c>
      <x:c r="B1094" s="5" t="n">
        <x:v>45589</x:v>
      </x:c>
      <x:c r="C1094" s="3" t="str">
        <x:v>CUST-00419</x:v>
      </x:c>
      <x:c r="D1094" s="3" t="str">
        <x:v>South</x:v>
      </x:c>
      <x:c r="E1094" s="3" t="str">
        <x:v>Home &amp; Kitchen</x:v>
      </x:c>
      <x:c r="F1094" s="3" t="str">
        <x:v>Appliances</x:v>
      </x:c>
      <x:c r="G1094" s="3" t="str">
        <x:v>ColdBrew Coffee Maker</x:v>
      </x:c>
      <x:c r="H1094" s="3" t="n">
        <x:v>1</x:v>
      </x:c>
      <x:c r="I1094" s="7" t="n">
        <x:v>6604.93</x:v>
      </x:c>
      <x:c r="J1094" s="9" t="n">
        <x:v>0</x:v>
      </x:c>
      <x:c r="K1094" s="7" t="n">
        <x:v>6604.93</x:v>
      </x:c>
      <x:c r="L1094" s="7" t="n">
        <x:v>2158.87</x:v>
      </x:c>
      <x:c r="M1094" s="3" t="str">
        <x:v>Credit Card</x:v>
      </x:c>
      <x:c r="N1094" s="3" t="str">
        <x:f>TEXT(B1094,"yyyy-mm")</x:f>
        <x:v>2024-10</x:v>
      </x:c>
      <x:c r="O1094" s="3" t="str">
        <x:f>IF(J1094=0,"No discount",IF(J1094&lt;=0.1,"1-10%",IF(J1094&lt;=0.15,"11-15%",IF(J1094&lt;=0.2,"16-20%","21%+"))))</x:f>
        <x:v>No discount</x:v>
      </x:c>
      <x:c r="P1094" s="9" t="n">
        <x:f>IF(K1094=0,0,L1094/K1094)</x:f>
        <x:v>0.3268573626064167</x:v>
      </x:c>
      <x:c r="Q1094" s="3" t="str">
        <x:f>IF(L1094&lt;0,"Yes","No")</x:f>
        <x:v>No</x:v>
      </x:c>
    </x:row>
    <x:row r="1095" ht="21" customHeight="1">
      <x:c r="A1095" s="3" t="str">
        <x:v>ORD-100183</x:v>
      </x:c>
      <x:c r="B1095" s="5" t="n">
        <x:v>45590</x:v>
      </x:c>
      <x:c r="C1095" s="3" t="str">
        <x:v>CUST-00087</x:v>
      </x:c>
      <x:c r="D1095" s="3" t="str">
        <x:v>South</x:v>
      </x:c>
      <x:c r="E1095" s="3" t="str">
        <x:v>Sports</x:v>
      </x:c>
      <x:c r="F1095" s="3" t="str">
        <x:v>Outdoor</x:v>
      </x:c>
      <x:c r="G1095" s="3" t="str">
        <x:v>TrailHike Backpack 60L</x:v>
      </x:c>
      <x:c r="H1095" s="3" t="n">
        <x:v>1</x:v>
      </x:c>
      <x:c r="I1095" s="7" t="n">
        <x:v>3356.61</x:v>
      </x:c>
      <x:c r="J1095" s="9" t="n">
        <x:v>0.05</x:v>
      </x:c>
      <x:c r="K1095" s="7" t="n">
        <x:v>3188.78</x:v>
      </x:c>
      <x:c r="L1095" s="7" t="n">
        <x:v>1053.39</x:v>
      </x:c>
      <x:c r="M1095" s="3" t="str">
        <x:v>UPI</x:v>
      </x:c>
      <x:c r="N1095" s="3" t="str">
        <x:f>TEXT(B1095,"yyyy-mm")</x:f>
        <x:v>2024-10</x:v>
      </x:c>
      <x:c r="O1095" s="3" t="str">
        <x:f>IF(J1095=0,"No discount",IF(J1095&lt;=0.1,"1-10%",IF(J1095&lt;=0.15,"11-15%",IF(J1095&lt;=0.2,"16-20%","21%+"))))</x:f>
        <x:v>1-10%</x:v>
      </x:c>
      <x:c r="P1095" s="9" t="n">
        <x:f>IF(K1095=0,0,L1095/K1095)</x:f>
        <x:v>0.3303426388775645</x:v>
      </x:c>
      <x:c r="Q1095" s="3" t="str">
        <x:f>IF(L1095&lt;0,"Yes","No")</x:f>
        <x:v>No</x:v>
      </x:c>
    </x:row>
    <x:row r="1096" ht="21" customHeight="1">
      <x:c r="A1096" s="3" t="str">
        <x:v>ORD-100288</x:v>
      </x:c>
      <x:c r="B1096" s="5" t="n">
        <x:v>45590</x:v>
      </x:c>
      <x:c r="C1096" s="3" t="str">
        <x:v>CUST-00383</x:v>
      </x:c>
      <x:c r="D1096" s="3" t="str">
        <x:v>West</x:v>
      </x:c>
      <x:c r="E1096" s="3" t="str">
        <x:v>Home &amp; Kitchen</x:v>
      </x:c>
      <x:c r="F1096" s="3" t="str">
        <x:v>Appliances</x:v>
      </x:c>
      <x:c r="G1096" s="3" t="str">
        <x:v>ColdBrew Coffee Maker</x:v>
      </x:c>
      <x:c r="H1096" s="3" t="n">
        <x:v>1</x:v>
      </x:c>
      <x:c r="I1096" s="7" t="n">
        <x:v>6318.16</x:v>
      </x:c>
      <x:c r="J1096" s="9" t="n">
        <x:v>0.15</x:v>
      </x:c>
      <x:c r="K1096" s="7" t="n">
        <x:v>5370.44</x:v>
      </x:c>
      <x:c r="L1096" s="7" t="n">
        <x:v>777.69</x:v>
      </x:c>
      <x:c r="M1096" s="3" t="str">
        <x:v>Cash on Delivery</x:v>
      </x:c>
      <x:c r="N1096" s="3" t="str">
        <x:f>TEXT(B1096,"yyyy-mm")</x:f>
        <x:v>2024-10</x:v>
      </x:c>
      <x:c r="O1096" s="3" t="str">
        <x:f>IF(J1096=0,"No discount",IF(J1096&lt;=0.1,"1-10%",IF(J1096&lt;=0.15,"11-15%",IF(J1096&lt;=0.2,"16-20%","21%+"))))</x:f>
        <x:v>11-15%</x:v>
      </x:c>
      <x:c r="P1096" s="9" t="n">
        <x:f>IF(K1096=0,0,L1096/K1096)</x:f>
        <x:v>0.14480936385100665</x:v>
      </x:c>
      <x:c r="Q1096" s="3" t="str">
        <x:f>IF(L1096&lt;0,"Yes","No")</x:f>
        <x:v>No</x:v>
      </x:c>
    </x:row>
    <x:row r="1097" ht="21" customHeight="1">
      <x:c r="A1097" s="3" t="str">
        <x:v>ORD-100914</x:v>
      </x:c>
      <x:c r="B1097" s="5" t="n">
        <x:v>45590</x:v>
      </x:c>
      <x:c r="C1097" s="3" t="str">
        <x:v>CUST-00463</x:v>
      </x:c>
      <x:c r="D1097" s="3" t="str">
        <x:v>West</x:v>
      </x:c>
      <x:c r="E1097" s="3" t="str">
        <x:v>Sports</x:v>
      </x:c>
      <x:c r="F1097" s="3" t="str">
        <x:v>Fitness</x:v>
      </x:c>
      <x:c r="G1097" s="3" t="str">
        <x:v>ProYoga Mat</x:v>
      </x:c>
      <x:c r="H1097" s="3" t="n">
        <x:v>2</x:v>
      </x:c>
      <x:c r="I1097" s="7" t="n">
        <x:v>1278.9</x:v>
      </x:c>
      <x:c r="J1097" s="9" t="n">
        <x:v>0.1</x:v>
      </x:c>
      <x:c r="K1097" s="7" t="n">
        <x:v>2302.02</x:v>
      </x:c>
      <x:c r="L1097" s="7" t="n">
        <x:v>556.18</x:v>
      </x:c>
      <x:c r="M1097" s="3" t="str">
        <x:v>UPI</x:v>
      </x:c>
      <x:c r="N1097" s="3" t="str">
        <x:f>TEXT(B1097,"yyyy-mm")</x:f>
        <x:v>2024-10</x:v>
      </x:c>
      <x:c r="O1097" s="3" t="str">
        <x:f>IF(J1097=0,"No discount",IF(J1097&lt;=0.1,"1-10%",IF(J1097&lt;=0.15,"11-15%",IF(J1097&lt;=0.2,"16-20%","21%+"))))</x:f>
        <x:v>1-10%</x:v>
      </x:c>
      <x:c r="P1097" s="9" t="n">
        <x:f>IF(K1097=0,0,L1097/K1097)</x:f>
        <x:v>0.24160519891225965</x:v>
      </x:c>
      <x:c r="Q1097" s="3" t="str">
        <x:f>IF(L1097&lt;0,"Yes","No")</x:f>
        <x:v>No</x:v>
      </x:c>
    </x:row>
    <x:row r="1098" ht="21" customHeight="1">
      <x:c r="A1098" s="3" t="str">
        <x:v>ORD-100927</x:v>
      </x:c>
      <x:c r="B1098" s="5" t="n">
        <x:v>45590</x:v>
      </x:c>
      <x:c r="C1098" s="3" t="str">
        <x:v>CUST-00163</x:v>
      </x:c>
      <x:c r="D1098" s="3" t="str">
        <x:v>South</x:v>
      </x:c>
      <x:c r="E1098" s="3" t="str">
        <x:v>Beauty</x:v>
      </x:c>
      <x:c r="F1098" s="3" t="str">
        <x:v>Makeup</x:v>
      </x:c>
      <x:c r="G1098" s="3" t="str">
        <x:v>Matte Lipstick Set</x:v>
      </x:c>
      <x:c r="H1098" s="3" t="n">
        <x:v>2</x:v>
      </x:c>
      <x:c r="I1098" s="7" t="n">
        <x:v>977.86</x:v>
      </x:c>
      <x:c r="J1098" s="9" t="n">
        <x:v>0</x:v>
      </x:c>
      <x:c r="K1098" s="7" t="n">
        <x:v>1955.72</x:v>
      </x:c>
      <x:c r="L1098" s="7" t="n">
        <x:v>1032</x:v>
      </x:c>
      <x:c r="M1098" s="3" t="str">
        <x:v>UPI</x:v>
      </x:c>
      <x:c r="N1098" s="3" t="str">
        <x:f>TEXT(B1098,"yyyy-mm")</x:f>
        <x:v>2024-10</x:v>
      </x:c>
      <x:c r="O1098" s="3" t="str">
        <x:f>IF(J1098=0,"No discount",IF(J1098&lt;=0.1,"1-10%",IF(J1098&lt;=0.15,"11-15%",IF(J1098&lt;=0.2,"16-20%","21%+"))))</x:f>
        <x:v>No discount</x:v>
      </x:c>
      <x:c r="P1098" s="9" t="n">
        <x:f>IF(K1098=0,0,L1098/K1098)</x:f>
        <x:v>0.5276828993925511</x:v>
      </x:c>
      <x:c r="Q1098" s="3" t="str">
        <x:f>IF(L1098&lt;0,"Yes","No")</x:f>
        <x:v>No</x:v>
      </x:c>
    </x:row>
    <x:row r="1099" ht="21" customHeight="1">
      <x:c r="A1099" s="3" t="str">
        <x:v>ORD-100978</x:v>
      </x:c>
      <x:c r="B1099" s="5" t="n">
        <x:v>45590</x:v>
      </x:c>
      <x:c r="C1099" s="3" t="str">
        <x:v>CUST-00106</x:v>
      </x:c>
      <x:c r="D1099" s="3" t="str">
        <x:v>West</x:v>
      </x:c>
      <x:c r="E1099" s="3" t="str">
        <x:v>Sports</x:v>
      </x:c>
      <x:c r="F1099" s="3" t="str">
        <x:v>Outdoor</x:v>
      </x:c>
      <x:c r="G1099" s="3" t="str">
        <x:v>TrailHike Backpack 60L</x:v>
      </x:c>
      <x:c r="H1099" s="3" t="n">
        <x:v>2</x:v>
      </x:c>
      <x:c r="I1099" s="7" t="n">
        <x:v>3382.99</x:v>
      </x:c>
      <x:c r="J1099" s="9" t="n">
        <x:v>0.05</x:v>
      </x:c>
      <x:c r="K1099" s="7" t="n">
        <x:v>6427.68</x:v>
      </x:c>
      <x:c r="L1099" s="7" t="n">
        <x:v>2180.79</x:v>
      </x:c>
      <x:c r="M1099" s="3" t="str">
        <x:v>Credit Card</x:v>
      </x:c>
      <x:c r="N1099" s="3" t="str">
        <x:f>TEXT(B1099,"yyyy-mm")</x:f>
        <x:v>2024-10</x:v>
      </x:c>
      <x:c r="O1099" s="3" t="str">
        <x:f>IF(J1099=0,"No discount",IF(J1099&lt;=0.1,"1-10%",IF(J1099&lt;=0.15,"11-15%",IF(J1099&lt;=0.2,"16-20%","21%+"))))</x:f>
        <x:v>1-10%</x:v>
      </x:c>
      <x:c r="P1099" s="9" t="n">
        <x:f>IF(K1099=0,0,L1099/K1099)</x:f>
        <x:v>0.33928104697184674</x:v>
      </x:c>
      <x:c r="Q1099" s="3" t="str">
        <x:f>IF(L1099&lt;0,"Yes","No")</x:f>
        <x:v>No</x:v>
      </x:c>
    </x:row>
    <x:row r="1100" ht="21" customHeight="1">
      <x:c r="A1100" s="3" t="str">
        <x:v>ORD-101017</x:v>
      </x:c>
      <x:c r="B1100" s="5" t="n">
        <x:v>45590</x:v>
      </x:c>
      <x:c r="C1100" s="3" t="str">
        <x:v>CUST-00231</x:v>
      </x:c>
      <x:c r="D1100" s="3" t="str">
        <x:v>South</x:v>
      </x:c>
      <x:c r="E1100" s="3" t="str">
        <x:v>Fashion</x:v>
      </x:c>
      <x:c r="F1100" s="3" t="str">
        <x:v>Women</x:v>
      </x:c>
      <x:c r="G1100" s="3" t="str">
        <x:v>Knit Winter Sweater</x:v>
      </x:c>
      <x:c r="H1100" s="3" t="n">
        <x:v>4</x:v>
      </x:c>
      <x:c r="I1100" s="7" t="n">
        <x:v>2133.17</x:v>
      </x:c>
      <x:c r="J1100" s="9" t="n">
        <x:v>0.05</x:v>
      </x:c>
      <x:c r="K1100" s="7" t="n">
        <x:v>8106.05</x:v>
      </x:c>
      <x:c r="L1100" s="7" t="n">
        <x:v>3031.91</x:v>
      </x:c>
      <x:c r="M1100" s="3" t="str">
        <x:v>UPI</x:v>
      </x:c>
      <x:c r="N1100" s="3" t="str">
        <x:f>TEXT(B1100,"yyyy-mm")</x:f>
        <x:v>2024-10</x:v>
      </x:c>
      <x:c r="O1100" s="3" t="str">
        <x:f>IF(J1100=0,"No discount",IF(J1100&lt;=0.1,"1-10%",IF(J1100&lt;=0.15,"11-15%",IF(J1100&lt;=0.2,"16-20%","21%+"))))</x:f>
        <x:v>1-10%</x:v>
      </x:c>
      <x:c r="P1100" s="9" t="n">
        <x:f>IF(K1100=0,0,L1100/K1100)</x:f>
        <x:v>0.37403050807730026</x:v>
      </x:c>
      <x:c r="Q1100" s="3" t="str">
        <x:f>IF(L1100&lt;0,"Yes","No")</x:f>
        <x:v>No</x:v>
      </x:c>
    </x:row>
    <x:row r="1101" ht="21" customHeight="1">
      <x:c r="A1101" s="3" t="str">
        <x:v>ORD-101773</x:v>
      </x:c>
      <x:c r="B1101" s="5" t="n">
        <x:v>45590</x:v>
      </x:c>
      <x:c r="C1101" s="3" t="str">
        <x:v>CUST-00366</x:v>
      </x:c>
      <x:c r="D1101" s="3" t="str">
        <x:v>South</x:v>
      </x:c>
      <x:c r="E1101" s="3" t="str">
        <x:v>Home &amp; Kitchen</x:v>
      </x:c>
      <x:c r="F1101" s="3" t="str">
        <x:v>Decor</x:v>
      </x:c>
      <x:c r="G1101" s="3" t="str">
        <x:v>LED Wall Lamp</x:v>
      </x:c>
      <x:c r="H1101" s="3" t="n">
        <x:v>1</x:v>
      </x:c>
      <x:c r="I1101" s="7" t="n">
        <x:v>987.65</x:v>
      </x:c>
      <x:c r="J1101" s="9" t="n">
        <x:v>0</x:v>
      </x:c>
      <x:c r="K1101" s="7" t="n">
        <x:v>987.65</x:v>
      </x:c>
      <x:c r="L1101" s="7" t="n">
        <x:v>321.69</x:v>
      </x:c>
      <x:c r="M1101" s="3" t="str">
        <x:v>Debit Card</x:v>
      </x:c>
      <x:c r="N1101" s="3" t="str">
        <x:f>TEXT(B1101,"yyyy-mm")</x:f>
        <x:v>2024-10</x:v>
      </x:c>
      <x:c r="O1101" s="3" t="str">
        <x:f>IF(J1101=0,"No discount",IF(J1101&lt;=0.1,"1-10%",IF(J1101&lt;=0.15,"11-15%",IF(J1101&lt;=0.2,"16-20%","21%+"))))</x:f>
        <x:v>No discount</x:v>
      </x:c>
      <x:c r="P1101" s="9" t="n">
        <x:f>IF(K1101=0,0,L1101/K1101)</x:f>
        <x:v>0.32571254999240623</x:v>
      </x:c>
      <x:c r="Q1101" s="3" t="str">
        <x:f>IF(L1101&lt;0,"Yes","No")</x:f>
        <x:v>No</x:v>
      </x:c>
    </x:row>
    <x:row r="1102" ht="21" customHeight="1">
      <x:c r="A1102" s="3" t="str">
        <x:v>ORD-101850</x:v>
      </x:c>
      <x:c r="B1102" s="5" t="n">
        <x:v>45590</x:v>
      </x:c>
      <x:c r="C1102" s="3" t="str">
        <x:v>CUST-00206</x:v>
      </x:c>
      <x:c r="D1102" s="3" t="str">
        <x:v>East</x:v>
      </x:c>
      <x:c r="E1102" s="3" t="str">
        <x:v>Sports</x:v>
      </x:c>
      <x:c r="F1102" s="3" t="str">
        <x:v>Fitness</x:v>
      </x:c>
      <x:c r="G1102" s="3" t="str">
        <x:v>Adjustable Dumbbell 24kg</x:v>
      </x:c>
      <x:c r="H1102" s="3" t="n">
        <x:v>4</x:v>
      </x:c>
      <x:c r="I1102" s="7" t="n">
        <x:v>10246.96</x:v>
      </x:c>
      <x:c r="J1102" s="9" t="n">
        <x:v>0.4</x:v>
      </x:c>
      <x:c r="K1102" s="7" t="n">
        <x:v>24592.7</x:v>
      </x:c>
      <x:c r="L1102" s="7" t="n">
        <x:v>-2808.77</x:v>
      </x:c>
      <x:c r="M1102" s="3" t="str">
        <x:v>UPI</x:v>
      </x:c>
      <x:c r="N1102" s="3" t="str">
        <x:f>TEXT(B1102,"yyyy-mm")</x:f>
        <x:v>2024-10</x:v>
      </x:c>
      <x:c r="O1102" s="3" t="str">
        <x:f>IF(J1102=0,"No discount",IF(J1102&lt;=0.1,"1-10%",IF(J1102&lt;=0.15,"11-15%",IF(J1102&lt;=0.2,"16-20%","21%+"))))</x:f>
        <x:v>21%+</x:v>
      </x:c>
      <x:c r="P1102" s="9" t="n">
        <x:f>IF(K1102=0,0,L1102/K1102)</x:f>
        <x:v>-0.11421153431709409</x:v>
      </x:c>
      <x:c r="Q1102" s="3" t="str">
        <x:f>IF(L1102&lt;0,"Yes","No")</x:f>
        <x:v>Yes</x:v>
      </x:c>
    </x:row>
    <x:row r="1103" ht="21" customHeight="1">
      <x:c r="A1103" s="3" t="str">
        <x:v>ORD-101880</x:v>
      </x:c>
      <x:c r="B1103" s="5" t="n">
        <x:v>45590</x:v>
      </x:c>
      <x:c r="C1103" s="3" t="str">
        <x:v>CUST-00228</x:v>
      </x:c>
      <x:c r="D1103" s="3" t="str">
        <x:v>East</x:v>
      </x:c>
      <x:c r="E1103" s="3" t="str">
        <x:v>Home &amp; Kitchen</x:v>
      </x:c>
      <x:c r="F1103" s="3" t="str">
        <x:v>Decor</x:v>
      </x:c>
      <x:c r="G1103" s="3" t="str">
        <x:v>Ceramic Vase Set</x:v>
      </x:c>
      <x:c r="H1103" s="3" t="n">
        <x:v>1</x:v>
      </x:c>
      <x:c r="I1103" s="7" t="n">
        <x:v>1457.27</x:v>
      </x:c>
      <x:c r="J1103" s="9" t="n">
        <x:v>0.15</x:v>
      </x:c>
      <x:c r="K1103" s="7" t="n">
        <x:v>1238.68</x:v>
      </x:c>
      <x:c r="L1103" s="7" t="n">
        <x:v>159.85</x:v>
      </x:c>
      <x:c r="M1103" s="3" t="str">
        <x:v>Credit Card</x:v>
      </x:c>
      <x:c r="N1103" s="3" t="str">
        <x:f>TEXT(B1103,"yyyy-mm")</x:f>
        <x:v>2024-10</x:v>
      </x:c>
      <x:c r="O1103" s="3" t="str">
        <x:f>IF(J1103=0,"No discount",IF(J1103&lt;=0.1,"1-10%",IF(J1103&lt;=0.15,"11-15%",IF(J1103&lt;=0.2,"16-20%","21%+"))))</x:f>
        <x:v>11-15%</x:v>
      </x:c>
      <x:c r="P1103" s="9" t="n">
        <x:f>IF(K1103=0,0,L1103/K1103)</x:f>
        <x:v>0.12904866470759194</x:v>
      </x:c>
      <x:c r="Q1103" s="3" t="str">
        <x:f>IF(L1103&lt;0,"Yes","No")</x:f>
        <x:v>No</x:v>
      </x:c>
    </x:row>
    <x:row r="1104" ht="21" customHeight="1">
      <x:c r="A1104" s="3" t="str">
        <x:v>ORD-101909</x:v>
      </x:c>
      <x:c r="B1104" s="5" t="n">
        <x:v>45590</x:v>
      </x:c>
      <x:c r="C1104" s="3" t="str">
        <x:v>CUST-00487</x:v>
      </x:c>
      <x:c r="D1104" s="3" t="str">
        <x:v>North</x:v>
      </x:c>
      <x:c r="E1104" s="3" t="str">
        <x:v>Electronics</x:v>
      </x:c>
      <x:c r="F1104" s="3" t="str">
        <x:v>Audio</x:v>
      </x:c>
      <x:c r="G1104" s="3" t="str">
        <x:v>SoundPods Pro</x:v>
      </x:c>
      <x:c r="H1104" s="3" t="n">
        <x:v>1</x:v>
      </x:c>
      <x:c r="I1104" s="7" t="n">
        <x:v>5233.51</x:v>
      </x:c>
      <x:c r="J1104" s="9" t="n">
        <x:v>0.2</x:v>
      </x:c>
      <x:c r="K1104" s="7" t="n">
        <x:v>4186.81</x:v>
      </x:c>
      <x:c r="L1104" s="7" t="n">
        <x:v>-83.86</x:v>
      </x:c>
      <x:c r="M1104" s="3" t="str">
        <x:v>Net Banking</x:v>
      </x:c>
      <x:c r="N1104" s="3" t="str">
        <x:f>TEXT(B1104,"yyyy-mm")</x:f>
        <x:v>2024-10</x:v>
      </x:c>
      <x:c r="O1104" s="3" t="str">
        <x:f>IF(J1104=0,"No discount",IF(J1104&lt;=0.1,"1-10%",IF(J1104&lt;=0.15,"11-15%",IF(J1104&lt;=0.2,"16-20%","21%+"))))</x:f>
        <x:v>16-20%</x:v>
      </x:c>
      <x:c r="P1104" s="9" t="n">
        <x:f>IF(K1104=0,0,L1104/K1104)</x:f>
        <x:v>-0.020029569051378017</x:v>
      </x:c>
      <x:c r="Q1104" s="3" t="str">
        <x:f>IF(L1104&lt;0,"Yes","No")</x:f>
        <x:v>Yes</x:v>
      </x:c>
    </x:row>
    <x:row r="1105" ht="21" customHeight="1">
      <x:c r="A1105" s="3" t="str">
        <x:v>ORD-101033</x:v>
      </x:c>
      <x:c r="B1105" s="5" t="n">
        <x:v>45591</x:v>
      </x:c>
      <x:c r="C1105" s="3" t="str">
        <x:v>CUST-00086</x:v>
      </x:c>
      <x:c r="D1105" s="3" t="str">
        <x:v>North</x:v>
      </x:c>
      <x:c r="E1105" s="3" t="str">
        <x:v>Beauty</x:v>
      </x:c>
      <x:c r="F1105" s="3" t="str">
        <x:v>Makeup</x:v>
      </x:c>
      <x:c r="G1105" s="3" t="str">
        <x:v>HD Foundation Kit</x:v>
      </x:c>
      <x:c r="H1105" s="3" t="n">
        <x:v>4</x:v>
      </x:c>
      <x:c r="I1105" s="7" t="n">
        <x:v>1564.21</x:v>
      </x:c>
      <x:c r="J1105" s="9" t="n">
        <x:v>0</x:v>
      </x:c>
      <x:c r="K1105" s="7" t="n">
        <x:v>6256.84</x:v>
      </x:c>
      <x:c r="L1105" s="7" t="n">
        <x:v>3671.72</x:v>
      </x:c>
      <x:c r="M1105" s="3" t="str">
        <x:v>Credit Card</x:v>
      </x:c>
      <x:c r="N1105" s="3" t="str">
        <x:f>TEXT(B1105,"yyyy-mm")</x:f>
        <x:v>2024-10</x:v>
      </x:c>
      <x:c r="O1105" s="3" t="str">
        <x:f>IF(J1105=0,"No discount",IF(J1105&lt;=0.1,"1-10%",IF(J1105&lt;=0.15,"11-15%",IF(J1105&lt;=0.2,"16-20%","21%+"))))</x:f>
        <x:v>No discount</x:v>
      </x:c>
      <x:c r="P1105" s="9" t="n">
        <x:f>IF(K1105=0,0,L1105/K1105)</x:f>
        <x:v>0.5868329699976346</x:v>
      </x:c>
      <x:c r="Q1105" s="3" t="str">
        <x:f>IF(L1105&lt;0,"Yes","No")</x:f>
        <x:v>No</x:v>
      </x:c>
    </x:row>
    <x:row r="1106" ht="21" customHeight="1">
      <x:c r="A1106" s="3" t="str">
        <x:v>ORD-101213</x:v>
      </x:c>
      <x:c r="B1106" s="5" t="n">
        <x:v>45591</x:v>
      </x:c>
      <x:c r="C1106" s="3" t="str">
        <x:v>CUST-00407</x:v>
      </x:c>
      <x:c r="D1106" s="3" t="str">
        <x:v>East</x:v>
      </x:c>
      <x:c r="E1106" s="3" t="str">
        <x:v>Fashion</x:v>
      </x:c>
      <x:c r="F1106" s="3" t="str">
        <x:v>Men</x:v>
      </x:c>
      <x:c r="G1106" s="3" t="str">
        <x:v>SlimFit Denim Jeans</x:v>
      </x:c>
      <x:c r="H1106" s="3" t="n">
        <x:v>1</x:v>
      </x:c>
      <x:c r="I1106" s="7" t="n">
        <x:v>1923.67</x:v>
      </x:c>
      <x:c r="J1106" s="9" t="n">
        <x:v>0</x:v>
      </x:c>
      <x:c r="K1106" s="7" t="n">
        <x:v>1923.67</x:v>
      </x:c>
      <x:c r="L1106" s="7" t="n">
        <x:v>811.94</x:v>
      </x:c>
      <x:c r="M1106" s="3" t="str">
        <x:v>UPI</x:v>
      </x:c>
      <x:c r="N1106" s="3" t="str">
        <x:f>TEXT(B1106,"yyyy-mm")</x:f>
        <x:v>2024-10</x:v>
      </x:c>
      <x:c r="O1106" s="3" t="str">
        <x:f>IF(J1106=0,"No discount",IF(J1106&lt;=0.1,"1-10%",IF(J1106&lt;=0.15,"11-15%",IF(J1106&lt;=0.2,"16-20%","21%+"))))</x:f>
        <x:v>No discount</x:v>
      </x:c>
      <x:c r="P1106" s="9" t="n">
        <x:f>IF(K1106=0,0,L1106/K1106)</x:f>
        <x:v>0.422078630950215</x:v>
      </x:c>
      <x:c r="Q1106" s="3" t="str">
        <x:f>IF(L1106&lt;0,"Yes","No")</x:f>
        <x:v>No</x:v>
      </x:c>
    </x:row>
    <x:row r="1107" ht="21" customHeight="1">
      <x:c r="A1107" s="3" t="str">
        <x:v>ORD-100008</x:v>
      </x:c>
      <x:c r="B1107" s="5" t="n">
        <x:v>45592</x:v>
      </x:c>
      <x:c r="C1107" s="3" t="str">
        <x:v>CUST-00465</x:v>
      </x:c>
      <x:c r="D1107" s="3" t="str">
        <x:v>East</x:v>
      </x:c>
      <x:c r="E1107" s="3" t="str">
        <x:v>Beauty</x:v>
      </x:c>
      <x:c r="F1107" s="3" t="str">
        <x:v>Makeup</x:v>
      </x:c>
      <x:c r="G1107" s="3" t="str">
        <x:v>Matte Lipstick Set</x:v>
      </x:c>
      <x:c r="H1107" s="3" t="n">
        <x:v>2</x:v>
      </x:c>
      <x:c r="I1107" s="7" t="n">
        <x:v>1037.44</x:v>
      </x:c>
      <x:c r="J1107" s="9" t="n">
        <x:v>0</x:v>
      </x:c>
      <x:c r="K1107" s="7" t="n">
        <x:v>2074.88</x:v>
      </x:c>
      <x:c r="L1107" s="7" t="n">
        <x:v>1182.83</x:v>
      </x:c>
      <x:c r="M1107" s="3" t="str">
        <x:v>UPI</x:v>
      </x:c>
      <x:c r="N1107" s="3" t="str">
        <x:f>TEXT(B1107,"yyyy-mm")</x:f>
        <x:v>2024-10</x:v>
      </x:c>
      <x:c r="O1107" s="3" t="str">
        <x:f>IF(J1107=0,"No discount",IF(J1107&lt;=0.1,"1-10%",IF(J1107&lt;=0.15,"11-15%",IF(J1107&lt;=0.2,"16-20%","21%+"))))</x:f>
        <x:v>No discount</x:v>
      </x:c>
      <x:c r="P1107" s="9" t="n">
        <x:f>IF(K1107=0,0,L1107/K1107)</x:f>
        <x:v>0.5700715222085132</x:v>
      </x:c>
      <x:c r="Q1107" s="3" t="str">
        <x:f>IF(L1107&lt;0,"Yes","No")</x:f>
        <x:v>No</x:v>
      </x:c>
    </x:row>
    <x:row r="1108" ht="21" customHeight="1">
      <x:c r="A1108" s="3" t="str">
        <x:v>ORD-100659</x:v>
      </x:c>
      <x:c r="B1108" s="5" t="n">
        <x:v>45592</x:v>
      </x:c>
      <x:c r="C1108" s="3" t="str">
        <x:v>CUST-00147</x:v>
      </x:c>
      <x:c r="D1108" s="3" t="str">
        <x:v>East</x:v>
      </x:c>
      <x:c r="E1108" s="3" t="str">
        <x:v>Electronics</x:v>
      </x:c>
      <x:c r="F1108" s="3" t="str">
        <x:v>Audio</x:v>
      </x:c>
      <x:c r="G1108" s="3" t="str">
        <x:v>BassBoom Speaker</x:v>
      </x:c>
      <x:c r="H1108" s="3" t="n">
        <x:v>2</x:v>
      </x:c>
      <x:c r="I1108" s="7" t="n">
        <x:v>8985.08</x:v>
      </x:c>
      <x:c r="J1108" s="9" t="n">
        <x:v>0</x:v>
      </x:c>
      <x:c r="K1108" s="7" t="n">
        <x:v>17970.16</x:v>
      </x:c>
      <x:c r="L1108" s="7" t="n">
        <x:v>3578.51</x:v>
      </x:c>
      <x:c r="M1108" s="3" t="str">
        <x:v>UPI</x:v>
      </x:c>
      <x:c r="N1108" s="3" t="str">
        <x:f>TEXT(B1108,"yyyy-mm")</x:f>
        <x:v>2024-10</x:v>
      </x:c>
      <x:c r="O1108" s="3" t="str">
        <x:f>IF(J1108=0,"No discount",IF(J1108&lt;=0.1,"1-10%",IF(J1108&lt;=0.15,"11-15%",IF(J1108&lt;=0.2,"16-20%","21%+"))))</x:f>
        <x:v>No discount</x:v>
      </x:c>
      <x:c r="P1108" s="9" t="n">
        <x:f>IF(K1108=0,0,L1108/K1108)</x:f>
        <x:v>0.1991362347358065</x:v>
      </x:c>
      <x:c r="Q1108" s="3" t="str">
        <x:f>IF(L1108&lt;0,"Yes","No")</x:f>
        <x:v>No</x:v>
      </x:c>
    </x:row>
    <x:row r="1109" ht="21" customHeight="1">
      <x:c r="A1109" s="3" t="str">
        <x:v>ORD-100677</x:v>
      </x:c>
      <x:c r="B1109" s="5" t="n">
        <x:v>45592</x:v>
      </x:c>
      <x:c r="C1109" s="3" t="str">
        <x:v>CUST-00456</x:v>
      </x:c>
      <x:c r="D1109" s="3" t="str">
        <x:v>North</x:v>
      </x:c>
      <x:c r="E1109" s="3" t="str">
        <x:v>Beauty</x:v>
      </x:c>
      <x:c r="F1109" s="3" t="str">
        <x:v>Makeup</x:v>
      </x:c>
      <x:c r="G1109" s="3" t="str">
        <x:v>HD Foundation Kit</x:v>
      </x:c>
      <x:c r="H1109" s="3" t="n">
        <x:v>5</x:v>
      </x:c>
      <x:c r="I1109" s="7" t="n">
        <x:v>1570.52</x:v>
      </x:c>
      <x:c r="J1109" s="9" t="n">
        <x:v>0</x:v>
      </x:c>
      <x:c r="K1109" s="7" t="n">
        <x:v>7852.6</x:v>
      </x:c>
      <x:c r="L1109" s="7" t="n">
        <x:v>4418.29</x:v>
      </x:c>
      <x:c r="M1109" s="3" t="str">
        <x:v>UPI</x:v>
      </x:c>
      <x:c r="N1109" s="3" t="str">
        <x:f>TEXT(B1109,"yyyy-mm")</x:f>
        <x:v>2024-10</x:v>
      </x:c>
      <x:c r="O1109" s="3" t="str">
        <x:f>IF(J1109=0,"No discount",IF(J1109&lt;=0.1,"1-10%",IF(J1109&lt;=0.15,"11-15%",IF(J1109&lt;=0.2,"16-20%","21%+"))))</x:f>
        <x:v>No discount</x:v>
      </x:c>
      <x:c r="P1109" s="9" t="n">
        <x:f>IF(K1109=0,0,L1109/K1109)</x:f>
        <x:v>0.5626531339938364</x:v>
      </x:c>
      <x:c r="Q1109" s="3" t="str">
        <x:f>IF(L1109&lt;0,"Yes","No")</x:f>
        <x:v>No</x:v>
      </x:c>
    </x:row>
    <x:row r="1110" ht="21" customHeight="1">
      <x:c r="A1110" s="3" t="str">
        <x:v>ORD-100841</x:v>
      </x:c>
      <x:c r="B1110" s="5" t="n">
        <x:v>45592</x:v>
      </x:c>
      <x:c r="C1110" s="3" t="str">
        <x:v>CUST-00345</x:v>
      </x:c>
      <x:c r="D1110" s="3" t="str">
        <x:v>South</x:v>
      </x:c>
      <x:c r="E1110" s="3" t="str">
        <x:v>Electronics</x:v>
      </x:c>
      <x:c r="F1110" s="3" t="str">
        <x:v>Mobile</x:v>
      </x:c>
      <x:c r="G1110" s="3" t="str">
        <x:v>iPhone Zeta</x:v>
      </x:c>
      <x:c r="H1110" s="3" t="n">
        <x:v>3</x:v>
      </x:c>
      <x:c r="I1110" s="7" t="n">
        <x:v>72828.78</x:v>
      </x:c>
      <x:c r="J1110" s="9" t="n">
        <x:v>0.25</x:v>
      </x:c>
      <x:c r="K1110" s="7" t="n">
        <x:v>163864.76</x:v>
      </x:c>
      <x:c r="L1110" s="7" t="n">
        <x:v>-19524.58</x:v>
      </x:c>
      <x:c r="M1110" s="3" t="str">
        <x:v>Credit Card</x:v>
      </x:c>
      <x:c r="N1110" s="3" t="str">
        <x:f>TEXT(B1110,"yyyy-mm")</x:f>
        <x:v>2024-10</x:v>
      </x:c>
      <x:c r="O1110" s="3" t="str">
        <x:f>IF(J1110=0,"No discount",IF(J1110&lt;=0.1,"1-10%",IF(J1110&lt;=0.15,"11-15%",IF(J1110&lt;=0.2,"16-20%","21%+"))))</x:f>
        <x:v>21%+</x:v>
      </x:c>
      <x:c r="P1110" s="9" t="n">
        <x:f>IF(K1110=0,0,L1110/K1110)</x:f>
        <x:v>-0.11915057270397858</x:v>
      </x:c>
      <x:c r="Q1110" s="3" t="str">
        <x:f>IF(L1110&lt;0,"Yes","No")</x:f>
        <x:v>Yes</x:v>
      </x:c>
    </x:row>
    <x:row r="1111" ht="21" customHeight="1">
      <x:c r="A1111" s="3" t="str">
        <x:v>ORD-100951</x:v>
      </x:c>
      <x:c r="B1111" s="5" t="n">
        <x:v>45592</x:v>
      </x:c>
      <x:c r="C1111" s="3" t="str">
        <x:v>CUST-00400</x:v>
      </x:c>
      <x:c r="D1111" s="3" t="str">
        <x:v>West</x:v>
      </x:c>
      <x:c r="E1111" s="3" t="str">
        <x:v>Fashion</x:v>
      </x:c>
      <x:c r="F1111" s="3" t="str">
        <x:v>Footwear</x:v>
      </x:c>
      <x:c r="G1111" s="3" t="str">
        <x:v>UrbanLoafers</x:v>
      </x:c>
      <x:c r="H1111" s="3" t="n">
        <x:v>1</x:v>
      </x:c>
      <x:c r="I1111" s="7" t="n">
        <x:v>3582.79</x:v>
      </x:c>
      <x:c r="J1111" s="9" t="n">
        <x:v>0.15</x:v>
      </x:c>
      <x:c r="K1111" s="7" t="n">
        <x:v>3045.37</x:v>
      </x:c>
      <x:c r="L1111" s="7" t="n">
        <x:v>863</x:v>
      </x:c>
      <x:c r="M1111" s="3" t="str">
        <x:v>UPI</x:v>
      </x:c>
      <x:c r="N1111" s="3" t="str">
        <x:f>TEXT(B1111,"yyyy-mm")</x:f>
        <x:v>2024-10</x:v>
      </x:c>
      <x:c r="O1111" s="3" t="str">
        <x:f>IF(J1111=0,"No discount",IF(J1111&lt;=0.1,"1-10%",IF(J1111&lt;=0.15,"11-15%",IF(J1111&lt;=0.2,"16-20%","21%+"))))</x:f>
        <x:v>11-15%</x:v>
      </x:c>
      <x:c r="P1111" s="9" t="n">
        <x:f>IF(K1111=0,0,L1111/K1111)</x:f>
        <x:v>0.28338100132332034</x:v>
      </x:c>
      <x:c r="Q1111" s="3" t="str">
        <x:f>IF(L1111&lt;0,"Yes","No")</x:f>
        <x:v>No</x:v>
      </x:c>
    </x:row>
    <x:row r="1112" ht="21" customHeight="1">
      <x:c r="A1112" s="3" t="str">
        <x:v>ORD-100959</x:v>
      </x:c>
      <x:c r="B1112" s="5" t="n">
        <x:v>45592</x:v>
      </x:c>
      <x:c r="C1112" s="3" t="str">
        <x:v>CUST-00425</x:v>
      </x:c>
      <x:c r="D1112" s="3" t="str">
        <x:v>South</x:v>
      </x:c>
      <x:c r="E1112" s="3" t="str">
        <x:v>Electronics</x:v>
      </x:c>
      <x:c r="F1112" s="3" t="str">
        <x:v>Mobile</x:v>
      </x:c>
      <x:c r="G1112" s="3" t="str">
        <x:v>Galaxy Nova X5</x:v>
      </x:c>
      <x:c r="H1112" s="3" t="n">
        <x:v>1</x:v>
      </x:c>
      <x:c r="I1112" s="7" t="n">
        <x:v>25045.55</x:v>
      </x:c>
      <x:c r="J1112" s="9" t="n">
        <x:v>0</x:v>
      </x:c>
      <x:c r="K1112" s="7" t="n">
        <x:v>25045.55</x:v>
      </x:c>
      <x:c r="L1112" s="7" t="n">
        <x:v>3787.33</x:v>
      </x:c>
      <x:c r="M1112" s="3" t="str">
        <x:v>UPI</x:v>
      </x:c>
      <x:c r="N1112" s="3" t="str">
        <x:f>TEXT(B1112,"yyyy-mm")</x:f>
        <x:v>2024-10</x:v>
      </x:c>
      <x:c r="O1112" s="3" t="str">
        <x:f>IF(J1112=0,"No discount",IF(J1112&lt;=0.1,"1-10%",IF(J1112&lt;=0.15,"11-15%",IF(J1112&lt;=0.2,"16-20%","21%+"))))</x:f>
        <x:v>No discount</x:v>
      </x:c>
      <x:c r="P1112" s="9" t="n">
        <x:f>IF(K1112=0,0,L1112/K1112)</x:f>
        <x:v>0.1512176813845174</x:v>
      </x:c>
      <x:c r="Q1112" s="3" t="str">
        <x:f>IF(L1112&lt;0,"Yes","No")</x:f>
        <x:v>No</x:v>
      </x:c>
    </x:row>
    <x:row r="1113" ht="21" customHeight="1">
      <x:c r="A1113" s="3" t="str">
        <x:v>ORD-100988</x:v>
      </x:c>
      <x:c r="B1113" s="5" t="n">
        <x:v>45592</x:v>
      </x:c>
      <x:c r="C1113" s="3" t="str">
        <x:v>CUST-00085</x:v>
      </x:c>
      <x:c r="D1113" s="3" t="str">
        <x:v>South</x:v>
      </x:c>
      <x:c r="E1113" s="3" t="str">
        <x:v>Beauty</x:v>
      </x:c>
      <x:c r="F1113" s="3" t="str">
        <x:v>Makeup</x:v>
      </x:c>
      <x:c r="G1113" s="3" t="str">
        <x:v>HD Foundation Kit</x:v>
      </x:c>
      <x:c r="H1113" s="3" t="n">
        <x:v>1</x:v>
      </x:c>
      <x:c r="I1113" s="7" t="n">
        <x:v>1477.08</x:v>
      </x:c>
      <x:c r="J1113" s="9" t="n">
        <x:v>0.05</x:v>
      </x:c>
      <x:c r="K1113" s="7" t="n">
        <x:v>1403.23</x:v>
      </x:c>
      <x:c r="L1113" s="7" t="n">
        <x:v>649.9</x:v>
      </x:c>
      <x:c r="M1113" s="3" t="str">
        <x:v>Debit Card</x:v>
      </x:c>
      <x:c r="N1113" s="3" t="str">
        <x:f>TEXT(B1113,"yyyy-mm")</x:f>
        <x:v>2024-10</x:v>
      </x:c>
      <x:c r="O1113" s="3" t="str">
        <x:f>IF(J1113=0,"No discount",IF(J1113&lt;=0.1,"1-10%",IF(J1113&lt;=0.15,"11-15%",IF(J1113&lt;=0.2,"16-20%","21%+"))))</x:f>
        <x:v>1-10%</x:v>
      </x:c>
      <x:c r="P1113" s="9" t="n">
        <x:f>IF(K1113=0,0,L1113/K1113)</x:f>
        <x:v>0.4631457423230689</x:v>
      </x:c>
      <x:c r="Q1113" s="3" t="str">
        <x:f>IF(L1113&lt;0,"Yes","No")</x:f>
        <x:v>No</x:v>
      </x:c>
    </x:row>
    <x:row r="1114" ht="21" customHeight="1">
      <x:c r="A1114" s="3" t="str">
        <x:v>ORD-101801</x:v>
      </x:c>
      <x:c r="B1114" s="5" t="n">
        <x:v>45592</x:v>
      </x:c>
      <x:c r="C1114" s="3" t="str">
        <x:v>CUST-00238</x:v>
      </x:c>
      <x:c r="D1114" s="3" t="str">
        <x:v>South</x:v>
      </x:c>
      <x:c r="E1114" s="3" t="str">
        <x:v>Electronics</x:v>
      </x:c>
      <x:c r="F1114" s="3" t="str">
        <x:v>Mobile</x:v>
      </x:c>
      <x:c r="G1114" s="3" t="str">
        <x:v>Galaxy Nova X5</x:v>
      </x:c>
      <x:c r="H1114" s="3" t="n">
        <x:v>2</x:v>
      </x:c>
      <x:c r="I1114" s="7" t="n">
        <x:v>25693.92</x:v>
      </x:c>
      <x:c r="J1114" s="9" t="n">
        <x:v>0.05</x:v>
      </x:c>
      <x:c r="K1114" s="7" t="n">
        <x:v>48818.45</x:v>
      </x:c>
      <x:c r="L1114" s="7" t="n">
        <x:v>5070.32</x:v>
      </x:c>
      <x:c r="M1114" s="3" t="str">
        <x:v>UPI</x:v>
      </x:c>
      <x:c r="N1114" s="3" t="str">
        <x:f>TEXT(B1114,"yyyy-mm")</x:f>
        <x:v>2024-10</x:v>
      </x:c>
      <x:c r="O1114" s="3" t="str">
        <x:f>IF(J1114=0,"No discount",IF(J1114&lt;=0.1,"1-10%",IF(J1114&lt;=0.15,"11-15%",IF(J1114&lt;=0.2,"16-20%","21%+"))))</x:f>
        <x:v>1-10%</x:v>
      </x:c>
      <x:c r="P1114" s="9" t="n">
        <x:f>IF(K1114=0,0,L1114/K1114)</x:f>
        <x:v>0.1038607329810758</x:v>
      </x:c>
      <x:c r="Q1114" s="3" t="str">
        <x:f>IF(L1114&lt;0,"Yes","No")</x:f>
        <x:v>No</x:v>
      </x:c>
    </x:row>
    <x:row r="1115" ht="21" customHeight="1">
      <x:c r="A1115" s="3" t="str">
        <x:v>ORD-100365</x:v>
      </x:c>
      <x:c r="B1115" s="5" t="n">
        <x:v>45593</x:v>
      </x:c>
      <x:c r="C1115" s="3" t="str">
        <x:v>CUST-00502</x:v>
      </x:c>
      <x:c r="D1115" s="3" t="str">
        <x:v>West</x:v>
      </x:c>
      <x:c r="E1115" s="3" t="str">
        <x:v>Fashion</x:v>
      </x:c>
      <x:c r="F1115" s="3" t="str">
        <x:v>Women</x:v>
      </x:c>
      <x:c r="G1115" s="3" t="str">
        <x:v>Floral Summer Dress</x:v>
      </x:c>
      <x:c r="H1115" s="3" t="n">
        <x:v>1</x:v>
      </x:c>
      <x:c r="I1115" s="7" t="n">
        <x:v>1825.02</x:v>
      </x:c>
      <x:c r="J1115" s="9" t="n">
        <x:v>0.1</x:v>
      </x:c>
      <x:c r="K1115" s="7" t="n">
        <x:v>1642.52</x:v>
      </x:c>
      <x:c r="L1115" s="7" t="n">
        <x:v>480.91</x:v>
      </x:c>
      <x:c r="M1115" s="3" t="str">
        <x:v>Debit Card</x:v>
      </x:c>
      <x:c r="N1115" s="3" t="str">
        <x:f>TEXT(B1115,"yyyy-mm")</x:f>
        <x:v>2024-10</x:v>
      </x:c>
      <x:c r="O1115" s="3" t="str">
        <x:f>IF(J1115=0,"No discount",IF(J1115&lt;=0.1,"1-10%",IF(J1115&lt;=0.15,"11-15%",IF(J1115&lt;=0.2,"16-20%","21%+"))))</x:f>
        <x:v>1-10%</x:v>
      </x:c>
      <x:c r="P1115" s="9" t="n">
        <x:f>IF(K1115=0,0,L1115/K1115)</x:f>
        <x:v>0.29278791125831044</x:v>
      </x:c>
      <x:c r="Q1115" s="3" t="str">
        <x:f>IF(L1115&lt;0,"Yes","No")</x:f>
        <x:v>No</x:v>
      </x:c>
    </x:row>
    <x:row r="1116" ht="21" customHeight="1">
      <x:c r="A1116" s="3" t="str">
        <x:v>ORD-100437</x:v>
      </x:c>
      <x:c r="B1116" s="5" t="n">
        <x:v>45593</x:v>
      </x:c>
      <x:c r="C1116" s="3" t="str">
        <x:v>CUST-00037</x:v>
      </x:c>
      <x:c r="D1116" s="3" t="str">
        <x:v>South</x:v>
      </x:c>
      <x:c r="E1116" s="3" t="str">
        <x:v>Beauty</x:v>
      </x:c>
      <x:c r="F1116" s="3" t="str">
        <x:v>Skincare</x:v>
      </x:c>
      <x:c r="G1116" s="3" t="str">
        <x:v>HydraBoost Moisturizer</x:v>
      </x:c>
      <x:c r="H1116" s="3" t="n">
        <x:v>1</x:v>
      </x:c>
      <x:c r="I1116" s="7" t="n">
        <x:v>1207.87</x:v>
      </x:c>
      <x:c r="J1116" s="9" t="n">
        <x:v>0.25</x:v>
      </x:c>
      <x:c r="K1116" s="7" t="n">
        <x:v>905.9</x:v>
      </x:c>
      <x:c r="L1116" s="7" t="n">
        <x:v>225.59</x:v>
      </x:c>
      <x:c r="M1116" s="3" t="str">
        <x:v>Cash on Delivery</x:v>
      </x:c>
      <x:c r="N1116" s="3" t="str">
        <x:f>TEXT(B1116,"yyyy-mm")</x:f>
        <x:v>2024-10</x:v>
      </x:c>
      <x:c r="O1116" s="3" t="str">
        <x:f>IF(J1116=0,"No discount",IF(J1116&lt;=0.1,"1-10%",IF(J1116&lt;=0.15,"11-15%",IF(J1116&lt;=0.2,"16-20%","21%+"))))</x:f>
        <x:v>21%+</x:v>
      </x:c>
      <x:c r="P1116" s="9" t="n">
        <x:f>IF(K1116=0,0,L1116/K1116)</x:f>
        <x:v>0.24902307097913678</x:v>
      </x:c>
      <x:c r="Q1116" s="3" t="str">
        <x:f>IF(L1116&lt;0,"Yes","No")</x:f>
        <x:v>No</x:v>
      </x:c>
    </x:row>
    <x:row r="1117" ht="21" customHeight="1">
      <x:c r="A1117" s="3" t="str">
        <x:v>ORD-100610</x:v>
      </x:c>
      <x:c r="B1117" s="5" t="n">
        <x:v>45593</x:v>
      </x:c>
      <x:c r="C1117" s="3" t="str">
        <x:v>CUST-00336</x:v>
      </x:c>
      <x:c r="D1117" s="3" t="str">
        <x:v>West</x:v>
      </x:c>
      <x:c r="E1117" s="3" t="str">
        <x:v>Fashion</x:v>
      </x:c>
      <x:c r="F1117" s="3" t="str">
        <x:v>Men</x:v>
      </x:c>
      <x:c r="G1117" s="3" t="str">
        <x:v>Oxford Casual Shirt</x:v>
      </x:c>
      <x:c r="H1117" s="3" t="n">
        <x:v>2</x:v>
      </x:c>
      <x:c r="I1117" s="7" t="n">
        <x:v>1289.85</x:v>
      </x:c>
      <x:c r="J1117" s="9" t="n">
        <x:v>0.05</x:v>
      </x:c>
      <x:c r="K1117" s="7" t="n">
        <x:v>2450.71</x:v>
      </x:c>
      <x:c r="L1117" s="7" t="n">
        <x:v>915.07</x:v>
      </x:c>
      <x:c r="M1117" s="3" t="str">
        <x:v>Debit Card</x:v>
      </x:c>
      <x:c r="N1117" s="3" t="str">
        <x:f>TEXT(B1117,"yyyy-mm")</x:f>
        <x:v>2024-10</x:v>
      </x:c>
      <x:c r="O1117" s="3" t="str">
        <x:f>IF(J1117=0,"No discount",IF(J1117&lt;=0.1,"1-10%",IF(J1117&lt;=0.15,"11-15%",IF(J1117&lt;=0.2,"16-20%","21%+"))))</x:f>
        <x:v>1-10%</x:v>
      </x:c>
      <x:c r="P1117" s="9" t="n">
        <x:f>IF(K1117=0,0,L1117/K1117)</x:f>
        <x:v>0.37338975235748006</x:v>
      </x:c>
      <x:c r="Q1117" s="3" t="str">
        <x:f>IF(L1117&lt;0,"Yes","No")</x:f>
        <x:v>No</x:v>
      </x:c>
    </x:row>
    <x:row r="1118" ht="21" customHeight="1">
      <x:c r="A1118" s="3" t="str">
        <x:v>ORD-100710</x:v>
      </x:c>
      <x:c r="B1118" s="5" t="n">
        <x:v>45593</x:v>
      </x:c>
      <x:c r="C1118" s="3" t="str">
        <x:v>CUST-00059</x:v>
      </x:c>
      <x:c r="D1118" s="3" t="str">
        <x:v>North</x:v>
      </x:c>
      <x:c r="E1118" s="3" t="str">
        <x:v>Home &amp; Kitchen</x:v>
      </x:c>
      <x:c r="F1118" s="3" t="str">
        <x:v>Appliances</x:v>
      </x:c>
      <x:c r="G1118" s="3" t="str">
        <x:v>ColdBrew Coffee Maker</x:v>
      </x:c>
      <x:c r="H1118" s="3" t="n">
        <x:v>1</x:v>
      </x:c>
      <x:c r="I1118" s="7" t="n">
        <x:v>6748.55</x:v>
      </x:c>
      <x:c r="J1118" s="9" t="n">
        <x:v>0.25</x:v>
      </x:c>
      <x:c r="K1118" s="7" t="n">
        <x:v>5061.41</x:v>
      </x:c>
      <x:c r="L1118" s="7" t="n">
        <x:v>119.57</x:v>
      </x:c>
      <x:c r="M1118" s="3" t="str">
        <x:v>Net Banking</x:v>
      </x:c>
      <x:c r="N1118" s="3" t="str">
        <x:f>TEXT(B1118,"yyyy-mm")</x:f>
        <x:v>2024-10</x:v>
      </x:c>
      <x:c r="O1118" s="3" t="str">
        <x:f>IF(J1118=0,"No discount",IF(J1118&lt;=0.1,"1-10%",IF(J1118&lt;=0.15,"11-15%",IF(J1118&lt;=0.2,"16-20%","21%+"))))</x:f>
        <x:v>21%+</x:v>
      </x:c>
      <x:c r="P1118" s="9" t="n">
        <x:f>IF(K1118=0,0,L1118/K1118)</x:f>
        <x:v>0.02362385185155915</x:v>
      </x:c>
      <x:c r="Q1118" s="3" t="str">
        <x:f>IF(L1118&lt;0,"Yes","No")</x:f>
        <x:v>No</x:v>
      </x:c>
    </x:row>
    <x:row r="1119" ht="21" customHeight="1">
      <x:c r="A1119" s="3" t="str">
        <x:v>ORD-101215</x:v>
      </x:c>
      <x:c r="B1119" s="5" t="n">
        <x:v>45593</x:v>
      </x:c>
      <x:c r="C1119" s="3" t="str">
        <x:v>CUST-00549</x:v>
      </x:c>
      <x:c r="D1119" s="3" t="str">
        <x:v>West</x:v>
      </x:c>
      <x:c r="E1119" s="3" t="str">
        <x:v>Fashion</x:v>
      </x:c>
      <x:c r="F1119" s="3" t="str">
        <x:v>Men</x:v>
      </x:c>
      <x:c r="G1119" s="3" t="str">
        <x:v>SlimFit Denim Jeans</x:v>
      </x:c>
      <x:c r="H1119" s="3" t="n">
        <x:v>1</x:v>
      </x:c>
      <x:c r="I1119" s="7" t="n">
        <x:v>1982.66</x:v>
      </x:c>
      <x:c r="J1119" s="9" t="n">
        <x:v>0.05</x:v>
      </x:c>
      <x:c r="K1119" s="7" t="n">
        <x:v>1883.53</x:v>
      </x:c>
      <x:c r="L1119" s="7" t="n">
        <x:v>621.34</x:v>
      </x:c>
      <x:c r="M1119" s="3" t="str">
        <x:v>Credit Card</x:v>
      </x:c>
      <x:c r="N1119" s="3" t="str">
        <x:f>TEXT(B1119,"yyyy-mm")</x:f>
        <x:v>2024-10</x:v>
      </x:c>
      <x:c r="O1119" s="3" t="str">
        <x:f>IF(J1119=0,"No discount",IF(J1119&lt;=0.1,"1-10%",IF(J1119&lt;=0.15,"11-15%",IF(J1119&lt;=0.2,"16-20%","21%+"))))</x:f>
        <x:v>1-10%</x:v>
      </x:c>
      <x:c r="P1119" s="9" t="n">
        <x:f>IF(K1119=0,0,L1119/K1119)</x:f>
        <x:v>0.32988059653947643</x:v>
      </x:c>
      <x:c r="Q1119" s="3" t="str">
        <x:f>IF(L1119&lt;0,"Yes","No")</x:f>
        <x:v>No</x:v>
      </x:c>
    </x:row>
    <x:row r="1120" ht="21" customHeight="1">
      <x:c r="A1120" s="3" t="str">
        <x:v>ORD-100030</x:v>
      </x:c>
      <x:c r="B1120" s="5" t="n">
        <x:v>45594</x:v>
      </x:c>
      <x:c r="C1120" s="3" t="str">
        <x:v>CUST-00197</x:v>
      </x:c>
      <x:c r="D1120" s="3" t="str">
        <x:v>East</x:v>
      </x:c>
      <x:c r="E1120" s="3" t="str">
        <x:v>Home &amp; Kitchen</x:v>
      </x:c>
      <x:c r="F1120" s="3" t="str">
        <x:v>Appliances</x:v>
      </x:c>
      <x:c r="G1120" s="3" t="str">
        <x:v>ColdBrew Coffee Maker</x:v>
      </x:c>
      <x:c r="H1120" s="3" t="n">
        <x:v>2</x:v>
      </x:c>
      <x:c r="I1120" s="7" t="n">
        <x:v>6758.99</x:v>
      </x:c>
      <x:c r="J1120" s="9" t="n">
        <x:v>0</x:v>
      </x:c>
      <x:c r="K1120" s="7" t="n">
        <x:v>13517.98</x:v>
      </x:c>
      <x:c r="L1120" s="7" t="n">
        <x:v>4468.64</x:v>
      </x:c>
      <x:c r="M1120" s="3" t="str">
        <x:v>UPI</x:v>
      </x:c>
      <x:c r="N1120" s="3" t="str">
        <x:f>TEXT(B1120,"yyyy-mm")</x:f>
        <x:v>2024-10</x:v>
      </x:c>
      <x:c r="O1120" s="3" t="str">
        <x:f>IF(J1120=0,"No discount",IF(J1120&lt;=0.1,"1-10%",IF(J1120&lt;=0.15,"11-15%",IF(J1120&lt;=0.2,"16-20%","21%+"))))</x:f>
        <x:v>No discount</x:v>
      </x:c>
      <x:c r="P1120" s="9" t="n">
        <x:f>IF(K1120=0,0,L1120/K1120)</x:f>
        <x:v>0.33057009997055775</x:v>
      </x:c>
      <x:c r="Q1120" s="3" t="str">
        <x:f>IF(L1120&lt;0,"Yes","No")</x:f>
        <x:v>No</x:v>
      </x:c>
    </x:row>
    <x:row r="1121" ht="21" customHeight="1">
      <x:c r="A1121" s="3" t="str">
        <x:v>ORD-100073</x:v>
      </x:c>
      <x:c r="B1121" s="5" t="n">
        <x:v>45594</x:v>
      </x:c>
      <x:c r="C1121" s="3" t="str">
        <x:v>CUST-00406</x:v>
      </x:c>
      <x:c r="D1121" s="3" t="str">
        <x:v>East</x:v>
      </x:c>
      <x:c r="E1121" s="3" t="str">
        <x:v>Home &amp; Kitchen</x:v>
      </x:c>
      <x:c r="F1121" s="3" t="str">
        <x:v>Decor</x:v>
      </x:c>
      <x:c r="G1121" s="3" t="str">
        <x:v>LED Wall Lamp</x:v>
      </x:c>
      <x:c r="H1121" s="3" t="n">
        <x:v>1</x:v>
      </x:c>
      <x:c r="I1121" s="7" t="n">
        <x:v>997.32</x:v>
      </x:c>
      <x:c r="J1121" s="9" t="n">
        <x:v>0.05</x:v>
      </x:c>
      <x:c r="K1121" s="7" t="n">
        <x:v>947.45</x:v>
      </x:c>
      <x:c r="L1121" s="7" t="n">
        <x:v>238.26</x:v>
      </x:c>
      <x:c r="M1121" s="3" t="str">
        <x:v>Credit Card</x:v>
      </x:c>
      <x:c r="N1121" s="3" t="str">
        <x:f>TEXT(B1121,"yyyy-mm")</x:f>
        <x:v>2024-10</x:v>
      </x:c>
      <x:c r="O1121" s="3" t="str">
        <x:f>IF(J1121=0,"No discount",IF(J1121&lt;=0.1,"1-10%",IF(J1121&lt;=0.15,"11-15%",IF(J1121&lt;=0.2,"16-20%","21%+"))))</x:f>
        <x:v>1-10%</x:v>
      </x:c>
      <x:c r="P1121" s="9" t="n">
        <x:f>IF(K1121=0,0,L1121/K1121)</x:f>
        <x:v>0.25147501187397747</x:v>
      </x:c>
      <x:c r="Q1121" s="3" t="str">
        <x:f>IF(L1121&lt;0,"Yes","No")</x:f>
        <x:v>No</x:v>
      </x:c>
    </x:row>
    <x:row r="1122" ht="21" customHeight="1">
      <x:c r="A1122" s="3" t="str">
        <x:v>ORD-101101</x:v>
      </x:c>
      <x:c r="B1122" s="5" t="n">
        <x:v>45594</x:v>
      </x:c>
      <x:c r="C1122" s="3" t="str">
        <x:v>CUST-00371</x:v>
      </x:c>
      <x:c r="D1122" s="3" t="str">
        <x:v>East</x:v>
      </x:c>
      <x:c r="E1122" s="3" t="str">
        <x:v>Fashion</x:v>
      </x:c>
      <x:c r="F1122" s="3" t="str">
        <x:v>Women</x:v>
      </x:c>
      <x:c r="G1122" s="3" t="str">
        <x:v>Knit Winter Sweater</x:v>
      </x:c>
      <x:c r="H1122" s="3" t="n">
        <x:v>1</x:v>
      </x:c>
      <x:c r="I1122" s="7" t="n">
        <x:v>2237.72</x:v>
      </x:c>
      <x:c r="J1122" s="9" t="n">
        <x:v>0.05</x:v>
      </x:c>
      <x:c r="K1122" s="7" t="n">
        <x:v>2125.83</x:v>
      </x:c>
      <x:c r="L1122" s="7" t="n">
        <x:v>732.95</x:v>
      </x:c>
      <x:c r="M1122" s="3" t="str">
        <x:v>Credit Card</x:v>
      </x:c>
      <x:c r="N1122" s="3" t="str">
        <x:f>TEXT(B1122,"yyyy-mm")</x:f>
        <x:v>2024-10</x:v>
      </x:c>
      <x:c r="O1122" s="3" t="str">
        <x:f>IF(J1122=0,"No discount",IF(J1122&lt;=0.1,"1-10%",IF(J1122&lt;=0.15,"11-15%",IF(J1122&lt;=0.2,"16-20%","21%+"))))</x:f>
        <x:v>1-10%</x:v>
      </x:c>
      <x:c r="P1122" s="9" t="n">
        <x:f>IF(K1122=0,0,L1122/K1122)</x:f>
        <x:v>0.344782978883542</x:v>
      </x:c>
      <x:c r="Q1122" s="3" t="str">
        <x:f>IF(L1122&lt;0,"Yes","No")</x:f>
        <x:v>No</x:v>
      </x:c>
    </x:row>
    <x:row r="1123" ht="21" customHeight="1">
      <x:c r="A1123" s="3" t="str">
        <x:v>ORD-101530</x:v>
      </x:c>
      <x:c r="B1123" s="5" t="n">
        <x:v>45594</x:v>
      </x:c>
      <x:c r="C1123" s="3" t="str">
        <x:v>CUST-00473</x:v>
      </x:c>
      <x:c r="D1123" s="3" t="str">
        <x:v>North</x:v>
      </x:c>
      <x:c r="E1123" s="3" t="str">
        <x:v>Home &amp; Kitchen</x:v>
      </x:c>
      <x:c r="F1123" s="3" t="str">
        <x:v>Decor</x:v>
      </x:c>
      <x:c r="G1123" s="3" t="str">
        <x:v>LED Wall Lamp</x:v>
      </x:c>
      <x:c r="H1123" s="3" t="n">
        <x:v>1</x:v>
      </x:c>
      <x:c r="I1123" s="7" t="n">
        <x:v>970.51</x:v>
      </x:c>
      <x:c r="J1123" s="9" t="n">
        <x:v>0.05</x:v>
      </x:c>
      <x:c r="K1123" s="7" t="n">
        <x:v>921.98</x:v>
      </x:c>
      <x:c r="L1123" s="7" t="n">
        <x:v>271.33</x:v>
      </x:c>
      <x:c r="M1123" s="3" t="str">
        <x:v>Net Banking</x:v>
      </x:c>
      <x:c r="N1123" s="3" t="str">
        <x:f>TEXT(B1123,"yyyy-mm")</x:f>
        <x:v>2024-10</x:v>
      </x:c>
      <x:c r="O1123" s="3" t="str">
        <x:f>IF(J1123=0,"No discount",IF(J1123&lt;=0.1,"1-10%",IF(J1123&lt;=0.15,"11-15%",IF(J1123&lt;=0.2,"16-20%","21%+"))))</x:f>
        <x:v>1-10%</x:v>
      </x:c>
      <x:c r="P1123" s="9" t="n">
        <x:f>IF(K1123=0,0,L1123/K1123)</x:f>
        <x:v>0.29429054860192194</x:v>
      </x:c>
      <x:c r="Q1123" s="3" t="str">
        <x:f>IF(L1123&lt;0,"Yes","No")</x:f>
        <x:v>No</x:v>
      </x:c>
    </x:row>
    <x:row r="1124" ht="21" customHeight="1">
      <x:c r="A1124" s="3" t="str">
        <x:v>ORD-101057</x:v>
      </x:c>
      <x:c r="B1124" s="5" t="n">
        <x:v>45595</x:v>
      </x:c>
      <x:c r="C1124" s="3" t="str">
        <x:v>CUST-00432</x:v>
      </x:c>
      <x:c r="D1124" s="3" t="str">
        <x:v>North</x:v>
      </x:c>
      <x:c r="E1124" s="3" t="str">
        <x:v>Fashion</x:v>
      </x:c>
      <x:c r="F1124" s="3" t="str">
        <x:v>Footwear</x:v>
      </x:c>
      <x:c r="G1124" s="3" t="str">
        <x:v>UrbanLoafers</x:v>
      </x:c>
      <x:c r="H1124" s="3" t="n">
        <x:v>1</x:v>
      </x:c>
      <x:c r="I1124" s="7" t="n">
        <x:v>3569.21</x:v>
      </x:c>
      <x:c r="J1124" s="9" t="n">
        <x:v>0.05</x:v>
      </x:c>
      <x:c r="K1124" s="7" t="n">
        <x:v>3390.75</x:v>
      </x:c>
      <x:c r="L1124" s="7" t="n">
        <x:v>1324.82</x:v>
      </x:c>
      <x:c r="M1124" s="3" t="str">
        <x:v>UPI</x:v>
      </x:c>
      <x:c r="N1124" s="3" t="str">
        <x:f>TEXT(B1124,"yyyy-mm")</x:f>
        <x:v>2024-10</x:v>
      </x:c>
      <x:c r="O1124" s="3" t="str">
        <x:f>IF(J1124=0,"No discount",IF(J1124&lt;=0.1,"1-10%",IF(J1124&lt;=0.15,"11-15%",IF(J1124&lt;=0.2,"16-20%","21%+"))))</x:f>
        <x:v>1-10%</x:v>
      </x:c>
      <x:c r="P1124" s="9" t="n">
        <x:f>IF(K1124=0,0,L1124/K1124)</x:f>
        <x:v>0.3907159183071592</x:v>
      </x:c>
      <x:c r="Q1124" s="3" t="str">
        <x:f>IF(L1124&lt;0,"Yes","No")</x:f>
        <x:v>No</x:v>
      </x:c>
    </x:row>
    <x:row r="1125" ht="21" customHeight="1">
      <x:c r="A1125" s="3" t="str">
        <x:v>ORD-101627</x:v>
      </x:c>
      <x:c r="B1125" s="5" t="n">
        <x:v>45595</x:v>
      </x:c>
      <x:c r="C1125" s="3" t="str">
        <x:v>CUST-00309</x:v>
      </x:c>
      <x:c r="D1125" s="3" t="str">
        <x:v>East</x:v>
      </x:c>
      <x:c r="E1125" s="3" t="str">
        <x:v>Sports</x:v>
      </x:c>
      <x:c r="F1125" s="3" t="str">
        <x:v>Fitness</x:v>
      </x:c>
      <x:c r="G1125" s="3" t="str">
        <x:v>ProYoga Mat</x:v>
      </x:c>
      <x:c r="H1125" s="3" t="n">
        <x:v>1</x:v>
      </x:c>
      <x:c r="I1125" s="7" t="n">
        <x:v>1361.18</x:v>
      </x:c>
      <x:c r="J1125" s="9" t="n">
        <x:v>0.05</x:v>
      </x:c>
      <x:c r="K1125" s="7" t="n">
        <x:v>1293.12</x:v>
      </x:c>
      <x:c r="L1125" s="7" t="n">
        <x:v>420.14</x:v>
      </x:c>
      <x:c r="M1125" s="3" t="str">
        <x:v>Net Banking</x:v>
      </x:c>
      <x:c r="N1125" s="3" t="str">
        <x:f>TEXT(B1125,"yyyy-mm")</x:f>
        <x:v>2024-10</x:v>
      </x:c>
      <x:c r="O1125" s="3" t="str">
        <x:f>IF(J1125=0,"No discount",IF(J1125&lt;=0.1,"1-10%",IF(J1125&lt;=0.15,"11-15%",IF(J1125&lt;=0.2,"16-20%","21%+"))))</x:f>
        <x:v>1-10%</x:v>
      </x:c>
      <x:c r="P1125" s="9" t="n">
        <x:f>IF(K1125=0,0,L1125/K1125)</x:f>
        <x:v>0.32490410789408564</x:v>
      </x:c>
      <x:c r="Q1125" s="3" t="str">
        <x:f>IF(L1125&lt;0,"Yes","No")</x:f>
        <x:v>No</x:v>
      </x:c>
    </x:row>
    <x:row r="1126" ht="21" customHeight="1">
      <x:c r="A1126" s="3" t="str">
        <x:v>ORD-101842</x:v>
      </x:c>
      <x:c r="B1126" s="5" t="n">
        <x:v>45595</x:v>
      </x:c>
      <x:c r="C1126" s="3" t="str">
        <x:v>CUST-00416</x:v>
      </x:c>
      <x:c r="D1126" s="3" t="str">
        <x:v>West</x:v>
      </x:c>
      <x:c r="E1126" s="3" t="str">
        <x:v>Sports</x:v>
      </x:c>
      <x:c r="F1126" s="3" t="str">
        <x:v>Outdoor</x:v>
      </x:c>
      <x:c r="G1126" s="3" t="str">
        <x:v>TrailHike Backpack 60L</x:v>
      </x:c>
      <x:c r="H1126" s="3" t="n">
        <x:v>1</x:v>
      </x:c>
      <x:c r="I1126" s="7" t="n">
        <x:v>3374.49</x:v>
      </x:c>
      <x:c r="J1126" s="9" t="n">
        <x:v>0</x:v>
      </x:c>
      <x:c r="K1126" s="7" t="n">
        <x:v>3374.49</x:v>
      </x:c>
      <x:c r="L1126" s="7" t="n">
        <x:v>1303.4</x:v>
      </x:c>
      <x:c r="M1126" s="3" t="str">
        <x:v>UPI</x:v>
      </x:c>
      <x:c r="N1126" s="3" t="str">
        <x:f>TEXT(B1126,"yyyy-mm")</x:f>
        <x:v>2024-10</x:v>
      </x:c>
      <x:c r="O1126" s="3" t="str">
        <x:f>IF(J1126=0,"No discount",IF(J1126&lt;=0.1,"1-10%",IF(J1126&lt;=0.15,"11-15%",IF(J1126&lt;=0.2,"16-20%","21%+"))))</x:f>
        <x:v>No discount</x:v>
      </x:c>
      <x:c r="P1126" s="9" t="n">
        <x:f>IF(K1126=0,0,L1126/K1126)</x:f>
        <x:v>0.3862509594042359</x:v>
      </x:c>
      <x:c r="Q1126" s="3" t="str">
        <x:f>IF(L1126&lt;0,"Yes","No")</x:f>
        <x:v>No</x:v>
      </x:c>
    </x:row>
    <x:row r="1127" ht="21" customHeight="1">
      <x:c r="A1127" s="3" t="str">
        <x:v>ORD-101071</x:v>
      </x:c>
      <x:c r="B1127" s="5" t="n">
        <x:v>45596</x:v>
      </x:c>
      <x:c r="C1127" s="3" t="str">
        <x:v>CUST-00123</x:v>
      </x:c>
      <x:c r="D1127" s="3" t="str">
        <x:v>West</x:v>
      </x:c>
      <x:c r="E1127" s="3" t="str">
        <x:v>Beauty</x:v>
      </x:c>
      <x:c r="F1127" s="3" t="str">
        <x:v>Skincare</x:v>
      </x:c>
      <x:c r="G1127" s="3" t="str">
        <x:v>Vitamin C Serum</x:v>
      </x:c>
      <x:c r="H1127" s="3" t="n">
        <x:v>1</x:v>
      </x:c>
      <x:c r="I1127" s="7" t="n">
        <x:v>871.2</x:v>
      </x:c>
      <x:c r="J1127" s="9" t="n">
        <x:v>0</x:v>
      </x:c>
      <x:c r="K1127" s="7" t="n">
        <x:v>871.2</x:v>
      </x:c>
      <x:c r="L1127" s="7" t="n">
        <x:v>473.8</x:v>
      </x:c>
      <x:c r="M1127" s="3" t="str">
        <x:v>UPI</x:v>
      </x:c>
      <x:c r="N1127" s="3" t="str">
        <x:f>TEXT(B1127,"yyyy-mm")</x:f>
        <x:v>2024-10</x:v>
      </x:c>
      <x:c r="O1127" s="3" t="str">
        <x:f>IF(J1127=0,"No discount",IF(J1127&lt;=0.1,"1-10%",IF(J1127&lt;=0.15,"11-15%",IF(J1127&lt;=0.2,"16-20%","21%+"))))</x:f>
        <x:v>No discount</x:v>
      </x:c>
      <x:c r="P1127" s="9" t="n">
        <x:f>IF(K1127=0,0,L1127/K1127)</x:f>
        <x:v>0.5438475665748392</x:v>
      </x:c>
      <x:c r="Q1127" s="3" t="str">
        <x:f>IF(L1127&lt;0,"Yes","No")</x:f>
        <x:v>No</x:v>
      </x:c>
    </x:row>
    <x:row r="1128" ht="21" customHeight="1">
      <x:c r="A1128" s="3" t="str">
        <x:v>ORD-101165</x:v>
      </x:c>
      <x:c r="B1128" s="5" t="n">
        <x:v>45596</x:v>
      </x:c>
      <x:c r="C1128" s="3" t="str">
        <x:v>CUST-00414</x:v>
      </x:c>
      <x:c r="D1128" s="3" t="str">
        <x:v>North</x:v>
      </x:c>
      <x:c r="E1128" s="3" t="str">
        <x:v>Home &amp; Kitchen</x:v>
      </x:c>
      <x:c r="F1128" s="3" t="str">
        <x:v>Appliances</x:v>
      </x:c>
      <x:c r="G1128" s="3" t="str">
        <x:v>AirFryer Deluxe</x:v>
      </x:c>
      <x:c r="H1128" s="3" t="n">
        <x:v>3</x:v>
      </x:c>
      <x:c r="I1128" s="7" t="n">
        <x:v>8060.88</x:v>
      </x:c>
      <x:c r="J1128" s="9" t="n">
        <x:v>0.1</x:v>
      </x:c>
      <x:c r="K1128" s="7" t="n">
        <x:v>21764.38</x:v>
      </x:c>
      <x:c r="L1128" s="7" t="n">
        <x:v>5011</x:v>
      </x:c>
      <x:c r="M1128" s="3" t="str">
        <x:v>Credit Card</x:v>
      </x:c>
      <x:c r="N1128" s="3" t="str">
        <x:f>TEXT(B1128,"yyyy-mm")</x:f>
        <x:v>2024-10</x:v>
      </x:c>
      <x:c r="O1128" s="3" t="str">
        <x:f>IF(J1128=0,"No discount",IF(J1128&lt;=0.1,"1-10%",IF(J1128&lt;=0.15,"11-15%",IF(J1128&lt;=0.2,"16-20%","21%+"))))</x:f>
        <x:v>1-10%</x:v>
      </x:c>
      <x:c r="P1128" s="9" t="n">
        <x:f>IF(K1128=0,0,L1128/K1128)</x:f>
        <x:v>0.2302385824912081</x:v>
      </x:c>
      <x:c r="Q1128" s="3" t="str">
        <x:f>IF(L1128&lt;0,"Yes","No")</x:f>
        <x:v>No</x:v>
      </x:c>
    </x:row>
    <x:row r="1129" ht="21" customHeight="1">
      <x:c r="A1129" s="3" t="str">
        <x:v>ORD-101451</x:v>
      </x:c>
      <x:c r="B1129" s="5" t="n">
        <x:v>45596</x:v>
      </x:c>
      <x:c r="C1129" s="3" t="str">
        <x:v>CUST-00461</x:v>
      </x:c>
      <x:c r="D1129" s="3" t="str">
        <x:v>East</x:v>
      </x:c>
      <x:c r="E1129" s="3" t="str">
        <x:v>Electronics</x:v>
      </x:c>
      <x:c r="F1129" s="3" t="str">
        <x:v>Mobile</x:v>
      </x:c>
      <x:c r="G1129" s="3" t="str">
        <x:v>Pixel Aura 12</x:v>
      </x:c>
      <x:c r="H1129" s="3" t="n">
        <x:v>5</x:v>
      </x:c>
      <x:c r="I1129" s="7" t="n">
        <x:v>32359.38</x:v>
      </x:c>
      <x:c r="J1129" s="9" t="n">
        <x:v>0.05</x:v>
      </x:c>
      <x:c r="K1129" s="7" t="n">
        <x:v>153707.05</x:v>
      </x:c>
      <x:c r="L1129" s="7" t="n">
        <x:v>19379.45</x:v>
      </x:c>
      <x:c r="M1129" s="3" t="str">
        <x:v>Credit Card</x:v>
      </x:c>
      <x:c r="N1129" s="3" t="str">
        <x:f>TEXT(B1129,"yyyy-mm")</x:f>
        <x:v>2024-10</x:v>
      </x:c>
      <x:c r="O1129" s="3" t="str">
        <x:f>IF(J1129=0,"No discount",IF(J1129&lt;=0.1,"1-10%",IF(J1129&lt;=0.15,"11-15%",IF(J1129&lt;=0.2,"16-20%","21%+"))))</x:f>
        <x:v>1-10%</x:v>
      </x:c>
      <x:c r="P1129" s="9" t="n">
        <x:f>IF(K1129=0,0,L1129/K1129)</x:f>
        <x:v>0.1260804237671597</x:v>
      </x:c>
      <x:c r="Q1129" s="3" t="str">
        <x:f>IF(L1129&lt;0,"Yes","No")</x:f>
        <x:v>No</x:v>
      </x:c>
    </x:row>
    <x:row r="1130" ht="21" customHeight="1">
      <x:c r="A1130" s="3" t="str">
        <x:v>ORD-100265</x:v>
      </x:c>
      <x:c r="B1130" s="5" t="n">
        <x:v>45597</x:v>
      </x:c>
      <x:c r="C1130" s="3" t="str">
        <x:v>CUST-00530</x:v>
      </x:c>
      <x:c r="D1130" s="3" t="str">
        <x:v>East</x:v>
      </x:c>
      <x:c r="E1130" s="3" t="str">
        <x:v>Sports</x:v>
      </x:c>
      <x:c r="F1130" s="3" t="str">
        <x:v>Fitness</x:v>
      </x:c>
      <x:c r="G1130" s="3" t="str">
        <x:v>Adjustable Dumbbell 24kg</x:v>
      </x:c>
      <x:c r="H1130" s="3" t="n">
        <x:v>5</x:v>
      </x:c>
      <x:c r="I1130" s="7" t="n">
        <x:v>10360.46</x:v>
      </x:c>
      <x:c r="J1130" s="9" t="n">
        <x:v>0.1</x:v>
      </x:c>
      <x:c r="K1130" s="7" t="n">
        <x:v>46622.07</x:v>
      </x:c>
      <x:c r="L1130" s="7" t="n">
        <x:v>11463.98</x:v>
      </x:c>
      <x:c r="M1130" s="3" t="str">
        <x:v>Net Banking</x:v>
      </x:c>
      <x:c r="N1130" s="3" t="str">
        <x:f>TEXT(B1130,"yyyy-mm")</x:f>
        <x:v>2024-11</x:v>
      </x:c>
      <x:c r="O1130" s="3" t="str">
        <x:f>IF(J1130=0,"No discount",IF(J1130&lt;=0.1,"1-10%",IF(J1130&lt;=0.15,"11-15%",IF(J1130&lt;=0.2,"16-20%","21%+"))))</x:f>
        <x:v>1-10%</x:v>
      </x:c>
      <x:c r="P1130" s="9" t="n">
        <x:f>IF(K1130=0,0,L1130/K1130)</x:f>
        <x:v>0.24589169893142881</x:v>
      </x:c>
      <x:c r="Q1130" s="3" t="str">
        <x:f>IF(L1130&lt;0,"Yes","No")</x:f>
        <x:v>No</x:v>
      </x:c>
    </x:row>
    <x:row r="1131" ht="21" customHeight="1">
      <x:c r="A1131" s="3" t="str">
        <x:v>ORD-100405</x:v>
      </x:c>
      <x:c r="B1131" s="5" t="n">
        <x:v>45597</x:v>
      </x:c>
      <x:c r="C1131" s="3" t="str">
        <x:v>CUST-00090</x:v>
      </x:c>
      <x:c r="D1131" s="3" t="str">
        <x:v>East</x:v>
      </x:c>
      <x:c r="E1131" s="3" t="str">
        <x:v>Fashion</x:v>
      </x:c>
      <x:c r="F1131" s="3" t="str">
        <x:v>Men</x:v>
      </x:c>
      <x:c r="G1131" s="3" t="str">
        <x:v>SlimFit Denim Jeans</x:v>
      </x:c>
      <x:c r="H1131" s="3" t="n">
        <x:v>1</x:v>
      </x:c>
      <x:c r="I1131" s="7" t="n">
        <x:v>1906.39</x:v>
      </x:c>
      <x:c r="J1131" s="9" t="n">
        <x:v>0.1</x:v>
      </x:c>
      <x:c r="K1131" s="7" t="n">
        <x:v>1715.75</x:v>
      </x:c>
      <x:c r="L1131" s="7" t="n">
        <x:v>571.87</x:v>
      </x:c>
      <x:c r="M1131" s="3" t="str">
        <x:v>Debit Card</x:v>
      </x:c>
      <x:c r="N1131" s="3" t="str">
        <x:f>TEXT(B1131,"yyyy-mm")</x:f>
        <x:v>2024-11</x:v>
      </x:c>
      <x:c r="O1131" s="3" t="str">
        <x:f>IF(J1131=0,"No discount",IF(J1131&lt;=0.1,"1-10%",IF(J1131&lt;=0.15,"11-15%",IF(J1131&lt;=0.2,"16-20%","21%+"))))</x:f>
        <x:v>1-10%</x:v>
      </x:c>
      <x:c r="P1131" s="9" t="n">
        <x:f>IF(K1131=0,0,L1131/K1131)</x:f>
        <x:v>0.33330613434358153</x:v>
      </x:c>
      <x:c r="Q1131" s="3" t="str">
        <x:f>IF(L1131&lt;0,"Yes","No")</x:f>
        <x:v>No</x:v>
      </x:c>
    </x:row>
    <x:row r="1132" ht="21" customHeight="1">
      <x:c r="A1132" s="3" t="str">
        <x:v>ORD-101464</x:v>
      </x:c>
      <x:c r="B1132" s="5" t="n">
        <x:v>45597</x:v>
      </x:c>
      <x:c r="C1132" s="3" t="str">
        <x:v>CUST-00336</x:v>
      </x:c>
      <x:c r="D1132" s="3" t="str">
        <x:v>North</x:v>
      </x:c>
      <x:c r="E1132" s="3" t="str">
        <x:v>Electronics</x:v>
      </x:c>
      <x:c r="F1132" s="3" t="str">
        <x:v>Audio</x:v>
      </x:c>
      <x:c r="G1132" s="3" t="str">
        <x:v>BassBoom Speaker</x:v>
      </x:c>
      <x:c r="H1132" s="3" t="n">
        <x:v>5</x:v>
      </x:c>
      <x:c r="I1132" s="7" t="n">
        <x:v>9065.29</x:v>
      </x:c>
      <x:c r="J1132" s="9" t="n">
        <x:v>0</x:v>
      </x:c>
      <x:c r="K1132" s="7" t="n">
        <x:v>45326.45</x:v>
      </x:c>
      <x:c r="L1132" s="7" t="n">
        <x:v>7137.65</x:v>
      </x:c>
      <x:c r="M1132" s="3" t="str">
        <x:v>Debit Card</x:v>
      </x:c>
      <x:c r="N1132" s="3" t="str">
        <x:f>TEXT(B1132,"yyyy-mm")</x:f>
        <x:v>2024-11</x:v>
      </x:c>
      <x:c r="O1132" s="3" t="str">
        <x:f>IF(J1132=0,"No discount",IF(J1132&lt;=0.1,"1-10%",IF(J1132&lt;=0.15,"11-15%",IF(J1132&lt;=0.2,"16-20%","21%+"))))</x:f>
        <x:v>No discount</x:v>
      </x:c>
      <x:c r="P1132" s="9" t="n">
        <x:f>IF(K1132=0,0,L1132/K1132)</x:f>
        <x:v>0.15747207204623348</x:v>
      </x:c>
      <x:c r="Q1132" s="3" t="str">
        <x:f>IF(L1132&lt;0,"Yes","No")</x:f>
        <x:v>No</x:v>
      </x:c>
    </x:row>
    <x:row r="1133" ht="21" customHeight="1">
      <x:c r="A1133" s="3" t="str">
        <x:v>ORD-101873</x:v>
      </x:c>
      <x:c r="B1133" s="5" t="n">
        <x:v>45597</x:v>
      </x:c>
      <x:c r="C1133" s="3" t="str">
        <x:v>CUST-00157</x:v>
      </x:c>
      <x:c r="D1133" s="3" t="str">
        <x:v>South</x:v>
      </x:c>
      <x:c r="E1133" s="3" t="str">
        <x:v>Beauty</x:v>
      </x:c>
      <x:c r="F1133" s="3" t="str">
        <x:v>Makeup</x:v>
      </x:c>
      <x:c r="G1133" s="3" t="str">
        <x:v>Matte Lipstick Set</x:v>
      </x:c>
      <x:c r="H1133" s="3" t="n">
        <x:v>2</x:v>
      </x:c>
      <x:c r="I1133" s="7" t="n">
        <x:v>1032.38</x:v>
      </x:c>
      <x:c r="J1133" s="9" t="n">
        <x:v>0.15</x:v>
      </x:c>
      <x:c r="K1133" s="7" t="n">
        <x:v>1755.05</x:v>
      </x:c>
      <x:c r="L1133" s="7" t="n">
        <x:v>676.96</x:v>
      </x:c>
      <x:c r="M1133" s="3" t="str">
        <x:v>Credit Card</x:v>
      </x:c>
      <x:c r="N1133" s="3" t="str">
        <x:f>TEXT(B1133,"yyyy-mm")</x:f>
        <x:v>2024-11</x:v>
      </x:c>
      <x:c r="O1133" s="3" t="str">
        <x:f>IF(J1133=0,"No discount",IF(J1133&lt;=0.1,"1-10%",IF(J1133&lt;=0.15,"11-15%",IF(J1133&lt;=0.2,"16-20%","21%+"))))</x:f>
        <x:v>11-15%</x:v>
      </x:c>
      <x:c r="P1133" s="9" t="n">
        <x:f>IF(K1133=0,0,L1133/K1133)</x:f>
        <x:v>0.38572120452408765</x:v>
      </x:c>
      <x:c r="Q1133" s="3" t="str">
        <x:f>IF(L1133&lt;0,"Yes","No")</x:f>
        <x:v>No</x:v>
      </x:c>
    </x:row>
    <x:row r="1134" ht="21" customHeight="1">
      <x:c r="A1134" s="3" t="str">
        <x:v>ORD-100072</x:v>
      </x:c>
      <x:c r="B1134" s="5" t="n">
        <x:v>45598</x:v>
      </x:c>
      <x:c r="C1134" s="3" t="str">
        <x:v>CUST-00435</x:v>
      </x:c>
      <x:c r="D1134" s="3" t="str">
        <x:v>North</x:v>
      </x:c>
      <x:c r="E1134" s="3" t="str">
        <x:v>Sports</x:v>
      </x:c>
      <x:c r="F1134" s="3" t="str">
        <x:v>Outdoor</x:v>
      </x:c>
      <x:c r="G1134" s="3" t="str">
        <x:v>TrailHike Backpack 60L</x:v>
      </x:c>
      <x:c r="H1134" s="3" t="n">
        <x:v>4</x:v>
      </x:c>
      <x:c r="I1134" s="7" t="n">
        <x:v>3424.69</x:v>
      </x:c>
      <x:c r="J1134" s="9" t="n">
        <x:v>0.05</x:v>
      </x:c>
      <x:c r="K1134" s="7" t="n">
        <x:v>13013.82</x:v>
      </x:c>
      <x:c r="L1134" s="7" t="n">
        <x:v>4245.47</x:v>
      </x:c>
      <x:c r="M1134" s="3" t="str">
        <x:v>Cash on Delivery</x:v>
      </x:c>
      <x:c r="N1134" s="3" t="str">
        <x:f>TEXT(B1134,"yyyy-mm")</x:f>
        <x:v>2024-11</x:v>
      </x:c>
      <x:c r="O1134" s="3" t="str">
        <x:f>IF(J1134=0,"No discount",IF(J1134&lt;=0.1,"1-10%",IF(J1134&lt;=0.15,"11-15%",IF(J1134&lt;=0.2,"16-20%","21%+"))))</x:f>
        <x:v>1-10%</x:v>
      </x:c>
      <x:c r="P1134" s="9" t="n">
        <x:f>IF(K1134=0,0,L1134/K1134)</x:f>
        <x:v>0.3262278101280024</x:v>
      </x:c>
      <x:c r="Q1134" s="3" t="str">
        <x:f>IF(L1134&lt;0,"Yes","No")</x:f>
        <x:v>No</x:v>
      </x:c>
    </x:row>
    <x:row r="1135" ht="21" customHeight="1">
      <x:c r="A1135" s="3" t="str">
        <x:v>ORD-100178</x:v>
      </x:c>
      <x:c r="B1135" s="5" t="n">
        <x:v>45598</x:v>
      </x:c>
      <x:c r="C1135" s="3" t="str">
        <x:v>CUST-00247</x:v>
      </x:c>
      <x:c r="D1135" s="3" t="str">
        <x:v>North</x:v>
      </x:c>
      <x:c r="E1135" s="3" t="str">
        <x:v>Home &amp; Kitchen</x:v>
      </x:c>
      <x:c r="F1135" s="3" t="str">
        <x:v>Appliances</x:v>
      </x:c>
      <x:c r="G1135" s="3" t="str">
        <x:v>AirFryer Deluxe</x:v>
      </x:c>
      <x:c r="H1135" s="3" t="n">
        <x:v>1</x:v>
      </x:c>
      <x:c r="I1135" s="7" t="n">
        <x:v>7611.57</x:v>
      </x:c>
      <x:c r="J1135" s="9" t="n">
        <x:v>0.2</x:v>
      </x:c>
      <x:c r="K1135" s="7" t="n">
        <x:v>6089.26</x:v>
      </x:c>
      <x:c r="L1135" s="7" t="n">
        <x:v>466.27</x:v>
      </x:c>
      <x:c r="M1135" s="3" t="str">
        <x:v>Debit Card</x:v>
      </x:c>
      <x:c r="N1135" s="3" t="str">
        <x:f>TEXT(B1135,"yyyy-mm")</x:f>
        <x:v>2024-11</x:v>
      </x:c>
      <x:c r="O1135" s="3" t="str">
        <x:f>IF(J1135=0,"No discount",IF(J1135&lt;=0.1,"1-10%",IF(J1135&lt;=0.15,"11-15%",IF(J1135&lt;=0.2,"16-20%","21%+"))))</x:f>
        <x:v>16-20%</x:v>
      </x:c>
      <x:c r="P1135" s="9" t="n">
        <x:f>IF(K1135=0,0,L1135/K1135)</x:f>
        <x:v>0.07657252276959761</x:v>
      </x:c>
      <x:c r="Q1135" s="3" t="str">
        <x:f>IF(L1135&lt;0,"Yes","No")</x:f>
        <x:v>No</x:v>
      </x:c>
    </x:row>
    <x:row r="1136" ht="21" customHeight="1">
      <x:c r="A1136" s="3" t="str">
        <x:v>ORD-100230</x:v>
      </x:c>
      <x:c r="B1136" s="5" t="n">
        <x:v>45598</x:v>
      </x:c>
      <x:c r="C1136" s="3" t="str">
        <x:v>CUST-00179</x:v>
      </x:c>
      <x:c r="D1136" s="3" t="str">
        <x:v>South</x:v>
      </x:c>
      <x:c r="E1136" s="3" t="str">
        <x:v>Beauty</x:v>
      </x:c>
      <x:c r="F1136" s="3" t="str">
        <x:v>Skincare</x:v>
      </x:c>
      <x:c r="G1136" s="3" t="str">
        <x:v>Vitamin C Serum</x:v>
      </x:c>
      <x:c r="H1136" s="3" t="n">
        <x:v>3</x:v>
      </x:c>
      <x:c r="I1136" s="7" t="n">
        <x:v>862.25</x:v>
      </x:c>
      <x:c r="J1136" s="9" t="n">
        <x:v>0.05</x:v>
      </x:c>
      <x:c r="K1136" s="7" t="n">
        <x:v>2457.41</x:v>
      </x:c>
      <x:c r="L1136" s="7" t="n">
        <x:v>1160.78</x:v>
      </x:c>
      <x:c r="M1136" s="3" t="str">
        <x:v>Credit Card</x:v>
      </x:c>
      <x:c r="N1136" s="3" t="str">
        <x:f>TEXT(B1136,"yyyy-mm")</x:f>
        <x:v>2024-11</x:v>
      </x:c>
      <x:c r="O1136" s="3" t="str">
        <x:f>IF(J1136=0,"No discount",IF(J1136&lt;=0.1,"1-10%",IF(J1136&lt;=0.15,"11-15%",IF(J1136&lt;=0.2,"16-20%","21%+"))))</x:f>
        <x:v>1-10%</x:v>
      </x:c>
      <x:c r="P1136" s="9" t="n">
        <x:f>IF(K1136=0,0,L1136/K1136)</x:f>
        <x:v>0.4723591097944584</x:v>
      </x:c>
      <x:c r="Q1136" s="3" t="str">
        <x:f>IF(L1136&lt;0,"Yes","No")</x:f>
        <x:v>No</x:v>
      </x:c>
    </x:row>
    <x:row r="1137" ht="21" customHeight="1">
      <x:c r="A1137" s="3" t="str">
        <x:v>ORD-100412</x:v>
      </x:c>
      <x:c r="B1137" s="5" t="n">
        <x:v>45598</x:v>
      </x:c>
      <x:c r="C1137" s="3" t="str">
        <x:v>CUST-00324</x:v>
      </x:c>
      <x:c r="D1137" s="3" t="str">
        <x:v>South</x:v>
      </x:c>
      <x:c r="E1137" s="3" t="str">
        <x:v>Sports</x:v>
      </x:c>
      <x:c r="F1137" s="3" t="str">
        <x:v>Outdoor</x:v>
      </x:c>
      <x:c r="G1137" s="3" t="str">
        <x:v>TrailHike Backpack 60L</x:v>
      </x:c>
      <x:c r="H1137" s="3" t="n">
        <x:v>2</x:v>
      </x:c>
      <x:c r="I1137" s="7" t="n">
        <x:v>3543.51</x:v>
      </x:c>
      <x:c r="J1137" s="9" t="n">
        <x:v>0.05</x:v>
      </x:c>
      <x:c r="K1137" s="7" t="n">
        <x:v>6732.67</x:v>
      </x:c>
      <x:c r="L1137" s="7" t="n">
        <x:v>2382.45</x:v>
      </x:c>
      <x:c r="M1137" s="3" t="str">
        <x:v>UPI</x:v>
      </x:c>
      <x:c r="N1137" s="3" t="str">
        <x:f>TEXT(B1137,"yyyy-mm")</x:f>
        <x:v>2024-11</x:v>
      </x:c>
      <x:c r="O1137" s="3" t="str">
        <x:f>IF(J1137=0,"No discount",IF(J1137&lt;=0.1,"1-10%",IF(J1137&lt;=0.15,"11-15%",IF(J1137&lt;=0.2,"16-20%","21%+"))))</x:f>
        <x:v>1-10%</x:v>
      </x:c>
      <x:c r="P1137" s="9" t="n">
        <x:f>IF(K1137=0,0,L1137/K1137)</x:f>
        <x:v>0.3538640687869745</x:v>
      </x:c>
      <x:c r="Q1137" s="3" t="str">
        <x:f>IF(L1137&lt;0,"Yes","No")</x:f>
        <x:v>No</x:v>
      </x:c>
    </x:row>
    <x:row r="1138" ht="21" customHeight="1">
      <x:c r="A1138" s="3" t="str">
        <x:v>ORD-100513</x:v>
      </x:c>
      <x:c r="B1138" s="5" t="n">
        <x:v>45598</x:v>
      </x:c>
      <x:c r="C1138" s="3" t="str">
        <x:v>CUST-00447</x:v>
      </x:c>
      <x:c r="D1138" s="3" t="str">
        <x:v>East</x:v>
      </x:c>
      <x:c r="E1138" s="3" t="str">
        <x:v>Beauty</x:v>
      </x:c>
      <x:c r="F1138" s="3" t="str">
        <x:v>Skincare</x:v>
      </x:c>
      <x:c r="G1138" s="3" t="str">
        <x:v>HydraBoost Moisturizer</x:v>
      </x:c>
      <x:c r="H1138" s="3" t="n">
        <x:v>1</x:v>
      </x:c>
      <x:c r="I1138" s="7" t="n">
        <x:v>1179.33</x:v>
      </x:c>
      <x:c r="J1138" s="9" t="n">
        <x:v>0.1</x:v>
      </x:c>
      <x:c r="K1138" s="7" t="n">
        <x:v>1061.4</x:v>
      </x:c>
      <x:c r="L1138" s="7" t="n">
        <x:v>461.94</x:v>
      </x:c>
      <x:c r="M1138" s="3" t="str">
        <x:v>UPI</x:v>
      </x:c>
      <x:c r="N1138" s="3" t="str">
        <x:f>TEXT(B1138,"yyyy-mm")</x:f>
        <x:v>2024-11</x:v>
      </x:c>
      <x:c r="O1138" s="3" t="str">
        <x:f>IF(J1138=0,"No discount",IF(J1138&lt;=0.1,"1-10%",IF(J1138&lt;=0.15,"11-15%",IF(J1138&lt;=0.2,"16-20%","21%+"))))</x:f>
        <x:v>1-10%</x:v>
      </x:c>
      <x:c r="P1138" s="9" t="n">
        <x:f>IF(K1138=0,0,L1138/K1138)</x:f>
        <x:v>0.43521763708309774</x:v>
      </x:c>
      <x:c r="Q1138" s="3" t="str">
        <x:f>IF(L1138&lt;0,"Yes","No")</x:f>
        <x:v>No</x:v>
      </x:c>
    </x:row>
    <x:row r="1139" ht="21" customHeight="1">
      <x:c r="A1139" s="3" t="str">
        <x:v>ORD-100693</x:v>
      </x:c>
      <x:c r="B1139" s="5" t="n">
        <x:v>45598</x:v>
      </x:c>
      <x:c r="C1139" s="3" t="str">
        <x:v>CUST-00187</x:v>
      </x:c>
      <x:c r="D1139" s="3" t="str">
        <x:v>North</x:v>
      </x:c>
      <x:c r="E1139" s="3" t="str">
        <x:v>Beauty</x:v>
      </x:c>
      <x:c r="F1139" s="3" t="str">
        <x:v>Skincare</x:v>
      </x:c>
      <x:c r="G1139" s="3" t="str">
        <x:v>HydraBoost Moisturizer</x:v>
      </x:c>
      <x:c r="H1139" s="3" t="n">
        <x:v>1</x:v>
      </x:c>
      <x:c r="I1139" s="7" t="n">
        <x:v>1157.71</x:v>
      </x:c>
      <x:c r="J1139" s="9" t="n">
        <x:v>0.05</x:v>
      </x:c>
      <x:c r="K1139" s="7" t="n">
        <x:v>1099.82</x:v>
      </x:c>
      <x:c r="L1139" s="7" t="n">
        <x:v>555.44</x:v>
      </x:c>
      <x:c r="M1139" s="3" t="str">
        <x:v>UPI</x:v>
      </x:c>
      <x:c r="N1139" s="3" t="str">
        <x:f>TEXT(B1139,"yyyy-mm")</x:f>
        <x:v>2024-11</x:v>
      </x:c>
      <x:c r="O1139" s="3" t="str">
        <x:f>IF(J1139=0,"No discount",IF(J1139&lt;=0.1,"1-10%",IF(J1139&lt;=0.15,"11-15%",IF(J1139&lt;=0.2,"16-20%","21%+"))))</x:f>
        <x:v>1-10%</x:v>
      </x:c>
      <x:c r="P1139" s="9" t="n">
        <x:f>IF(K1139=0,0,L1139/K1139)</x:f>
        <x:v>0.5050280955065375</x:v>
      </x:c>
      <x:c r="Q1139" s="3" t="str">
        <x:f>IF(L1139&lt;0,"Yes","No")</x:f>
        <x:v>No</x:v>
      </x:c>
    </x:row>
    <x:row r="1140" ht="21" customHeight="1">
      <x:c r="A1140" s="3" t="str">
        <x:v>ORD-100937</x:v>
      </x:c>
      <x:c r="B1140" s="5" t="n">
        <x:v>45598</x:v>
      </x:c>
      <x:c r="C1140" s="3" t="str">
        <x:v>CUST-00545</x:v>
      </x:c>
      <x:c r="D1140" s="3" t="str">
        <x:v>South</x:v>
      </x:c>
      <x:c r="E1140" s="3" t="str">
        <x:v>Electronics</x:v>
      </x:c>
      <x:c r="F1140" s="3" t="str">
        <x:v>Laptop</x:v>
      </x:c>
      <x:c r="G1140" s="3" t="str">
        <x:v>AirBook Slim</x:v>
      </x:c>
      <x:c r="H1140" s="3" t="n">
        <x:v>2</x:v>
      </x:c>
      <x:c r="I1140" s="7" t="n">
        <x:v>76443.63</x:v>
      </x:c>
      <x:c r="J1140" s="9" t="n">
        <x:v>0.05</x:v>
      </x:c>
      <x:c r="K1140" s="7" t="n">
        <x:v>145242.9</x:v>
      </x:c>
      <x:c r="L1140" s="7" t="n">
        <x:v>17877</x:v>
      </x:c>
      <x:c r="M1140" s="3" t="str">
        <x:v>Cash on Delivery</x:v>
      </x:c>
      <x:c r="N1140" s="3" t="str">
        <x:f>TEXT(B1140,"yyyy-mm")</x:f>
        <x:v>2024-11</x:v>
      </x:c>
      <x:c r="O1140" s="3" t="str">
        <x:f>IF(J1140=0,"No discount",IF(J1140&lt;=0.1,"1-10%",IF(J1140&lt;=0.15,"11-15%",IF(J1140&lt;=0.2,"16-20%","21%+"))))</x:f>
        <x:v>1-10%</x:v>
      </x:c>
      <x:c r="P1140" s="9" t="n">
        <x:f>IF(K1140=0,0,L1140/K1140)</x:f>
        <x:v>0.12308346914031598</x:v>
      </x:c>
      <x:c r="Q1140" s="3" t="str">
        <x:f>IF(L1140&lt;0,"Yes","No")</x:f>
        <x:v>No</x:v>
      </x:c>
    </x:row>
    <x:row r="1141" ht="21" customHeight="1">
      <x:c r="A1141" s="3" t="str">
        <x:v>ORD-101358</x:v>
      </x:c>
      <x:c r="B1141" s="5" t="n">
        <x:v>45598</x:v>
      </x:c>
      <x:c r="C1141" s="3" t="str">
        <x:v>CUST-00093</x:v>
      </x:c>
      <x:c r="D1141" s="3" t="str">
        <x:v>North</x:v>
      </x:c>
      <x:c r="E1141" s="3" t="str">
        <x:v>Home &amp; Kitchen</x:v>
      </x:c>
      <x:c r="F1141" s="3" t="str">
        <x:v>Furniture</x:v>
      </x:c>
      <x:c r="G1141" s="3" t="str">
        <x:v>Oakwood Study Desk</x:v>
      </x:c>
      <x:c r="H1141" s="3" t="n">
        <x:v>1</x:v>
      </x:c>
      <x:c r="I1141" s="7" t="n">
        <x:v>13217.96</x:v>
      </x:c>
      <x:c r="J1141" s="9" t="n">
        <x:v>0.3</x:v>
      </x:c>
      <x:c r="K1141" s="7" t="n">
        <x:v>9252.57</x:v>
      </x:c>
      <x:c r="L1141" s="7" t="n">
        <x:v>-196.46</x:v>
      </x:c>
      <x:c r="M1141" s="3" t="str">
        <x:v>UPI</x:v>
      </x:c>
      <x:c r="N1141" s="3" t="str">
        <x:f>TEXT(B1141,"yyyy-mm")</x:f>
        <x:v>2024-11</x:v>
      </x:c>
      <x:c r="O1141" s="3" t="str">
        <x:f>IF(J1141=0,"No discount",IF(J1141&lt;=0.1,"1-10%",IF(J1141&lt;=0.15,"11-15%",IF(J1141&lt;=0.2,"16-20%","21%+"))))</x:f>
        <x:v>21%+</x:v>
      </x:c>
      <x:c r="P1141" s="9" t="n">
        <x:f>IF(K1141=0,0,L1141/K1141)</x:f>
        <x:v>-0.021233019582667302</x:v>
      </x:c>
      <x:c r="Q1141" s="3" t="str">
        <x:f>IF(L1141&lt;0,"Yes","No")</x:f>
        <x:v>Yes</x:v>
      </x:c>
    </x:row>
    <x:row r="1142" ht="21" customHeight="1">
      <x:c r="A1142" s="3" t="str">
        <x:v>ORD-100377</x:v>
      </x:c>
      <x:c r="B1142" s="5" t="n">
        <x:v>45599</x:v>
      </x:c>
      <x:c r="C1142" s="3" t="str">
        <x:v>CUST-00410</x:v>
      </x:c>
      <x:c r="D1142" s="3" t="str">
        <x:v>North</x:v>
      </x:c>
      <x:c r="E1142" s="3" t="str">
        <x:v>Fashion</x:v>
      </x:c>
      <x:c r="F1142" s="3" t="str">
        <x:v>Men</x:v>
      </x:c>
      <x:c r="G1142" s="3" t="str">
        <x:v>SlimFit Denim Jeans</x:v>
      </x:c>
      <x:c r="H1142" s="3" t="n">
        <x:v>1</x:v>
      </x:c>
      <x:c r="I1142" s="7" t="n">
        <x:v>1952.02</x:v>
      </x:c>
      <x:c r="J1142" s="9" t="n">
        <x:v>0</x:v>
      </x:c>
      <x:c r="K1142" s="7" t="n">
        <x:v>1952.02</x:v>
      </x:c>
      <x:c r="L1142" s="7" t="n">
        <x:v>880.69</x:v>
      </x:c>
      <x:c r="M1142" s="3" t="str">
        <x:v>UPI</x:v>
      </x:c>
      <x:c r="N1142" s="3" t="str">
        <x:f>TEXT(B1142,"yyyy-mm")</x:f>
        <x:v>2024-11</x:v>
      </x:c>
      <x:c r="O1142" s="3" t="str">
        <x:f>IF(J1142=0,"No discount",IF(J1142&lt;=0.1,"1-10%",IF(J1142&lt;=0.15,"11-15%",IF(J1142&lt;=0.2,"16-20%","21%+"))))</x:f>
        <x:v>No discount</x:v>
      </x:c>
      <x:c r="P1142" s="9" t="n">
        <x:f>IF(K1142=0,0,L1142/K1142)</x:f>
        <x:v>0.45116853310929195</x:v>
      </x:c>
      <x:c r="Q1142" s="3" t="str">
        <x:f>IF(L1142&lt;0,"Yes","No")</x:f>
        <x:v>No</x:v>
      </x:c>
    </x:row>
    <x:row r="1143" ht="21" customHeight="1">
      <x:c r="A1143" s="3" t="str">
        <x:v>ORD-100517</x:v>
      </x:c>
      <x:c r="B1143" s="5" t="n">
        <x:v>45599</x:v>
      </x:c>
      <x:c r="C1143" s="3" t="str">
        <x:v>CUST-00421</x:v>
      </x:c>
      <x:c r="D1143" s="3" t="str">
        <x:v>South</x:v>
      </x:c>
      <x:c r="E1143" s="3" t="str">
        <x:v>Home &amp; Kitchen</x:v>
      </x:c>
      <x:c r="F1143" s="3" t="str">
        <x:v>Appliances</x:v>
      </x:c>
      <x:c r="G1143" s="3" t="str">
        <x:v>ColdBrew Coffee Maker</x:v>
      </x:c>
      <x:c r="H1143" s="3" t="n">
        <x:v>4</x:v>
      </x:c>
      <x:c r="I1143" s="7" t="n">
        <x:v>6212.97</x:v>
      </x:c>
      <x:c r="J1143" s="9" t="n">
        <x:v>0.15</x:v>
      </x:c>
      <x:c r="K1143" s="7" t="n">
        <x:v>21124.1</x:v>
      </x:c>
      <x:c r="L1143" s="7" t="n">
        <x:v>2821.16</x:v>
      </x:c>
      <x:c r="M1143" s="3" t="str">
        <x:v>UPI</x:v>
      </x:c>
      <x:c r="N1143" s="3" t="str">
        <x:f>TEXT(B1143,"yyyy-mm")</x:f>
        <x:v>2024-11</x:v>
      </x:c>
      <x:c r="O1143" s="3" t="str">
        <x:f>IF(J1143=0,"No discount",IF(J1143&lt;=0.1,"1-10%",IF(J1143&lt;=0.15,"11-15%",IF(J1143&lt;=0.2,"16-20%","21%+"))))</x:f>
        <x:v>11-15%</x:v>
      </x:c>
      <x:c r="P1143" s="9" t="n">
        <x:f>IF(K1143=0,0,L1143/K1143)</x:f>
        <x:v>0.13355172528060366</x:v>
      </x:c>
      <x:c r="Q1143" s="3" t="str">
        <x:f>IF(L1143&lt;0,"Yes","No")</x:f>
        <x:v>No</x:v>
      </x:c>
    </x:row>
    <x:row r="1144" ht="21" customHeight="1">
      <x:c r="A1144" s="3" t="str">
        <x:v>ORD-101663</x:v>
      </x:c>
      <x:c r="B1144" s="5" t="n">
        <x:v>45599</x:v>
      </x:c>
      <x:c r="C1144" s="3" t="str">
        <x:v>CUST-00566</x:v>
      </x:c>
      <x:c r="D1144" s="3" t="str">
        <x:v>East</x:v>
      </x:c>
      <x:c r="E1144" s="3" t="str">
        <x:v>Fashion</x:v>
      </x:c>
      <x:c r="F1144" s="3" t="str">
        <x:v>Men</x:v>
      </x:c>
      <x:c r="G1144" s="3" t="str">
        <x:v>Oxford Casual Shirt</x:v>
      </x:c>
      <x:c r="H1144" s="3" t="n">
        <x:v>1</x:v>
      </x:c>
      <x:c r="I1144" s="7" t="n">
        <x:v>1257.87</x:v>
      </x:c>
      <x:c r="J1144" s="9" t="n">
        <x:v>0</x:v>
      </x:c>
      <x:c r="K1144" s="7" t="n">
        <x:v>1257.87</x:v>
      </x:c>
      <x:c r="L1144" s="7" t="n">
        <x:v>551.38</x:v>
      </x:c>
      <x:c r="M1144" s="3" t="str">
        <x:v>Credit Card</x:v>
      </x:c>
      <x:c r="N1144" s="3" t="str">
        <x:f>TEXT(B1144,"yyyy-mm")</x:f>
        <x:v>2024-11</x:v>
      </x:c>
      <x:c r="O1144" s="3" t="str">
        <x:f>IF(J1144=0,"No discount",IF(J1144&lt;=0.1,"1-10%",IF(J1144&lt;=0.15,"11-15%",IF(J1144&lt;=0.2,"16-20%","21%+"))))</x:f>
        <x:v>No discount</x:v>
      </x:c>
      <x:c r="P1144" s="9" t="n">
        <x:f>IF(K1144=0,0,L1144/K1144)</x:f>
        <x:v>0.43834418501116973</x:v>
      </x:c>
      <x:c r="Q1144" s="3" t="str">
        <x:f>IF(L1144&lt;0,"Yes","No")</x:f>
        <x:v>No</x:v>
      </x:c>
    </x:row>
    <x:row r="1145" ht="21" customHeight="1">
      <x:c r="A1145" s="3" t="str">
        <x:v>ORD-101748</x:v>
      </x:c>
      <x:c r="B1145" s="5" t="n">
        <x:v>45599</x:v>
      </x:c>
      <x:c r="C1145" s="3" t="str">
        <x:v>CUST-00415</x:v>
      </x:c>
      <x:c r="D1145" s="3" t="str">
        <x:v>South</x:v>
      </x:c>
      <x:c r="E1145" s="3" t="str">
        <x:v>Sports</x:v>
      </x:c>
      <x:c r="F1145" s="3" t="str">
        <x:v>Fitness</x:v>
      </x:c>
      <x:c r="G1145" s="3" t="str">
        <x:v>ProYoga Mat</x:v>
      </x:c>
      <x:c r="H1145" s="3" t="n">
        <x:v>2</x:v>
      </x:c>
      <x:c r="I1145" s="7" t="n">
        <x:v>1316.83</x:v>
      </x:c>
      <x:c r="J1145" s="9" t="n">
        <x:v>0.25</x:v>
      </x:c>
      <x:c r="K1145" s="7" t="n">
        <x:v>1975.24</x:v>
      </x:c>
      <x:c r="L1145" s="7" t="n">
        <x:v>187.69</x:v>
      </x:c>
      <x:c r="M1145" s="3" t="str">
        <x:v>Debit Card</x:v>
      </x:c>
      <x:c r="N1145" s="3" t="str">
        <x:f>TEXT(B1145,"yyyy-mm")</x:f>
        <x:v>2024-11</x:v>
      </x:c>
      <x:c r="O1145" s="3" t="str">
        <x:f>IF(J1145=0,"No discount",IF(J1145&lt;=0.1,"1-10%",IF(J1145&lt;=0.15,"11-15%",IF(J1145&lt;=0.2,"16-20%","21%+"))))</x:f>
        <x:v>21%+</x:v>
      </x:c>
      <x:c r="P1145" s="9" t="n">
        <x:f>IF(K1145=0,0,L1145/K1145)</x:f>
        <x:v>0.0950213644924161</x:v>
      </x:c>
      <x:c r="Q1145" s="3" t="str">
        <x:f>IF(L1145&lt;0,"Yes","No")</x:f>
        <x:v>No</x:v>
      </x:c>
    </x:row>
    <x:row r="1146" ht="21" customHeight="1">
      <x:c r="A1146" s="3" t="str">
        <x:v>ORD-100044</x:v>
      </x:c>
      <x:c r="B1146" s="5" t="n">
        <x:v>45600</x:v>
      </x:c>
      <x:c r="C1146" s="3" t="str">
        <x:v>CUST-00124</x:v>
      </x:c>
      <x:c r="D1146" s="3" t="str">
        <x:v>North</x:v>
      </x:c>
      <x:c r="E1146" s="3" t="str">
        <x:v>Beauty</x:v>
      </x:c>
      <x:c r="F1146" s="3" t="str">
        <x:v>Makeup</x:v>
      </x:c>
      <x:c r="G1146" s="3" t="str">
        <x:v>HD Foundation Kit</x:v>
      </x:c>
      <x:c r="H1146" s="3" t="n">
        <x:v>4</x:v>
      </x:c>
      <x:c r="I1146" s="7" t="n">
        <x:v>1512.81</x:v>
      </x:c>
      <x:c r="J1146" s="9" t="n">
        <x:v>0</x:v>
      </x:c>
      <x:c r="K1146" s="7" t="n">
        <x:v>6051.24</x:v>
      </x:c>
      <x:c r="L1146" s="7" t="n">
        <x:v>3488.21</x:v>
      </x:c>
      <x:c r="M1146" s="3" t="str">
        <x:v>Credit Card</x:v>
      </x:c>
      <x:c r="N1146" s="3" t="str">
        <x:f>TEXT(B1146,"yyyy-mm")</x:f>
        <x:v>2024-11</x:v>
      </x:c>
      <x:c r="O1146" s="3" t="str">
        <x:f>IF(J1146=0,"No discount",IF(J1146&lt;=0.1,"1-10%",IF(J1146&lt;=0.15,"11-15%",IF(J1146&lt;=0.2,"16-20%","21%+"))))</x:f>
        <x:v>No discount</x:v>
      </x:c>
      <x:c r="P1146" s="9" t="n">
        <x:f>IF(K1146=0,0,L1146/K1146)</x:f>
        <x:v>0.5764454888584819</x:v>
      </x:c>
      <x:c r="Q1146" s="3" t="str">
        <x:f>IF(L1146&lt;0,"Yes","No")</x:f>
        <x:v>No</x:v>
      </x:c>
    </x:row>
    <x:row r="1147" ht="21" customHeight="1">
      <x:c r="A1147" s="3" t="str">
        <x:v>ORD-100599</x:v>
      </x:c>
      <x:c r="B1147" s="5" t="n">
        <x:v>45600</x:v>
      </x:c>
      <x:c r="C1147" s="3" t="str">
        <x:v>CUST-00443</x:v>
      </x:c>
      <x:c r="D1147" s="3" t="str">
        <x:v>West</x:v>
      </x:c>
      <x:c r="E1147" s="3" t="str">
        <x:v>Electronics</x:v>
      </x:c>
      <x:c r="F1147" s="3" t="str">
        <x:v>Mobile</x:v>
      </x:c>
      <x:c r="G1147" s="3" t="str">
        <x:v>Pixel Aura 12</x:v>
      </x:c>
      <x:c r="H1147" s="3" t="n">
        <x:v>1</x:v>
      </x:c>
      <x:c r="I1147" s="7" t="n">
        <x:v>31563.64</x:v>
      </x:c>
      <x:c r="J1147" s="9" t="n">
        <x:v>0.2</x:v>
      </x:c>
      <x:c r="K1147" s="7" t="n">
        <x:v>25250.91</x:v>
      </x:c>
      <x:c r="L1147" s="7" t="n">
        <x:v>-2014.95</x:v>
      </x:c>
      <x:c r="M1147" s="3" t="str">
        <x:v>Credit Card</x:v>
      </x:c>
      <x:c r="N1147" s="3" t="str">
        <x:f>TEXT(B1147,"yyyy-mm")</x:f>
        <x:v>2024-11</x:v>
      </x:c>
      <x:c r="O1147" s="3" t="str">
        <x:f>IF(J1147=0,"No discount",IF(J1147&lt;=0.1,"1-10%",IF(J1147&lt;=0.15,"11-15%",IF(J1147&lt;=0.2,"16-20%","21%+"))))</x:f>
        <x:v>16-20%</x:v>
      </x:c>
      <x:c r="P1147" s="9" t="n">
        <x:f>IF(K1147=0,0,L1147/K1147)</x:f>
        <x:v>-0.0797971241432487</x:v>
      </x:c>
      <x:c r="Q1147" s="3" t="str">
        <x:f>IF(L1147&lt;0,"Yes","No")</x:f>
        <x:v>Yes</x:v>
      </x:c>
    </x:row>
    <x:row r="1148" ht="21" customHeight="1">
      <x:c r="A1148" s="3" t="str">
        <x:v>ORD-101331</x:v>
      </x:c>
      <x:c r="B1148" s="5" t="n">
        <x:v>45600</x:v>
      </x:c>
      <x:c r="C1148" s="3" t="str">
        <x:v>CUST-00306</x:v>
      </x:c>
      <x:c r="D1148" s="3" t="str">
        <x:v>South</x:v>
      </x:c>
      <x:c r="E1148" s="3" t="str">
        <x:v>Fashion</x:v>
      </x:c>
      <x:c r="F1148" s="3" t="str">
        <x:v>Women</x:v>
      </x:c>
      <x:c r="G1148" s="3" t="str">
        <x:v>Floral Summer Dress</x:v>
      </x:c>
      <x:c r="H1148" s="3" t="n">
        <x:v>1</x:v>
      </x:c>
      <x:c r="I1148" s="7" t="n">
        <x:v>1767.99</x:v>
      </x:c>
      <x:c r="J1148" s="9" t="n">
        <x:v>0.1</x:v>
      </x:c>
      <x:c r="K1148" s="7" t="n">
        <x:v>1591.19</x:v>
      </x:c>
      <x:c r="L1148" s="7" t="n">
        <x:v>497.98</x:v>
      </x:c>
      <x:c r="M1148" s="3" t="str">
        <x:v>UPI</x:v>
      </x:c>
      <x:c r="N1148" s="3" t="str">
        <x:f>TEXT(B1148,"yyyy-mm")</x:f>
        <x:v>2024-11</x:v>
      </x:c>
      <x:c r="O1148" s="3" t="str">
        <x:f>IF(J1148=0,"No discount",IF(J1148&lt;=0.1,"1-10%",IF(J1148&lt;=0.15,"11-15%",IF(J1148&lt;=0.2,"16-20%","21%+"))))</x:f>
        <x:v>1-10%</x:v>
      </x:c>
      <x:c r="P1148" s="9" t="n">
        <x:f>IF(K1148=0,0,L1148/K1148)</x:f>
        <x:v>0.31296074007503816</x:v>
      </x:c>
      <x:c r="Q1148" s="3" t="str">
        <x:f>IF(L1148&lt;0,"Yes","No")</x:f>
        <x:v>No</x:v>
      </x:c>
    </x:row>
    <x:row r="1149" ht="21" customHeight="1">
      <x:c r="A1149" s="3" t="str">
        <x:v>ORD-101424</x:v>
      </x:c>
      <x:c r="B1149" s="5" t="n">
        <x:v>45600</x:v>
      </x:c>
      <x:c r="C1149" s="3" t="str">
        <x:v>CUST-00317</x:v>
      </x:c>
      <x:c r="D1149" s="3" t="str">
        <x:v>West</x:v>
      </x:c>
      <x:c r="E1149" s="3" t="str">
        <x:v>Home &amp; Kitchen</x:v>
      </x:c>
      <x:c r="F1149" s="3" t="str">
        <x:v>Furniture</x:v>
      </x:c>
      <x:c r="G1149" s="3" t="str">
        <x:v>ErgoComfort Chair</x:v>
      </x:c>
      <x:c r="H1149" s="3" t="n">
        <x:v>2</x:v>
      </x:c>
      <x:c r="I1149" s="7" t="n">
        <x:v>8772.06</x:v>
      </x:c>
      <x:c r="J1149" s="9" t="n">
        <x:v>0.1</x:v>
      </x:c>
      <x:c r="K1149" s="7" t="n">
        <x:v>15789.71</x:v>
      </x:c>
      <x:c r="L1149" s="7" t="n">
        <x:v>3896.6</x:v>
      </x:c>
      <x:c r="M1149" s="3" t="str">
        <x:v>Debit Card</x:v>
      </x:c>
      <x:c r="N1149" s="3" t="str">
        <x:f>TEXT(B1149,"yyyy-mm")</x:f>
        <x:v>2024-11</x:v>
      </x:c>
      <x:c r="O1149" s="3" t="str">
        <x:f>IF(J1149=0,"No discount",IF(J1149&lt;=0.1,"1-10%",IF(J1149&lt;=0.15,"11-15%",IF(J1149&lt;=0.2,"16-20%","21%+"))))</x:f>
        <x:v>1-10%</x:v>
      </x:c>
      <x:c r="P1149" s="9" t="n">
        <x:f>IF(K1149=0,0,L1149/K1149)</x:f>
        <x:v>0.24678097317810144</x:v>
      </x:c>
      <x:c r="Q1149" s="3" t="str">
        <x:f>IF(L1149&lt;0,"Yes","No")</x:f>
        <x:v>No</x:v>
      </x:c>
    </x:row>
    <x:row r="1150" ht="21" customHeight="1">
      <x:c r="A1150" s="3" t="str">
        <x:v>ORD-101735</x:v>
      </x:c>
      <x:c r="B1150" s="5" t="n">
        <x:v>45600</x:v>
      </x:c>
      <x:c r="C1150" s="3" t="str">
        <x:v>CUST-00383</x:v>
      </x:c>
      <x:c r="D1150" s="3" t="str">
        <x:v>South</x:v>
      </x:c>
      <x:c r="E1150" s="3" t="str">
        <x:v>Sports</x:v>
      </x:c>
      <x:c r="F1150" s="3" t="str">
        <x:v>Outdoor</x:v>
      </x:c>
      <x:c r="G1150" s="3" t="str">
        <x:v>TrailHike Backpack 60L</x:v>
      </x:c>
      <x:c r="H1150" s="3" t="n">
        <x:v>3</x:v>
      </x:c>
      <x:c r="I1150" s="7" t="n">
        <x:v>3438.37</x:v>
      </x:c>
      <x:c r="J1150" s="9" t="n">
        <x:v>0</x:v>
      </x:c>
      <x:c r="K1150" s="7" t="n">
        <x:v>10315.11</x:v>
      </x:c>
      <x:c r="L1150" s="7" t="n">
        <x:v>4133.42</x:v>
      </x:c>
      <x:c r="M1150" s="3" t="str">
        <x:v>UPI</x:v>
      </x:c>
      <x:c r="N1150" s="3" t="str">
        <x:f>TEXT(B1150,"yyyy-mm")</x:f>
        <x:v>2024-11</x:v>
      </x:c>
      <x:c r="O1150" s="3" t="str">
        <x:f>IF(J1150=0,"No discount",IF(J1150&lt;=0.1,"1-10%",IF(J1150&lt;=0.15,"11-15%",IF(J1150&lt;=0.2,"16-20%","21%+"))))</x:f>
        <x:v>No discount</x:v>
      </x:c>
      <x:c r="P1150" s="9" t="n">
        <x:f>IF(K1150=0,0,L1150/K1150)</x:f>
        <x:v>0.40071506750776287</x:v>
      </x:c>
      <x:c r="Q1150" s="3" t="str">
        <x:f>IF(L1150&lt;0,"Yes","No")</x:f>
        <x:v>No</x:v>
      </x:c>
    </x:row>
    <x:row r="1151" ht="21" customHeight="1">
      <x:c r="A1151" s="3" t="str">
        <x:v>ORD-100208</x:v>
      </x:c>
      <x:c r="B1151" s="5" t="n">
        <x:v>45601</x:v>
      </x:c>
      <x:c r="C1151" s="3" t="str">
        <x:v>CUST-00281</x:v>
      </x:c>
      <x:c r="D1151" s="3" t="str">
        <x:v>East</x:v>
      </x:c>
      <x:c r="E1151" s="3" t="str">
        <x:v>Electronics</x:v>
      </x:c>
      <x:c r="F1151" s="3" t="str">
        <x:v>Mobile</x:v>
      </x:c>
      <x:c r="G1151" s="3" t="str">
        <x:v>Galaxy Nova X5</x:v>
      </x:c>
      <x:c r="H1151" s="3" t="n">
        <x:v>1</x:v>
      </x:c>
      <x:c r="I1151" s="7" t="n">
        <x:v>26144.03</x:v>
      </x:c>
      <x:c r="J1151" s="9" t="n">
        <x:v>0</x:v>
      </x:c>
      <x:c r="K1151" s="7" t="n">
        <x:v>26144.03</x:v>
      </x:c>
      <x:c r="L1151" s="7" t="n">
        <x:v>4083.32</x:v>
      </x:c>
      <x:c r="M1151" s="3" t="str">
        <x:v>UPI</x:v>
      </x:c>
      <x:c r="N1151" s="3" t="str">
        <x:f>TEXT(B1151,"yyyy-mm")</x:f>
        <x:v>2024-11</x:v>
      </x:c>
      <x:c r="O1151" s="3" t="str">
        <x:f>IF(J1151=0,"No discount",IF(J1151&lt;=0.1,"1-10%",IF(J1151&lt;=0.15,"11-15%",IF(J1151&lt;=0.2,"16-20%","21%+"))))</x:f>
        <x:v>No discount</x:v>
      </x:c>
      <x:c r="P1151" s="9" t="n">
        <x:f>IF(K1151=0,0,L1151/K1151)</x:f>
        <x:v>0.1561855612925781</x:v>
      </x:c>
      <x:c r="Q1151" s="3" t="str">
        <x:f>IF(L1151&lt;0,"Yes","No")</x:f>
        <x:v>No</x:v>
      </x:c>
    </x:row>
    <x:row r="1152" ht="21" customHeight="1">
      <x:c r="A1152" s="3" t="str">
        <x:v>ORD-100515</x:v>
      </x:c>
      <x:c r="B1152" s="5" t="n">
        <x:v>45601</x:v>
      </x:c>
      <x:c r="C1152" s="3" t="str">
        <x:v>CUST-00308</x:v>
      </x:c>
      <x:c r="D1152" s="3" t="str">
        <x:v>South</x:v>
      </x:c>
      <x:c r="E1152" s="3" t="str">
        <x:v>Beauty</x:v>
      </x:c>
      <x:c r="F1152" s="3" t="str">
        <x:v>Skincare</x:v>
      </x:c>
      <x:c r="G1152" s="3" t="str">
        <x:v>HydraBoost Moisturizer</x:v>
      </x:c>
      <x:c r="H1152" s="3" t="n">
        <x:v>1</x:v>
      </x:c>
      <x:c r="I1152" s="7" t="n">
        <x:v>1202.72</x:v>
      </x:c>
      <x:c r="J1152" s="9" t="n">
        <x:v>0.1</x:v>
      </x:c>
      <x:c r="K1152" s="7" t="n">
        <x:v>1082.45</x:v>
      </x:c>
      <x:c r="L1152" s="7" t="n">
        <x:v>464.55</x:v>
      </x:c>
      <x:c r="M1152" s="3" t="str">
        <x:v>UPI</x:v>
      </x:c>
      <x:c r="N1152" s="3" t="str">
        <x:f>TEXT(B1152,"yyyy-mm")</x:f>
        <x:v>2024-11</x:v>
      </x:c>
      <x:c r="O1152" s="3" t="str">
        <x:f>IF(J1152=0,"No discount",IF(J1152&lt;=0.1,"1-10%",IF(J1152&lt;=0.15,"11-15%",IF(J1152&lt;=0.2,"16-20%","21%+"))))</x:f>
        <x:v>1-10%</x:v>
      </x:c>
      <x:c r="P1152" s="9" t="n">
        <x:f>IF(K1152=0,0,L1152/K1152)</x:f>
        <x:v>0.42916531941429165</x:v>
      </x:c>
      <x:c r="Q1152" s="3" t="str">
        <x:f>IF(L1152&lt;0,"Yes","No")</x:f>
        <x:v>No</x:v>
      </x:c>
    </x:row>
    <x:row r="1153" ht="21" customHeight="1">
      <x:c r="A1153" s="3" t="str">
        <x:v>ORD-100793</x:v>
      </x:c>
      <x:c r="B1153" s="5" t="n">
        <x:v>45601</x:v>
      </x:c>
      <x:c r="C1153" s="3" t="str">
        <x:v>CUST-00178</x:v>
      </x:c>
      <x:c r="D1153" s="3" t="str">
        <x:v>East</x:v>
      </x:c>
      <x:c r="E1153" s="3" t="str">
        <x:v>Sports</x:v>
      </x:c>
      <x:c r="F1153" s="3" t="str">
        <x:v>Fitness</x:v>
      </x:c>
      <x:c r="G1153" s="3" t="str">
        <x:v>Adjustable Dumbbell 24kg</x:v>
      </x:c>
      <x:c r="H1153" s="3" t="n">
        <x:v>1</x:v>
      </x:c>
      <x:c r="I1153" s="7" t="n">
        <x:v>9853.65</x:v>
      </x:c>
      <x:c r="J1153" s="9" t="n">
        <x:v>0.05</x:v>
      </x:c>
      <x:c r="K1153" s="7" t="n">
        <x:v>9360.97</x:v>
      </x:c>
      <x:c r="L1153" s="7" t="n">
        <x:v>3252.34</x:v>
      </x:c>
      <x:c r="M1153" s="3" t="str">
        <x:v>Credit Card</x:v>
      </x:c>
      <x:c r="N1153" s="3" t="str">
        <x:f>TEXT(B1153,"yyyy-mm")</x:f>
        <x:v>2024-11</x:v>
      </x:c>
      <x:c r="O1153" s="3" t="str">
        <x:f>IF(J1153=0,"No discount",IF(J1153&lt;=0.1,"1-10%",IF(J1153&lt;=0.15,"11-15%",IF(J1153&lt;=0.2,"16-20%","21%+"))))</x:f>
        <x:v>1-10%</x:v>
      </x:c>
      <x:c r="P1153" s="9" t="n">
        <x:f>IF(K1153=0,0,L1153/K1153)</x:f>
        <x:v>0.34743621654593493</x:v>
      </x:c>
      <x:c r="Q1153" s="3" t="str">
        <x:f>IF(L1153&lt;0,"Yes","No")</x:f>
        <x:v>No</x:v>
      </x:c>
    </x:row>
    <x:row r="1154" ht="21" customHeight="1">
      <x:c r="A1154" s="3" t="str">
        <x:v>ORD-100796</x:v>
      </x:c>
      <x:c r="B1154" s="5" t="n">
        <x:v>45601</x:v>
      </x:c>
      <x:c r="C1154" s="3" t="str">
        <x:v>CUST-00595</x:v>
      </x:c>
      <x:c r="D1154" s="3" t="str">
        <x:v>North</x:v>
      </x:c>
      <x:c r="E1154" s="3" t="str">
        <x:v>Sports</x:v>
      </x:c>
      <x:c r="F1154" s="3" t="str">
        <x:v>Outdoor</x:v>
      </x:c>
      <x:c r="G1154" s="3" t="str">
        <x:v>AllWeather Tent 4P</x:v>
      </x:c>
      <x:c r="H1154" s="3" t="n">
        <x:v>1</x:v>
      </x:c>
      <x:c r="I1154" s="7" t="n">
        <x:v>11430.75</x:v>
      </x:c>
      <x:c r="J1154" s="9" t="n">
        <x:v>0.25</x:v>
      </x:c>
      <x:c r="K1154" s="7" t="n">
        <x:v>8573.06</x:v>
      </x:c>
      <x:c r="L1154" s="7" t="n">
        <x:v>975.97</x:v>
      </x:c>
      <x:c r="M1154" s="3" t="str">
        <x:v>UPI</x:v>
      </x:c>
      <x:c r="N1154" s="3" t="str">
        <x:f>TEXT(B1154,"yyyy-mm")</x:f>
        <x:v>2024-11</x:v>
      </x:c>
      <x:c r="O1154" s="3" t="str">
        <x:f>IF(J1154=0,"No discount",IF(J1154&lt;=0.1,"1-10%",IF(J1154&lt;=0.15,"11-15%",IF(J1154&lt;=0.2,"16-20%","21%+"))))</x:f>
        <x:v>21%+</x:v>
      </x:c>
      <x:c r="P1154" s="9" t="n">
        <x:f>IF(K1154=0,0,L1154/K1154)</x:f>
        <x:v>0.1138414988347218</x:v>
      </x:c>
      <x:c r="Q1154" s="3" t="str">
        <x:f>IF(L1154&lt;0,"Yes","No")</x:f>
        <x:v>No</x:v>
      </x:c>
    </x:row>
    <x:row r="1155" ht="21" customHeight="1">
      <x:c r="A1155" s="3" t="str">
        <x:v>ORD-101422</x:v>
      </x:c>
      <x:c r="B1155" s="5" t="n">
        <x:v>45601</x:v>
      </x:c>
      <x:c r="C1155" s="3" t="str">
        <x:v>CUST-00187</x:v>
      </x:c>
      <x:c r="D1155" s="3" t="str">
        <x:v>South</x:v>
      </x:c>
      <x:c r="E1155" s="3" t="str">
        <x:v>Beauty</x:v>
      </x:c>
      <x:c r="F1155" s="3" t="str">
        <x:v>Skincare</x:v>
      </x:c>
      <x:c r="G1155" s="3" t="str">
        <x:v>HydraBoost Moisturizer</x:v>
      </x:c>
      <x:c r="H1155" s="3" t="n">
        <x:v>1</x:v>
      </x:c>
      <x:c r="I1155" s="7" t="n">
        <x:v>1156.15</x:v>
      </x:c>
      <x:c r="J1155" s="9" t="n">
        <x:v>0.05</x:v>
      </x:c>
      <x:c r="K1155" s="7" t="n">
        <x:v>1098.34</x:v>
      </x:c>
      <x:c r="L1155" s="7" t="n">
        <x:v>566.11</x:v>
      </x:c>
      <x:c r="M1155" s="3" t="str">
        <x:v>UPI</x:v>
      </x:c>
      <x:c r="N1155" s="3" t="str">
        <x:f>TEXT(B1155,"yyyy-mm")</x:f>
        <x:v>2024-11</x:v>
      </x:c>
      <x:c r="O1155" s="3" t="str">
        <x:f>IF(J1155=0,"No discount",IF(J1155&lt;=0.1,"1-10%",IF(J1155&lt;=0.15,"11-15%",IF(J1155&lt;=0.2,"16-20%","21%+"))))</x:f>
        <x:v>1-10%</x:v>
      </x:c>
      <x:c r="P1155" s="9" t="n">
        <x:f>IF(K1155=0,0,L1155/K1155)</x:f>
        <x:v>0.5154232751242785</x:v>
      </x:c>
      <x:c r="Q1155" s="3" t="str">
        <x:f>IF(L1155&lt;0,"Yes","No")</x:f>
        <x:v>No</x:v>
      </x:c>
    </x:row>
    <x:row r="1156" ht="21" customHeight="1">
      <x:c r="A1156" s="3" t="str">
        <x:v>ORD-101687</x:v>
      </x:c>
      <x:c r="B1156" s="5" t="n">
        <x:v>45601</x:v>
      </x:c>
      <x:c r="C1156" s="3" t="str">
        <x:v>CUST-00143</x:v>
      </x:c>
      <x:c r="D1156" s="3" t="str">
        <x:v>West</x:v>
      </x:c>
      <x:c r="E1156" s="3" t="str">
        <x:v>Beauty</x:v>
      </x:c>
      <x:c r="F1156" s="3" t="str">
        <x:v>Makeup</x:v>
      </x:c>
      <x:c r="G1156" s="3" t="str">
        <x:v>HD Foundation Kit</x:v>
      </x:c>
      <x:c r="H1156" s="3" t="n">
        <x:v>1</x:v>
      </x:c>
      <x:c r="I1156" s="7" t="n">
        <x:v>1543.79</x:v>
      </x:c>
      <x:c r="J1156" s="9" t="n">
        <x:v>0.2</x:v>
      </x:c>
      <x:c r="K1156" s="7" t="n">
        <x:v>1235.03</x:v>
      </x:c>
      <x:c r="L1156" s="7" t="n">
        <x:v>408.81</x:v>
      </x:c>
      <x:c r="M1156" s="3" t="str">
        <x:v>Debit Card</x:v>
      </x:c>
      <x:c r="N1156" s="3" t="str">
        <x:f>TEXT(B1156,"yyyy-mm")</x:f>
        <x:v>2024-11</x:v>
      </x:c>
      <x:c r="O1156" s="3" t="str">
        <x:f>IF(J1156=0,"No discount",IF(J1156&lt;=0.1,"1-10%",IF(J1156&lt;=0.15,"11-15%",IF(J1156&lt;=0.2,"16-20%","21%+"))))</x:f>
        <x:v>16-20%</x:v>
      </x:c>
      <x:c r="P1156" s="9" t="n">
        <x:f>IF(K1156=0,0,L1156/K1156)</x:f>
        <x:v>0.33101220213274174</x:v>
      </x:c>
      <x:c r="Q1156" s="3" t="str">
        <x:f>IF(L1156&lt;0,"Yes","No")</x:f>
        <x:v>No</x:v>
      </x:c>
    </x:row>
    <x:row r="1157" ht="21" customHeight="1">
      <x:c r="A1157" s="3" t="str">
        <x:v>ORD-101691</x:v>
      </x:c>
      <x:c r="B1157" s="5" t="n">
        <x:v>45601</x:v>
      </x:c>
      <x:c r="C1157" s="3" t="str">
        <x:v>CUST-00020</x:v>
      </x:c>
      <x:c r="D1157" s="3" t="str">
        <x:v>North</x:v>
      </x:c>
      <x:c r="E1157" s="3" t="str">
        <x:v>Electronics</x:v>
      </x:c>
      <x:c r="F1157" s="3" t="str">
        <x:v>Audio</x:v>
      </x:c>
      <x:c r="G1157" s="3" t="str">
        <x:v>BassBoom Speaker</x:v>
      </x:c>
      <x:c r="H1157" s="3" t="n">
        <x:v>3</x:v>
      </x:c>
      <x:c r="I1157" s="7" t="n">
        <x:v>8785.2</x:v>
      </x:c>
      <x:c r="J1157" s="9" t="n">
        <x:v>0.05</x:v>
      </x:c>
      <x:c r="K1157" s="7" t="n">
        <x:v>25037.82</x:v>
      </x:c>
      <x:c r="L1157" s="7" t="n">
        <x:v>2877.3</x:v>
      </x:c>
      <x:c r="M1157" s="3" t="str">
        <x:v>UPI</x:v>
      </x:c>
      <x:c r="N1157" s="3" t="str">
        <x:f>TEXT(B1157,"yyyy-mm")</x:f>
        <x:v>2024-11</x:v>
      </x:c>
      <x:c r="O1157" s="3" t="str">
        <x:f>IF(J1157=0,"No discount",IF(J1157&lt;=0.1,"1-10%",IF(J1157&lt;=0.15,"11-15%",IF(J1157&lt;=0.2,"16-20%","21%+"))))</x:f>
        <x:v>1-10%</x:v>
      </x:c>
      <x:c r="P1157" s="9" t="n">
        <x:f>IF(K1157=0,0,L1157/K1157)</x:f>
        <x:v>0.11491815181992682</x:v>
      </x:c>
      <x:c r="Q1157" s="3" t="str">
        <x:f>IF(L1157&lt;0,"Yes","No")</x:f>
        <x:v>No</x:v>
      </x:c>
    </x:row>
    <x:row r="1158" ht="21" customHeight="1">
      <x:c r="A1158" s="3" t="str">
        <x:v>ORD-101791</x:v>
      </x:c>
      <x:c r="B1158" s="5" t="n">
        <x:v>45601</x:v>
      </x:c>
      <x:c r="C1158" s="3" t="str">
        <x:v>CUST-00400</x:v>
      </x:c>
      <x:c r="D1158" s="3" t="str">
        <x:v>South</x:v>
      </x:c>
      <x:c r="E1158" s="3" t="str">
        <x:v>Beauty</x:v>
      </x:c>
      <x:c r="F1158" s="3" t="str">
        <x:v>Skincare</x:v>
      </x:c>
      <x:c r="G1158" s="3" t="str">
        <x:v>HydraBoost Moisturizer</x:v>
      </x:c>
      <x:c r="H1158" s="3" t="n">
        <x:v>2</x:v>
      </x:c>
      <x:c r="I1158" s="7" t="n">
        <x:v>1147</x:v>
      </x:c>
      <x:c r="J1158" s="9" t="n">
        <x:v>0.05</x:v>
      </x:c>
      <x:c r="K1158" s="7" t="n">
        <x:v>2179.3</x:v>
      </x:c>
      <x:c r="L1158" s="7" t="n">
        <x:v>1087.81</x:v>
      </x:c>
      <x:c r="M1158" s="3" t="str">
        <x:v>Credit Card</x:v>
      </x:c>
      <x:c r="N1158" s="3" t="str">
        <x:f>TEXT(B1158,"yyyy-mm")</x:f>
        <x:v>2024-11</x:v>
      </x:c>
      <x:c r="O1158" s="3" t="str">
        <x:f>IF(J1158=0,"No discount",IF(J1158&lt;=0.1,"1-10%",IF(J1158&lt;=0.15,"11-15%",IF(J1158&lt;=0.2,"16-20%","21%+"))))</x:f>
        <x:v>1-10%</x:v>
      </x:c>
      <x:c r="P1158" s="9" t="n">
        <x:f>IF(K1158=0,0,L1158/K1158)</x:f>
        <x:v>0.4991556921947414</x:v>
      </x:c>
      <x:c r="Q1158" s="3" t="str">
        <x:f>IF(L1158&lt;0,"Yes","No")</x:f>
        <x:v>No</x:v>
      </x:c>
    </x:row>
    <x:row r="1159" ht="21" customHeight="1">
      <x:c r="A1159" s="3" t="str">
        <x:v>ORD-100557</x:v>
      </x:c>
      <x:c r="B1159" s="5" t="n">
        <x:v>45602</x:v>
      </x:c>
      <x:c r="C1159" s="3" t="str">
        <x:v>CUST-00571</x:v>
      </x:c>
      <x:c r="D1159" s="3" t="str">
        <x:v>South</x:v>
      </x:c>
      <x:c r="E1159" s="3" t="str">
        <x:v>Electronics</x:v>
      </x:c>
      <x:c r="F1159" s="3" t="str">
        <x:v>Audio</x:v>
      </x:c>
      <x:c r="G1159" s="3" t="str">
        <x:v>BassBoom Speaker</x:v>
      </x:c>
      <x:c r="H1159" s="3" t="n">
        <x:v>1</x:v>
      </x:c>
      <x:c r="I1159" s="7" t="n">
        <x:v>9094.16</x:v>
      </x:c>
      <x:c r="J1159" s="9" t="n">
        <x:v>0</x:v>
      </x:c>
      <x:c r="K1159" s="7" t="n">
        <x:v>9094.16</x:v>
      </x:c>
      <x:c r="L1159" s="7" t="n">
        <x:v>1346.59</x:v>
      </x:c>
      <x:c r="M1159" s="3" t="str">
        <x:v>Cash on Delivery</x:v>
      </x:c>
      <x:c r="N1159" s="3" t="str">
        <x:f>TEXT(B1159,"yyyy-mm")</x:f>
        <x:v>2024-11</x:v>
      </x:c>
      <x:c r="O1159" s="3" t="str">
        <x:f>IF(J1159=0,"No discount",IF(J1159&lt;=0.1,"1-10%",IF(J1159&lt;=0.15,"11-15%",IF(J1159&lt;=0.2,"16-20%","21%+"))))</x:f>
        <x:v>No discount</x:v>
      </x:c>
      <x:c r="P1159" s="9" t="n">
        <x:f>IF(K1159=0,0,L1159/K1159)</x:f>
        <x:v>0.1480719494708692</x:v>
      </x:c>
      <x:c r="Q1159" s="3" t="str">
        <x:f>IF(L1159&lt;0,"Yes","No")</x:f>
        <x:v>No</x:v>
      </x:c>
    </x:row>
    <x:row r="1160" ht="21" customHeight="1">
      <x:c r="A1160" s="3" t="str">
        <x:v>ORD-100591</x:v>
      </x:c>
      <x:c r="B1160" s="5" t="n">
        <x:v>45602</x:v>
      </x:c>
      <x:c r="C1160" s="3" t="str">
        <x:v>CUST-00227</x:v>
      </x:c>
      <x:c r="D1160" s="3" t="str">
        <x:v>South</x:v>
      </x:c>
      <x:c r="E1160" s="3" t="str">
        <x:v>Fashion</x:v>
      </x:c>
      <x:c r="F1160" s="3" t="str">
        <x:v>Women</x:v>
      </x:c>
      <x:c r="G1160" s="3" t="str">
        <x:v>Floral Summer Dress</x:v>
      </x:c>
      <x:c r="H1160" s="3" t="n">
        <x:v>1</x:v>
      </x:c>
      <x:c r="I1160" s="7" t="n">
        <x:v>1759.63</x:v>
      </x:c>
      <x:c r="J1160" s="9" t="n">
        <x:v>0</x:v>
      </x:c>
      <x:c r="K1160" s="7" t="n">
        <x:v>1759.63</x:v>
      </x:c>
      <x:c r="L1160" s="7" t="n">
        <x:v>798.37</x:v>
      </x:c>
      <x:c r="M1160" s="3" t="str">
        <x:v>UPI</x:v>
      </x:c>
      <x:c r="N1160" s="3" t="str">
        <x:f>TEXT(B1160,"yyyy-mm")</x:f>
        <x:v>2024-11</x:v>
      </x:c>
      <x:c r="O1160" s="3" t="str">
        <x:f>IF(J1160=0,"No discount",IF(J1160&lt;=0.1,"1-10%",IF(J1160&lt;=0.15,"11-15%",IF(J1160&lt;=0.2,"16-20%","21%+"))))</x:f>
        <x:v>No discount</x:v>
      </x:c>
      <x:c r="P1160" s="9" t="n">
        <x:f>IF(K1160=0,0,L1160/K1160)</x:f>
        <x:v>0.4537147013860868</x:v>
      </x:c>
      <x:c r="Q1160" s="3" t="str">
        <x:f>IF(L1160&lt;0,"Yes","No")</x:f>
        <x:v>No</x:v>
      </x:c>
    </x:row>
    <x:row r="1161" ht="21" customHeight="1">
      <x:c r="A1161" s="3" t="str">
        <x:v>ORD-100643</x:v>
      </x:c>
      <x:c r="B1161" s="5" t="n">
        <x:v>45602</x:v>
      </x:c>
      <x:c r="C1161" s="3" t="str">
        <x:v>CUST-00460</x:v>
      </x:c>
      <x:c r="D1161" s="3" t="str">
        <x:v>South</x:v>
      </x:c>
      <x:c r="E1161" s="3" t="str">
        <x:v>Fashion</x:v>
      </x:c>
      <x:c r="F1161" s="3" t="str">
        <x:v>Men</x:v>
      </x:c>
      <x:c r="G1161" s="3" t="str">
        <x:v>SlimFit Denim Jeans</x:v>
      </x:c>
      <x:c r="H1161" s="3" t="n">
        <x:v>1</x:v>
      </x:c>
      <x:c r="I1161" s="7" t="n">
        <x:v>1931.87</x:v>
      </x:c>
      <x:c r="J1161" s="9" t="n">
        <x:v>0.05</x:v>
      </x:c>
      <x:c r="K1161" s="7" t="n">
        <x:v>1835.28</x:v>
      </x:c>
      <x:c r="L1161" s="7" t="n">
        <x:v>620.88</x:v>
      </x:c>
      <x:c r="M1161" s="3" t="str">
        <x:v>Credit Card</x:v>
      </x:c>
      <x:c r="N1161" s="3" t="str">
        <x:f>TEXT(B1161,"yyyy-mm")</x:f>
        <x:v>2024-11</x:v>
      </x:c>
      <x:c r="O1161" s="3" t="str">
        <x:f>IF(J1161=0,"No discount",IF(J1161&lt;=0.1,"1-10%",IF(J1161&lt;=0.15,"11-15%",IF(J1161&lt;=0.2,"16-20%","21%+"))))</x:f>
        <x:v>1-10%</x:v>
      </x:c>
      <x:c r="P1161" s="9" t="n">
        <x:f>IF(K1161=0,0,L1161/K1161)</x:f>
        <x:v>0.3383026023277102</x:v>
      </x:c>
      <x:c r="Q1161" s="3" t="str">
        <x:f>IF(L1161&lt;0,"Yes","No")</x:f>
        <x:v>No</x:v>
      </x:c>
    </x:row>
    <x:row r="1162" ht="21" customHeight="1">
      <x:c r="A1162" s="3" t="str">
        <x:v>ORD-100803</x:v>
      </x:c>
      <x:c r="B1162" s="5" t="n">
        <x:v>45602</x:v>
      </x:c>
      <x:c r="C1162" s="3" t="str">
        <x:v>CUST-00456</x:v>
      </x:c>
      <x:c r="D1162" s="3" t="str">
        <x:v>North</x:v>
      </x:c>
      <x:c r="E1162" s="3" t="str">
        <x:v>Sports</x:v>
      </x:c>
      <x:c r="F1162" s="3" t="str">
        <x:v>Outdoor</x:v>
      </x:c>
      <x:c r="G1162" s="3" t="str">
        <x:v>TrailHike Backpack 60L</x:v>
      </x:c>
      <x:c r="H1162" s="3" t="n">
        <x:v>1</x:v>
      </x:c>
      <x:c r="I1162" s="7" t="n">
        <x:v>3375.89</x:v>
      </x:c>
      <x:c r="J1162" s="9" t="n">
        <x:v>0.15</x:v>
      </x:c>
      <x:c r="K1162" s="7" t="n">
        <x:v>2869.51</x:v>
      </x:c>
      <x:c r="L1162" s="7" t="n">
        <x:v>545.71</x:v>
      </x:c>
      <x:c r="M1162" s="3" t="str">
        <x:v>UPI</x:v>
      </x:c>
      <x:c r="N1162" s="3" t="str">
        <x:f>TEXT(B1162,"yyyy-mm")</x:f>
        <x:v>2024-11</x:v>
      </x:c>
      <x:c r="O1162" s="3" t="str">
        <x:f>IF(J1162=0,"No discount",IF(J1162&lt;=0.1,"1-10%",IF(J1162&lt;=0.15,"11-15%",IF(J1162&lt;=0.2,"16-20%","21%+"))))</x:f>
        <x:v>11-15%</x:v>
      </x:c>
      <x:c r="P1162" s="9" t="n">
        <x:f>IF(K1162=0,0,L1162/K1162)</x:f>
        <x:v>0.19017532610097193</x:v>
      </x:c>
      <x:c r="Q1162" s="3" t="str">
        <x:f>IF(L1162&lt;0,"Yes","No")</x:f>
        <x:v>No</x:v>
      </x:c>
    </x:row>
    <x:row r="1163" ht="21" customHeight="1">
      <x:c r="A1163" s="3" t="str">
        <x:v>ORD-100053</x:v>
      </x:c>
      <x:c r="B1163" s="5" t="n">
        <x:v>45603</x:v>
      </x:c>
      <x:c r="C1163" s="3" t="str">
        <x:v>CUST-00255</x:v>
      </x:c>
      <x:c r="D1163" s="3" t="str">
        <x:v>North</x:v>
      </x:c>
      <x:c r="E1163" s="3" t="str">
        <x:v>Home &amp; Kitchen</x:v>
      </x:c>
      <x:c r="F1163" s="3" t="str">
        <x:v>Decor</x:v>
      </x:c>
      <x:c r="G1163" s="3" t="str">
        <x:v>Ceramic Vase Set</x:v>
      </x:c>
      <x:c r="H1163" s="3" t="n">
        <x:v>3</x:v>
      </x:c>
      <x:c r="I1163" s="7" t="n">
        <x:v>1435.15</x:v>
      </x:c>
      <x:c r="J1163" s="9" t="n">
        <x:v>0.05</x:v>
      </x:c>
      <x:c r="K1163" s="7" t="n">
        <x:v>4090.18</x:v>
      </x:c>
      <x:c r="L1163" s="7" t="n">
        <x:v>1156.93</x:v>
      </x:c>
      <x:c r="M1163" s="3" t="str">
        <x:v>UPI</x:v>
      </x:c>
      <x:c r="N1163" s="3" t="str">
        <x:f>TEXT(B1163,"yyyy-mm")</x:f>
        <x:v>2024-11</x:v>
      </x:c>
      <x:c r="O1163" s="3" t="str">
        <x:f>IF(J1163=0,"No discount",IF(J1163&lt;=0.1,"1-10%",IF(J1163&lt;=0.15,"11-15%",IF(J1163&lt;=0.2,"16-20%","21%+"))))</x:f>
        <x:v>1-10%</x:v>
      </x:c>
      <x:c r="P1163" s="9" t="n">
        <x:f>IF(K1163=0,0,L1163/K1163)</x:f>
        <x:v>0.28285552225085453</x:v>
      </x:c>
      <x:c r="Q1163" s="3" t="str">
        <x:f>IF(L1163&lt;0,"Yes","No")</x:f>
        <x:v>No</x:v>
      </x:c>
    </x:row>
    <x:row r="1164" ht="21" customHeight="1">
      <x:c r="A1164" s="3" t="str">
        <x:v>ORD-100371</x:v>
      </x:c>
      <x:c r="B1164" s="5" t="n">
        <x:v>45603</x:v>
      </x:c>
      <x:c r="C1164" s="3" t="str">
        <x:v>CUST-00222</x:v>
      </x:c>
      <x:c r="D1164" s="3" t="str">
        <x:v>South</x:v>
      </x:c>
      <x:c r="E1164" s="3" t="str">
        <x:v>Home &amp; Kitchen</x:v>
      </x:c>
      <x:c r="F1164" s="3" t="str">
        <x:v>Appliances</x:v>
      </x:c>
      <x:c r="G1164" s="3" t="str">
        <x:v>ColdBrew Coffee Maker</x:v>
      </x:c>
      <x:c r="H1164" s="3" t="n">
        <x:v>3</x:v>
      </x:c>
      <x:c r="I1164" s="7" t="n">
        <x:v>6211.94</x:v>
      </x:c>
      <x:c r="J1164" s="9" t="n">
        <x:v>0.15</x:v>
      </x:c>
      <x:c r="K1164" s="7" t="n">
        <x:v>15840.45</x:v>
      </x:c>
      <x:c r="L1164" s="7" t="n">
        <x:v>2643.05</x:v>
      </x:c>
      <x:c r="M1164" s="3" t="str">
        <x:v>Debit Card</x:v>
      </x:c>
      <x:c r="N1164" s="3" t="str">
        <x:f>TEXT(B1164,"yyyy-mm")</x:f>
        <x:v>2024-11</x:v>
      </x:c>
      <x:c r="O1164" s="3" t="str">
        <x:f>IF(J1164=0,"No discount",IF(J1164&lt;=0.1,"1-10%",IF(J1164&lt;=0.15,"11-15%",IF(J1164&lt;=0.2,"16-20%","21%+"))))</x:f>
        <x:v>11-15%</x:v>
      </x:c>
      <x:c r="P1164" s="9" t="n">
        <x:f>IF(K1164=0,0,L1164/K1164)</x:f>
        <x:v>0.16685447698771183</x:v>
      </x:c>
      <x:c r="Q1164" s="3" t="str">
        <x:f>IF(L1164&lt;0,"Yes","No")</x:f>
        <x:v>No</x:v>
      </x:c>
    </x:row>
    <x:row r="1165" ht="21" customHeight="1">
      <x:c r="A1165" s="3" t="str">
        <x:v>ORD-101643</x:v>
      </x:c>
      <x:c r="B1165" s="5" t="n">
        <x:v>45603</x:v>
      </x:c>
      <x:c r="C1165" s="3" t="str">
        <x:v>CUST-00211</x:v>
      </x:c>
      <x:c r="D1165" s="3" t="str">
        <x:v>East</x:v>
      </x:c>
      <x:c r="E1165" s="3" t="str">
        <x:v>Home &amp; Kitchen</x:v>
      </x:c>
      <x:c r="F1165" s="3" t="str">
        <x:v>Appliances</x:v>
      </x:c>
      <x:c r="G1165" s="3" t="str">
        <x:v>ColdBrew Coffee Maker</x:v>
      </x:c>
      <x:c r="H1165" s="3" t="n">
        <x:v>1</x:v>
      </x:c>
      <x:c r="I1165" s="7" t="n">
        <x:v>6641.02</x:v>
      </x:c>
      <x:c r="J1165" s="9" t="n">
        <x:v>0.2</x:v>
      </x:c>
      <x:c r="K1165" s="7" t="n">
        <x:v>5312.82</x:v>
      </x:c>
      <x:c r="L1165" s="7" t="n">
        <x:v>511.12</x:v>
      </x:c>
      <x:c r="M1165" s="3" t="str">
        <x:v>Debit Card</x:v>
      </x:c>
      <x:c r="N1165" s="3" t="str">
        <x:f>TEXT(B1165,"yyyy-mm")</x:f>
        <x:v>2024-11</x:v>
      </x:c>
      <x:c r="O1165" s="3" t="str">
        <x:f>IF(J1165=0,"No discount",IF(J1165&lt;=0.1,"1-10%",IF(J1165&lt;=0.15,"11-15%",IF(J1165&lt;=0.2,"16-20%","21%+"))))</x:f>
        <x:v>16-20%</x:v>
      </x:c>
      <x:c r="P1165" s="9" t="n">
        <x:f>IF(K1165=0,0,L1165/K1165)</x:f>
        <x:v>0.09620502859121899</x:v>
      </x:c>
      <x:c r="Q1165" s="3" t="str">
        <x:f>IF(L1165&lt;0,"Yes","No")</x:f>
        <x:v>No</x:v>
      </x:c>
    </x:row>
    <x:row r="1166" ht="21" customHeight="1">
      <x:c r="A1166" s="3" t="str">
        <x:v>ORD-101759</x:v>
      </x:c>
      <x:c r="B1166" s="5" t="n">
        <x:v>45603</x:v>
      </x:c>
      <x:c r="C1166" s="3" t="str">
        <x:v>CUST-00295</x:v>
      </x:c>
      <x:c r="D1166" s="3" t="str">
        <x:v>South</x:v>
      </x:c>
      <x:c r="E1166" s="3" t="str">
        <x:v>Electronics</x:v>
      </x:c>
      <x:c r="F1166" s="3" t="str">
        <x:v>Mobile</x:v>
      </x:c>
      <x:c r="G1166" s="3" t="str">
        <x:v>iPhone Zeta</x:v>
      </x:c>
      <x:c r="H1166" s="3" t="n">
        <x:v>1</x:v>
      </x:c>
      <x:c r="I1166" s="7" t="n">
        <x:v>72081.96</x:v>
      </x:c>
      <x:c r="J1166" s="9" t="n">
        <x:v>0</x:v>
      </x:c>
      <x:c r="K1166" s="7" t="n">
        <x:v>72081.96</x:v>
      </x:c>
      <x:c r="L1166" s="7" t="n">
        <x:v>12023.61</x:v>
      </x:c>
      <x:c r="M1166" s="3" t="str">
        <x:v>Credit Card</x:v>
      </x:c>
      <x:c r="N1166" s="3" t="str">
        <x:f>TEXT(B1166,"yyyy-mm")</x:f>
        <x:v>2024-11</x:v>
      </x:c>
      <x:c r="O1166" s="3" t="str">
        <x:f>IF(J1166=0,"No discount",IF(J1166&lt;=0.1,"1-10%",IF(J1166&lt;=0.15,"11-15%",IF(J1166&lt;=0.2,"16-20%","21%+"))))</x:f>
        <x:v>No discount</x:v>
      </x:c>
      <x:c r="P1166" s="9" t="n">
        <x:f>IF(K1166=0,0,L1166/K1166)</x:f>
        <x:v>0.16680470397863764</x:v>
      </x:c>
      <x:c r="Q1166" s="3" t="str">
        <x:f>IF(L1166&lt;0,"Yes","No")</x:f>
        <x:v>No</x:v>
      </x:c>
    </x:row>
    <x:row r="1167" ht="21" customHeight="1">
      <x:c r="A1167" s="3" t="str">
        <x:v>ORD-100313</x:v>
      </x:c>
      <x:c r="B1167" s="5" t="n">
        <x:v>45604</x:v>
      </x:c>
      <x:c r="C1167" s="3" t="str">
        <x:v>CUST-00112</x:v>
      </x:c>
      <x:c r="D1167" s="3" t="str">
        <x:v>South</x:v>
      </x:c>
      <x:c r="E1167" s="3" t="str">
        <x:v>Fashion</x:v>
      </x:c>
      <x:c r="F1167" s="3" t="str">
        <x:v>Footwear</x:v>
      </x:c>
      <x:c r="G1167" s="3" t="str">
        <x:v>UrbanLoafers</x:v>
      </x:c>
      <x:c r="H1167" s="3" t="n">
        <x:v>1</x:v>
      </x:c>
      <x:c r="I1167" s="7" t="n">
        <x:v>3561.84</x:v>
      </x:c>
      <x:c r="J1167" s="9" t="n">
        <x:v>0.05</x:v>
      </x:c>
      <x:c r="K1167" s="7" t="n">
        <x:v>3383.75</x:v>
      </x:c>
      <x:c r="L1167" s="7" t="n">
        <x:v>1181.01</x:v>
      </x:c>
      <x:c r="M1167" s="3" t="str">
        <x:v>Credit Card</x:v>
      </x:c>
      <x:c r="N1167" s="3" t="str">
        <x:f>TEXT(B1167,"yyyy-mm")</x:f>
        <x:v>2024-11</x:v>
      </x:c>
      <x:c r="O1167" s="3" t="str">
        <x:f>IF(J1167=0,"No discount",IF(J1167&lt;=0.1,"1-10%",IF(J1167&lt;=0.15,"11-15%",IF(J1167&lt;=0.2,"16-20%","21%+"))))</x:f>
        <x:v>1-10%</x:v>
      </x:c>
      <x:c r="P1167" s="9" t="n">
        <x:f>IF(K1167=0,0,L1167/K1167)</x:f>
        <x:v>0.3490240118212043</x:v>
      </x:c>
      <x:c r="Q1167" s="3" t="str">
        <x:f>IF(L1167&lt;0,"Yes","No")</x:f>
        <x:v>No</x:v>
      </x:c>
    </x:row>
    <x:row r="1168" ht="21" customHeight="1">
      <x:c r="A1168" s="3" t="str">
        <x:v>ORD-100383</x:v>
      </x:c>
      <x:c r="B1168" s="5" t="n">
        <x:v>45604</x:v>
      </x:c>
      <x:c r="C1168" s="3" t="str">
        <x:v>CUST-00359</x:v>
      </x:c>
      <x:c r="D1168" s="3" t="str">
        <x:v>South</x:v>
      </x:c>
      <x:c r="E1168" s="3" t="str">
        <x:v>Home &amp; Kitchen</x:v>
      </x:c>
      <x:c r="F1168" s="3" t="str">
        <x:v>Appliances</x:v>
      </x:c>
      <x:c r="G1168" s="3" t="str">
        <x:v>AirFryer Deluxe</x:v>
      </x:c>
      <x:c r="H1168" s="3" t="n">
        <x:v>1</x:v>
      </x:c>
      <x:c r="I1168" s="7" t="n">
        <x:v>7891.23</x:v>
      </x:c>
      <x:c r="J1168" s="9" t="n">
        <x:v>0.05</x:v>
      </x:c>
      <x:c r="K1168" s="7" t="n">
        <x:v>7496.67</x:v>
      </x:c>
      <x:c r="L1168" s="7" t="n">
        <x:v>1857.22</x:v>
      </x:c>
      <x:c r="M1168" s="3" t="str">
        <x:v>Credit Card</x:v>
      </x:c>
      <x:c r="N1168" s="3" t="str">
        <x:f>TEXT(B1168,"yyyy-mm")</x:f>
        <x:v>2024-11</x:v>
      </x:c>
      <x:c r="O1168" s="3" t="str">
        <x:f>IF(J1168=0,"No discount",IF(J1168&lt;=0.1,"1-10%",IF(J1168&lt;=0.15,"11-15%",IF(J1168&lt;=0.2,"16-20%","21%+"))))</x:f>
        <x:v>1-10%</x:v>
      </x:c>
      <x:c r="P1168" s="9" t="n">
        <x:f>IF(K1168=0,0,L1168/K1168)</x:f>
        <x:v>0.24773932959567382</x:v>
      </x:c>
      <x:c r="Q1168" s="3" t="str">
        <x:f>IF(L1168&lt;0,"Yes","No")</x:f>
        <x:v>No</x:v>
      </x:c>
    </x:row>
    <x:row r="1169" ht="21" customHeight="1">
      <x:c r="A1169" s="3" t="str">
        <x:v>ORD-100782</x:v>
      </x:c>
      <x:c r="B1169" s="5" t="n">
        <x:v>45604</x:v>
      </x:c>
      <x:c r="C1169" s="3" t="str">
        <x:v>CUST-00245</x:v>
      </x:c>
      <x:c r="D1169" s="3" t="str">
        <x:v>West</x:v>
      </x:c>
      <x:c r="E1169" s="3" t="str">
        <x:v>Fashion</x:v>
      </x:c>
      <x:c r="F1169" s="3" t="str">
        <x:v>Women</x:v>
      </x:c>
      <x:c r="G1169" s="3" t="str">
        <x:v>Knit Winter Sweater</x:v>
      </x:c>
      <x:c r="H1169" s="3" t="n">
        <x:v>2</x:v>
      </x:c>
      <x:c r="I1169" s="7" t="n">
        <x:v>2089.73</x:v>
      </x:c>
      <x:c r="J1169" s="9" t="n">
        <x:v>0</x:v>
      </x:c>
      <x:c r="K1169" s="7" t="n">
        <x:v>4179.46</x:v>
      </x:c>
      <x:c r="L1169" s="7" t="n">
        <x:v>1650.08</x:v>
      </x:c>
      <x:c r="M1169" s="3" t="str">
        <x:v>Credit Card</x:v>
      </x:c>
      <x:c r="N1169" s="3" t="str">
        <x:f>TEXT(B1169,"yyyy-mm")</x:f>
        <x:v>2024-11</x:v>
      </x:c>
      <x:c r="O1169" s="3" t="str">
        <x:f>IF(J1169=0,"No discount",IF(J1169&lt;=0.1,"1-10%",IF(J1169&lt;=0.15,"11-15%",IF(J1169&lt;=0.2,"16-20%","21%+"))))</x:f>
        <x:v>No discount</x:v>
      </x:c>
      <x:c r="P1169" s="9" t="n">
        <x:f>IF(K1169=0,0,L1169/K1169)</x:f>
        <x:v>0.3948069846343786</x:v>
      </x:c>
      <x:c r="Q1169" s="3" t="str">
        <x:f>IF(L1169&lt;0,"Yes","No")</x:f>
        <x:v>No</x:v>
      </x:c>
    </x:row>
    <x:row r="1170" ht="21" customHeight="1">
      <x:c r="A1170" s="3" t="str">
        <x:v>ORD-100794</x:v>
      </x:c>
      <x:c r="B1170" s="5" t="n">
        <x:v>45604</x:v>
      </x:c>
      <x:c r="C1170" s="3" t="str">
        <x:v>CUST-00581</x:v>
      </x:c>
      <x:c r="D1170" s="3" t="str">
        <x:v>South</x:v>
      </x:c>
      <x:c r="E1170" s="3" t="str">
        <x:v>Beauty</x:v>
      </x:c>
      <x:c r="F1170" s="3" t="str">
        <x:v>Makeup</x:v>
      </x:c>
      <x:c r="G1170" s="3" t="str">
        <x:v>HD Foundation Kit</x:v>
      </x:c>
      <x:c r="H1170" s="3" t="n">
        <x:v>3</x:v>
      </x:c>
      <x:c r="I1170" s="7" t="n">
        <x:v>1539.12</x:v>
      </x:c>
      <x:c r="J1170" s="9" t="n">
        <x:v>0</x:v>
      </x:c>
      <x:c r="K1170" s="7" t="n">
        <x:v>4617.36</x:v>
      </x:c>
      <x:c r="L1170" s="7" t="n">
        <x:v>2447.21</x:v>
      </x:c>
      <x:c r="M1170" s="3" t="str">
        <x:v>UPI</x:v>
      </x:c>
      <x:c r="N1170" s="3" t="str">
        <x:f>TEXT(B1170,"yyyy-mm")</x:f>
        <x:v>2024-11</x:v>
      </x:c>
      <x:c r="O1170" s="3" t="str">
        <x:f>IF(J1170=0,"No discount",IF(J1170&lt;=0.1,"1-10%",IF(J1170&lt;=0.15,"11-15%",IF(J1170&lt;=0.2,"16-20%","21%+"))))</x:f>
        <x:v>No discount</x:v>
      </x:c>
      <x:c r="P1170" s="9" t="n">
        <x:f>IF(K1170=0,0,L1170/K1170)</x:f>
        <x:v>0.5300019924805517</x:v>
      </x:c>
      <x:c r="Q1170" s="3" t="str">
        <x:f>IF(L1170&lt;0,"Yes","No")</x:f>
        <x:v>No</x:v>
      </x:c>
    </x:row>
    <x:row r="1171" ht="21" customHeight="1">
      <x:c r="A1171" s="3" t="str">
        <x:v>ORD-101441</x:v>
      </x:c>
      <x:c r="B1171" s="5" t="n">
        <x:v>45604</x:v>
      </x:c>
      <x:c r="C1171" s="3" t="str">
        <x:v>CUST-00576</x:v>
      </x:c>
      <x:c r="D1171" s="3" t="str">
        <x:v>North</x:v>
      </x:c>
      <x:c r="E1171" s="3" t="str">
        <x:v>Beauty</x:v>
      </x:c>
      <x:c r="F1171" s="3" t="str">
        <x:v>Skincare</x:v>
      </x:c>
      <x:c r="G1171" s="3" t="str">
        <x:v>HydraBoost Moisturizer</x:v>
      </x:c>
      <x:c r="H1171" s="3" t="n">
        <x:v>1</x:v>
      </x:c>
      <x:c r="I1171" s="7" t="n">
        <x:v>1172.12</x:v>
      </x:c>
      <x:c r="J1171" s="9" t="n">
        <x:v>0.15</x:v>
      </x:c>
      <x:c r="K1171" s="7" t="n">
        <x:v>996.3</x:v>
      </x:c>
      <x:c r="L1171" s="7" t="n">
        <x:v>402.22</x:v>
      </x:c>
      <x:c r="M1171" s="3" t="str">
        <x:v>Credit Card</x:v>
      </x:c>
      <x:c r="N1171" s="3" t="str">
        <x:f>TEXT(B1171,"yyyy-mm")</x:f>
        <x:v>2024-11</x:v>
      </x:c>
      <x:c r="O1171" s="3" t="str">
        <x:f>IF(J1171=0,"No discount",IF(J1171&lt;=0.1,"1-10%",IF(J1171&lt;=0.15,"11-15%",IF(J1171&lt;=0.2,"16-20%","21%+"))))</x:f>
        <x:v>11-15%</x:v>
      </x:c>
      <x:c r="P1171" s="9" t="n">
        <x:f>IF(K1171=0,0,L1171/K1171)</x:f>
        <x:v>0.40371374084111217</x:v>
      </x:c>
      <x:c r="Q1171" s="3" t="str">
        <x:f>IF(L1171&lt;0,"Yes","No")</x:f>
        <x:v>No</x:v>
      </x:c>
    </x:row>
    <x:row r="1172" ht="21" customHeight="1">
      <x:c r="A1172" s="3" t="str">
        <x:v>ORD-101493</x:v>
      </x:c>
      <x:c r="B1172" s="5" t="n">
        <x:v>45604</x:v>
      </x:c>
      <x:c r="C1172" s="3" t="str">
        <x:v>CUST-00001</x:v>
      </x:c>
      <x:c r="D1172" s="3" t="str">
        <x:v>North</x:v>
      </x:c>
      <x:c r="E1172" s="3" t="str">
        <x:v>Home &amp; Kitchen</x:v>
      </x:c>
      <x:c r="F1172" s="3" t="str">
        <x:v>Furniture</x:v>
      </x:c>
      <x:c r="G1172" s="3" t="str">
        <x:v>Oakwood Study Desk</x:v>
      </x:c>
      <x:c r="H1172" s="3" t="n">
        <x:v>2</x:v>
      </x:c>
      <x:c r="I1172" s="7" t="n">
        <x:v>12773.75</x:v>
      </x:c>
      <x:c r="J1172" s="9" t="n">
        <x:v>0</x:v>
      </x:c>
      <x:c r="K1172" s="7" t="n">
        <x:v>25547.5</x:v>
      </x:c>
      <x:c r="L1172" s="7" t="n">
        <x:v>8545.68</x:v>
      </x:c>
      <x:c r="M1172" s="3" t="str">
        <x:v>UPI</x:v>
      </x:c>
      <x:c r="N1172" s="3" t="str">
        <x:f>TEXT(B1172,"yyyy-mm")</x:f>
        <x:v>2024-11</x:v>
      </x:c>
      <x:c r="O1172" s="3" t="str">
        <x:f>IF(J1172=0,"No discount",IF(J1172&lt;=0.1,"1-10%",IF(J1172&lt;=0.15,"11-15%",IF(J1172&lt;=0.2,"16-20%","21%+"))))</x:f>
        <x:v>No discount</x:v>
      </x:c>
      <x:c r="P1172" s="9" t="n">
        <x:f>IF(K1172=0,0,L1172/K1172)</x:f>
        <x:v>0.3345016146393972</x:v>
      </x:c>
      <x:c r="Q1172" s="3" t="str">
        <x:f>IF(L1172&lt;0,"Yes","No")</x:f>
        <x:v>No</x:v>
      </x:c>
    </x:row>
    <x:row r="1173" ht="21" customHeight="1">
      <x:c r="A1173" s="3" t="str">
        <x:v>ORD-101712</x:v>
      </x:c>
      <x:c r="B1173" s="5" t="n">
        <x:v>45604</x:v>
      </x:c>
      <x:c r="C1173" s="3" t="str">
        <x:v>CUST-00233</x:v>
      </x:c>
      <x:c r="D1173" s="3" t="str">
        <x:v>North</x:v>
      </x:c>
      <x:c r="E1173" s="3" t="str">
        <x:v>Beauty</x:v>
      </x:c>
      <x:c r="F1173" s="3" t="str">
        <x:v>Skincare</x:v>
      </x:c>
      <x:c r="G1173" s="3" t="str">
        <x:v>Vitamin C Serum</x:v>
      </x:c>
      <x:c r="H1173" s="3" t="n">
        <x:v>1</x:v>
      </x:c>
      <x:c r="I1173" s="7" t="n">
        <x:v>854.93</x:v>
      </x:c>
      <x:c r="J1173" s="9" t="n">
        <x:v>0</x:v>
      </x:c>
      <x:c r="K1173" s="7" t="n">
        <x:v>854.93</x:v>
      </x:c>
      <x:c r="L1173" s="7" t="n">
        <x:v>436.32</x:v>
      </x:c>
      <x:c r="M1173" s="3" t="str">
        <x:v>UPI</x:v>
      </x:c>
      <x:c r="N1173" s="3" t="str">
        <x:f>TEXT(B1173,"yyyy-mm")</x:f>
        <x:v>2024-11</x:v>
      </x:c>
      <x:c r="O1173" s="3" t="str">
        <x:f>IF(J1173=0,"No discount",IF(J1173&lt;=0.1,"1-10%",IF(J1173&lt;=0.15,"11-15%",IF(J1173&lt;=0.2,"16-20%","21%+"))))</x:f>
        <x:v>No discount</x:v>
      </x:c>
      <x:c r="P1173" s="9" t="n">
        <x:f>IF(K1173=0,0,L1173/K1173)</x:f>
        <x:v>0.5103575731346426</x:v>
      </x:c>
      <x:c r="Q1173" s="3" t="str">
        <x:f>IF(L1173&lt;0,"Yes","No")</x:f>
        <x:v>No</x:v>
      </x:c>
    </x:row>
    <x:row r="1174" ht="21" customHeight="1">
      <x:c r="A1174" s="3" t="str">
        <x:v>ORD-100478</x:v>
      </x:c>
      <x:c r="B1174" s="5" t="n">
        <x:v>45605</x:v>
      </x:c>
      <x:c r="C1174" s="3" t="str">
        <x:v>CUST-00267</x:v>
      </x:c>
      <x:c r="D1174" s="3" t="str">
        <x:v>South</x:v>
      </x:c>
      <x:c r="E1174" s="3" t="str">
        <x:v>Beauty</x:v>
      </x:c>
      <x:c r="F1174" s="3" t="str">
        <x:v>Makeup</x:v>
      </x:c>
      <x:c r="G1174" s="3" t="str">
        <x:v>HD Foundation Kit</x:v>
      </x:c>
      <x:c r="H1174" s="3" t="n">
        <x:v>1</x:v>
      </x:c>
      <x:c r="I1174" s="7" t="n">
        <x:v>1503.52</x:v>
      </x:c>
      <x:c r="J1174" s="9" t="n">
        <x:v>0.1</x:v>
      </x:c>
      <x:c r="K1174" s="7" t="n">
        <x:v>1353.17</x:v>
      </x:c>
      <x:c r="L1174" s="7" t="n">
        <x:v>593.88</x:v>
      </x:c>
      <x:c r="M1174" s="3" t="str">
        <x:v>Credit Card</x:v>
      </x:c>
      <x:c r="N1174" s="3" t="str">
        <x:f>TEXT(B1174,"yyyy-mm")</x:f>
        <x:v>2024-11</x:v>
      </x:c>
      <x:c r="O1174" s="3" t="str">
        <x:f>IF(J1174=0,"No discount",IF(J1174&lt;=0.1,"1-10%",IF(J1174&lt;=0.15,"11-15%",IF(J1174&lt;=0.2,"16-20%","21%+"))))</x:f>
        <x:v>1-10%</x:v>
      </x:c>
      <x:c r="P1174" s="9" t="n">
        <x:f>IF(K1174=0,0,L1174/K1174)</x:f>
        <x:v>0.438880554549687</x:v>
      </x:c>
      <x:c r="Q1174" s="3" t="str">
        <x:f>IF(L1174&lt;0,"Yes","No")</x:f>
        <x:v>No</x:v>
      </x:c>
    </x:row>
    <x:row r="1175" ht="21" customHeight="1">
      <x:c r="A1175" s="3" t="str">
        <x:v>ORD-100700</x:v>
      </x:c>
      <x:c r="B1175" s="5" t="n">
        <x:v>45605</x:v>
      </x:c>
      <x:c r="C1175" s="3" t="str">
        <x:v>CUST-00237</x:v>
      </x:c>
      <x:c r="D1175" s="3" t="str">
        <x:v>North</x:v>
      </x:c>
      <x:c r="E1175" s="3" t="str">
        <x:v>Electronics</x:v>
      </x:c>
      <x:c r="F1175" s="3" t="str">
        <x:v>Laptop</x:v>
      </x:c>
      <x:c r="G1175" s="3" t="str">
        <x:v>ThinkPro 14</x:v>
      </x:c>
      <x:c r="H1175" s="3" t="n">
        <x:v>4</x:v>
      </x:c>
      <x:c r="I1175" s="7" t="n">
        <x:v>55639.56</x:v>
      </x:c>
      <x:c r="J1175" s="9" t="n">
        <x:v>0.05</x:v>
      </x:c>
      <x:c r="K1175" s="7" t="n">
        <x:v>211430.33</x:v>
      </x:c>
      <x:c r="L1175" s="7" t="n">
        <x:v>18981.12</x:v>
      </x:c>
      <x:c r="M1175" s="3" t="str">
        <x:v>UPI</x:v>
      </x:c>
      <x:c r="N1175" s="3" t="str">
        <x:f>TEXT(B1175,"yyyy-mm")</x:f>
        <x:v>2024-11</x:v>
      </x:c>
      <x:c r="O1175" s="3" t="str">
        <x:f>IF(J1175=0,"No discount",IF(J1175&lt;=0.1,"1-10%",IF(J1175&lt;=0.15,"11-15%",IF(J1175&lt;=0.2,"16-20%","21%+"))))</x:f>
        <x:v>1-10%</x:v>
      </x:c>
      <x:c r="P1175" s="9" t="n">
        <x:f>IF(K1175=0,0,L1175/K1175)</x:f>
        <x:v>0.0897748208594292</x:v>
      </x:c>
      <x:c r="Q1175" s="3" t="str">
        <x:f>IF(L1175&lt;0,"Yes","No")</x:f>
        <x:v>No</x:v>
      </x:c>
    </x:row>
    <x:row r="1176" ht="21" customHeight="1">
      <x:c r="A1176" s="3" t="str">
        <x:v>ORD-101259</x:v>
      </x:c>
      <x:c r="B1176" s="5" t="n">
        <x:v>45605</x:v>
      </x:c>
      <x:c r="C1176" s="3" t="str">
        <x:v>CUST-00123</x:v>
      </x:c>
      <x:c r="D1176" s="3" t="str">
        <x:v>North</x:v>
      </x:c>
      <x:c r="E1176" s="3" t="str">
        <x:v>Beauty</x:v>
      </x:c>
      <x:c r="F1176" s="3" t="str">
        <x:v>Makeup</x:v>
      </x:c>
      <x:c r="G1176" s="3" t="str">
        <x:v>Matte Lipstick Set</x:v>
      </x:c>
      <x:c r="H1176" s="3" t="n">
        <x:v>2</x:v>
      </x:c>
      <x:c r="I1176" s="7" t="n">
        <x:v>1026.27</x:v>
      </x:c>
      <x:c r="J1176" s="9" t="n">
        <x:v>0.15</x:v>
      </x:c>
      <x:c r="K1176" s="7" t="n">
        <x:v>1744.66</x:v>
      </x:c>
      <x:c r="L1176" s="7" t="n">
        <x:v>628.92</x:v>
      </x:c>
      <x:c r="M1176" s="3" t="str">
        <x:v>UPI</x:v>
      </x:c>
      <x:c r="N1176" s="3" t="str">
        <x:f>TEXT(B1176,"yyyy-mm")</x:f>
        <x:v>2024-11</x:v>
      </x:c>
      <x:c r="O1176" s="3" t="str">
        <x:f>IF(J1176=0,"No discount",IF(J1176&lt;=0.1,"1-10%",IF(J1176&lt;=0.15,"11-15%",IF(J1176&lt;=0.2,"16-20%","21%+"))))</x:f>
        <x:v>11-15%</x:v>
      </x:c>
      <x:c r="P1176" s="9" t="n">
        <x:f>IF(K1176=0,0,L1176/K1176)</x:f>
        <x:v>0.36048284479497433</x:v>
      </x:c>
      <x:c r="Q1176" s="3" t="str">
        <x:f>IF(L1176&lt;0,"Yes","No")</x:f>
        <x:v>No</x:v>
      </x:c>
    </x:row>
    <x:row r="1177" ht="21" customHeight="1">
      <x:c r="A1177" s="3" t="str">
        <x:v>ORD-101872</x:v>
      </x:c>
      <x:c r="B1177" s="5" t="n">
        <x:v>45605</x:v>
      </x:c>
      <x:c r="C1177" s="3" t="str">
        <x:v>CUST-00022</x:v>
      </x:c>
      <x:c r="D1177" s="3" t="str">
        <x:v>East</x:v>
      </x:c>
      <x:c r="E1177" s="3" t="str">
        <x:v>Sports</x:v>
      </x:c>
      <x:c r="F1177" s="3" t="str">
        <x:v>Fitness</x:v>
      </x:c>
      <x:c r="G1177" s="3" t="str">
        <x:v>Adjustable Dumbbell 24kg</x:v>
      </x:c>
      <x:c r="H1177" s="3" t="n">
        <x:v>3</x:v>
      </x:c>
      <x:c r="I1177" s="7" t="n">
        <x:v>10456.78</x:v>
      </x:c>
      <x:c r="J1177" s="9" t="n">
        <x:v>0.1</x:v>
      </x:c>
      <x:c r="K1177" s="7" t="n">
        <x:v>28233.31</x:v>
      </x:c>
      <x:c r="L1177" s="7" t="n">
        <x:v>8419.1</x:v>
      </x:c>
      <x:c r="M1177" s="3" t="str">
        <x:v>Credit Card</x:v>
      </x:c>
      <x:c r="N1177" s="3" t="str">
        <x:f>TEXT(B1177,"yyyy-mm")</x:f>
        <x:v>2024-11</x:v>
      </x:c>
      <x:c r="O1177" s="3" t="str">
        <x:f>IF(J1177=0,"No discount",IF(J1177&lt;=0.1,"1-10%",IF(J1177&lt;=0.15,"11-15%",IF(J1177&lt;=0.2,"16-20%","21%+"))))</x:f>
        <x:v>1-10%</x:v>
      </x:c>
      <x:c r="P1177" s="9" t="n">
        <x:f>IF(K1177=0,0,L1177/K1177)</x:f>
        <x:v>0.2981974129140366</x:v>
      </x:c>
      <x:c r="Q1177" s="3" t="str">
        <x:f>IF(L1177&lt;0,"Yes","No")</x:f>
        <x:v>No</x:v>
      </x:c>
    </x:row>
    <x:row r="1178" ht="21" customHeight="1">
      <x:c r="A1178" s="3" t="str">
        <x:v>ORD-100225</x:v>
      </x:c>
      <x:c r="B1178" s="5" t="n">
        <x:v>45606</x:v>
      </x:c>
      <x:c r="C1178" s="3" t="str">
        <x:v>CUST-00543</x:v>
      </x:c>
      <x:c r="D1178" s="3" t="str">
        <x:v>North</x:v>
      </x:c>
      <x:c r="E1178" s="3" t="str">
        <x:v>Electronics</x:v>
      </x:c>
      <x:c r="F1178" s="3" t="str">
        <x:v>Mobile</x:v>
      </x:c>
      <x:c r="G1178" s="3" t="str">
        <x:v>iPhone Zeta</x:v>
      </x:c>
      <x:c r="H1178" s="3" t="n">
        <x:v>1</x:v>
      </x:c>
      <x:c r="I1178" s="7" t="n">
        <x:v>72639.35</x:v>
      </x:c>
      <x:c r="J1178" s="9" t="n">
        <x:v>0.2</x:v>
      </x:c>
      <x:c r="K1178" s="7" t="n">
        <x:v>58111.48</x:v>
      </x:c>
      <x:c r="L1178" s="7" t="n">
        <x:v>-808.96</x:v>
      </x:c>
      <x:c r="M1178" s="3" t="str">
        <x:v>Credit Card</x:v>
      </x:c>
      <x:c r="N1178" s="3" t="str">
        <x:f>TEXT(B1178,"yyyy-mm")</x:f>
        <x:v>2024-11</x:v>
      </x:c>
      <x:c r="O1178" s="3" t="str">
        <x:f>IF(J1178=0,"No discount",IF(J1178&lt;=0.1,"1-10%",IF(J1178&lt;=0.15,"11-15%",IF(J1178&lt;=0.2,"16-20%","21%+"))))</x:f>
        <x:v>16-20%</x:v>
      </x:c>
      <x:c r="P1178" s="9" t="n">
        <x:f>IF(K1178=0,0,L1178/K1178)</x:f>
        <x:v>-0.013920829412708126</x:v>
      </x:c>
      <x:c r="Q1178" s="3" t="str">
        <x:f>IF(L1178&lt;0,"Yes","No")</x:f>
        <x:v>Yes</x:v>
      </x:c>
    </x:row>
    <x:row r="1179" ht="21" customHeight="1">
      <x:c r="A1179" s="3" t="str">
        <x:v>ORD-101202</x:v>
      </x:c>
      <x:c r="B1179" s="5" t="n">
        <x:v>45606</x:v>
      </x:c>
      <x:c r="C1179" s="3" t="str">
        <x:v>CUST-00163</x:v>
      </x:c>
      <x:c r="D1179" s="3" t="str">
        <x:v>South</x:v>
      </x:c>
      <x:c r="E1179" s="3" t="str">
        <x:v>Fashion</x:v>
      </x:c>
      <x:c r="F1179" s="3" t="str">
        <x:v>Footwear</x:v>
      </x:c>
      <x:c r="G1179" s="3" t="str">
        <x:v>RunFlex Sneakers</x:v>
      </x:c>
      <x:c r="H1179" s="3" t="n">
        <x:v>1</x:v>
      </x:c>
      <x:c r="I1179" s="7" t="n">
        <x:v>3052.35</x:v>
      </x:c>
      <x:c r="J1179" s="9" t="n">
        <x:v>0.05</x:v>
      </x:c>
      <x:c r="K1179" s="7" t="n">
        <x:v>2899.73</x:v>
      </x:c>
      <x:c r="L1179" s="7" t="n">
        <x:v>1103.58</x:v>
      </x:c>
      <x:c r="M1179" s="3" t="str">
        <x:v>Credit Card</x:v>
      </x:c>
      <x:c r="N1179" s="3" t="str">
        <x:f>TEXT(B1179,"yyyy-mm")</x:f>
        <x:v>2024-11</x:v>
      </x:c>
      <x:c r="O1179" s="3" t="str">
        <x:f>IF(J1179=0,"No discount",IF(J1179&lt;=0.1,"1-10%",IF(J1179&lt;=0.15,"11-15%",IF(J1179&lt;=0.2,"16-20%","21%+"))))</x:f>
        <x:v>1-10%</x:v>
      </x:c>
      <x:c r="P1179" s="9" t="n">
        <x:f>IF(K1179=0,0,L1179/K1179)</x:f>
        <x:v>0.38058026092084435</x:v>
      </x:c>
      <x:c r="Q1179" s="3" t="str">
        <x:f>IF(L1179&lt;0,"Yes","No")</x:f>
        <x:v>No</x:v>
      </x:c>
    </x:row>
    <x:row r="1180" ht="21" customHeight="1">
      <x:c r="A1180" s="3" t="str">
        <x:v>ORD-101898</x:v>
      </x:c>
      <x:c r="B1180" s="5" t="n">
        <x:v>45606</x:v>
      </x:c>
      <x:c r="C1180" s="3" t="str">
        <x:v>CUST-00142</x:v>
      </x:c>
      <x:c r="D1180" s="3" t="str">
        <x:v>South</x:v>
      </x:c>
      <x:c r="E1180" s="3" t="str">
        <x:v>Beauty</x:v>
      </x:c>
      <x:c r="F1180" s="3" t="str">
        <x:v>Makeup</x:v>
      </x:c>
      <x:c r="G1180" s="3" t="str">
        <x:v>HD Foundation Kit</x:v>
      </x:c>
      <x:c r="H1180" s="3" t="n">
        <x:v>1</x:v>
      </x:c>
      <x:c r="I1180" s="7" t="n">
        <x:v>1544.3</x:v>
      </x:c>
      <x:c r="J1180" s="9" t="n">
        <x:v>0</x:v>
      </x:c>
      <x:c r="K1180" s="7" t="n">
        <x:v>1544.3</x:v>
      </x:c>
      <x:c r="L1180" s="7" t="n">
        <x:v>823.17</x:v>
      </x:c>
      <x:c r="M1180" s="3" t="str">
        <x:v>UPI</x:v>
      </x:c>
      <x:c r="N1180" s="3" t="str">
        <x:f>TEXT(B1180,"yyyy-mm")</x:f>
        <x:v>2024-11</x:v>
      </x:c>
      <x:c r="O1180" s="3" t="str">
        <x:f>IF(J1180=0,"No discount",IF(J1180&lt;=0.1,"1-10%",IF(J1180&lt;=0.15,"11-15%",IF(J1180&lt;=0.2,"16-20%","21%+"))))</x:f>
        <x:v>No discount</x:v>
      </x:c>
      <x:c r="P1180" s="9" t="n">
        <x:f>IF(K1180=0,0,L1180/K1180)</x:f>
        <x:v>0.5330376222236612</x:v>
      </x:c>
      <x:c r="Q1180" s="3" t="str">
        <x:f>IF(L1180&lt;0,"Yes","No")</x:f>
        <x:v>No</x:v>
      </x:c>
    </x:row>
    <x:row r="1181" ht="21" customHeight="1">
      <x:c r="A1181" s="3" t="str">
        <x:v>ORD-100141</x:v>
      </x:c>
      <x:c r="B1181" s="5" t="n">
        <x:v>45607</x:v>
      </x:c>
      <x:c r="C1181" s="3" t="str">
        <x:v>CUST-00028</x:v>
      </x:c>
      <x:c r="D1181" s="3" t="str">
        <x:v>East</x:v>
      </x:c>
      <x:c r="E1181" s="3" t="str">
        <x:v>Beauty</x:v>
      </x:c>
      <x:c r="F1181" s="3" t="str">
        <x:v>Makeup</x:v>
      </x:c>
      <x:c r="G1181" s="3" t="str">
        <x:v>HD Foundation Kit</x:v>
      </x:c>
      <x:c r="H1181" s="3" t="n">
        <x:v>2</x:v>
      </x:c>
      <x:c r="I1181" s="7" t="n">
        <x:v>1546.33</x:v>
      </x:c>
      <x:c r="J1181" s="9" t="n">
        <x:v>0</x:v>
      </x:c>
      <x:c r="K1181" s="7" t="n">
        <x:v>3092.66</x:v>
      </x:c>
      <x:c r="L1181" s="7" t="n">
        <x:v>1668.39</x:v>
      </x:c>
      <x:c r="M1181" s="3" t="str">
        <x:v>Cash on Delivery</x:v>
      </x:c>
      <x:c r="N1181" s="3" t="str">
        <x:f>TEXT(B1181,"yyyy-mm")</x:f>
        <x:v>2024-11</x:v>
      </x:c>
      <x:c r="O1181" s="3" t="str">
        <x:f>IF(J1181=0,"No discount",IF(J1181&lt;=0.1,"1-10%",IF(J1181&lt;=0.15,"11-15%",IF(J1181&lt;=0.2,"16-20%","21%+"))))</x:f>
        <x:v>No discount</x:v>
      </x:c>
      <x:c r="P1181" s="9" t="n">
        <x:f>IF(K1181=0,0,L1181/K1181)</x:f>
        <x:v>0.5394676427412002</x:v>
      </x:c>
      <x:c r="Q1181" s="3" t="str">
        <x:f>IF(L1181&lt;0,"Yes","No")</x:f>
        <x:v>No</x:v>
      </x:c>
    </x:row>
    <x:row r="1182" ht="21" customHeight="1">
      <x:c r="A1182" s="3" t="str">
        <x:v>ORD-100157</x:v>
      </x:c>
      <x:c r="B1182" s="5" t="n">
        <x:v>45607</x:v>
      </x:c>
      <x:c r="C1182" s="3" t="str">
        <x:v>CUST-00406</x:v>
      </x:c>
      <x:c r="D1182" s="3" t="str">
        <x:v>South</x:v>
      </x:c>
      <x:c r="E1182" s="3" t="str">
        <x:v>Beauty</x:v>
      </x:c>
      <x:c r="F1182" s="3" t="str">
        <x:v>Makeup</x:v>
      </x:c>
      <x:c r="G1182" s="3" t="str">
        <x:v>Matte Lipstick Set</x:v>
      </x:c>
      <x:c r="H1182" s="3" t="n">
        <x:v>4</x:v>
      </x:c>
      <x:c r="I1182" s="7" t="n">
        <x:v>954.61</x:v>
      </x:c>
      <x:c r="J1182" s="9" t="n">
        <x:v>0.05</x:v>
      </x:c>
      <x:c r="K1182" s="7" t="n">
        <x:v>3627.52</x:v>
      </x:c>
      <x:c r="L1182" s="7" t="n">
        <x:v>1679.74</x:v>
      </x:c>
      <x:c r="M1182" s="3" t="str">
        <x:v>Credit Card</x:v>
      </x:c>
      <x:c r="N1182" s="3" t="str">
        <x:f>TEXT(B1182,"yyyy-mm")</x:f>
        <x:v>2024-11</x:v>
      </x:c>
      <x:c r="O1182" s="3" t="str">
        <x:f>IF(J1182=0,"No discount",IF(J1182&lt;=0.1,"1-10%",IF(J1182&lt;=0.15,"11-15%",IF(J1182&lt;=0.2,"16-20%","21%+"))))</x:f>
        <x:v>1-10%</x:v>
      </x:c>
      <x:c r="P1182" s="9" t="n">
        <x:f>IF(K1182=0,0,L1182/K1182)</x:f>
        <x:v>0.46305464890613973</x:v>
      </x:c>
      <x:c r="Q1182" s="3" t="str">
        <x:f>IF(L1182&lt;0,"Yes","No")</x:f>
        <x:v>No</x:v>
      </x:c>
    </x:row>
    <x:row r="1183" ht="21" customHeight="1">
      <x:c r="A1183" s="3" t="str">
        <x:v>ORD-101050</x:v>
      </x:c>
      <x:c r="B1183" s="5" t="n">
        <x:v>45607</x:v>
      </x:c>
      <x:c r="C1183" s="3" t="str">
        <x:v>CUST-00347</x:v>
      </x:c>
      <x:c r="D1183" s="3" t="str">
        <x:v>North</x:v>
      </x:c>
      <x:c r="E1183" s="3" t="str">
        <x:v>Electronics</x:v>
      </x:c>
      <x:c r="F1183" s="3" t="str">
        <x:v>Laptop</x:v>
      </x:c>
      <x:c r="G1183" s="3" t="str">
        <x:v>AirBook Slim</x:v>
      </x:c>
      <x:c r="H1183" s="3" t="n">
        <x:v>2</x:v>
      </x:c>
      <x:c r="I1183" s="7" t="n">
        <x:v>79147.22</x:v>
      </x:c>
      <x:c r="J1183" s="9" t="n">
        <x:v>0</x:v>
      </x:c>
      <x:c r="K1183" s="7" t="n">
        <x:v>158294.44</x:v>
      </x:c>
      <x:c r="L1183" s="7" t="n">
        <x:v>28419.95</x:v>
      </x:c>
      <x:c r="M1183" s="3" t="str">
        <x:v>Credit Card</x:v>
      </x:c>
      <x:c r="N1183" s="3" t="str">
        <x:f>TEXT(B1183,"yyyy-mm")</x:f>
        <x:v>2024-11</x:v>
      </x:c>
      <x:c r="O1183" s="3" t="str">
        <x:f>IF(J1183=0,"No discount",IF(J1183&lt;=0.1,"1-10%",IF(J1183&lt;=0.15,"11-15%",IF(J1183&lt;=0.2,"16-20%","21%+"))))</x:f>
        <x:v>No discount</x:v>
      </x:c>
      <x:c r="P1183" s="9" t="n">
        <x:f>IF(K1183=0,0,L1183/K1183)</x:f>
        <x:v>0.1795385232734643</x:v>
      </x:c>
      <x:c r="Q1183" s="3" t="str">
        <x:f>IF(L1183&lt;0,"Yes","No")</x:f>
        <x:v>No</x:v>
      </x:c>
    </x:row>
    <x:row r="1184" ht="21" customHeight="1">
      <x:c r="A1184" s="3" t="str">
        <x:v>ORD-101277</x:v>
      </x:c>
      <x:c r="B1184" s="5" t="n">
        <x:v>45607</x:v>
      </x:c>
      <x:c r="C1184" s="3" t="str">
        <x:v>CUST-00126</x:v>
      </x:c>
      <x:c r="D1184" s="3" t="str">
        <x:v>West</x:v>
      </x:c>
      <x:c r="E1184" s="3" t="str">
        <x:v>Fashion</x:v>
      </x:c>
      <x:c r="F1184" s="3" t="str">
        <x:v>Men</x:v>
      </x:c>
      <x:c r="G1184" s="3" t="str">
        <x:v>Oxford Casual Shirt</x:v>
      </x:c>
      <x:c r="H1184" s="3" t="n">
        <x:v>2</x:v>
      </x:c>
      <x:c r="I1184" s="7" t="n">
        <x:v>1265.81</x:v>
      </x:c>
      <x:c r="J1184" s="9" t="n">
        <x:v>0.15</x:v>
      </x:c>
      <x:c r="K1184" s="7" t="n">
        <x:v>2151.88</x:v>
      </x:c>
      <x:c r="L1184" s="7" t="n">
        <x:v>545.95</x:v>
      </x:c>
      <x:c r="M1184" s="3" t="str">
        <x:v>UPI</x:v>
      </x:c>
      <x:c r="N1184" s="3" t="str">
        <x:f>TEXT(B1184,"yyyy-mm")</x:f>
        <x:v>2024-11</x:v>
      </x:c>
      <x:c r="O1184" s="3" t="str">
        <x:f>IF(J1184=0,"No discount",IF(J1184&lt;=0.1,"1-10%",IF(J1184&lt;=0.15,"11-15%",IF(J1184&lt;=0.2,"16-20%","21%+"))))</x:f>
        <x:v>11-15%</x:v>
      </x:c>
      <x:c r="P1184" s="9" t="n">
        <x:f>IF(K1184=0,0,L1184/K1184)</x:f>
        <x:v>0.25370838522594197</x:v>
      </x:c>
      <x:c r="Q1184" s="3" t="str">
        <x:f>IF(L1184&lt;0,"Yes","No")</x:f>
        <x:v>No</x:v>
      </x:c>
    </x:row>
    <x:row r="1185" ht="21" customHeight="1">
      <x:c r="A1185" s="3" t="str">
        <x:v>ORD-101297</x:v>
      </x:c>
      <x:c r="B1185" s="5" t="n">
        <x:v>45607</x:v>
      </x:c>
      <x:c r="C1185" s="3" t="str">
        <x:v>CUST-00380</x:v>
      </x:c>
      <x:c r="D1185" s="3" t="str">
        <x:v>East</x:v>
      </x:c>
      <x:c r="E1185" s="3" t="str">
        <x:v>Electronics</x:v>
      </x:c>
      <x:c r="F1185" s="3" t="str">
        <x:v>Mobile</x:v>
      </x:c>
      <x:c r="G1185" s="3" t="str">
        <x:v>iPhone Zeta</x:v>
      </x:c>
      <x:c r="H1185" s="3" t="n">
        <x:v>1</x:v>
      </x:c>
      <x:c r="I1185" s="7" t="n">
        <x:v>73195.08</x:v>
      </x:c>
      <x:c r="J1185" s="9" t="n">
        <x:v>0.25</x:v>
      </x:c>
      <x:c r="K1185" s="7" t="n">
        <x:v>54896.31</x:v>
      </x:c>
      <x:c r="L1185" s="7" t="n">
        <x:v>-5618.4</x:v>
      </x:c>
      <x:c r="M1185" s="3" t="str">
        <x:v>Credit Card</x:v>
      </x:c>
      <x:c r="N1185" s="3" t="str">
        <x:f>TEXT(B1185,"yyyy-mm")</x:f>
        <x:v>2024-11</x:v>
      </x:c>
      <x:c r="O1185" s="3" t="str">
        <x:f>IF(J1185=0,"No discount",IF(J1185&lt;=0.1,"1-10%",IF(J1185&lt;=0.15,"11-15%",IF(J1185&lt;=0.2,"16-20%","21%+"))))</x:f>
        <x:v>21%+</x:v>
      </x:c>
      <x:c r="P1185" s="9" t="n">
        <x:f>IF(K1185=0,0,L1185/K1185)</x:f>
        <x:v>-0.10234567678592604</x:v>
      </x:c>
      <x:c r="Q1185" s="3" t="str">
        <x:f>IF(L1185&lt;0,"Yes","No")</x:f>
        <x:v>Yes</x:v>
      </x:c>
    </x:row>
    <x:row r="1186" ht="21" customHeight="1">
      <x:c r="A1186" s="3" t="str">
        <x:v>ORD-101682</x:v>
      </x:c>
      <x:c r="B1186" s="5" t="n">
        <x:v>45607</x:v>
      </x:c>
      <x:c r="C1186" s="3" t="str">
        <x:v>CUST-00466</x:v>
      </x:c>
      <x:c r="D1186" s="3" t="str">
        <x:v>North</x:v>
      </x:c>
      <x:c r="E1186" s="3" t="str">
        <x:v>Beauty</x:v>
      </x:c>
      <x:c r="F1186" s="3" t="str">
        <x:v>Skincare</x:v>
      </x:c>
      <x:c r="G1186" s="3" t="str">
        <x:v>Vitamin C Serum</x:v>
      </x:c>
      <x:c r="H1186" s="3" t="n">
        <x:v>1</x:v>
      </x:c>
      <x:c r="I1186" s="7" t="n">
        <x:v>916.6</x:v>
      </x:c>
      <x:c r="J1186" s="9" t="n">
        <x:v>0.05</x:v>
      </x:c>
      <x:c r="K1186" s="7" t="n">
        <x:v>870.77</x:v>
      </x:c>
      <x:c r="L1186" s="7" t="n">
        <x:v>434.21</x:v>
      </x:c>
      <x:c r="M1186" s="3" t="str">
        <x:v>Debit Card</x:v>
      </x:c>
      <x:c r="N1186" s="3" t="str">
        <x:f>TEXT(B1186,"yyyy-mm")</x:f>
        <x:v>2024-11</x:v>
      </x:c>
      <x:c r="O1186" s="3" t="str">
        <x:f>IF(J1186=0,"No discount",IF(J1186&lt;=0.1,"1-10%",IF(J1186&lt;=0.15,"11-15%",IF(J1186&lt;=0.2,"16-20%","21%+"))))</x:f>
        <x:v>1-10%</x:v>
      </x:c>
      <x:c r="P1186" s="9" t="n">
        <x:f>IF(K1186=0,0,L1186/K1186)</x:f>
        <x:v>0.49865061956659046</x:v>
      </x:c>
      <x:c r="Q1186" s="3" t="str">
        <x:f>IF(L1186&lt;0,"Yes","No")</x:f>
        <x:v>No</x:v>
      </x:c>
    </x:row>
    <x:row r="1187" ht="21" customHeight="1">
      <x:c r="A1187" s="3" t="str">
        <x:v>ORD-100392</x:v>
      </x:c>
      <x:c r="B1187" s="5" t="n">
        <x:v>45608</x:v>
      </x:c>
      <x:c r="C1187" s="3" t="str">
        <x:v>CUST-00537</x:v>
      </x:c>
      <x:c r="D1187" s="3" t="str">
        <x:v>West</x:v>
      </x:c>
      <x:c r="E1187" s="3" t="str">
        <x:v>Beauty</x:v>
      </x:c>
      <x:c r="F1187" s="3" t="str">
        <x:v>Makeup</x:v>
      </x:c>
      <x:c r="G1187" s="3" t="str">
        <x:v>HD Foundation Kit</x:v>
      </x:c>
      <x:c r="H1187" s="3" t="n">
        <x:v>1</x:v>
      </x:c>
      <x:c r="I1187" s="7" t="n">
        <x:v>1444.82</x:v>
      </x:c>
      <x:c r="J1187" s="9" t="n">
        <x:v>0</x:v>
      </x:c>
      <x:c r="K1187" s="7" t="n">
        <x:v>1444.82</x:v>
      </x:c>
      <x:c r="L1187" s="7" t="n">
        <x:v>799.43</x:v>
      </x:c>
      <x:c r="M1187" s="3" t="str">
        <x:v>Net Banking</x:v>
      </x:c>
      <x:c r="N1187" s="3" t="str">
        <x:f>TEXT(B1187,"yyyy-mm")</x:f>
        <x:v>2024-11</x:v>
      </x:c>
      <x:c r="O1187" s="3" t="str">
        <x:f>IF(J1187=0,"No discount",IF(J1187&lt;=0.1,"1-10%",IF(J1187&lt;=0.15,"11-15%",IF(J1187&lt;=0.2,"16-20%","21%+"))))</x:f>
        <x:v>No discount</x:v>
      </x:c>
      <x:c r="P1187" s="9" t="n">
        <x:f>IF(K1187=0,0,L1187/K1187)</x:f>
        <x:v>0.5533076784651375</x:v>
      </x:c>
      <x:c r="Q1187" s="3" t="str">
        <x:f>IF(L1187&lt;0,"Yes","No")</x:f>
        <x:v>No</x:v>
      </x:c>
    </x:row>
    <x:row r="1188" ht="21" customHeight="1">
      <x:c r="A1188" s="3" t="str">
        <x:v>ORD-100666</x:v>
      </x:c>
      <x:c r="B1188" s="5" t="n">
        <x:v>45608</x:v>
      </x:c>
      <x:c r="C1188" s="3" t="str">
        <x:v>CUST-00127</x:v>
      </x:c>
      <x:c r="D1188" s="3" t="str">
        <x:v>South</x:v>
      </x:c>
      <x:c r="E1188" s="3" t="str">
        <x:v>Beauty</x:v>
      </x:c>
      <x:c r="F1188" s="3" t="str">
        <x:v>Makeup</x:v>
      </x:c>
      <x:c r="G1188" s="3" t="str">
        <x:v>HD Foundation Kit</x:v>
      </x:c>
      <x:c r="H1188" s="3" t="n">
        <x:v>1</x:v>
      </x:c>
      <x:c r="I1188" s="7" t="n">
        <x:v>1549.55</x:v>
      </x:c>
      <x:c r="J1188" s="9" t="n">
        <x:v>0.25</x:v>
      </x:c>
      <x:c r="K1188" s="7" t="n">
        <x:v>1162.16</x:v>
      </x:c>
      <x:c r="L1188" s="7" t="n">
        <x:v>305.05</x:v>
      </x:c>
      <x:c r="M1188" s="3" t="str">
        <x:v>Credit Card</x:v>
      </x:c>
      <x:c r="N1188" s="3" t="str">
        <x:f>TEXT(B1188,"yyyy-mm")</x:f>
        <x:v>2024-11</x:v>
      </x:c>
      <x:c r="O1188" s="3" t="str">
        <x:f>IF(J1188=0,"No discount",IF(J1188&lt;=0.1,"1-10%",IF(J1188&lt;=0.15,"11-15%",IF(J1188&lt;=0.2,"16-20%","21%+"))))</x:f>
        <x:v>21%+</x:v>
      </x:c>
      <x:c r="P1188" s="9" t="n">
        <x:f>IF(K1188=0,0,L1188/K1188)</x:f>
        <x:v>0.26248537206580846</x:v>
      </x:c>
      <x:c r="Q1188" s="3" t="str">
        <x:f>IF(L1188&lt;0,"Yes","No")</x:f>
        <x:v>No</x:v>
      </x:c>
    </x:row>
    <x:row r="1189" ht="21" customHeight="1">
      <x:c r="A1189" s="3" t="str">
        <x:v>ORD-101448</x:v>
      </x:c>
      <x:c r="B1189" s="5" t="n">
        <x:v>45608</x:v>
      </x:c>
      <x:c r="C1189" s="3" t="str">
        <x:v>CUST-00094</x:v>
      </x:c>
      <x:c r="D1189" s="3" t="str">
        <x:v>South</x:v>
      </x:c>
      <x:c r="E1189" s="3" t="str">
        <x:v>Electronics</x:v>
      </x:c>
      <x:c r="F1189" s="3" t="str">
        <x:v>Laptop</x:v>
      </x:c>
      <x:c r="G1189" s="3" t="str">
        <x:v>AirBook Slim</x:v>
      </x:c>
      <x:c r="H1189" s="3" t="n">
        <x:v>2</x:v>
      </x:c>
      <x:c r="I1189" s="7" t="n">
        <x:v>79273.64</x:v>
      </x:c>
      <x:c r="J1189" s="9" t="n">
        <x:v>0.3</x:v>
      </x:c>
      <x:c r="K1189" s="7" t="n">
        <x:v>110983.1</x:v>
      </x:c>
      <x:c r="L1189" s="7" t="n">
        <x:v>-18532.81</x:v>
      </x:c>
      <x:c r="M1189" s="3" t="str">
        <x:v>UPI</x:v>
      </x:c>
      <x:c r="N1189" s="3" t="str">
        <x:f>TEXT(B1189,"yyyy-mm")</x:f>
        <x:v>2024-11</x:v>
      </x:c>
      <x:c r="O1189" s="3" t="str">
        <x:f>IF(J1189=0,"No discount",IF(J1189&lt;=0.1,"1-10%",IF(J1189&lt;=0.15,"11-15%",IF(J1189&lt;=0.2,"16-20%","21%+"))))</x:f>
        <x:v>21%+</x:v>
      </x:c>
      <x:c r="P1189" s="9" t="n">
        <x:f>IF(K1189=0,0,L1189/K1189)</x:f>
        <x:v>-0.16698767650209806</x:v>
      </x:c>
      <x:c r="Q1189" s="3" t="str">
        <x:f>IF(L1189&lt;0,"Yes","No")</x:f>
        <x:v>Yes</x:v>
      </x:c>
    </x:row>
    <x:row r="1190" ht="21" customHeight="1">
      <x:c r="A1190" s="3" t="str">
        <x:v>ORD-100575</x:v>
      </x:c>
      <x:c r="B1190" s="5" t="n">
        <x:v>45609</x:v>
      </x:c>
      <x:c r="C1190" s="3" t="str">
        <x:v>CUST-00346</x:v>
      </x:c>
      <x:c r="D1190" s="3" t="str">
        <x:v>West</x:v>
      </x:c>
      <x:c r="E1190" s="3" t="str">
        <x:v>Home &amp; Kitchen</x:v>
      </x:c>
      <x:c r="F1190" s="3" t="str">
        <x:v>Furniture</x:v>
      </x:c>
      <x:c r="G1190" s="3" t="str">
        <x:v>Oakwood Study Desk</x:v>
      </x:c>
      <x:c r="H1190" s="3" t="n">
        <x:v>3</x:v>
      </x:c>
      <x:c r="I1190" s="7" t="n">
        <x:v>12508.06</x:v>
      </x:c>
      <x:c r="J1190" s="9" t="n">
        <x:v>0.05</x:v>
      </x:c>
      <x:c r="K1190" s="7" t="n">
        <x:v>35647.97</x:v>
      </x:c>
      <x:c r="L1190" s="7" t="n">
        <x:v>9282.44</x:v>
      </x:c>
      <x:c r="M1190" s="3" t="str">
        <x:v>UPI</x:v>
      </x:c>
      <x:c r="N1190" s="3" t="str">
        <x:f>TEXT(B1190,"yyyy-mm")</x:f>
        <x:v>2024-11</x:v>
      </x:c>
      <x:c r="O1190" s="3" t="str">
        <x:f>IF(J1190=0,"No discount",IF(J1190&lt;=0.1,"1-10%",IF(J1190&lt;=0.15,"11-15%",IF(J1190&lt;=0.2,"16-20%","21%+"))))</x:f>
        <x:v>1-10%</x:v>
      </x:c>
      <x:c r="P1190" s="9" t="n">
        <x:f>IF(K1190=0,0,L1190/K1190)</x:f>
        <x:v>0.26039182595811206</x:v>
      </x:c>
      <x:c r="Q1190" s="3" t="str">
        <x:f>IF(L1190&lt;0,"Yes","No")</x:f>
        <x:v>No</x:v>
      </x:c>
    </x:row>
    <x:row r="1191" ht="21" customHeight="1">
      <x:c r="A1191" s="3" t="str">
        <x:v>ORD-100879</x:v>
      </x:c>
      <x:c r="B1191" s="5" t="n">
        <x:v>45609</x:v>
      </x:c>
      <x:c r="C1191" s="3" t="str">
        <x:v>CUST-00378</x:v>
      </x:c>
      <x:c r="D1191" s="3" t="str">
        <x:v>South</x:v>
      </x:c>
      <x:c r="E1191" s="3" t="str">
        <x:v>Beauty</x:v>
      </x:c>
      <x:c r="F1191" s="3" t="str">
        <x:v>Skincare</x:v>
      </x:c>
      <x:c r="G1191" s="3" t="str">
        <x:v>HydraBoost Moisturizer</x:v>
      </x:c>
      <x:c r="H1191" s="3" t="n">
        <x:v>1</x:v>
      </x:c>
      <x:c r="I1191" s="7" t="n">
        <x:v>1258.4</x:v>
      </x:c>
      <x:c r="J1191" s="9" t="n">
        <x:v>0.25</x:v>
      </x:c>
      <x:c r="K1191" s="7" t="n">
        <x:v>943.8</x:v>
      </x:c>
      <x:c r="L1191" s="7" t="n">
        <x:v>224.78</x:v>
      </x:c>
      <x:c r="M1191" s="3" t="str">
        <x:v>UPI</x:v>
      </x:c>
      <x:c r="N1191" s="3" t="str">
        <x:f>TEXT(B1191,"yyyy-mm")</x:f>
        <x:v>2024-11</x:v>
      </x:c>
      <x:c r="O1191" s="3" t="str">
        <x:f>IF(J1191=0,"No discount",IF(J1191&lt;=0.1,"1-10%",IF(J1191&lt;=0.15,"11-15%",IF(J1191&lt;=0.2,"16-20%","21%+"))))</x:f>
        <x:v>21%+</x:v>
      </x:c>
      <x:c r="P1191" s="9" t="n">
        <x:f>IF(K1191=0,0,L1191/K1191)</x:f>
        <x:v>0.23816486543759272</x:v>
      </x:c>
      <x:c r="Q1191" s="3" t="str">
        <x:f>IF(L1191&lt;0,"Yes","No")</x:f>
        <x:v>No</x:v>
      </x:c>
    </x:row>
    <x:row r="1192" ht="21" customHeight="1">
      <x:c r="A1192" s="3" t="str">
        <x:v>ORD-101970</x:v>
      </x:c>
      <x:c r="B1192" s="5" t="n">
        <x:v>45610</x:v>
      </x:c>
      <x:c r="C1192" s="3" t="str">
        <x:v>CUST-00338</x:v>
      </x:c>
      <x:c r="D1192" s="3" t="str">
        <x:v>South</x:v>
      </x:c>
      <x:c r="E1192" s="3" t="str">
        <x:v>Electronics</x:v>
      </x:c>
      <x:c r="F1192" s="3" t="str">
        <x:v>Audio</x:v>
      </x:c>
      <x:c r="G1192" s="3" t="str">
        <x:v>BassBoom Speaker</x:v>
      </x:c>
      <x:c r="H1192" s="3" t="n">
        <x:v>1</x:v>
      </x:c>
      <x:c r="I1192" s="7" t="n">
        <x:v>8760.41</x:v>
      </x:c>
      <x:c r="J1192" s="9" t="n">
        <x:v>0.15</x:v>
      </x:c>
      <x:c r="K1192" s="7" t="n">
        <x:v>7446.35</x:v>
      </x:c>
      <x:c r="L1192" s="7" t="n">
        <x:v>126.42</x:v>
      </x:c>
      <x:c r="M1192" s="3" t="str">
        <x:v>UPI</x:v>
      </x:c>
      <x:c r="N1192" s="3" t="str">
        <x:f>TEXT(B1192,"yyyy-mm")</x:f>
        <x:v>2024-11</x:v>
      </x:c>
      <x:c r="O1192" s="3" t="str">
        <x:f>IF(J1192=0,"No discount",IF(J1192&lt;=0.1,"1-10%",IF(J1192&lt;=0.15,"11-15%",IF(J1192&lt;=0.2,"16-20%","21%+"))))</x:f>
        <x:v>11-15%</x:v>
      </x:c>
      <x:c r="P1192" s="9" t="n">
        <x:f>IF(K1192=0,0,L1192/K1192)</x:f>
        <x:v>0.01697744532556219</x:v>
      </x:c>
      <x:c r="Q1192" s="3" t="str">
        <x:f>IF(L1192&lt;0,"Yes","No")</x:f>
        <x:v>No</x:v>
      </x:c>
    </x:row>
    <x:row r="1193" ht="21" customHeight="1">
      <x:c r="A1193" s="3" t="str">
        <x:v>ORD-100421</x:v>
      </x:c>
      <x:c r="B1193" s="5" t="n">
        <x:v>45611</x:v>
      </x:c>
      <x:c r="C1193" s="3" t="str">
        <x:v>CUST-00203</x:v>
      </x:c>
      <x:c r="D1193" s="3" t="str">
        <x:v>East</x:v>
      </x:c>
      <x:c r="E1193" s="3" t="str">
        <x:v>Electronics</x:v>
      </x:c>
      <x:c r="F1193" s="3" t="str">
        <x:v>Laptop</x:v>
      </x:c>
      <x:c r="G1193" s="3" t="str">
        <x:v>AirBook Slim</x:v>
      </x:c>
      <x:c r="H1193" s="3" t="n">
        <x:v>1</x:v>
      </x:c>
      <x:c r="I1193" s="7" t="n">
        <x:v>79731.76</x:v>
      </x:c>
      <x:c r="J1193" s="9" t="n">
        <x:v>0.1</x:v>
      </x:c>
      <x:c r="K1193" s="7" t="n">
        <x:v>71758.58</x:v>
      </x:c>
      <x:c r="L1193" s="7" t="n">
        <x:v>6594.18</x:v>
      </x:c>
      <x:c r="M1193" s="3" t="str">
        <x:v>Credit Card</x:v>
      </x:c>
      <x:c r="N1193" s="3" t="str">
        <x:f>TEXT(B1193,"yyyy-mm")</x:f>
        <x:v>2024-11</x:v>
      </x:c>
      <x:c r="O1193" s="3" t="str">
        <x:f>IF(J1193=0,"No discount",IF(J1193&lt;=0.1,"1-10%",IF(J1193&lt;=0.15,"11-15%",IF(J1193&lt;=0.2,"16-20%","21%+"))))</x:f>
        <x:v>1-10%</x:v>
      </x:c>
      <x:c r="P1193" s="9" t="n">
        <x:f>IF(K1193=0,0,L1193/K1193)</x:f>
        <x:v>0.09189395888268692</x:v>
      </x:c>
      <x:c r="Q1193" s="3" t="str">
        <x:f>IF(L1193&lt;0,"Yes","No")</x:f>
        <x:v>No</x:v>
      </x:c>
    </x:row>
    <x:row r="1194" ht="21" customHeight="1">
      <x:c r="A1194" s="3" t="str">
        <x:v>ORD-100436</x:v>
      </x:c>
      <x:c r="B1194" s="5" t="n">
        <x:v>45611</x:v>
      </x:c>
      <x:c r="C1194" s="3" t="str">
        <x:v>CUST-00352</x:v>
      </x:c>
      <x:c r="D1194" s="3" t="str">
        <x:v>East</x:v>
      </x:c>
      <x:c r="E1194" s="3" t="str">
        <x:v>Beauty</x:v>
      </x:c>
      <x:c r="F1194" s="3" t="str">
        <x:v>Skincare</x:v>
      </x:c>
      <x:c r="G1194" s="3" t="str">
        <x:v>Vitamin C Serum</x:v>
      </x:c>
      <x:c r="H1194" s="3" t="n">
        <x:v>1</x:v>
      </x:c>
      <x:c r="I1194" s="7" t="n">
        <x:v>940.39</x:v>
      </x:c>
      <x:c r="J1194" s="9" t="n">
        <x:v>0.15</x:v>
      </x:c>
      <x:c r="K1194" s="7" t="n">
        <x:v>799.33</x:v>
      </x:c>
      <x:c r="L1194" s="7" t="n">
        <x:v>274.77</x:v>
      </x:c>
      <x:c r="M1194" s="3" t="str">
        <x:v>Debit Card</x:v>
      </x:c>
      <x:c r="N1194" s="3" t="str">
        <x:f>TEXT(B1194,"yyyy-mm")</x:f>
        <x:v>2024-11</x:v>
      </x:c>
      <x:c r="O1194" s="3" t="str">
        <x:f>IF(J1194=0,"No discount",IF(J1194&lt;=0.1,"1-10%",IF(J1194&lt;=0.15,"11-15%",IF(J1194&lt;=0.2,"16-20%","21%+"))))</x:f>
        <x:v>11-15%</x:v>
      </x:c>
      <x:c r="P1194" s="9" t="n">
        <x:f>IF(K1194=0,0,L1194/K1194)</x:f>
        <x:v>0.3437503909524226</x:v>
      </x:c>
      <x:c r="Q1194" s="3" t="str">
        <x:f>IF(L1194&lt;0,"Yes","No")</x:f>
        <x:v>No</x:v>
      </x:c>
    </x:row>
    <x:row r="1195" ht="21" customHeight="1">
      <x:c r="A1195" s="3" t="str">
        <x:v>ORD-100861</x:v>
      </x:c>
      <x:c r="B1195" s="5" t="n">
        <x:v>45611</x:v>
      </x:c>
      <x:c r="C1195" s="3" t="str">
        <x:v>CUST-00436</x:v>
      </x:c>
      <x:c r="D1195" s="3" t="str">
        <x:v>East</x:v>
      </x:c>
      <x:c r="E1195" s="3" t="str">
        <x:v>Electronics</x:v>
      </x:c>
      <x:c r="F1195" s="3" t="str">
        <x:v>Mobile</x:v>
      </x:c>
      <x:c r="G1195" s="3" t="str">
        <x:v>iPhone Zeta</x:v>
      </x:c>
      <x:c r="H1195" s="3" t="n">
        <x:v>3</x:v>
      </x:c>
      <x:c r="I1195" s="7" t="n">
        <x:v>67561.97</x:v>
      </x:c>
      <x:c r="J1195" s="9" t="n">
        <x:v>0.1</x:v>
      </x:c>
      <x:c r="K1195" s="7" t="n">
        <x:v>182417.32</x:v>
      </x:c>
      <x:c r="L1195" s="7" t="n">
        <x:v>15299.32</x:v>
      </x:c>
      <x:c r="M1195" s="3" t="str">
        <x:v>UPI</x:v>
      </x:c>
      <x:c r="N1195" s="3" t="str">
        <x:f>TEXT(B1195,"yyyy-mm")</x:f>
        <x:v>2024-11</x:v>
      </x:c>
      <x:c r="O1195" s="3" t="str">
        <x:f>IF(J1195=0,"No discount",IF(J1195&lt;=0.1,"1-10%",IF(J1195&lt;=0.15,"11-15%",IF(J1195&lt;=0.2,"16-20%","21%+"))))</x:f>
        <x:v>1-10%</x:v>
      </x:c>
      <x:c r="P1195" s="9" t="n">
        <x:f>IF(K1195=0,0,L1195/K1195)</x:f>
        <x:v>0.08386988691643973</x:v>
      </x:c>
      <x:c r="Q1195" s="3" t="str">
        <x:f>IF(L1195&lt;0,"Yes","No")</x:f>
        <x:v>No</x:v>
      </x:c>
    </x:row>
    <x:row r="1196" ht="21" customHeight="1">
      <x:c r="A1196" s="3" t="str">
        <x:v>ORD-100196</x:v>
      </x:c>
      <x:c r="B1196" s="5" t="n">
        <x:v>45612</x:v>
      </x:c>
      <x:c r="C1196" s="3" t="str">
        <x:v>CUST-00402</x:v>
      </x:c>
      <x:c r="D1196" s="3" t="str">
        <x:v>South</x:v>
      </x:c>
      <x:c r="E1196" s="3" t="str">
        <x:v>Beauty</x:v>
      </x:c>
      <x:c r="F1196" s="3" t="str">
        <x:v>Skincare</x:v>
      </x:c>
      <x:c r="G1196" s="3" t="str">
        <x:v>Vitamin C Serum</x:v>
      </x:c>
      <x:c r="H1196" s="3" t="n">
        <x:v>1</x:v>
      </x:c>
      <x:c r="I1196" s="7" t="n">
        <x:v>864.29</x:v>
      </x:c>
      <x:c r="J1196" s="9" t="n">
        <x:v>0</x:v>
      </x:c>
      <x:c r="K1196" s="7" t="n">
        <x:v>864.29</x:v>
      </x:c>
      <x:c r="L1196" s="7" t="n">
        <x:v>487.16</x:v>
      </x:c>
      <x:c r="M1196" s="3" t="str">
        <x:v>Cash on Delivery</x:v>
      </x:c>
      <x:c r="N1196" s="3" t="str">
        <x:f>TEXT(B1196,"yyyy-mm")</x:f>
        <x:v>2024-11</x:v>
      </x:c>
      <x:c r="O1196" s="3" t="str">
        <x:f>IF(J1196=0,"No discount",IF(J1196&lt;=0.1,"1-10%",IF(J1196&lt;=0.15,"11-15%",IF(J1196&lt;=0.2,"16-20%","21%+"))))</x:f>
        <x:v>No discount</x:v>
      </x:c>
      <x:c r="P1196" s="9" t="n">
        <x:f>IF(K1196=0,0,L1196/K1196)</x:f>
        <x:v>0.5636534033715536</x:v>
      </x:c>
      <x:c r="Q1196" s="3" t="str">
        <x:f>IF(L1196&lt;0,"Yes","No")</x:f>
        <x:v>No</x:v>
      </x:c>
    </x:row>
    <x:row r="1197" ht="21" customHeight="1">
      <x:c r="A1197" s="3" t="str">
        <x:v>ORD-100197</x:v>
      </x:c>
      <x:c r="B1197" s="5" t="n">
        <x:v>45612</x:v>
      </x:c>
      <x:c r="C1197" s="3" t="str">
        <x:v>CUST-00313</x:v>
      </x:c>
      <x:c r="D1197" s="3" t="str">
        <x:v>West</x:v>
      </x:c>
      <x:c r="E1197" s="3" t="str">
        <x:v>Beauty</x:v>
      </x:c>
      <x:c r="F1197" s="3" t="str">
        <x:v>Skincare</x:v>
      </x:c>
      <x:c r="G1197" s="3" t="str">
        <x:v>HydraBoost Moisturizer</x:v>
      </x:c>
      <x:c r="H1197" s="3" t="n">
        <x:v>1</x:v>
      </x:c>
      <x:c r="I1197" s="7" t="n">
        <x:v>1159.74</x:v>
      </x:c>
      <x:c r="J1197" s="9" t="n">
        <x:v>0.05</x:v>
      </x:c>
      <x:c r="K1197" s="7" t="n">
        <x:v>1101.75</x:v>
      </x:c>
      <x:c r="L1197" s="7" t="n">
        <x:v>557.91</x:v>
      </x:c>
      <x:c r="M1197" s="3" t="str">
        <x:v>Net Banking</x:v>
      </x:c>
      <x:c r="N1197" s="3" t="str">
        <x:f>TEXT(B1197,"yyyy-mm")</x:f>
        <x:v>2024-11</x:v>
      </x:c>
      <x:c r="O1197" s="3" t="str">
        <x:f>IF(J1197=0,"No discount",IF(J1197&lt;=0.1,"1-10%",IF(J1197&lt;=0.15,"11-15%",IF(J1197&lt;=0.2,"16-20%","21%+"))))</x:f>
        <x:v>1-10%</x:v>
      </x:c>
      <x:c r="P1197" s="9" t="n">
        <x:f>IF(K1197=0,0,L1197/K1197)</x:f>
        <x:v>0.5063852961198093</x:v>
      </x:c>
      <x:c r="Q1197" s="3" t="str">
        <x:f>IF(L1197&lt;0,"Yes","No")</x:f>
        <x:v>No</x:v>
      </x:c>
    </x:row>
    <x:row r="1198" ht="21" customHeight="1">
      <x:c r="A1198" s="3" t="str">
        <x:v>ORD-100397</x:v>
      </x:c>
      <x:c r="B1198" s="5" t="n">
        <x:v>45612</x:v>
      </x:c>
      <x:c r="C1198" s="3" t="str">
        <x:v>CUST-00586</x:v>
      </x:c>
      <x:c r="D1198" s="3" t="str">
        <x:v>East</x:v>
      </x:c>
      <x:c r="E1198" s="3" t="str">
        <x:v>Beauty</x:v>
      </x:c>
      <x:c r="F1198" s="3" t="str">
        <x:v>Makeup</x:v>
      </x:c>
      <x:c r="G1198" s="3" t="str">
        <x:v>HD Foundation Kit</x:v>
      </x:c>
      <x:c r="H1198" s="3" t="n">
        <x:v>3</x:v>
      </x:c>
      <x:c r="I1198" s="7" t="n">
        <x:v>1488.14</x:v>
      </x:c>
      <x:c r="J1198" s="9" t="n">
        <x:v>0.2</x:v>
      </x:c>
      <x:c r="K1198" s="7" t="n">
        <x:v>3571.54</x:v>
      </x:c>
      <x:c r="L1198" s="7" t="n">
        <x:v>1221.81</x:v>
      </x:c>
      <x:c r="M1198" s="3" t="str">
        <x:v>Debit Card</x:v>
      </x:c>
      <x:c r="N1198" s="3" t="str">
        <x:f>TEXT(B1198,"yyyy-mm")</x:f>
        <x:v>2024-11</x:v>
      </x:c>
      <x:c r="O1198" s="3" t="str">
        <x:f>IF(J1198=0,"No discount",IF(J1198&lt;=0.1,"1-10%",IF(J1198&lt;=0.15,"11-15%",IF(J1198&lt;=0.2,"16-20%","21%+"))))</x:f>
        <x:v>16-20%</x:v>
      </x:c>
      <x:c r="P1198" s="9" t="n">
        <x:f>IF(K1198=0,0,L1198/K1198)</x:f>
        <x:v>0.34209612660085004</x:v>
      </x:c>
      <x:c r="Q1198" s="3" t="str">
        <x:f>IF(L1198&lt;0,"Yes","No")</x:f>
        <x:v>No</x:v>
      </x:c>
    </x:row>
    <x:row r="1199" ht="21" customHeight="1">
      <x:c r="A1199" s="3" t="str">
        <x:v>ORD-100834</x:v>
      </x:c>
      <x:c r="B1199" s="5" t="n">
        <x:v>45612</x:v>
      </x:c>
      <x:c r="C1199" s="3" t="str">
        <x:v>CUST-00521</x:v>
      </x:c>
      <x:c r="D1199" s="3" t="str">
        <x:v>North</x:v>
      </x:c>
      <x:c r="E1199" s="3" t="str">
        <x:v>Beauty</x:v>
      </x:c>
      <x:c r="F1199" s="3" t="str">
        <x:v>Skincare</x:v>
      </x:c>
      <x:c r="G1199" s="3" t="str">
        <x:v>Vitamin C Serum</x:v>
      </x:c>
      <x:c r="H1199" s="3" t="n">
        <x:v>1</x:v>
      </x:c>
      <x:c r="I1199" s="7" t="n">
        <x:v>867.54</x:v>
      </x:c>
      <x:c r="J1199" s="9" t="n">
        <x:v>0</x:v>
      </x:c>
      <x:c r="K1199" s="7" t="n">
        <x:v>867.54</x:v>
      </x:c>
      <x:c r="L1199" s="7" t="n">
        <x:v>483.48</x:v>
      </x:c>
      <x:c r="M1199" s="3" t="str">
        <x:v>UPI</x:v>
      </x:c>
      <x:c r="N1199" s="3" t="str">
        <x:f>TEXT(B1199,"yyyy-mm")</x:f>
        <x:v>2024-11</x:v>
      </x:c>
      <x:c r="O1199" s="3" t="str">
        <x:f>IF(J1199=0,"No discount",IF(J1199&lt;=0.1,"1-10%",IF(J1199&lt;=0.15,"11-15%",IF(J1199&lt;=0.2,"16-20%","21%+"))))</x:f>
        <x:v>No discount</x:v>
      </x:c>
      <x:c r="P1199" s="9" t="n">
        <x:f>IF(K1199=0,0,L1199/K1199)</x:f>
        <x:v>0.5572999515872468</x:v>
      </x:c>
      <x:c r="Q1199" s="3" t="str">
        <x:f>IF(L1199&lt;0,"Yes","No")</x:f>
        <x:v>No</x:v>
      </x:c>
    </x:row>
    <x:row r="1200" ht="21" customHeight="1">
      <x:c r="A1200" s="3" t="str">
        <x:v>ORD-101195</x:v>
      </x:c>
      <x:c r="B1200" s="5" t="n">
        <x:v>45612</x:v>
      </x:c>
      <x:c r="C1200" s="3" t="str">
        <x:v>CUST-00118</x:v>
      </x:c>
      <x:c r="D1200" s="3" t="str">
        <x:v>East</x:v>
      </x:c>
      <x:c r="E1200" s="3" t="str">
        <x:v>Sports</x:v>
      </x:c>
      <x:c r="F1200" s="3" t="str">
        <x:v>Fitness</x:v>
      </x:c>
      <x:c r="G1200" s="3" t="str">
        <x:v>Adjustable Dumbbell 24kg</x:v>
      </x:c>
      <x:c r="H1200" s="3" t="n">
        <x:v>3</x:v>
      </x:c>
      <x:c r="I1200" s="7" t="n">
        <x:v>9870.55</x:v>
      </x:c>
      <x:c r="J1200" s="9" t="n">
        <x:v>0.1</x:v>
      </x:c>
      <x:c r="K1200" s="7" t="n">
        <x:v>26650.48</x:v>
      </x:c>
      <x:c r="L1200" s="7" t="n">
        <x:v>7675.27</x:v>
      </x:c>
      <x:c r="M1200" s="3" t="str">
        <x:v>Credit Card</x:v>
      </x:c>
      <x:c r="N1200" s="3" t="str">
        <x:f>TEXT(B1200,"yyyy-mm")</x:f>
        <x:v>2024-11</x:v>
      </x:c>
      <x:c r="O1200" s="3" t="str">
        <x:f>IF(J1200=0,"No discount",IF(J1200&lt;=0.1,"1-10%",IF(J1200&lt;=0.15,"11-15%",IF(J1200&lt;=0.2,"16-20%","21%+"))))</x:f>
        <x:v>1-10%</x:v>
      </x:c>
      <x:c r="P1200" s="9" t="n">
        <x:f>IF(K1200=0,0,L1200/K1200)</x:f>
        <x:v>0.2879974394457436</x:v>
      </x:c>
      <x:c r="Q1200" s="3" t="str">
        <x:f>IF(L1200&lt;0,"Yes","No")</x:f>
        <x:v>No</x:v>
      </x:c>
    </x:row>
    <x:row r="1201" ht="21" customHeight="1">
      <x:c r="A1201" s="3" t="str">
        <x:v>ORD-101545</x:v>
      </x:c>
      <x:c r="B1201" s="5" t="n">
        <x:v>45612</x:v>
      </x:c>
      <x:c r="C1201" s="3" t="str">
        <x:v>CUST-00552</x:v>
      </x:c>
      <x:c r="D1201" s="3" t="str">
        <x:v>West</x:v>
      </x:c>
      <x:c r="E1201" s="3" t="str">
        <x:v>Home &amp; Kitchen</x:v>
      </x:c>
      <x:c r="F1201" s="3" t="str">
        <x:v>Decor</x:v>
      </x:c>
      <x:c r="G1201" s="3" t="str">
        <x:v>Ceramic Vase Set</x:v>
      </x:c>
      <x:c r="H1201" s="3" t="n">
        <x:v>2</x:v>
      </x:c>
      <x:c r="I1201" s="7" t="n">
        <x:v>1487.45</x:v>
      </x:c>
      <x:c r="J1201" s="9" t="n">
        <x:v>0.05</x:v>
      </x:c>
      <x:c r="K1201" s="7" t="n">
        <x:v>2826.15</x:v>
      </x:c>
      <x:c r="L1201" s="7" t="n">
        <x:v>704.05</x:v>
      </x:c>
      <x:c r="M1201" s="3" t="str">
        <x:v>UPI</x:v>
      </x:c>
      <x:c r="N1201" s="3" t="str">
        <x:f>TEXT(B1201,"yyyy-mm")</x:f>
        <x:v>2024-11</x:v>
      </x:c>
      <x:c r="O1201" s="3" t="str">
        <x:f>IF(J1201=0,"No discount",IF(J1201&lt;=0.1,"1-10%",IF(J1201&lt;=0.15,"11-15%",IF(J1201&lt;=0.2,"16-20%","21%+"))))</x:f>
        <x:v>1-10%</x:v>
      </x:c>
      <x:c r="P1201" s="9" t="n">
        <x:f>IF(K1201=0,0,L1201/K1201)</x:f>
        <x:v>0.24911982732692883</x:v>
      </x:c>
      <x:c r="Q1201" s="3" t="str">
        <x:f>IF(L1201&lt;0,"Yes","No")</x:f>
        <x:v>No</x:v>
      </x:c>
    </x:row>
    <x:row r="1202" ht="21" customHeight="1">
      <x:c r="A1202" s="3" t="str">
        <x:v>ORD-100500</x:v>
      </x:c>
      <x:c r="B1202" s="5" t="n">
        <x:v>45613</x:v>
      </x:c>
      <x:c r="C1202" s="3" t="str">
        <x:v>CUST-00113</x:v>
      </x:c>
      <x:c r="D1202" s="3" t="str">
        <x:v>South</x:v>
      </x:c>
      <x:c r="E1202" s="3" t="str">
        <x:v>Sports</x:v>
      </x:c>
      <x:c r="F1202" s="3" t="str">
        <x:v>Fitness</x:v>
      </x:c>
      <x:c r="G1202" s="3" t="str">
        <x:v>ProYoga Mat</x:v>
      </x:c>
      <x:c r="H1202" s="3" t="n">
        <x:v>3</x:v>
      </x:c>
      <x:c r="I1202" s="7" t="n">
        <x:v>1289.14</x:v>
      </x:c>
      <x:c r="J1202" s="9" t="n">
        <x:v>0.4</x:v>
      </x:c>
      <x:c r="K1202" s="7" t="n">
        <x:v>2320.45</x:v>
      </x:c>
      <x:c r="L1202" s="7" t="n">
        <x:v>-182.99</x:v>
      </x:c>
      <x:c r="M1202" s="3" t="str">
        <x:v>Debit Card</x:v>
      </x:c>
      <x:c r="N1202" s="3" t="str">
        <x:f>TEXT(B1202,"yyyy-mm")</x:f>
        <x:v>2024-11</x:v>
      </x:c>
      <x:c r="O1202" s="3" t="str">
        <x:f>IF(J1202=0,"No discount",IF(J1202&lt;=0.1,"1-10%",IF(J1202&lt;=0.15,"11-15%",IF(J1202&lt;=0.2,"16-20%","21%+"))))</x:f>
        <x:v>21%+</x:v>
      </x:c>
      <x:c r="P1202" s="9" t="n">
        <x:f>IF(K1202=0,0,L1202/K1202)</x:f>
        <x:v>-0.07885970393673641</x:v>
      </x:c>
      <x:c r="Q1202" s="3" t="str">
        <x:f>IF(L1202&lt;0,"Yes","No")</x:f>
        <x:v>Yes</x:v>
      </x:c>
    </x:row>
    <x:row r="1203" ht="21" customHeight="1">
      <x:c r="A1203" s="3" t="str">
        <x:v>ORD-100845</x:v>
      </x:c>
      <x:c r="B1203" s="5" t="n">
        <x:v>45613</x:v>
      </x:c>
      <x:c r="C1203" s="3" t="str">
        <x:v>CUST-00292</x:v>
      </x:c>
      <x:c r="D1203" s="3" t="str">
        <x:v>South</x:v>
      </x:c>
      <x:c r="E1203" s="3" t="str">
        <x:v>Home &amp; Kitchen</x:v>
      </x:c>
      <x:c r="F1203" s="3" t="str">
        <x:v>Furniture</x:v>
      </x:c>
      <x:c r="G1203" s="3" t="str">
        <x:v>Oakwood Study Desk</x:v>
      </x:c>
      <x:c r="H1203" s="3" t="n">
        <x:v>1</x:v>
      </x:c>
      <x:c r="I1203" s="7" t="n">
        <x:v>13496.06</x:v>
      </x:c>
      <x:c r="J1203" s="9" t="n">
        <x:v>0.25</x:v>
      </x:c>
      <x:c r="K1203" s="7" t="n">
        <x:v>10122.05</x:v>
      </x:c>
      <x:c r="L1203" s="7" t="n">
        <x:v>617.23</x:v>
      </x:c>
      <x:c r="M1203" s="3" t="str">
        <x:v>UPI</x:v>
      </x:c>
      <x:c r="N1203" s="3" t="str">
        <x:f>TEXT(B1203,"yyyy-mm")</x:f>
        <x:v>2024-11</x:v>
      </x:c>
      <x:c r="O1203" s="3" t="str">
        <x:f>IF(J1203=0,"No discount",IF(J1203&lt;=0.1,"1-10%",IF(J1203&lt;=0.15,"11-15%",IF(J1203&lt;=0.2,"16-20%","21%+"))))</x:f>
        <x:v>21%+</x:v>
      </x:c>
      <x:c r="P1203" s="9" t="n">
        <x:f>IF(K1203=0,0,L1203/K1203)</x:f>
        <x:v>0.060978754303723064</x:v>
      </x:c>
      <x:c r="Q1203" s="3" t="str">
        <x:f>IF(L1203&lt;0,"Yes","No")</x:f>
        <x:v>No</x:v>
      </x:c>
    </x:row>
    <x:row r="1204" ht="21" customHeight="1">
      <x:c r="A1204" s="3" t="str">
        <x:v>ORD-101058</x:v>
      </x:c>
      <x:c r="B1204" s="5" t="n">
        <x:v>45613</x:v>
      </x:c>
      <x:c r="C1204" s="3" t="str">
        <x:v>CUST-00281</x:v>
      </x:c>
      <x:c r="D1204" s="3" t="str">
        <x:v>North</x:v>
      </x:c>
      <x:c r="E1204" s="3" t="str">
        <x:v>Electronics</x:v>
      </x:c>
      <x:c r="F1204" s="3" t="str">
        <x:v>Laptop</x:v>
      </x:c>
      <x:c r="G1204" s="3" t="str">
        <x:v>AirBook Slim</x:v>
      </x:c>
      <x:c r="H1204" s="3" t="n">
        <x:v>3</x:v>
      </x:c>
      <x:c r="I1204" s="7" t="n">
        <x:v>78577.82</x:v>
      </x:c>
      <x:c r="J1204" s="9" t="n">
        <x:v>0.4</x:v>
      </x:c>
      <x:c r="K1204" s="7" t="n">
        <x:v>141440.08</x:v>
      </x:c>
      <x:c r="L1204" s="7" t="n">
        <x:v>-40938.2</x:v>
      </x:c>
      <x:c r="M1204" s="3" t="str">
        <x:v>Credit Card</x:v>
      </x:c>
      <x:c r="N1204" s="3" t="str">
        <x:f>TEXT(B1204,"yyyy-mm")</x:f>
        <x:v>2024-11</x:v>
      </x:c>
      <x:c r="O1204" s="3" t="str">
        <x:f>IF(J1204=0,"No discount",IF(J1204&lt;=0.1,"1-10%",IF(J1204&lt;=0.15,"11-15%",IF(J1204&lt;=0.2,"16-20%","21%+"))))</x:f>
        <x:v>21%+</x:v>
      </x:c>
      <x:c r="P1204" s="9" t="n">
        <x:f>IF(K1204=0,0,L1204/K1204)</x:f>
        <x:v>-0.289438467512179</x:v>
      </x:c>
      <x:c r="Q1204" s="3" t="str">
        <x:f>IF(L1204&lt;0,"Yes","No")</x:f>
        <x:v>Yes</x:v>
      </x:c>
    </x:row>
    <x:row r="1205" ht="21" customHeight="1">
      <x:c r="A1205" s="3" t="str">
        <x:v>ORD-101467</x:v>
      </x:c>
      <x:c r="B1205" s="5" t="n">
        <x:v>45613</x:v>
      </x:c>
      <x:c r="C1205" s="3" t="str">
        <x:v>CUST-00145</x:v>
      </x:c>
      <x:c r="D1205" s="3" t="str">
        <x:v>West</x:v>
      </x:c>
      <x:c r="E1205" s="3" t="str">
        <x:v>Sports</x:v>
      </x:c>
      <x:c r="F1205" s="3" t="str">
        <x:v>Outdoor</x:v>
      </x:c>
      <x:c r="G1205" s="3" t="str">
        <x:v>AllWeather Tent 4P</x:v>
      </x:c>
      <x:c r="H1205" s="3" t="n">
        <x:v>3</x:v>
      </x:c>
      <x:c r="I1205" s="7" t="n">
        <x:v>11432.67</x:v>
      </x:c>
      <x:c r="J1205" s="9" t="n">
        <x:v>0.1</x:v>
      </x:c>
      <x:c r="K1205" s="7" t="n">
        <x:v>30868.21</x:v>
      </x:c>
      <x:c r="L1205" s="7" t="n">
        <x:v>8308.9</x:v>
      </x:c>
      <x:c r="M1205" s="3" t="str">
        <x:v>Cash on Delivery</x:v>
      </x:c>
      <x:c r="N1205" s="3" t="str">
        <x:f>TEXT(B1205,"yyyy-mm")</x:f>
        <x:v>2024-11</x:v>
      </x:c>
      <x:c r="O1205" s="3" t="str">
        <x:f>IF(J1205=0,"No discount",IF(J1205&lt;=0.1,"1-10%",IF(J1205&lt;=0.15,"11-15%",IF(J1205&lt;=0.2,"16-20%","21%+"))))</x:f>
        <x:v>1-10%</x:v>
      </x:c>
      <x:c r="P1205" s="9" t="n">
        <x:f>IF(K1205=0,0,L1205/K1205)</x:f>
        <x:v>0.2691733663856764</x:v>
      </x:c>
      <x:c r="Q1205" s="3" t="str">
        <x:f>IF(L1205&lt;0,"Yes","No")</x:f>
        <x:v>No</x:v>
      </x:c>
    </x:row>
    <x:row r="1206" ht="21" customHeight="1">
      <x:c r="A1206" s="3" t="str">
        <x:v>ORD-101494</x:v>
      </x:c>
      <x:c r="B1206" s="5" t="n">
        <x:v>45613</x:v>
      </x:c>
      <x:c r="C1206" s="3" t="str">
        <x:v>CUST-00398</x:v>
      </x:c>
      <x:c r="D1206" s="3" t="str">
        <x:v>South</x:v>
      </x:c>
      <x:c r="E1206" s="3" t="str">
        <x:v>Electronics</x:v>
      </x:c>
      <x:c r="F1206" s="3" t="str">
        <x:v>Laptop</x:v>
      </x:c>
      <x:c r="G1206" s="3" t="str">
        <x:v>ThinkPro 14</x:v>
      </x:c>
      <x:c r="H1206" s="3" t="n">
        <x:v>2</x:v>
      </x:c>
      <x:c r="I1206" s="7" t="n">
        <x:v>57377.37</x:v>
      </x:c>
      <x:c r="J1206" s="9" t="n">
        <x:v>0.05</x:v>
      </x:c>
      <x:c r="K1206" s="7" t="n">
        <x:v>109017</x:v>
      </x:c>
      <x:c r="L1206" s="7" t="n">
        <x:v>12850.87</x:v>
      </x:c>
      <x:c r="M1206" s="3" t="str">
        <x:v>UPI</x:v>
      </x:c>
      <x:c r="N1206" s="3" t="str">
        <x:f>TEXT(B1206,"yyyy-mm")</x:f>
        <x:v>2024-11</x:v>
      </x:c>
      <x:c r="O1206" s="3" t="str">
        <x:f>IF(J1206=0,"No discount",IF(J1206&lt;=0.1,"1-10%",IF(J1206&lt;=0.15,"11-15%",IF(J1206&lt;=0.2,"16-20%","21%+"))))</x:f>
        <x:v>1-10%</x:v>
      </x:c>
      <x:c r="P1206" s="9" t="n">
        <x:f>IF(K1206=0,0,L1206/K1206)</x:f>
        <x:v>0.1178795050313254</x:v>
      </x:c>
      <x:c r="Q1206" s="3" t="str">
        <x:f>IF(L1206&lt;0,"Yes","No")</x:f>
        <x:v>No</x:v>
      </x:c>
    </x:row>
    <x:row r="1207" ht="21" customHeight="1">
      <x:c r="A1207" s="3" t="str">
        <x:v>ORD-101632</x:v>
      </x:c>
      <x:c r="B1207" s="5" t="n">
        <x:v>45613</x:v>
      </x:c>
      <x:c r="C1207" s="3" t="str">
        <x:v>CUST-00330</x:v>
      </x:c>
      <x:c r="D1207" s="3" t="str">
        <x:v>East</x:v>
      </x:c>
      <x:c r="E1207" s="3" t="str">
        <x:v>Beauty</x:v>
      </x:c>
      <x:c r="F1207" s="3" t="str">
        <x:v>Skincare</x:v>
      </x:c>
      <x:c r="G1207" s="3" t="str">
        <x:v>HydraBoost Moisturizer</x:v>
      </x:c>
      <x:c r="H1207" s="3" t="n">
        <x:v>1</x:v>
      </x:c>
      <x:c r="I1207" s="7" t="n">
        <x:v>1149.1</x:v>
      </x:c>
      <x:c r="J1207" s="9" t="n">
        <x:v>0.05</x:v>
      </x:c>
      <x:c r="K1207" s="7" t="n">
        <x:v>1091.64</x:v>
      </x:c>
      <x:c r="L1207" s="7" t="n">
        <x:v>572.98</x:v>
      </x:c>
      <x:c r="M1207" s="3" t="str">
        <x:v>Credit Card</x:v>
      </x:c>
      <x:c r="N1207" s="3" t="str">
        <x:f>TEXT(B1207,"yyyy-mm")</x:f>
        <x:v>2024-11</x:v>
      </x:c>
      <x:c r="O1207" s="3" t="str">
        <x:f>IF(J1207=0,"No discount",IF(J1207&lt;=0.1,"1-10%",IF(J1207&lt;=0.15,"11-15%",IF(J1207&lt;=0.2,"16-20%","21%+"))))</x:f>
        <x:v>1-10%</x:v>
      </x:c>
      <x:c r="P1207" s="9" t="n">
        <x:f>IF(K1207=0,0,L1207/K1207)</x:f>
        <x:v>0.5248799970686306</x:v>
      </x:c>
      <x:c r="Q1207" s="3" t="str">
        <x:f>IF(L1207&lt;0,"Yes","No")</x:f>
        <x:v>No</x:v>
      </x:c>
    </x:row>
    <x:row r="1208" ht="21" customHeight="1">
      <x:c r="A1208" s="3" t="str">
        <x:v>ORD-101983</x:v>
      </x:c>
      <x:c r="B1208" s="5" t="n">
        <x:v>45613</x:v>
      </x:c>
      <x:c r="C1208" s="3" t="str">
        <x:v>CUST-00251</x:v>
      </x:c>
      <x:c r="D1208" s="3" t="str">
        <x:v>North</x:v>
      </x:c>
      <x:c r="E1208" s="3" t="str">
        <x:v>Beauty</x:v>
      </x:c>
      <x:c r="F1208" s="3" t="str">
        <x:v>Skincare</x:v>
      </x:c>
      <x:c r="G1208" s="3" t="str">
        <x:v>Vitamin C Serum</x:v>
      </x:c>
      <x:c r="H1208" s="3" t="n">
        <x:v>1</x:v>
      </x:c>
      <x:c r="I1208" s="7" t="n">
        <x:v>903.45</x:v>
      </x:c>
      <x:c r="J1208" s="9" t="n">
        <x:v>0</x:v>
      </x:c>
      <x:c r="K1208" s="7" t="n">
        <x:v>903.45</x:v>
      </x:c>
      <x:c r="L1208" s="7" t="n">
        <x:v>470.31</x:v>
      </x:c>
      <x:c r="M1208" s="3" t="str">
        <x:v>UPI</x:v>
      </x:c>
      <x:c r="N1208" s="3" t="str">
        <x:f>TEXT(B1208,"yyyy-mm")</x:f>
        <x:v>2024-11</x:v>
      </x:c>
      <x:c r="O1208" s="3" t="str">
        <x:f>IF(J1208=0,"No discount",IF(J1208&lt;=0.1,"1-10%",IF(J1208&lt;=0.15,"11-15%",IF(J1208&lt;=0.2,"16-20%","21%+"))))</x:f>
        <x:v>No discount</x:v>
      </x:c>
      <x:c r="P1208" s="9" t="n">
        <x:f>IF(K1208=0,0,L1208/K1208)</x:f>
        <x:v>0.5205711439481986</x:v>
      </x:c>
      <x:c r="Q1208" s="3" t="str">
        <x:f>IF(L1208&lt;0,"Yes","No")</x:f>
        <x:v>No</x:v>
      </x:c>
    </x:row>
    <x:row r="1209" ht="21" customHeight="1">
      <x:c r="A1209" s="3" t="str">
        <x:v>ORD-100005</x:v>
      </x:c>
      <x:c r="B1209" s="5" t="n">
        <x:v>45614</x:v>
      </x:c>
      <x:c r="C1209" s="3" t="str">
        <x:v>CUST-00512</x:v>
      </x:c>
      <x:c r="D1209" s="3" t="str">
        <x:v>South</x:v>
      </x:c>
      <x:c r="E1209" s="3" t="str">
        <x:v>Beauty</x:v>
      </x:c>
      <x:c r="F1209" s="3" t="str">
        <x:v>Skincare</x:v>
      </x:c>
      <x:c r="G1209" s="3" t="str">
        <x:v>HydraBoost Moisturizer</x:v>
      </x:c>
      <x:c r="H1209" s="3" t="n">
        <x:v>3</x:v>
      </x:c>
      <x:c r="I1209" s="7" t="n">
        <x:v>1166.51</x:v>
      </x:c>
      <x:c r="J1209" s="9" t="n">
        <x:v>0.15</x:v>
      </x:c>
      <x:c r="K1209" s="7" t="n">
        <x:v>2974.6</x:v>
      </x:c>
      <x:c r="L1209" s="7" t="n">
        <x:v>1011.57</x:v>
      </x:c>
      <x:c r="M1209" s="3" t="str">
        <x:v>UPI</x:v>
      </x:c>
      <x:c r="N1209" s="3" t="str">
        <x:f>TEXT(B1209,"yyyy-mm")</x:f>
        <x:v>2024-11</x:v>
      </x:c>
      <x:c r="O1209" s="3" t="str">
        <x:f>IF(J1209=0,"No discount",IF(J1209&lt;=0.1,"1-10%",IF(J1209&lt;=0.15,"11-15%",IF(J1209&lt;=0.2,"16-20%","21%+"))))</x:f>
        <x:v>11-15%</x:v>
      </x:c>
      <x:c r="P1209" s="9" t="n">
        <x:f>IF(K1209=0,0,L1209/K1209)</x:f>
        <x:v>0.3400692530088079</x:v>
      </x:c>
      <x:c r="Q1209" s="3" t="str">
        <x:f>IF(L1209&lt;0,"Yes","No")</x:f>
        <x:v>No</x:v>
      </x:c>
    </x:row>
    <x:row r="1210" ht="21" customHeight="1">
      <x:c r="A1210" s="3" t="str">
        <x:v>ORD-100656</x:v>
      </x:c>
      <x:c r="B1210" s="5" t="n">
        <x:v>45614</x:v>
      </x:c>
      <x:c r="C1210" s="3" t="str">
        <x:v>CUST-00370</x:v>
      </x:c>
      <x:c r="D1210" s="3" t="str">
        <x:v>South</x:v>
      </x:c>
      <x:c r="E1210" s="3" t="str">
        <x:v>Electronics</x:v>
      </x:c>
      <x:c r="F1210" s="3" t="str">
        <x:v>Laptop</x:v>
      </x:c>
      <x:c r="G1210" s="3" t="str">
        <x:v>AirBook Slim</x:v>
      </x:c>
      <x:c r="H1210" s="3" t="n">
        <x:v>4</x:v>
      </x:c>
      <x:c r="I1210" s="7" t="n">
        <x:v>77711.55</x:v>
      </x:c>
      <x:c r="J1210" s="9" t="n">
        <x:v>0.05</x:v>
      </x:c>
      <x:c r="K1210" s="7" t="n">
        <x:v>295303.89</x:v>
      </x:c>
      <x:c r="L1210" s="7" t="n">
        <x:v>34508.12</x:v>
      </x:c>
      <x:c r="M1210" s="3" t="str">
        <x:v>Net Banking</x:v>
      </x:c>
      <x:c r="N1210" s="3" t="str">
        <x:f>TEXT(B1210,"yyyy-mm")</x:f>
        <x:v>2024-11</x:v>
      </x:c>
      <x:c r="O1210" s="3" t="str">
        <x:f>IF(J1210=0,"No discount",IF(J1210&lt;=0.1,"1-10%",IF(J1210&lt;=0.15,"11-15%",IF(J1210&lt;=0.2,"16-20%","21%+"))))</x:f>
        <x:v>1-10%</x:v>
      </x:c>
      <x:c r="P1210" s="9" t="n">
        <x:f>IF(K1210=0,0,L1210/K1210)</x:f>
        <x:v>0.11685630013204364</x:v>
      </x:c>
      <x:c r="Q1210" s="3" t="str">
        <x:f>IF(L1210&lt;0,"Yes","No")</x:f>
        <x:v>No</x:v>
      </x:c>
    </x:row>
    <x:row r="1211" ht="21" customHeight="1">
      <x:c r="A1211" s="3" t="str">
        <x:v>ORD-100996</x:v>
      </x:c>
      <x:c r="B1211" s="5" t="n">
        <x:v>45614</x:v>
      </x:c>
      <x:c r="C1211" s="3" t="str">
        <x:v>CUST-00055</x:v>
      </x:c>
      <x:c r="D1211" s="3" t="str">
        <x:v>East</x:v>
      </x:c>
      <x:c r="E1211" s="3" t="str">
        <x:v>Beauty</x:v>
      </x:c>
      <x:c r="F1211" s="3" t="str">
        <x:v>Makeup</x:v>
      </x:c>
      <x:c r="G1211" s="3" t="str">
        <x:v>HD Foundation Kit</x:v>
      </x:c>
      <x:c r="H1211" s="3" t="n">
        <x:v>1</x:v>
      </x:c>
      <x:c r="I1211" s="7" t="n">
        <x:v>1500.19</x:v>
      </x:c>
      <x:c r="J1211" s="9" t="n">
        <x:v>0.15</x:v>
      </x:c>
      <x:c r="K1211" s="7" t="n">
        <x:v>1275.16</x:v>
      </x:c>
      <x:c r="L1211" s="7" t="n">
        <x:v>471.9</x:v>
      </x:c>
      <x:c r="M1211" s="3" t="str">
        <x:v>Cash on Delivery</x:v>
      </x:c>
      <x:c r="N1211" s="3" t="str">
        <x:f>TEXT(B1211,"yyyy-mm")</x:f>
        <x:v>2024-11</x:v>
      </x:c>
      <x:c r="O1211" s="3" t="str">
        <x:f>IF(J1211=0,"No discount",IF(J1211&lt;=0.1,"1-10%",IF(J1211&lt;=0.15,"11-15%",IF(J1211&lt;=0.2,"16-20%","21%+"))))</x:f>
        <x:v>11-15%</x:v>
      </x:c>
      <x:c r="P1211" s="9" t="n">
        <x:f>IF(K1211=0,0,L1211/K1211)</x:f>
        <x:v>0.3700712067505254</x:v>
      </x:c>
      <x:c r="Q1211" s="3" t="str">
        <x:f>IF(L1211&lt;0,"Yes","No")</x:f>
        <x:v>No</x:v>
      </x:c>
    </x:row>
    <x:row r="1212" ht="21" customHeight="1">
      <x:c r="A1212" s="3" t="str">
        <x:v>ORD-101150</x:v>
      </x:c>
      <x:c r="B1212" s="5" t="n">
        <x:v>45614</x:v>
      </x:c>
      <x:c r="C1212" s="3" t="str">
        <x:v>CUST-00229</x:v>
      </x:c>
      <x:c r="D1212" s="3" t="str">
        <x:v>East</x:v>
      </x:c>
      <x:c r="E1212" s="3" t="str">
        <x:v>Electronics</x:v>
      </x:c>
      <x:c r="F1212" s="3" t="str">
        <x:v>Laptop</x:v>
      </x:c>
      <x:c r="G1212" s="3" t="str">
        <x:v>ThinkPro 14</x:v>
      </x:c>
      <x:c r="H1212" s="3" t="n">
        <x:v>1</x:v>
      </x:c>
      <x:c r="I1212" s="7" t="n">
        <x:v>57358.72</x:v>
      </x:c>
      <x:c r="J1212" s="9" t="n">
        <x:v>0.2</x:v>
      </x:c>
      <x:c r="K1212" s="7" t="n">
        <x:v>45886.98</x:v>
      </x:c>
      <x:c r="L1212" s="7" t="n">
        <x:v>-774.19</x:v>
      </x:c>
      <x:c r="M1212" s="3" t="str">
        <x:v>UPI</x:v>
      </x:c>
      <x:c r="N1212" s="3" t="str">
        <x:f>TEXT(B1212,"yyyy-mm")</x:f>
        <x:v>2024-11</x:v>
      </x:c>
      <x:c r="O1212" s="3" t="str">
        <x:f>IF(J1212=0,"No discount",IF(J1212&lt;=0.1,"1-10%",IF(J1212&lt;=0.15,"11-15%",IF(J1212&lt;=0.2,"16-20%","21%+"))))</x:f>
        <x:v>16-20%</x:v>
      </x:c>
      <x:c r="P1212" s="9" t="n">
        <x:f>IF(K1212=0,0,L1212/K1212)</x:f>
        <x:v>-0.016871670351807855</x:v>
      </x:c>
      <x:c r="Q1212" s="3" t="str">
        <x:f>IF(L1212&lt;0,"Yes","No")</x:f>
        <x:v>Yes</x:v>
      </x:c>
    </x:row>
    <x:row r="1213" ht="21" customHeight="1">
      <x:c r="A1213" s="3" t="str">
        <x:v>ORD-101547</x:v>
      </x:c>
      <x:c r="B1213" s="5" t="n">
        <x:v>45614</x:v>
      </x:c>
      <x:c r="C1213" s="3" t="str">
        <x:v>CUST-00250</x:v>
      </x:c>
      <x:c r="D1213" s="3" t="str">
        <x:v>South</x:v>
      </x:c>
      <x:c r="E1213" s="3" t="str">
        <x:v>Beauty</x:v>
      </x:c>
      <x:c r="F1213" s="3" t="str">
        <x:v>Skincare</x:v>
      </x:c>
      <x:c r="G1213" s="3" t="str">
        <x:v>Vitamin C Serum</x:v>
      </x:c>
      <x:c r="H1213" s="3" t="n">
        <x:v>1</x:v>
      </x:c>
      <x:c r="I1213" s="7" t="n">
        <x:v>865.35</x:v>
      </x:c>
      <x:c r="J1213" s="9" t="n">
        <x:v>0.2</x:v>
      </x:c>
      <x:c r="K1213" s="7" t="n">
        <x:v>692.28</x:v>
      </x:c>
      <x:c r="L1213" s="7" t="n">
        <x:v>225.6</x:v>
      </x:c>
      <x:c r="M1213" s="3" t="str">
        <x:v>UPI</x:v>
      </x:c>
      <x:c r="N1213" s="3" t="str">
        <x:f>TEXT(B1213,"yyyy-mm")</x:f>
        <x:v>2024-11</x:v>
      </x:c>
      <x:c r="O1213" s="3" t="str">
        <x:f>IF(J1213=0,"No discount",IF(J1213&lt;=0.1,"1-10%",IF(J1213&lt;=0.15,"11-15%",IF(J1213&lt;=0.2,"16-20%","21%+"))))</x:f>
        <x:v>16-20%</x:v>
      </x:c>
      <x:c r="P1213" s="9" t="n">
        <x:f>IF(K1213=0,0,L1213/K1213)</x:f>
        <x:v>0.32587970185474086</x:v>
      </x:c>
      <x:c r="Q1213" s="3" t="str">
        <x:f>IF(L1213&lt;0,"Yes","No")</x:f>
        <x:v>No</x:v>
      </x:c>
    </x:row>
    <x:row r="1214" ht="21" customHeight="1">
      <x:c r="A1214" s="3" t="str">
        <x:v>ORD-101655</x:v>
      </x:c>
      <x:c r="B1214" s="5" t="n">
        <x:v>45614</x:v>
      </x:c>
      <x:c r="C1214" s="3" t="str">
        <x:v>CUST-00277</x:v>
      </x:c>
      <x:c r="D1214" s="3" t="str">
        <x:v>East</x:v>
      </x:c>
      <x:c r="E1214" s="3" t="str">
        <x:v>Electronics</x:v>
      </x:c>
      <x:c r="F1214" s="3" t="str">
        <x:v>Audio</x:v>
      </x:c>
      <x:c r="G1214" s="3" t="str">
        <x:v>BassBoom Speaker</x:v>
      </x:c>
      <x:c r="H1214" s="3" t="n">
        <x:v>1</x:v>
      </x:c>
      <x:c r="I1214" s="7" t="n">
        <x:v>8754.74</x:v>
      </x:c>
      <x:c r="J1214" s="9" t="n">
        <x:v>0.15</x:v>
      </x:c>
      <x:c r="K1214" s="7" t="n">
        <x:v>7441.53</x:v>
      </x:c>
      <x:c r="L1214" s="7" t="n">
        <x:v>-239.17</x:v>
      </x:c>
      <x:c r="M1214" s="3" t="str">
        <x:v>Credit Card</x:v>
      </x:c>
      <x:c r="N1214" s="3" t="str">
        <x:f>TEXT(B1214,"yyyy-mm")</x:f>
        <x:v>2024-11</x:v>
      </x:c>
      <x:c r="O1214" s="3" t="str">
        <x:f>IF(J1214=0,"No discount",IF(J1214&lt;=0.1,"1-10%",IF(J1214&lt;=0.15,"11-15%",IF(J1214&lt;=0.2,"16-20%","21%+"))))</x:f>
        <x:v>11-15%</x:v>
      </x:c>
      <x:c r="P1214" s="9" t="n">
        <x:f>IF(K1214=0,0,L1214/K1214)</x:f>
        <x:v>-0.032139895962255076</x:v>
      </x:c>
      <x:c r="Q1214" s="3" t="str">
        <x:f>IF(L1214&lt;0,"Yes","No")</x:f>
        <x:v>Yes</x:v>
      </x:c>
    </x:row>
    <x:row r="1215" ht="21" customHeight="1">
      <x:c r="A1215" s="3" t="str">
        <x:v>ORD-101762</x:v>
      </x:c>
      <x:c r="B1215" s="5" t="n">
        <x:v>45614</x:v>
      </x:c>
      <x:c r="C1215" s="3" t="str">
        <x:v>CUST-00214</x:v>
      </x:c>
      <x:c r="D1215" s="3" t="str">
        <x:v>North</x:v>
      </x:c>
      <x:c r="E1215" s="3" t="str">
        <x:v>Beauty</x:v>
      </x:c>
      <x:c r="F1215" s="3" t="str">
        <x:v>Makeup</x:v>
      </x:c>
      <x:c r="G1215" s="3" t="str">
        <x:v>HD Foundation Kit</x:v>
      </x:c>
      <x:c r="H1215" s="3" t="n">
        <x:v>3</x:v>
      </x:c>
      <x:c r="I1215" s="7" t="n">
        <x:v>1565.84</x:v>
      </x:c>
      <x:c r="J1215" s="9" t="n">
        <x:v>0.15</x:v>
      </x:c>
      <x:c r="K1215" s="7" t="n">
        <x:v>3992.89</x:v>
      </x:c>
      <x:c r="L1215" s="7" t="n">
        <x:v>1580.44</x:v>
      </x:c>
      <x:c r="M1215" s="3" t="str">
        <x:v>Credit Card</x:v>
      </x:c>
      <x:c r="N1215" s="3" t="str">
        <x:f>TEXT(B1215,"yyyy-mm")</x:f>
        <x:v>2024-11</x:v>
      </x:c>
      <x:c r="O1215" s="3" t="str">
        <x:f>IF(J1215=0,"No discount",IF(J1215&lt;=0.1,"1-10%",IF(J1215&lt;=0.15,"11-15%",IF(J1215&lt;=0.2,"16-20%","21%+"))))</x:f>
        <x:v>11-15%</x:v>
      </x:c>
      <x:c r="P1215" s="9" t="n">
        <x:f>IF(K1215=0,0,L1215/K1215)</x:f>
        <x:v>0.3958135586004123</x:v>
      </x:c>
      <x:c r="Q1215" s="3" t="str">
        <x:f>IF(L1215&lt;0,"Yes","No")</x:f>
        <x:v>No</x:v>
      </x:c>
    </x:row>
    <x:row r="1216" ht="21" customHeight="1">
      <x:c r="A1216" s="3" t="str">
        <x:v>ORD-101960</x:v>
      </x:c>
      <x:c r="B1216" s="5" t="n">
        <x:v>45614</x:v>
      </x:c>
      <x:c r="C1216" s="3" t="str">
        <x:v>CUST-00354</x:v>
      </x:c>
      <x:c r="D1216" s="3" t="str">
        <x:v>South</x:v>
      </x:c>
      <x:c r="E1216" s="3" t="str">
        <x:v>Home &amp; Kitchen</x:v>
      </x:c>
      <x:c r="F1216" s="3" t="str">
        <x:v>Furniture</x:v>
      </x:c>
      <x:c r="G1216" s="3" t="str">
        <x:v>Oakwood Study Desk</x:v>
      </x:c>
      <x:c r="H1216" s="3" t="n">
        <x:v>2</x:v>
      </x:c>
      <x:c r="I1216" s="7" t="n">
        <x:v>12929.89</x:v>
      </x:c>
      <x:c r="J1216" s="9" t="n">
        <x:v>0.1</x:v>
      </x:c>
      <x:c r="K1216" s="7" t="n">
        <x:v>23273.8</x:v>
      </x:c>
      <x:c r="L1216" s="7" t="n">
        <x:v>5775.96</x:v>
      </x:c>
      <x:c r="M1216" s="3" t="str">
        <x:v>UPI</x:v>
      </x:c>
      <x:c r="N1216" s="3" t="str">
        <x:f>TEXT(B1216,"yyyy-mm")</x:f>
        <x:v>2024-11</x:v>
      </x:c>
      <x:c r="O1216" s="3" t="str">
        <x:f>IF(J1216=0,"No discount",IF(J1216&lt;=0.1,"1-10%",IF(J1216&lt;=0.15,"11-15%",IF(J1216&lt;=0.2,"16-20%","21%+"))))</x:f>
        <x:v>1-10%</x:v>
      </x:c>
      <x:c r="P1216" s="9" t="n">
        <x:f>IF(K1216=0,0,L1216/K1216)</x:f>
        <x:v>0.2481743419639251</x:v>
      </x:c>
      <x:c r="Q1216" s="3" t="str">
        <x:f>IF(L1216&lt;0,"Yes","No")</x:f>
        <x:v>No</x:v>
      </x:c>
    </x:row>
    <x:row r="1217" ht="21" customHeight="1">
      <x:c r="A1217" s="3" t="str">
        <x:v>ORD-100388</x:v>
      </x:c>
      <x:c r="B1217" s="5" t="n">
        <x:v>45615</x:v>
      </x:c>
      <x:c r="C1217" s="3" t="str">
        <x:v>CUST-00545</x:v>
      </x:c>
      <x:c r="D1217" s="3" t="str">
        <x:v>West</x:v>
      </x:c>
      <x:c r="E1217" s="3" t="str">
        <x:v>Electronics</x:v>
      </x:c>
      <x:c r="F1217" s="3" t="str">
        <x:v>Mobile</x:v>
      </x:c>
      <x:c r="G1217" s="3" t="str">
        <x:v>Pixel Aura 12</x:v>
      </x:c>
      <x:c r="H1217" s="3" t="n">
        <x:v>3</x:v>
      </x:c>
      <x:c r="I1217" s="7" t="n">
        <x:v>32111.88</x:v>
      </x:c>
      <x:c r="J1217" s="9" t="n">
        <x:v>0.1</x:v>
      </x:c>
      <x:c r="K1217" s="7" t="n">
        <x:v>86702.08</x:v>
      </x:c>
      <x:c r="L1217" s="7" t="n">
        <x:v>4808.16</x:v>
      </x:c>
      <x:c r="M1217" s="3" t="str">
        <x:v>UPI</x:v>
      </x:c>
      <x:c r="N1217" s="3" t="str">
        <x:f>TEXT(B1217,"yyyy-mm")</x:f>
        <x:v>2024-11</x:v>
      </x:c>
      <x:c r="O1217" s="3" t="str">
        <x:f>IF(J1217=0,"No discount",IF(J1217&lt;=0.1,"1-10%",IF(J1217&lt;=0.15,"11-15%",IF(J1217&lt;=0.2,"16-20%","21%+"))))</x:f>
        <x:v>1-10%</x:v>
      </x:c>
      <x:c r="P1217" s="9" t="n">
        <x:f>IF(K1217=0,0,L1217/K1217)</x:f>
        <x:v>0.05545610901145624</x:v>
      </x:c>
      <x:c r="Q1217" s="3" t="str">
        <x:f>IF(L1217&lt;0,"Yes","No")</x:f>
        <x:v>No</x:v>
      </x:c>
    </x:row>
    <x:row r="1218" ht="21" customHeight="1">
      <x:c r="A1218" s="3" t="str">
        <x:v>ORD-100887</x:v>
      </x:c>
      <x:c r="B1218" s="5" t="n">
        <x:v>45615</x:v>
      </x:c>
      <x:c r="C1218" s="3" t="str">
        <x:v>CUST-00193</x:v>
      </x:c>
      <x:c r="D1218" s="3" t="str">
        <x:v>North</x:v>
      </x:c>
      <x:c r="E1218" s="3" t="str">
        <x:v>Home &amp; Kitchen</x:v>
      </x:c>
      <x:c r="F1218" s="3" t="str">
        <x:v>Appliances</x:v>
      </x:c>
      <x:c r="G1218" s="3" t="str">
        <x:v>AirFryer Deluxe</x:v>
      </x:c>
      <x:c r="H1218" s="3" t="n">
        <x:v>2</x:v>
      </x:c>
      <x:c r="I1218" s="7" t="n">
        <x:v>7847.41</x:v>
      </x:c>
      <x:c r="J1218" s="9" t="n">
        <x:v>0.15</x:v>
      </x:c>
      <x:c r="K1218" s="7" t="n">
        <x:v>13340.6</x:v>
      </x:c>
      <x:c r="L1218" s="7" t="n">
        <x:v>1972.34</x:v>
      </x:c>
      <x:c r="M1218" s="3" t="str">
        <x:v>UPI</x:v>
      </x:c>
      <x:c r="N1218" s="3" t="str">
        <x:f>TEXT(B1218,"yyyy-mm")</x:f>
        <x:v>2024-11</x:v>
      </x:c>
      <x:c r="O1218" s="3" t="str">
        <x:f>IF(J1218=0,"No discount",IF(J1218&lt;=0.1,"1-10%",IF(J1218&lt;=0.15,"11-15%",IF(J1218&lt;=0.2,"16-20%","21%+"))))</x:f>
        <x:v>11-15%</x:v>
      </x:c>
      <x:c r="P1218" s="9" t="n">
        <x:f>IF(K1218=0,0,L1218/K1218)</x:f>
        <x:v>0.1478449245161387</x:v>
      </x:c>
      <x:c r="Q1218" s="3" t="str">
        <x:f>IF(L1218&lt;0,"Yes","No")</x:f>
        <x:v>No</x:v>
      </x:c>
    </x:row>
    <x:row r="1219" ht="21" customHeight="1">
      <x:c r="A1219" s="3" t="str">
        <x:v>ORD-101356</x:v>
      </x:c>
      <x:c r="B1219" s="5" t="n">
        <x:v>45615</x:v>
      </x:c>
      <x:c r="C1219" s="3" t="str">
        <x:v>CUST-00101</x:v>
      </x:c>
      <x:c r="D1219" s="3" t="str">
        <x:v>North</x:v>
      </x:c>
      <x:c r="E1219" s="3" t="str">
        <x:v>Beauty</x:v>
      </x:c>
      <x:c r="F1219" s="3" t="str">
        <x:v>Skincare</x:v>
      </x:c>
      <x:c r="G1219" s="3" t="str">
        <x:v>HydraBoost Moisturizer</x:v>
      </x:c>
      <x:c r="H1219" s="3" t="n">
        <x:v>1</x:v>
      </x:c>
      <x:c r="I1219" s="7" t="n">
        <x:v>1230.95</x:v>
      </x:c>
      <x:c r="J1219" s="9" t="n">
        <x:v>0.15</x:v>
      </x:c>
      <x:c r="K1219" s="7" t="n">
        <x:v>1046.31</x:v>
      </x:c>
      <x:c r="L1219" s="7" t="n">
        <x:v>399.2</x:v>
      </x:c>
      <x:c r="M1219" s="3" t="str">
        <x:v>UPI</x:v>
      </x:c>
      <x:c r="N1219" s="3" t="str">
        <x:f>TEXT(B1219,"yyyy-mm")</x:f>
        <x:v>2024-11</x:v>
      </x:c>
      <x:c r="O1219" s="3" t="str">
        <x:f>IF(J1219=0,"No discount",IF(J1219&lt;=0.1,"1-10%",IF(J1219&lt;=0.15,"11-15%",IF(J1219&lt;=0.2,"16-20%","21%+"))))</x:f>
        <x:v>11-15%</x:v>
      </x:c>
      <x:c r="P1219" s="9" t="n">
        <x:f>IF(K1219=0,0,L1219/K1219)</x:f>
        <x:v>0.3815312861389072</x:v>
      </x:c>
      <x:c r="Q1219" s="3" t="str">
        <x:f>IF(L1219&lt;0,"Yes","No")</x:f>
        <x:v>No</x:v>
      </x:c>
    </x:row>
    <x:row r="1220" ht="21" customHeight="1">
      <x:c r="A1220" s="3" t="str">
        <x:v>ORD-101620</x:v>
      </x:c>
      <x:c r="B1220" s="5" t="n">
        <x:v>45615</x:v>
      </x:c>
      <x:c r="C1220" s="3" t="str">
        <x:v>CUST-00048</x:v>
      </x:c>
      <x:c r="D1220" s="3" t="str">
        <x:v>North</x:v>
      </x:c>
      <x:c r="E1220" s="3" t="str">
        <x:v>Electronics</x:v>
      </x:c>
      <x:c r="F1220" s="3" t="str">
        <x:v>Audio</x:v>
      </x:c>
      <x:c r="G1220" s="3" t="str">
        <x:v>SoundPods Pro</x:v>
      </x:c>
      <x:c r="H1220" s="3" t="n">
        <x:v>2</x:v>
      </x:c>
      <x:c r="I1220" s="7" t="n">
        <x:v>5176.6</x:v>
      </x:c>
      <x:c r="J1220" s="9" t="n">
        <x:v>0</x:v>
      </x:c>
      <x:c r="K1220" s="7" t="n">
        <x:v>10353.2</x:v>
      </x:c>
      <x:c r="L1220" s="7" t="n">
        <x:v>1866.38</x:v>
      </x:c>
      <x:c r="M1220" s="3" t="str">
        <x:v>UPI</x:v>
      </x:c>
      <x:c r="N1220" s="3" t="str">
        <x:f>TEXT(B1220,"yyyy-mm")</x:f>
        <x:v>2024-11</x:v>
      </x:c>
      <x:c r="O1220" s="3" t="str">
        <x:f>IF(J1220=0,"No discount",IF(J1220&lt;=0.1,"1-10%",IF(J1220&lt;=0.15,"11-15%",IF(J1220&lt;=0.2,"16-20%","21%+"))))</x:f>
        <x:v>No discount</x:v>
      </x:c>
      <x:c r="P1220" s="9" t="n">
        <x:f>IF(K1220=0,0,L1220/K1220)</x:f>
        <x:v>0.18027083413823744</x:v>
      </x:c>
      <x:c r="Q1220" s="3" t="str">
        <x:f>IF(L1220&lt;0,"Yes","No")</x:f>
        <x:v>No</x:v>
      </x:c>
    </x:row>
    <x:row r="1221" ht="21" customHeight="1">
      <x:c r="A1221" s="3" t="str">
        <x:v>ORD-100241</x:v>
      </x:c>
      <x:c r="B1221" s="5" t="n">
        <x:v>45616</x:v>
      </x:c>
      <x:c r="C1221" s="3" t="str">
        <x:v>CUST-00576</x:v>
      </x:c>
      <x:c r="D1221" s="3" t="str">
        <x:v>East</x:v>
      </x:c>
      <x:c r="E1221" s="3" t="str">
        <x:v>Beauty</x:v>
      </x:c>
      <x:c r="F1221" s="3" t="str">
        <x:v>Skincare</x:v>
      </x:c>
      <x:c r="G1221" s="3" t="str">
        <x:v>HydraBoost Moisturizer</x:v>
      </x:c>
      <x:c r="H1221" s="3" t="n">
        <x:v>1</x:v>
      </x:c>
      <x:c r="I1221" s="7" t="n">
        <x:v>1157.93</x:v>
      </x:c>
      <x:c r="J1221" s="9" t="n">
        <x:v>0</x:v>
      </x:c>
      <x:c r="K1221" s="7" t="n">
        <x:v>1157.93</x:v>
      </x:c>
      <x:c r="L1221" s="7" t="n">
        <x:v>678.43</x:v>
      </x:c>
      <x:c r="M1221" s="3" t="str">
        <x:v>Cash on Delivery</x:v>
      </x:c>
      <x:c r="N1221" s="3" t="str">
        <x:f>TEXT(B1221,"yyyy-mm")</x:f>
        <x:v>2024-11</x:v>
      </x:c>
      <x:c r="O1221" s="3" t="str">
        <x:f>IF(J1221=0,"No discount",IF(J1221&lt;=0.1,"1-10%",IF(J1221&lt;=0.15,"11-15%",IF(J1221&lt;=0.2,"16-20%","21%+"))))</x:f>
        <x:v>No discount</x:v>
      </x:c>
      <x:c r="P1221" s="9" t="n">
        <x:f>IF(K1221=0,0,L1221/K1221)</x:f>
        <x:v>0.5858989748948554</x:v>
      </x:c>
      <x:c r="Q1221" s="3" t="str">
        <x:f>IF(L1221&lt;0,"Yes","No")</x:f>
        <x:v>No</x:v>
      </x:c>
    </x:row>
    <x:row r="1222" ht="21" customHeight="1">
      <x:c r="A1222" s="3" t="str">
        <x:v>ORD-100745</x:v>
      </x:c>
      <x:c r="B1222" s="5" t="n">
        <x:v>45616</x:v>
      </x:c>
      <x:c r="C1222" s="3" t="str">
        <x:v>CUST-00470</x:v>
      </x:c>
      <x:c r="D1222" s="3" t="str">
        <x:v>West</x:v>
      </x:c>
      <x:c r="E1222" s="3" t="str">
        <x:v>Sports</x:v>
      </x:c>
      <x:c r="F1222" s="3" t="str">
        <x:v>Fitness</x:v>
      </x:c>
      <x:c r="G1222" s="3" t="str">
        <x:v>ProYoga Mat</x:v>
      </x:c>
      <x:c r="H1222" s="3" t="n">
        <x:v>1</x:v>
      </x:c>
      <x:c r="I1222" s="7" t="n">
        <x:v>1314.13</x:v>
      </x:c>
      <x:c r="J1222" s="9" t="n">
        <x:v>0.1</x:v>
      </x:c>
      <x:c r="K1222" s="7" t="n">
        <x:v>1182.72</x:v>
      </x:c>
      <x:c r="L1222" s="7" t="n">
        <x:v>296.74</x:v>
      </x:c>
      <x:c r="M1222" s="3" t="str">
        <x:v>Cash on Delivery</x:v>
      </x:c>
      <x:c r="N1222" s="3" t="str">
        <x:f>TEXT(B1222,"yyyy-mm")</x:f>
        <x:v>2024-11</x:v>
      </x:c>
      <x:c r="O1222" s="3" t="str">
        <x:f>IF(J1222=0,"No discount",IF(J1222&lt;=0.1,"1-10%",IF(J1222&lt;=0.15,"11-15%",IF(J1222&lt;=0.2,"16-20%","21%+"))))</x:f>
        <x:v>1-10%</x:v>
      </x:c>
      <x:c r="P1222" s="9" t="n">
        <x:f>IF(K1222=0,0,L1222/K1222)</x:f>
        <x:v>0.25089623917748916</x:v>
      </x:c>
      <x:c r="Q1222" s="3" t="str">
        <x:f>IF(L1222&lt;0,"Yes","No")</x:f>
        <x:v>No</x:v>
      </x:c>
    </x:row>
    <x:row r="1223" ht="21" customHeight="1">
      <x:c r="A1223" s="3" t="str">
        <x:v>ORD-100769</x:v>
      </x:c>
      <x:c r="B1223" s="5" t="n">
        <x:v>45616</x:v>
      </x:c>
      <x:c r="C1223" s="3" t="str">
        <x:v>CUST-00410</x:v>
      </x:c>
      <x:c r="D1223" s="3" t="str">
        <x:v>South</x:v>
      </x:c>
      <x:c r="E1223" s="3" t="str">
        <x:v>Electronics</x:v>
      </x:c>
      <x:c r="F1223" s="3" t="str">
        <x:v>Audio</x:v>
      </x:c>
      <x:c r="G1223" s="3" t="str">
        <x:v>SoundPods Pro</x:v>
      </x:c>
      <x:c r="H1223" s="3" t="n">
        <x:v>1</x:v>
      </x:c>
      <x:c r="I1223" s="7" t="n">
        <x:v>4983.95</x:v>
      </x:c>
      <x:c r="J1223" s="9" t="n">
        <x:v>0</x:v>
      </x:c>
      <x:c r="K1223" s="7" t="n">
        <x:v>4983.95</x:v>
      </x:c>
      <x:c r="L1223" s="7" t="n">
        <x:v>1028.63</x:v>
      </x:c>
      <x:c r="M1223" s="3" t="str">
        <x:v>UPI</x:v>
      </x:c>
      <x:c r="N1223" s="3" t="str">
        <x:f>TEXT(B1223,"yyyy-mm")</x:f>
        <x:v>2024-11</x:v>
      </x:c>
      <x:c r="O1223" s="3" t="str">
        <x:f>IF(J1223=0,"No discount",IF(J1223&lt;=0.1,"1-10%",IF(J1223&lt;=0.15,"11-15%",IF(J1223&lt;=0.2,"16-20%","21%+"))))</x:f>
        <x:v>No discount</x:v>
      </x:c>
      <x:c r="P1223" s="9" t="n">
        <x:f>IF(K1223=0,0,L1223/K1223)</x:f>
        <x:v>0.20638850710781612</x:v>
      </x:c>
      <x:c r="Q1223" s="3" t="str">
        <x:f>IF(L1223&lt;0,"Yes","No")</x:f>
        <x:v>No</x:v>
      </x:c>
    </x:row>
    <x:row r="1224" ht="21" customHeight="1">
      <x:c r="A1224" s="3" t="str">
        <x:v>ORD-101161</x:v>
      </x:c>
      <x:c r="B1224" s="5" t="n">
        <x:v>45616</x:v>
      </x:c>
      <x:c r="C1224" s="3" t="str">
        <x:v>CUST-00550</x:v>
      </x:c>
      <x:c r="D1224" s="3" t="str">
        <x:v>North</x:v>
      </x:c>
      <x:c r="E1224" s="3" t="str">
        <x:v>Beauty</x:v>
      </x:c>
      <x:c r="F1224" s="3" t="str">
        <x:v>Skincare</x:v>
      </x:c>
      <x:c r="G1224" s="3" t="str">
        <x:v>Vitamin C Serum</x:v>
      </x:c>
      <x:c r="H1224" s="3" t="n">
        <x:v>1</x:v>
      </x:c>
      <x:c r="I1224" s="7" t="n">
        <x:v>903.64</x:v>
      </x:c>
      <x:c r="J1224" s="9" t="n">
        <x:v>0.1</x:v>
      </x:c>
      <x:c r="K1224" s="7" t="n">
        <x:v>813.28</x:v>
      </x:c>
      <x:c r="L1224" s="7" t="n">
        <x:v>370.8</x:v>
      </x:c>
      <x:c r="M1224" s="3" t="str">
        <x:v>Debit Card</x:v>
      </x:c>
      <x:c r="N1224" s="3" t="str">
        <x:f>TEXT(B1224,"yyyy-mm")</x:f>
        <x:v>2024-11</x:v>
      </x:c>
      <x:c r="O1224" s="3" t="str">
        <x:f>IF(J1224=0,"No discount",IF(J1224&lt;=0.1,"1-10%",IF(J1224&lt;=0.15,"11-15%",IF(J1224&lt;=0.2,"16-20%","21%+"))))</x:f>
        <x:v>1-10%</x:v>
      </x:c>
      <x:c r="P1224" s="9" t="n">
        <x:f>IF(K1224=0,0,L1224/K1224)</x:f>
        <x:v>0.4559315364941964</x:v>
      </x:c>
      <x:c r="Q1224" s="3" t="str">
        <x:f>IF(L1224&lt;0,"Yes","No")</x:f>
        <x:v>No</x:v>
      </x:c>
    </x:row>
    <x:row r="1225" ht="21" customHeight="1">
      <x:c r="A1225" s="3" t="str">
        <x:v>ORD-101819</x:v>
      </x:c>
      <x:c r="B1225" s="5" t="n">
        <x:v>45616</x:v>
      </x:c>
      <x:c r="C1225" s="3" t="str">
        <x:v>CUST-00138</x:v>
      </x:c>
      <x:c r="D1225" s="3" t="str">
        <x:v>South</x:v>
      </x:c>
      <x:c r="E1225" s="3" t="str">
        <x:v>Home &amp; Kitchen</x:v>
      </x:c>
      <x:c r="F1225" s="3" t="str">
        <x:v>Appliances</x:v>
      </x:c>
      <x:c r="G1225" s="3" t="str">
        <x:v>AirFryer Deluxe</x:v>
      </x:c>
      <x:c r="H1225" s="3" t="n">
        <x:v>1</x:v>
      </x:c>
      <x:c r="I1225" s="7" t="n">
        <x:v>7807.6</x:v>
      </x:c>
      <x:c r="J1225" s="9" t="n">
        <x:v>0</x:v>
      </x:c>
      <x:c r="K1225" s="7" t="n">
        <x:v>7807.6</x:v>
      </x:c>
      <x:c r="L1225" s="7" t="n">
        <x:v>2752.44</x:v>
      </x:c>
      <x:c r="M1225" s="3" t="str">
        <x:v>Credit Card</x:v>
      </x:c>
      <x:c r="N1225" s="3" t="str">
        <x:f>TEXT(B1225,"yyyy-mm")</x:f>
        <x:v>2024-11</x:v>
      </x:c>
      <x:c r="O1225" s="3" t="str">
        <x:f>IF(J1225=0,"No discount",IF(J1225&lt;=0.1,"1-10%",IF(J1225&lt;=0.15,"11-15%",IF(J1225&lt;=0.2,"16-20%","21%+"))))</x:f>
        <x:v>No discount</x:v>
      </x:c>
      <x:c r="P1225" s="9" t="n">
        <x:f>IF(K1225=0,0,L1225/K1225)</x:f>
        <x:v>0.35253342896664785</x:v>
      </x:c>
      <x:c r="Q1225" s="3" t="str">
        <x:f>IF(L1225&lt;0,"Yes","No")</x:f>
        <x:v>No</x:v>
      </x:c>
    </x:row>
    <x:row r="1226" ht="21" customHeight="1">
      <x:c r="A1226" s="3" t="str">
        <x:v>ORD-100855</x:v>
      </x:c>
      <x:c r="B1226" s="5" t="n">
        <x:v>45617</x:v>
      </x:c>
      <x:c r="C1226" s="3" t="str">
        <x:v>CUST-00453</x:v>
      </x:c>
      <x:c r="D1226" s="3" t="str">
        <x:v>East</x:v>
      </x:c>
      <x:c r="E1226" s="3" t="str">
        <x:v>Electronics</x:v>
      </x:c>
      <x:c r="F1226" s="3" t="str">
        <x:v>Laptop</x:v>
      </x:c>
      <x:c r="G1226" s="3" t="str">
        <x:v>AirBook Slim</x:v>
      </x:c>
      <x:c r="H1226" s="3" t="n">
        <x:v>1</x:v>
      </x:c>
      <x:c r="I1226" s="7" t="n">
        <x:v>81233.31</x:v>
      </x:c>
      <x:c r="J1226" s="9" t="n">
        <x:v>0.2</x:v>
      </x:c>
      <x:c r="K1226" s="7" t="n">
        <x:v>64986.65</x:v>
      </x:c>
      <x:c r="L1226" s="7" t="n">
        <x:v>-5532.69</x:v>
      </x:c>
      <x:c r="M1226" s="3" t="str">
        <x:v>UPI</x:v>
      </x:c>
      <x:c r="N1226" s="3" t="str">
        <x:f>TEXT(B1226,"yyyy-mm")</x:f>
        <x:v>2024-11</x:v>
      </x:c>
      <x:c r="O1226" s="3" t="str">
        <x:f>IF(J1226=0,"No discount",IF(J1226&lt;=0.1,"1-10%",IF(J1226&lt;=0.15,"11-15%",IF(J1226&lt;=0.2,"16-20%","21%+"))))</x:f>
        <x:v>16-20%</x:v>
      </x:c>
      <x:c r="P1226" s="9" t="n">
        <x:f>IF(K1226=0,0,L1226/K1226)</x:f>
        <x:v>-0.08513579327446483</x:v>
      </x:c>
      <x:c r="Q1226" s="3" t="str">
        <x:f>IF(L1226&lt;0,"Yes","No")</x:f>
        <x:v>Yes</x:v>
      </x:c>
    </x:row>
    <x:row r="1227" ht="21" customHeight="1">
      <x:c r="A1227" s="3" t="str">
        <x:v>ORD-100911</x:v>
      </x:c>
      <x:c r="B1227" s="5" t="n">
        <x:v>45617</x:v>
      </x:c>
      <x:c r="C1227" s="3" t="str">
        <x:v>CUST-00231</x:v>
      </x:c>
      <x:c r="D1227" s="3" t="str">
        <x:v>East</x:v>
      </x:c>
      <x:c r="E1227" s="3" t="str">
        <x:v>Electronics</x:v>
      </x:c>
      <x:c r="F1227" s="3" t="str">
        <x:v>Laptop</x:v>
      </x:c>
      <x:c r="G1227" s="3" t="str">
        <x:v>ThinkPro 14</x:v>
      </x:c>
      <x:c r="H1227" s="3" t="n">
        <x:v>1</x:v>
      </x:c>
      <x:c r="I1227" s="7" t="n">
        <x:v>52962.76</x:v>
      </x:c>
      <x:c r="J1227" s="9" t="n">
        <x:v>0.05</x:v>
      </x:c>
      <x:c r="K1227" s="7" t="n">
        <x:v>50314.62</x:v>
      </x:c>
      <x:c r="L1227" s="7" t="n">
        <x:v>5225.89</x:v>
      </x:c>
      <x:c r="M1227" s="3" t="str">
        <x:v>Cash on Delivery</x:v>
      </x:c>
      <x:c r="N1227" s="3" t="str">
        <x:f>TEXT(B1227,"yyyy-mm")</x:f>
        <x:v>2024-11</x:v>
      </x:c>
      <x:c r="O1227" s="3" t="str">
        <x:f>IF(J1227=0,"No discount",IF(J1227&lt;=0.1,"1-10%",IF(J1227&lt;=0.15,"11-15%",IF(J1227&lt;=0.2,"16-20%","21%+"))))</x:f>
        <x:v>1-10%</x:v>
      </x:c>
      <x:c r="P1227" s="9" t="n">
        <x:f>IF(K1227=0,0,L1227/K1227)</x:f>
        <x:v>0.10386424462710839</x:v>
      </x:c>
      <x:c r="Q1227" s="3" t="str">
        <x:f>IF(L1227&lt;0,"Yes","No")</x:f>
        <x:v>No</x:v>
      </x:c>
    </x:row>
    <x:row r="1228" ht="21" customHeight="1">
      <x:c r="A1228" s="3" t="str">
        <x:v>ORD-100917</x:v>
      </x:c>
      <x:c r="B1228" s="5" t="n">
        <x:v>45617</x:v>
      </x:c>
      <x:c r="C1228" s="3" t="str">
        <x:v>CUST-00546</x:v>
      </x:c>
      <x:c r="D1228" s="3" t="str">
        <x:v>South</x:v>
      </x:c>
      <x:c r="E1228" s="3" t="str">
        <x:v>Sports</x:v>
      </x:c>
      <x:c r="F1228" s="3" t="str">
        <x:v>Outdoor</x:v>
      </x:c>
      <x:c r="G1228" s="3" t="str">
        <x:v>AllWeather Tent 4P</x:v>
      </x:c>
      <x:c r="H1228" s="3" t="n">
        <x:v>2</x:v>
      </x:c>
      <x:c r="I1228" s="7" t="n">
        <x:v>12118.09</x:v>
      </x:c>
      <x:c r="J1228" s="9" t="n">
        <x:v>0.05</x:v>
      </x:c>
      <x:c r="K1228" s="7" t="n">
        <x:v>23024.37</x:v>
      </x:c>
      <x:c r="L1228" s="7" t="n">
        <x:v>7092.71</x:v>
      </x:c>
      <x:c r="M1228" s="3" t="str">
        <x:v>UPI</x:v>
      </x:c>
      <x:c r="N1228" s="3" t="str">
        <x:f>TEXT(B1228,"yyyy-mm")</x:f>
        <x:v>2024-11</x:v>
      </x:c>
      <x:c r="O1228" s="3" t="str">
        <x:f>IF(J1228=0,"No discount",IF(J1228&lt;=0.1,"1-10%",IF(J1228&lt;=0.15,"11-15%",IF(J1228&lt;=0.2,"16-20%","21%+"))))</x:f>
        <x:v>1-10%</x:v>
      </x:c>
      <x:c r="P1228" s="9" t="n">
        <x:f>IF(K1228=0,0,L1228/K1228)</x:f>
        <x:v>0.3080522941561485</x:v>
      </x:c>
      <x:c r="Q1228" s="3" t="str">
        <x:f>IF(L1228&lt;0,"Yes","No")</x:f>
        <x:v>No</x:v>
      </x:c>
    </x:row>
    <x:row r="1229" ht="21" customHeight="1">
      <x:c r="A1229" s="3" t="str">
        <x:v>ORD-101016</x:v>
      </x:c>
      <x:c r="B1229" s="5" t="n">
        <x:v>45617</x:v>
      </x:c>
      <x:c r="C1229" s="3" t="str">
        <x:v>CUST-00015</x:v>
      </x:c>
      <x:c r="D1229" s="3" t="str">
        <x:v>North</x:v>
      </x:c>
      <x:c r="E1229" s="3" t="str">
        <x:v>Sports</x:v>
      </x:c>
      <x:c r="F1229" s="3" t="str">
        <x:v>Fitness</x:v>
      </x:c>
      <x:c r="G1229" s="3" t="str">
        <x:v>Adjustable Dumbbell 24kg</x:v>
      </x:c>
      <x:c r="H1229" s="3" t="n">
        <x:v>2</x:v>
      </x:c>
      <x:c r="I1229" s="7" t="n">
        <x:v>10432.57</x:v>
      </x:c>
      <x:c r="J1229" s="9" t="n">
        <x:v>0</x:v>
      </x:c>
      <x:c r="K1229" s="7" t="n">
        <x:v>20865.14</x:v>
      </x:c>
      <x:c r="L1229" s="7" t="n">
        <x:v>8374.08</x:v>
      </x:c>
      <x:c r="M1229" s="3" t="str">
        <x:v>UPI</x:v>
      </x:c>
      <x:c r="N1229" s="3" t="str">
        <x:f>TEXT(B1229,"yyyy-mm")</x:f>
        <x:v>2024-11</x:v>
      </x:c>
      <x:c r="O1229" s="3" t="str">
        <x:f>IF(J1229=0,"No discount",IF(J1229&lt;=0.1,"1-10%",IF(J1229&lt;=0.15,"11-15%",IF(J1229&lt;=0.2,"16-20%","21%+"))))</x:f>
        <x:v>No discount</x:v>
      </x:c>
      <x:c r="P1229" s="9" t="n">
        <x:f>IF(K1229=0,0,L1229/K1229)</x:f>
        <x:v>0.4013431014601388</x:v>
      </x:c>
      <x:c r="Q1229" s="3" t="str">
        <x:f>IF(L1229&lt;0,"Yes","No")</x:f>
        <x:v>No</x:v>
      </x:c>
    </x:row>
    <x:row r="1230" ht="21" customHeight="1">
      <x:c r="A1230" s="3" t="str">
        <x:v>ORD-101775</x:v>
      </x:c>
      <x:c r="B1230" s="5" t="n">
        <x:v>45617</x:v>
      </x:c>
      <x:c r="C1230" s="3" t="str">
        <x:v>CUST-00043</x:v>
      </x:c>
      <x:c r="D1230" s="3" t="str">
        <x:v>South</x:v>
      </x:c>
      <x:c r="E1230" s="3" t="str">
        <x:v>Home &amp; Kitchen</x:v>
      </x:c>
      <x:c r="F1230" s="3" t="str">
        <x:v>Furniture</x:v>
      </x:c>
      <x:c r="G1230" s="3" t="str">
        <x:v>Oakwood Study Desk</x:v>
      </x:c>
      <x:c r="H1230" s="3" t="n">
        <x:v>3</x:v>
      </x:c>
      <x:c r="I1230" s="7" t="n">
        <x:v>12611.1</x:v>
      </x:c>
      <x:c r="J1230" s="9" t="n">
        <x:v>0.2</x:v>
      </x:c>
      <x:c r="K1230" s="7" t="n">
        <x:v>30266.64</x:v>
      </x:c>
      <x:c r="L1230" s="7" t="n">
        <x:v>2800.36</x:v>
      </x:c>
      <x:c r="M1230" s="3" t="str">
        <x:v>Credit Card</x:v>
      </x:c>
      <x:c r="N1230" s="3" t="str">
        <x:f>TEXT(B1230,"yyyy-mm")</x:f>
        <x:v>2024-11</x:v>
      </x:c>
      <x:c r="O1230" s="3" t="str">
        <x:f>IF(J1230=0,"No discount",IF(J1230&lt;=0.1,"1-10%",IF(J1230&lt;=0.15,"11-15%",IF(J1230&lt;=0.2,"16-20%","21%+"))))</x:f>
        <x:v>16-20%</x:v>
      </x:c>
      <x:c r="P1230" s="9" t="n">
        <x:f>IF(K1230=0,0,L1230/K1230)</x:f>
        <x:v>0.09252298900703877</x:v>
      </x:c>
      <x:c r="Q1230" s="3" t="str">
        <x:f>IF(L1230&lt;0,"Yes","No")</x:f>
        <x:v>No</x:v>
      </x:c>
    </x:row>
    <x:row r="1231" ht="21" customHeight="1">
      <x:c r="A1231" s="3" t="str">
        <x:v>ORD-100140</x:v>
      </x:c>
      <x:c r="B1231" s="5" t="n">
        <x:v>45618</x:v>
      </x:c>
      <x:c r="C1231" s="3" t="str">
        <x:v>CUST-00307</x:v>
      </x:c>
      <x:c r="D1231" s="3" t="str">
        <x:v>South</x:v>
      </x:c>
      <x:c r="E1231" s="3" t="str">
        <x:v>Electronics</x:v>
      </x:c>
      <x:c r="F1231" s="3" t="str">
        <x:v>Mobile</x:v>
      </x:c>
      <x:c r="G1231" s="3" t="str">
        <x:v>iPhone Zeta</x:v>
      </x:c>
      <x:c r="H1231" s="3" t="n">
        <x:v>1</x:v>
      </x:c>
      <x:c r="I1231" s="7" t="n">
        <x:v>69697.92</x:v>
      </x:c>
      <x:c r="J1231" s="9" t="n">
        <x:v>0.05</x:v>
      </x:c>
      <x:c r="K1231" s="7" t="n">
        <x:v>66213.02</x:v>
      </x:c>
      <x:c r="L1231" s="7" t="n">
        <x:v>8673.96</x:v>
      </x:c>
      <x:c r="M1231" s="3" t="str">
        <x:v>UPI</x:v>
      </x:c>
      <x:c r="N1231" s="3" t="str">
        <x:f>TEXT(B1231,"yyyy-mm")</x:f>
        <x:v>2024-11</x:v>
      </x:c>
      <x:c r="O1231" s="3" t="str">
        <x:f>IF(J1231=0,"No discount",IF(J1231&lt;=0.1,"1-10%",IF(J1231&lt;=0.15,"11-15%",IF(J1231&lt;=0.2,"16-20%","21%+"))))</x:f>
        <x:v>1-10%</x:v>
      </x:c>
      <x:c r="P1231" s="9" t="n">
        <x:f>IF(K1231=0,0,L1231/K1231)</x:f>
        <x:v>0.13100082128862267</x:v>
      </x:c>
      <x:c r="Q1231" s="3" t="str">
        <x:f>IF(L1231&lt;0,"Yes","No")</x:f>
        <x:v>No</x:v>
      </x:c>
    </x:row>
    <x:row r="1232" ht="21" customHeight="1">
      <x:c r="A1232" s="3" t="str">
        <x:v>ORD-100419</x:v>
      </x:c>
      <x:c r="B1232" s="5" t="n">
        <x:v>45618</x:v>
      </x:c>
      <x:c r="C1232" s="3" t="str">
        <x:v>CUST-00291</x:v>
      </x:c>
      <x:c r="D1232" s="3" t="str">
        <x:v>North</x:v>
      </x:c>
      <x:c r="E1232" s="3" t="str">
        <x:v>Electronics</x:v>
      </x:c>
      <x:c r="F1232" s="3" t="str">
        <x:v>Laptop</x:v>
      </x:c>
      <x:c r="G1232" s="3" t="str">
        <x:v>ThinkPro 14</x:v>
      </x:c>
      <x:c r="H1232" s="3" t="n">
        <x:v>1</x:v>
      </x:c>
      <x:c r="I1232" s="7" t="n">
        <x:v>57519.59</x:v>
      </x:c>
      <x:c r="J1232" s="9" t="n">
        <x:v>0</x:v>
      </x:c>
      <x:c r="K1232" s="7" t="n">
        <x:v>57519.59</x:v>
      </x:c>
      <x:c r="L1232" s="7" t="n">
        <x:v>10627.9</x:v>
      </x:c>
      <x:c r="M1232" s="3" t="str">
        <x:v>Credit Card</x:v>
      </x:c>
      <x:c r="N1232" s="3" t="str">
        <x:f>TEXT(B1232,"yyyy-mm")</x:f>
        <x:v>2024-11</x:v>
      </x:c>
      <x:c r="O1232" s="3" t="str">
        <x:f>IF(J1232=0,"No discount",IF(J1232&lt;=0.1,"1-10%",IF(J1232&lt;=0.15,"11-15%",IF(J1232&lt;=0.2,"16-20%","21%+"))))</x:f>
        <x:v>No discount</x:v>
      </x:c>
      <x:c r="P1232" s="9" t="n">
        <x:f>IF(K1232=0,0,L1232/K1232)</x:f>
        <x:v>0.1847700931108862</x:v>
      </x:c>
      <x:c r="Q1232" s="3" t="str">
        <x:f>IF(L1232&lt;0,"Yes","No")</x:f>
        <x:v>No</x:v>
      </x:c>
    </x:row>
    <x:row r="1233" ht="21" customHeight="1">
      <x:c r="A1233" s="3" t="str">
        <x:v>ORD-101037</x:v>
      </x:c>
      <x:c r="B1233" s="5" t="n">
        <x:v>45618</x:v>
      </x:c>
      <x:c r="C1233" s="3" t="str">
        <x:v>CUST-00117</x:v>
      </x:c>
      <x:c r="D1233" s="3" t="str">
        <x:v>North</x:v>
      </x:c>
      <x:c r="E1233" s="3" t="str">
        <x:v>Sports</x:v>
      </x:c>
      <x:c r="F1233" s="3" t="str">
        <x:v>Outdoor</x:v>
      </x:c>
      <x:c r="G1233" s="3" t="str">
        <x:v>AllWeather Tent 4P</x:v>
      </x:c>
      <x:c r="H1233" s="3" t="n">
        <x:v>1</x:v>
      </x:c>
      <x:c r="I1233" s="7" t="n">
        <x:v>11712.93</x:v>
      </x:c>
      <x:c r="J1233" s="9" t="n">
        <x:v>0.05</x:v>
      </x:c>
      <x:c r="K1233" s="7" t="n">
        <x:v>11127.28</x:v>
      </x:c>
      <x:c r="L1233" s="7" t="n">
        <x:v>3315.18</x:v>
      </x:c>
      <x:c r="M1233" s="3" t="str">
        <x:v>UPI</x:v>
      </x:c>
      <x:c r="N1233" s="3" t="str">
        <x:f>TEXT(B1233,"yyyy-mm")</x:f>
        <x:v>2024-11</x:v>
      </x:c>
      <x:c r="O1233" s="3" t="str">
        <x:f>IF(J1233=0,"No discount",IF(J1233&lt;=0.1,"1-10%",IF(J1233&lt;=0.15,"11-15%",IF(J1233&lt;=0.2,"16-20%","21%+"))))</x:f>
        <x:v>1-10%</x:v>
      </x:c>
      <x:c r="P1233" s="9" t="n">
        <x:f>IF(K1233=0,0,L1233/K1233)</x:f>
        <x:v>0.2979326484100337</x:v>
      </x:c>
      <x:c r="Q1233" s="3" t="str">
        <x:f>IF(L1233&lt;0,"Yes","No")</x:f>
        <x:v>No</x:v>
      </x:c>
    </x:row>
    <x:row r="1234" ht="21" customHeight="1">
      <x:c r="A1234" s="3" t="str">
        <x:v>ORD-101045</x:v>
      </x:c>
      <x:c r="B1234" s="5" t="n">
        <x:v>45618</x:v>
      </x:c>
      <x:c r="C1234" s="3" t="str">
        <x:v>CUST-00492</x:v>
      </x:c>
      <x:c r="D1234" s="3" t="str">
        <x:v>East</x:v>
      </x:c>
      <x:c r="E1234" s="3" t="str">
        <x:v>Electronics</x:v>
      </x:c>
      <x:c r="F1234" s="3" t="str">
        <x:v>Audio</x:v>
      </x:c>
      <x:c r="G1234" s="3" t="str">
        <x:v>SoundPods Pro</x:v>
      </x:c>
      <x:c r="H1234" s="3" t="n">
        <x:v>1</x:v>
      </x:c>
      <x:c r="I1234" s="7" t="n">
        <x:v>5206.2</x:v>
      </x:c>
      <x:c r="J1234" s="9" t="n">
        <x:v>0.15</x:v>
      </x:c>
      <x:c r="K1234" s="7" t="n">
        <x:v>4425.27</x:v>
      </x:c>
      <x:c r="L1234" s="7" t="n">
        <x:v>103.31</x:v>
      </x:c>
      <x:c r="M1234" s="3" t="str">
        <x:v>Cash on Delivery</x:v>
      </x:c>
      <x:c r="N1234" s="3" t="str">
        <x:f>TEXT(B1234,"yyyy-mm")</x:f>
        <x:v>2024-11</x:v>
      </x:c>
      <x:c r="O1234" s="3" t="str">
        <x:f>IF(J1234=0,"No discount",IF(J1234&lt;=0.1,"1-10%",IF(J1234&lt;=0.15,"11-15%",IF(J1234&lt;=0.2,"16-20%","21%+"))))</x:f>
        <x:v>11-15%</x:v>
      </x:c>
      <x:c r="P1234" s="9" t="n">
        <x:f>IF(K1234=0,0,L1234/K1234)</x:f>
        <x:v>0.023345468186121977</x:v>
      </x:c>
      <x:c r="Q1234" s="3" t="str">
        <x:f>IF(L1234&lt;0,"Yes","No")</x:f>
        <x:v>No</x:v>
      </x:c>
    </x:row>
    <x:row r="1235" ht="21" customHeight="1">
      <x:c r="A1235" s="3" t="str">
        <x:v>ORD-100126</x:v>
      </x:c>
      <x:c r="B1235" s="5" t="n">
        <x:v>45619</x:v>
      </x:c>
      <x:c r="C1235" s="3" t="str">
        <x:v>CUST-00067</x:v>
      </x:c>
      <x:c r="D1235" s="3" t="str">
        <x:v>West</x:v>
      </x:c>
      <x:c r="E1235" s="3" t="str">
        <x:v>Sports</x:v>
      </x:c>
      <x:c r="F1235" s="3" t="str">
        <x:v>Fitness</x:v>
      </x:c>
      <x:c r="G1235" s="3" t="str">
        <x:v>ProYoga Mat</x:v>
      </x:c>
      <x:c r="H1235" s="3" t="n">
        <x:v>1</x:v>
      </x:c>
      <x:c r="I1235" s="7" t="n">
        <x:v>1256.48</x:v>
      </x:c>
      <x:c r="J1235" s="9" t="n">
        <x:v>0</x:v>
      </x:c>
      <x:c r="K1235" s="7" t="n">
        <x:v>1256.48</x:v>
      </x:c>
      <x:c r="L1235" s="7" t="n">
        <x:v>498.91</x:v>
      </x:c>
      <x:c r="M1235" s="3" t="str">
        <x:v>Debit Card</x:v>
      </x:c>
      <x:c r="N1235" s="3" t="str">
        <x:f>TEXT(B1235,"yyyy-mm")</x:f>
        <x:v>2024-11</x:v>
      </x:c>
      <x:c r="O1235" s="3" t="str">
        <x:f>IF(J1235=0,"No discount",IF(J1235&lt;=0.1,"1-10%",IF(J1235&lt;=0.15,"11-15%",IF(J1235&lt;=0.2,"16-20%","21%+"))))</x:f>
        <x:v>No discount</x:v>
      </x:c>
      <x:c r="P1235" s="9" t="n">
        <x:f>IF(K1235=0,0,L1235/K1235)</x:f>
        <x:v>0.397069591239017</x:v>
      </x:c>
      <x:c r="Q1235" s="3" t="str">
        <x:f>IF(L1235&lt;0,"Yes","No")</x:f>
        <x:v>No</x:v>
      </x:c>
    </x:row>
    <x:row r="1236" ht="21" customHeight="1">
      <x:c r="A1236" s="3" t="str">
        <x:v>ORD-100169</x:v>
      </x:c>
      <x:c r="B1236" s="5" t="n">
        <x:v>45619</x:v>
      </x:c>
      <x:c r="C1236" s="3" t="str">
        <x:v>CUST-00380</x:v>
      </x:c>
      <x:c r="D1236" s="3" t="str">
        <x:v>East</x:v>
      </x:c>
      <x:c r="E1236" s="3" t="str">
        <x:v>Home &amp; Kitchen</x:v>
      </x:c>
      <x:c r="F1236" s="3" t="str">
        <x:v>Decor</x:v>
      </x:c>
      <x:c r="G1236" s="3" t="str">
        <x:v>LED Wall Lamp</x:v>
      </x:c>
      <x:c r="H1236" s="3" t="n">
        <x:v>1</x:v>
      </x:c>
      <x:c r="I1236" s="7" t="n">
        <x:v>995.6</x:v>
      </x:c>
      <x:c r="J1236" s="9" t="n">
        <x:v>0.2</x:v>
      </x:c>
      <x:c r="K1236" s="7" t="n">
        <x:v>796.48</x:v>
      </x:c>
      <x:c r="L1236" s="7" t="n">
        <x:v>98.94</x:v>
      </x:c>
      <x:c r="M1236" s="3" t="str">
        <x:v>Debit Card</x:v>
      </x:c>
      <x:c r="N1236" s="3" t="str">
        <x:f>TEXT(B1236,"yyyy-mm")</x:f>
        <x:v>2024-11</x:v>
      </x:c>
      <x:c r="O1236" s="3" t="str">
        <x:f>IF(J1236=0,"No discount",IF(J1236&lt;=0.1,"1-10%",IF(J1236&lt;=0.15,"11-15%",IF(J1236&lt;=0.2,"16-20%","21%+"))))</x:f>
        <x:v>16-20%</x:v>
      </x:c>
      <x:c r="P1236" s="9" t="n">
        <x:f>IF(K1236=0,0,L1236/K1236)</x:f>
        <x:v>0.12422157492969063</x:v>
      </x:c>
      <x:c r="Q1236" s="3" t="str">
        <x:f>IF(L1236&lt;0,"Yes","No")</x:f>
        <x:v>No</x:v>
      </x:c>
    </x:row>
    <x:row r="1237" ht="21" customHeight="1">
      <x:c r="A1237" s="3" t="str">
        <x:v>ORD-100528</x:v>
      </x:c>
      <x:c r="B1237" s="5" t="n">
        <x:v>45619</x:v>
      </x:c>
      <x:c r="C1237" s="3" t="str">
        <x:v>CUST-00137</x:v>
      </x:c>
      <x:c r="D1237" s="3" t="str">
        <x:v>South</x:v>
      </x:c>
      <x:c r="E1237" s="3" t="str">
        <x:v>Electronics</x:v>
      </x:c>
      <x:c r="F1237" s="3" t="str">
        <x:v>Laptop</x:v>
      </x:c>
      <x:c r="G1237" s="3" t="str">
        <x:v>ThinkPro 14</x:v>
      </x:c>
      <x:c r="H1237" s="3" t="n">
        <x:v>2</x:v>
      </x:c>
      <x:c r="I1237" s="7" t="n">
        <x:v>52701.32</x:v>
      </x:c>
      <x:c r="J1237" s="9" t="n">
        <x:v>0.05</x:v>
      </x:c>
      <x:c r="K1237" s="7" t="n">
        <x:v>100132.51</x:v>
      </x:c>
      <x:c r="L1237" s="7" t="n">
        <x:v>9525.18</x:v>
      </x:c>
      <x:c r="M1237" s="3" t="str">
        <x:v>Cash on Delivery</x:v>
      </x:c>
      <x:c r="N1237" s="3" t="str">
        <x:f>TEXT(B1237,"yyyy-mm")</x:f>
        <x:v>2024-11</x:v>
      </x:c>
      <x:c r="O1237" s="3" t="str">
        <x:f>IF(J1237=0,"No discount",IF(J1237&lt;=0.1,"1-10%",IF(J1237&lt;=0.15,"11-15%",IF(J1237&lt;=0.2,"16-20%","21%+"))))</x:f>
        <x:v>1-10%</x:v>
      </x:c>
      <x:c r="P1237" s="9" t="n">
        <x:f>IF(K1237=0,0,L1237/K1237)</x:f>
        <x:v>0.09512574887017214</x:v>
      </x:c>
      <x:c r="Q1237" s="3" t="str">
        <x:f>IF(L1237&lt;0,"Yes","No")</x:f>
        <x:v>No</x:v>
      </x:c>
    </x:row>
    <x:row r="1238" ht="21" customHeight="1">
      <x:c r="A1238" s="3" t="str">
        <x:v>ORD-101558</x:v>
      </x:c>
      <x:c r="B1238" s="5" t="n">
        <x:v>45619</x:v>
      </x:c>
      <x:c r="C1238" s="3" t="str">
        <x:v>CUST-00360</x:v>
      </x:c>
      <x:c r="D1238" s="3" t="str">
        <x:v>South</x:v>
      </x:c>
      <x:c r="E1238" s="3" t="str">
        <x:v>Beauty</x:v>
      </x:c>
      <x:c r="F1238" s="3" t="str">
        <x:v>Skincare</x:v>
      </x:c>
      <x:c r="G1238" s="3" t="str">
        <x:v>Vitamin C Serum</x:v>
      </x:c>
      <x:c r="H1238" s="3" t="n">
        <x:v>1</x:v>
      </x:c>
      <x:c r="I1238" s="7" t="n">
        <x:v>879.06</x:v>
      </x:c>
      <x:c r="J1238" s="9" t="n">
        <x:v>0.15</x:v>
      </x:c>
      <x:c r="K1238" s="7" t="n">
        <x:v>747.2</x:v>
      </x:c>
      <x:c r="L1238" s="7" t="n">
        <x:v>288.86</x:v>
      </x:c>
      <x:c r="M1238" s="3" t="str">
        <x:v>UPI</x:v>
      </x:c>
      <x:c r="N1238" s="3" t="str">
        <x:f>TEXT(B1238,"yyyy-mm")</x:f>
        <x:v>2024-11</x:v>
      </x:c>
      <x:c r="O1238" s="3" t="str">
        <x:f>IF(J1238=0,"No discount",IF(J1238&lt;=0.1,"1-10%",IF(J1238&lt;=0.15,"11-15%",IF(J1238&lt;=0.2,"16-20%","21%+"))))</x:f>
        <x:v>11-15%</x:v>
      </x:c>
      <x:c r="P1238" s="9" t="n">
        <x:f>IF(K1238=0,0,L1238/K1238)</x:f>
        <x:v>0.3865899357601713</x:v>
      </x:c>
      <x:c r="Q1238" s="3" t="str">
        <x:f>IF(L1238&lt;0,"Yes","No")</x:f>
        <x:v>No</x:v>
      </x:c>
    </x:row>
    <x:row r="1239" ht="21" customHeight="1">
      <x:c r="A1239" s="3" t="str">
        <x:v>ORD-101822</x:v>
      </x:c>
      <x:c r="B1239" s="5" t="n">
        <x:v>45619</x:v>
      </x:c>
      <x:c r="C1239" s="3" t="str">
        <x:v>CUST-00132</x:v>
      </x:c>
      <x:c r="D1239" s="3" t="str">
        <x:v>South</x:v>
      </x:c>
      <x:c r="E1239" s="3" t="str">
        <x:v>Sports</x:v>
      </x:c>
      <x:c r="F1239" s="3" t="str">
        <x:v>Fitness</x:v>
      </x:c>
      <x:c r="G1239" s="3" t="str">
        <x:v>ProYoga Mat</x:v>
      </x:c>
      <x:c r="H1239" s="3" t="n">
        <x:v>4</x:v>
      </x:c>
      <x:c r="I1239" s="7" t="n">
        <x:v>1337.77</x:v>
      </x:c>
      <x:c r="J1239" s="9" t="n">
        <x:v>0</x:v>
      </x:c>
      <x:c r="K1239" s="7" t="n">
        <x:v>5351.08</x:v>
      </x:c>
      <x:c r="L1239" s="7" t="n">
        <x:v>1852.59</x:v>
      </x:c>
      <x:c r="M1239" s="3" t="str">
        <x:v>UPI</x:v>
      </x:c>
      <x:c r="N1239" s="3" t="str">
        <x:f>TEXT(B1239,"yyyy-mm")</x:f>
        <x:v>2024-11</x:v>
      </x:c>
      <x:c r="O1239" s="3" t="str">
        <x:f>IF(J1239=0,"No discount",IF(J1239&lt;=0.1,"1-10%",IF(J1239&lt;=0.15,"11-15%",IF(J1239&lt;=0.2,"16-20%","21%+"))))</x:f>
        <x:v>No discount</x:v>
      </x:c>
      <x:c r="P1239" s="9" t="n">
        <x:f>IF(K1239=0,0,L1239/K1239)</x:f>
        <x:v>0.3462086158308229</x:v>
      </x:c>
      <x:c r="Q1239" s="3" t="str">
        <x:f>IF(L1239&lt;0,"Yes","No")</x:f>
        <x:v>No</x:v>
      </x:c>
    </x:row>
    <x:row r="1240" ht="21" customHeight="1">
      <x:c r="A1240" s="3" t="str">
        <x:v>ORD-101933</x:v>
      </x:c>
      <x:c r="B1240" s="5" t="n">
        <x:v>45619</x:v>
      </x:c>
      <x:c r="C1240" s="3" t="str">
        <x:v>CUST-00025</x:v>
      </x:c>
      <x:c r="D1240" s="3" t="str">
        <x:v>East</x:v>
      </x:c>
      <x:c r="E1240" s="3" t="str">
        <x:v>Electronics</x:v>
      </x:c>
      <x:c r="F1240" s="3" t="str">
        <x:v>Audio</x:v>
      </x:c>
      <x:c r="G1240" s="3" t="str">
        <x:v>SoundPods Pro</x:v>
      </x:c>
      <x:c r="H1240" s="3" t="n">
        <x:v>1</x:v>
      </x:c>
      <x:c r="I1240" s="7" t="n">
        <x:v>4773.86</x:v>
      </x:c>
      <x:c r="J1240" s="9" t="n">
        <x:v>0.05</x:v>
      </x:c>
      <x:c r="K1240" s="7" t="n">
        <x:v>4535.17</x:v>
      </x:c>
      <x:c r="L1240" s="7" t="n">
        <x:v>484.52</x:v>
      </x:c>
      <x:c r="M1240" s="3" t="str">
        <x:v>Debit Card</x:v>
      </x:c>
      <x:c r="N1240" s="3" t="str">
        <x:f>TEXT(B1240,"yyyy-mm")</x:f>
        <x:v>2024-11</x:v>
      </x:c>
      <x:c r="O1240" s="3" t="str">
        <x:f>IF(J1240=0,"No discount",IF(J1240&lt;=0.1,"1-10%",IF(J1240&lt;=0.15,"11-15%",IF(J1240&lt;=0.2,"16-20%","21%+"))))</x:f>
        <x:v>1-10%</x:v>
      </x:c>
      <x:c r="P1240" s="9" t="n">
        <x:f>IF(K1240=0,0,L1240/K1240)</x:f>
        <x:v>0.10683612742190479</x:v>
      </x:c>
      <x:c r="Q1240" s="3" t="str">
        <x:f>IF(L1240&lt;0,"Yes","No")</x:f>
        <x:v>No</x:v>
      </x:c>
    </x:row>
    <x:row r="1241" ht="21" customHeight="1">
      <x:c r="A1241" s="3" t="str">
        <x:v>ORD-101934</x:v>
      </x:c>
      <x:c r="B1241" s="5" t="n">
        <x:v>45619</x:v>
      </x:c>
      <x:c r="C1241" s="3" t="str">
        <x:v>CUST-00223</x:v>
      </x:c>
      <x:c r="D1241" s="3" t="str">
        <x:v>East</x:v>
      </x:c>
      <x:c r="E1241" s="3" t="str">
        <x:v>Beauty</x:v>
      </x:c>
      <x:c r="F1241" s="3" t="str">
        <x:v>Makeup</x:v>
      </x:c>
      <x:c r="G1241" s="3" t="str">
        <x:v>HD Foundation Kit</x:v>
      </x:c>
      <x:c r="H1241" s="3" t="n">
        <x:v>1</x:v>
      </x:c>
      <x:c r="I1241" s="7" t="n">
        <x:v>1555.57</x:v>
      </x:c>
      <x:c r="J1241" s="9" t="n">
        <x:v>0</x:v>
      </x:c>
      <x:c r="K1241" s="7" t="n">
        <x:v>1555.57</x:v>
      </x:c>
      <x:c r="L1241" s="7" t="n">
        <x:v>843.2</x:v>
      </x:c>
      <x:c r="M1241" s="3" t="str">
        <x:v>Debit Card</x:v>
      </x:c>
      <x:c r="N1241" s="3" t="str">
        <x:f>TEXT(B1241,"yyyy-mm")</x:f>
        <x:v>2024-11</x:v>
      </x:c>
      <x:c r="O1241" s="3" t="str">
        <x:f>IF(J1241=0,"No discount",IF(J1241&lt;=0.1,"1-10%",IF(J1241&lt;=0.15,"11-15%",IF(J1241&lt;=0.2,"16-20%","21%+"))))</x:f>
        <x:v>No discount</x:v>
      </x:c>
      <x:c r="P1241" s="9" t="n">
        <x:f>IF(K1241=0,0,L1241/K1241)</x:f>
        <x:v>0.5420521095161259</x:v>
      </x:c>
      <x:c r="Q1241" s="3" t="str">
        <x:f>IF(L1241&lt;0,"Yes","No")</x:f>
        <x:v>No</x:v>
      </x:c>
    </x:row>
    <x:row r="1242" ht="21" customHeight="1">
      <x:c r="A1242" s="3" t="str">
        <x:v>ORD-100257</x:v>
      </x:c>
      <x:c r="B1242" s="5" t="n">
        <x:v>45620</x:v>
      </x:c>
      <x:c r="C1242" s="3" t="str">
        <x:v>CUST-00427</x:v>
      </x:c>
      <x:c r="D1242" s="3" t="str">
        <x:v>South</x:v>
      </x:c>
      <x:c r="E1242" s="3" t="str">
        <x:v>Home &amp; Kitchen</x:v>
      </x:c>
      <x:c r="F1242" s="3" t="str">
        <x:v>Decor</x:v>
      </x:c>
      <x:c r="G1242" s="3" t="str">
        <x:v>LED Wall Lamp</x:v>
      </x:c>
      <x:c r="H1242" s="3" t="n">
        <x:v>3</x:v>
      </x:c>
      <x:c r="I1242" s="7" t="n">
        <x:v>1046.2</x:v>
      </x:c>
      <x:c r="J1242" s="9" t="n">
        <x:v>0.1</x:v>
      </x:c>
      <x:c r="K1242" s="7" t="n">
        <x:v>2824.74</x:v>
      </x:c>
      <x:c r="L1242" s="7" t="n">
        <x:v>545.84</x:v>
      </x:c>
      <x:c r="M1242" s="3" t="str">
        <x:v>Debit Card</x:v>
      </x:c>
      <x:c r="N1242" s="3" t="str">
        <x:f>TEXT(B1242,"yyyy-mm")</x:f>
        <x:v>2024-11</x:v>
      </x:c>
      <x:c r="O1242" s="3" t="str">
        <x:f>IF(J1242=0,"No discount",IF(J1242&lt;=0.1,"1-10%",IF(J1242&lt;=0.15,"11-15%",IF(J1242&lt;=0.2,"16-20%","21%+"))))</x:f>
        <x:v>1-10%</x:v>
      </x:c>
      <x:c r="P1242" s="9" t="n">
        <x:f>IF(K1242=0,0,L1242/K1242)</x:f>
        <x:v>0.1932354836197314</x:v>
      </x:c>
      <x:c r="Q1242" s="3" t="str">
        <x:f>IF(L1242&lt;0,"Yes","No")</x:f>
        <x:v>No</x:v>
      </x:c>
    </x:row>
    <x:row r="1243" ht="21" customHeight="1">
      <x:c r="A1243" s="3" t="str">
        <x:v>ORD-100302</x:v>
      </x:c>
      <x:c r="B1243" s="5" t="n">
        <x:v>45620</x:v>
      </x:c>
      <x:c r="C1243" s="3" t="str">
        <x:v>CUST-00117</x:v>
      </x:c>
      <x:c r="D1243" s="3" t="str">
        <x:v>North</x:v>
      </x:c>
      <x:c r="E1243" s="3" t="str">
        <x:v>Electronics</x:v>
      </x:c>
      <x:c r="F1243" s="3" t="str">
        <x:v>Mobile</x:v>
      </x:c>
      <x:c r="G1243" s="3" t="str">
        <x:v>iPhone Zeta</x:v>
      </x:c>
      <x:c r="H1243" s="3" t="n">
        <x:v>1</x:v>
      </x:c>
      <x:c r="I1243" s="7" t="n">
        <x:v>70994.84</x:v>
      </x:c>
      <x:c r="J1243" s="9" t="n">
        <x:v>0</x:v>
      </x:c>
      <x:c r="K1243" s="7" t="n">
        <x:v>70994.84</x:v>
      </x:c>
      <x:c r="L1243" s="7" t="n">
        <x:v>15156.59</x:v>
      </x:c>
      <x:c r="M1243" s="3" t="str">
        <x:v>UPI</x:v>
      </x:c>
      <x:c r="N1243" s="3" t="str">
        <x:f>TEXT(B1243,"yyyy-mm")</x:f>
        <x:v>2024-11</x:v>
      </x:c>
      <x:c r="O1243" s="3" t="str">
        <x:f>IF(J1243=0,"No discount",IF(J1243&lt;=0.1,"1-10%",IF(J1243&lt;=0.15,"11-15%",IF(J1243&lt;=0.2,"16-20%","21%+"))))</x:f>
        <x:v>No discount</x:v>
      </x:c>
      <x:c r="P1243" s="9" t="n">
        <x:f>IF(K1243=0,0,L1243/K1243)</x:f>
        <x:v>0.21348861410209533</x:v>
      </x:c>
      <x:c r="Q1243" s="3" t="str">
        <x:f>IF(L1243&lt;0,"Yes","No")</x:f>
        <x:v>No</x:v>
      </x:c>
    </x:row>
    <x:row r="1244" ht="21" customHeight="1">
      <x:c r="A1244" s="3" t="str">
        <x:v>ORD-101004</x:v>
      </x:c>
      <x:c r="B1244" s="5" t="n">
        <x:v>45620</x:v>
      </x:c>
      <x:c r="C1244" s="3" t="str">
        <x:v>CUST-00577</x:v>
      </x:c>
      <x:c r="D1244" s="3" t="str">
        <x:v>West</x:v>
      </x:c>
      <x:c r="E1244" s="3" t="str">
        <x:v>Fashion</x:v>
      </x:c>
      <x:c r="F1244" s="3" t="str">
        <x:v>Men</x:v>
      </x:c>
      <x:c r="G1244" s="3" t="str">
        <x:v>Oxford Casual Shirt</x:v>
      </x:c>
      <x:c r="H1244" s="3" t="n">
        <x:v>1</x:v>
      </x:c>
      <x:c r="I1244" s="7" t="n">
        <x:v>1280.6</x:v>
      </x:c>
      <x:c r="J1244" s="9" t="n">
        <x:v>0.05</x:v>
      </x:c>
      <x:c r="K1244" s="7" t="n">
        <x:v>1216.57</x:v>
      </x:c>
      <x:c r="L1244" s="7" t="n">
        <x:v>481.55</x:v>
      </x:c>
      <x:c r="M1244" s="3" t="str">
        <x:v>Debit Card</x:v>
      </x:c>
      <x:c r="N1244" s="3" t="str">
        <x:f>TEXT(B1244,"yyyy-mm")</x:f>
        <x:v>2024-11</x:v>
      </x:c>
      <x:c r="O1244" s="3" t="str">
        <x:f>IF(J1244=0,"No discount",IF(J1244&lt;=0.1,"1-10%",IF(J1244&lt;=0.15,"11-15%",IF(J1244&lt;=0.2,"16-20%","21%+"))))</x:f>
        <x:v>1-10%</x:v>
      </x:c>
      <x:c r="P1244" s="9" t="n">
        <x:f>IF(K1244=0,0,L1244/K1244)</x:f>
        <x:v>0.3958259697345817</x:v>
      </x:c>
      <x:c r="Q1244" s="3" t="str">
        <x:f>IF(L1244&lt;0,"Yes","No")</x:f>
        <x:v>No</x:v>
      </x:c>
    </x:row>
    <x:row r="1245" ht="21" customHeight="1">
      <x:c r="A1245" s="3" t="str">
        <x:v>ORD-101324</x:v>
      </x:c>
      <x:c r="B1245" s="5" t="n">
        <x:v>45620</x:v>
      </x:c>
      <x:c r="C1245" s="3" t="str">
        <x:v>CUST-00097</x:v>
      </x:c>
      <x:c r="D1245" s="3" t="str">
        <x:v>South</x:v>
      </x:c>
      <x:c r="E1245" s="3" t="str">
        <x:v>Fashion</x:v>
      </x:c>
      <x:c r="F1245" s="3" t="str">
        <x:v>Footwear</x:v>
      </x:c>
      <x:c r="G1245" s="3" t="str">
        <x:v>UrbanLoafers</x:v>
      </x:c>
      <x:c r="H1245" s="3" t="n">
        <x:v>1</x:v>
      </x:c>
      <x:c r="I1245" s="7" t="n">
        <x:v>3575.88</x:v>
      </x:c>
      <x:c r="J1245" s="9" t="n">
        <x:v>0</x:v>
      </x:c>
      <x:c r="K1245" s="7" t="n">
        <x:v>3575.88</x:v>
      </x:c>
      <x:c r="L1245" s="7" t="n">
        <x:v>1614.71</x:v>
      </x:c>
      <x:c r="M1245" s="3" t="str">
        <x:v>Cash on Delivery</x:v>
      </x:c>
      <x:c r="N1245" s="3" t="str">
        <x:f>TEXT(B1245,"yyyy-mm")</x:f>
        <x:v>2024-11</x:v>
      </x:c>
      <x:c r="O1245" s="3" t="str">
        <x:f>IF(J1245=0,"No discount",IF(J1245&lt;=0.1,"1-10%",IF(J1245&lt;=0.15,"11-15%",IF(J1245&lt;=0.2,"16-20%","21%+"))))</x:f>
        <x:v>No discount</x:v>
      </x:c>
      <x:c r="P1245" s="9" t="n">
        <x:f>IF(K1245=0,0,L1245/K1245)</x:f>
        <x:v>0.4515559806257481</x:v>
      </x:c>
      <x:c r="Q1245" s="3" t="str">
        <x:f>IF(L1245&lt;0,"Yes","No")</x:f>
        <x:v>No</x:v>
      </x:c>
    </x:row>
    <x:row r="1246" ht="21" customHeight="1">
      <x:c r="A1246" s="3" t="str">
        <x:v>ORD-101349</x:v>
      </x:c>
      <x:c r="B1246" s="5" t="n">
        <x:v>45620</x:v>
      </x:c>
      <x:c r="C1246" s="3" t="str">
        <x:v>CUST-00127</x:v>
      </x:c>
      <x:c r="D1246" s="3" t="str">
        <x:v>East</x:v>
      </x:c>
      <x:c r="E1246" s="3" t="str">
        <x:v>Beauty</x:v>
      </x:c>
      <x:c r="F1246" s="3" t="str">
        <x:v>Skincare</x:v>
      </x:c>
      <x:c r="G1246" s="3" t="str">
        <x:v>HydraBoost Moisturizer</x:v>
      </x:c>
      <x:c r="H1246" s="3" t="n">
        <x:v>2</x:v>
      </x:c>
      <x:c r="I1246" s="7" t="n">
        <x:v>1213.33</x:v>
      </x:c>
      <x:c r="J1246" s="9" t="n">
        <x:v>0.05</x:v>
      </x:c>
      <x:c r="K1246" s="7" t="n">
        <x:v>2305.33</x:v>
      </x:c>
      <x:c r="L1246" s="7" t="n">
        <x:v>1126.22</x:v>
      </x:c>
      <x:c r="M1246" s="3" t="str">
        <x:v>UPI</x:v>
      </x:c>
      <x:c r="N1246" s="3" t="str">
        <x:f>TEXT(B1246,"yyyy-mm")</x:f>
        <x:v>2024-11</x:v>
      </x:c>
      <x:c r="O1246" s="3" t="str">
        <x:f>IF(J1246=0,"No discount",IF(J1246&lt;=0.1,"1-10%",IF(J1246&lt;=0.15,"11-15%",IF(J1246&lt;=0.2,"16-20%","21%+"))))</x:f>
        <x:v>1-10%</x:v>
      </x:c>
      <x:c r="P1246" s="9" t="n">
        <x:f>IF(K1246=0,0,L1246/K1246)</x:f>
        <x:v>0.4885287572711933</x:v>
      </x:c>
      <x:c r="Q1246" s="3" t="str">
        <x:f>IF(L1246&lt;0,"Yes","No")</x:f>
        <x:v>No</x:v>
      </x:c>
    </x:row>
    <x:row r="1247" ht="21" customHeight="1">
      <x:c r="A1247" s="3" t="str">
        <x:v>ORD-101527</x:v>
      </x:c>
      <x:c r="B1247" s="5" t="n">
        <x:v>45620</x:v>
      </x:c>
      <x:c r="C1247" s="3" t="str">
        <x:v>CUST-00176</x:v>
      </x:c>
      <x:c r="D1247" s="3" t="str">
        <x:v>East</x:v>
      </x:c>
      <x:c r="E1247" s="3" t="str">
        <x:v>Sports</x:v>
      </x:c>
      <x:c r="F1247" s="3" t="str">
        <x:v>Outdoor</x:v>
      </x:c>
      <x:c r="G1247" s="3" t="str">
        <x:v>TrailHike Backpack 60L</x:v>
      </x:c>
      <x:c r="H1247" s="3" t="n">
        <x:v>1</x:v>
      </x:c>
      <x:c r="I1247" s="7" t="n">
        <x:v>3548.87</x:v>
      </x:c>
      <x:c r="J1247" s="9" t="n">
        <x:v>0</x:v>
      </x:c>
      <x:c r="K1247" s="7" t="n">
        <x:v>3548.87</x:v>
      </x:c>
      <x:c r="L1247" s="7" t="n">
        <x:v>1414.3</x:v>
      </x:c>
      <x:c r="M1247" s="3" t="str">
        <x:v>Credit Card</x:v>
      </x:c>
      <x:c r="N1247" s="3" t="str">
        <x:f>TEXT(B1247,"yyyy-mm")</x:f>
        <x:v>2024-11</x:v>
      </x:c>
      <x:c r="O1247" s="3" t="str">
        <x:f>IF(J1247=0,"No discount",IF(J1247&lt;=0.1,"1-10%",IF(J1247&lt;=0.15,"11-15%",IF(J1247&lt;=0.2,"16-20%","21%+"))))</x:f>
        <x:v>No discount</x:v>
      </x:c>
      <x:c r="P1247" s="9" t="n">
        <x:f>IF(K1247=0,0,L1247/K1247)</x:f>
        <x:v>0.39852121943041025</x:v>
      </x:c>
      <x:c r="Q1247" s="3" t="str">
        <x:f>IF(L1247&lt;0,"Yes","No")</x:f>
        <x:v>No</x:v>
      </x:c>
    </x:row>
    <x:row r="1248" ht="21" customHeight="1">
      <x:c r="A1248" s="3" t="str">
        <x:v>ORD-101889</x:v>
      </x:c>
      <x:c r="B1248" s="5" t="n">
        <x:v>45620</x:v>
      </x:c>
      <x:c r="C1248" s="3" t="str">
        <x:v>CUST-00057</x:v>
      </x:c>
      <x:c r="D1248" s="3" t="str">
        <x:v>East</x:v>
      </x:c>
      <x:c r="E1248" s="3" t="str">
        <x:v>Fashion</x:v>
      </x:c>
      <x:c r="F1248" s="3" t="str">
        <x:v>Footwear</x:v>
      </x:c>
      <x:c r="G1248" s="3" t="str">
        <x:v>UrbanLoafers</x:v>
      </x:c>
      <x:c r="H1248" s="3" t="n">
        <x:v>2</x:v>
      </x:c>
      <x:c r="I1248" s="7" t="n">
        <x:v>3347.46</x:v>
      </x:c>
      <x:c r="J1248" s="9" t="n">
        <x:v>0.15</x:v>
      </x:c>
      <x:c r="K1248" s="7" t="n">
        <x:v>5690.68</x:v>
      </x:c>
      <x:c r="L1248" s="7" t="n">
        <x:v>1192.88</x:v>
      </x:c>
      <x:c r="M1248" s="3" t="str">
        <x:v>Credit Card</x:v>
      </x:c>
      <x:c r="N1248" s="3" t="str">
        <x:f>TEXT(B1248,"yyyy-mm")</x:f>
        <x:v>2024-11</x:v>
      </x:c>
      <x:c r="O1248" s="3" t="str">
        <x:f>IF(J1248=0,"No discount",IF(J1248&lt;=0.1,"1-10%",IF(J1248&lt;=0.15,"11-15%",IF(J1248&lt;=0.2,"16-20%","21%+"))))</x:f>
        <x:v>11-15%</x:v>
      </x:c>
      <x:c r="P1248" s="9" t="n">
        <x:f>IF(K1248=0,0,L1248/K1248)</x:f>
        <x:v>0.20961993997202444</x:v>
      </x:c>
      <x:c r="Q1248" s="3" t="str">
        <x:f>IF(L1248&lt;0,"Yes","No")</x:f>
        <x:v>No</x:v>
      </x:c>
    </x:row>
    <x:row r="1249" ht="21" customHeight="1">
      <x:c r="A1249" s="3" t="str">
        <x:v>ORD-100031</x:v>
      </x:c>
      <x:c r="B1249" s="5" t="n">
        <x:v>45621</x:v>
      </x:c>
      <x:c r="C1249" s="3" t="str">
        <x:v>CUST-00453</x:v>
      </x:c>
      <x:c r="D1249" s="3" t="str">
        <x:v>North</x:v>
      </x:c>
      <x:c r="E1249" s="3" t="str">
        <x:v>Sports</x:v>
      </x:c>
      <x:c r="F1249" s="3" t="str">
        <x:v>Outdoor</x:v>
      </x:c>
      <x:c r="G1249" s="3" t="str">
        <x:v>TrailHike Backpack 60L</x:v>
      </x:c>
      <x:c r="H1249" s="3" t="n">
        <x:v>2</x:v>
      </x:c>
      <x:c r="I1249" s="7" t="n">
        <x:v>3515.77</x:v>
      </x:c>
      <x:c r="J1249" s="9" t="n">
        <x:v>0.05</x:v>
      </x:c>
      <x:c r="K1249" s="7" t="n">
        <x:v>6679.96</x:v>
      </x:c>
      <x:c r="L1249" s="7" t="n">
        <x:v>1887.31</x:v>
      </x:c>
      <x:c r="M1249" s="3" t="str">
        <x:v>Credit Card</x:v>
      </x:c>
      <x:c r="N1249" s="3" t="str">
        <x:f>TEXT(B1249,"yyyy-mm")</x:f>
        <x:v>2024-11</x:v>
      </x:c>
      <x:c r="O1249" s="3" t="str">
        <x:f>IF(J1249=0,"No discount",IF(J1249&lt;=0.1,"1-10%",IF(J1249&lt;=0.15,"11-15%",IF(J1249&lt;=0.2,"16-20%","21%+"))))</x:f>
        <x:v>1-10%</x:v>
      </x:c>
      <x:c r="P1249" s="9" t="n">
        <x:f>IF(K1249=0,0,L1249/K1249)</x:f>
        <x:v>0.28253312894089183</x:v>
      </x:c>
      <x:c r="Q1249" s="3" t="str">
        <x:f>IF(L1249&lt;0,"Yes","No")</x:f>
        <x:v>No</x:v>
      </x:c>
    </x:row>
    <x:row r="1250" ht="21" customHeight="1">
      <x:c r="A1250" s="3" t="str">
        <x:v>ORD-100658</x:v>
      </x:c>
      <x:c r="B1250" s="5" t="n">
        <x:v>45621</x:v>
      </x:c>
      <x:c r="C1250" s="3" t="str">
        <x:v>CUST-00369</x:v>
      </x:c>
      <x:c r="D1250" s="3" t="str">
        <x:v>South</x:v>
      </x:c>
      <x:c r="E1250" s="3" t="str">
        <x:v>Beauty</x:v>
      </x:c>
      <x:c r="F1250" s="3" t="str">
        <x:v>Makeup</x:v>
      </x:c>
      <x:c r="G1250" s="3" t="str">
        <x:v>Matte Lipstick Set</x:v>
      </x:c>
      <x:c r="H1250" s="3" t="n">
        <x:v>1</x:v>
      </x:c>
      <x:c r="I1250" s="7" t="n">
        <x:v>1014.87</x:v>
      </x:c>
      <x:c r="J1250" s="9" t="n">
        <x:v>0.1</x:v>
      </x:c>
      <x:c r="K1250" s="7" t="n">
        <x:v>913.38</x:v>
      </x:c>
      <x:c r="L1250" s="7" t="n">
        <x:v>395.51</x:v>
      </x:c>
      <x:c r="M1250" s="3" t="str">
        <x:v>UPI</x:v>
      </x:c>
      <x:c r="N1250" s="3" t="str">
        <x:f>TEXT(B1250,"yyyy-mm")</x:f>
        <x:v>2024-11</x:v>
      </x:c>
      <x:c r="O1250" s="3" t="str">
        <x:f>IF(J1250=0,"No discount",IF(J1250&lt;=0.1,"1-10%",IF(J1250&lt;=0.15,"11-15%",IF(J1250&lt;=0.2,"16-20%","21%+"))))</x:f>
        <x:v>1-10%</x:v>
      </x:c>
      <x:c r="P1250" s="9" t="n">
        <x:f>IF(K1250=0,0,L1250/K1250)</x:f>
        <x:v>0.43301802097703035</x:v>
      </x:c>
      <x:c r="Q1250" s="3" t="str">
        <x:f>IF(L1250&lt;0,"Yes","No")</x:f>
        <x:v>No</x:v>
      </x:c>
    </x:row>
    <x:row r="1251" ht="21" customHeight="1">
      <x:c r="A1251" s="3" t="str">
        <x:v>ORD-100984</x:v>
      </x:c>
      <x:c r="B1251" s="5" t="n">
        <x:v>45621</x:v>
      </x:c>
      <x:c r="C1251" s="3" t="str">
        <x:v>CUST-00357</x:v>
      </x:c>
      <x:c r="D1251" s="3" t="str">
        <x:v>North</x:v>
      </x:c>
      <x:c r="E1251" s="3" t="str">
        <x:v>Home &amp; Kitchen</x:v>
      </x:c>
      <x:c r="F1251" s="3" t="str">
        <x:v>Decor</x:v>
      </x:c>
      <x:c r="G1251" s="3" t="str">
        <x:v>Ceramic Vase Set</x:v>
      </x:c>
      <x:c r="H1251" s="3" t="n">
        <x:v>1</x:v>
      </x:c>
      <x:c r="I1251" s="7" t="n">
        <x:v>1519.21</x:v>
      </x:c>
      <x:c r="J1251" s="9" t="n">
        <x:v>0.1</x:v>
      </x:c>
      <x:c r="K1251" s="7" t="n">
        <x:v>1367.29</x:v>
      </x:c>
      <x:c r="L1251" s="7" t="n">
        <x:v>323.35</x:v>
      </x:c>
      <x:c r="M1251" s="3" t="str">
        <x:v>Credit Card</x:v>
      </x:c>
      <x:c r="N1251" s="3" t="str">
        <x:f>TEXT(B1251,"yyyy-mm")</x:f>
        <x:v>2024-11</x:v>
      </x:c>
      <x:c r="O1251" s="3" t="str">
        <x:f>IF(J1251=0,"No discount",IF(J1251&lt;=0.1,"1-10%",IF(J1251&lt;=0.15,"11-15%",IF(J1251&lt;=0.2,"16-20%","21%+"))))</x:f>
        <x:v>1-10%</x:v>
      </x:c>
      <x:c r="P1251" s="9" t="n">
        <x:f>IF(K1251=0,0,L1251/K1251)</x:f>
        <x:v>0.23648969860088206</x:v>
      </x:c>
      <x:c r="Q1251" s="3" t="str">
        <x:f>IF(L1251&lt;0,"Yes","No")</x:f>
        <x:v>No</x:v>
      </x:c>
    </x:row>
    <x:row r="1252" ht="21" customHeight="1">
      <x:c r="A1252" s="3" t="str">
        <x:v>ORD-101019</x:v>
      </x:c>
      <x:c r="B1252" s="5" t="n">
        <x:v>45621</x:v>
      </x:c>
      <x:c r="C1252" s="3" t="str">
        <x:v>CUST-00147</x:v>
      </x:c>
      <x:c r="D1252" s="3" t="str">
        <x:v>East</x:v>
      </x:c>
      <x:c r="E1252" s="3" t="str">
        <x:v>Beauty</x:v>
      </x:c>
      <x:c r="F1252" s="3" t="str">
        <x:v>Makeup</x:v>
      </x:c>
      <x:c r="G1252" s="3" t="str">
        <x:v>Matte Lipstick Set</x:v>
      </x:c>
      <x:c r="H1252" s="3" t="n">
        <x:v>1</x:v>
      </x:c>
      <x:c r="I1252" s="7" t="n">
        <x:v>1000.8</x:v>
      </x:c>
      <x:c r="J1252" s="9" t="n">
        <x:v>0</x:v>
      </x:c>
      <x:c r="K1252" s="7" t="n">
        <x:v>1000.8</x:v>
      </x:c>
      <x:c r="L1252" s="7" t="n">
        <x:v>511.81</x:v>
      </x:c>
      <x:c r="M1252" s="3" t="str">
        <x:v>Debit Card</x:v>
      </x:c>
      <x:c r="N1252" s="3" t="str">
        <x:f>TEXT(B1252,"yyyy-mm")</x:f>
        <x:v>2024-11</x:v>
      </x:c>
      <x:c r="O1252" s="3" t="str">
        <x:f>IF(J1252=0,"No discount",IF(J1252&lt;=0.1,"1-10%",IF(J1252&lt;=0.15,"11-15%",IF(J1252&lt;=0.2,"16-20%","21%+"))))</x:f>
        <x:v>No discount</x:v>
      </x:c>
      <x:c r="P1252" s="9" t="n">
        <x:f>IF(K1252=0,0,L1252/K1252)</x:f>
        <x:v>0.5114008792965627</x:v>
      </x:c>
      <x:c r="Q1252" s="3" t="str">
        <x:f>IF(L1252&lt;0,"Yes","No")</x:f>
        <x:v>No</x:v>
      </x:c>
    </x:row>
    <x:row r="1253" ht="21" customHeight="1">
      <x:c r="A1253" s="3" t="str">
        <x:v>ORD-101233</x:v>
      </x:c>
      <x:c r="B1253" s="5" t="n">
        <x:v>45621</x:v>
      </x:c>
      <x:c r="C1253" s="3" t="str">
        <x:v>CUST-00418</x:v>
      </x:c>
      <x:c r="D1253" s="3" t="str">
        <x:v>East</x:v>
      </x:c>
      <x:c r="E1253" s="3" t="str">
        <x:v>Electronics</x:v>
      </x:c>
      <x:c r="F1253" s="3" t="str">
        <x:v>Mobile</x:v>
      </x:c>
      <x:c r="G1253" s="3" t="str">
        <x:v>Pixel Aura 12</x:v>
      </x:c>
      <x:c r="H1253" s="3" t="n">
        <x:v>1</x:v>
      </x:c>
      <x:c r="I1253" s="7" t="n">
        <x:v>32270.54</x:v>
      </x:c>
      <x:c r="J1253" s="9" t="n">
        <x:v>0.1</x:v>
      </x:c>
      <x:c r="K1253" s="7" t="n">
        <x:v>29043.49</x:v>
      </x:c>
      <x:c r="L1253" s="7" t="n">
        <x:v>1406.95</x:v>
      </x:c>
      <x:c r="M1253" s="3" t="str">
        <x:v>Net Banking</x:v>
      </x:c>
      <x:c r="N1253" s="3" t="str">
        <x:f>TEXT(B1253,"yyyy-mm")</x:f>
        <x:v>2024-11</x:v>
      </x:c>
      <x:c r="O1253" s="3" t="str">
        <x:f>IF(J1253=0,"No discount",IF(J1253&lt;=0.1,"1-10%",IF(J1253&lt;=0.15,"11-15%",IF(J1253&lt;=0.2,"16-20%","21%+"))))</x:f>
        <x:v>1-10%</x:v>
      </x:c>
      <x:c r="P1253" s="9" t="n">
        <x:f>IF(K1253=0,0,L1253/K1253)</x:f>
        <x:v>0.04844286964135509</x:v>
      </x:c>
      <x:c r="Q1253" s="3" t="str">
        <x:f>IF(L1253&lt;0,"Yes","No")</x:f>
        <x:v>No</x:v>
      </x:c>
    </x:row>
    <x:row r="1254" ht="21" customHeight="1">
      <x:c r="A1254" s="3" t="str">
        <x:v>ORD-101658</x:v>
      </x:c>
      <x:c r="B1254" s="5" t="n">
        <x:v>45621</x:v>
      </x:c>
      <x:c r="C1254" s="3" t="str">
        <x:v>CUST-00553</x:v>
      </x:c>
      <x:c r="D1254" s="3" t="str">
        <x:v>East</x:v>
      </x:c>
      <x:c r="E1254" s="3" t="str">
        <x:v>Home &amp; Kitchen</x:v>
      </x:c>
      <x:c r="F1254" s="3" t="str">
        <x:v>Appliances</x:v>
      </x:c>
      <x:c r="G1254" s="3" t="str">
        <x:v>ColdBrew Coffee Maker</x:v>
      </x:c>
      <x:c r="H1254" s="3" t="n">
        <x:v>3</x:v>
      </x:c>
      <x:c r="I1254" s="7" t="n">
        <x:v>6234.77</x:v>
      </x:c>
      <x:c r="J1254" s="9" t="n">
        <x:v>0</x:v>
      </x:c>
      <x:c r="K1254" s="7" t="n">
        <x:v>18704.31</x:v>
      </x:c>
      <x:c r="L1254" s="7" t="n">
        <x:v>6240.14</x:v>
      </x:c>
      <x:c r="M1254" s="3" t="str">
        <x:v>UPI</x:v>
      </x:c>
      <x:c r="N1254" s="3" t="str">
        <x:f>TEXT(B1254,"yyyy-mm")</x:f>
        <x:v>2024-11</x:v>
      </x:c>
      <x:c r="O1254" s="3" t="str">
        <x:f>IF(J1254=0,"No discount",IF(J1254&lt;=0.1,"1-10%",IF(J1254&lt;=0.15,"11-15%",IF(J1254&lt;=0.2,"16-20%","21%+"))))</x:f>
        <x:v>No discount</x:v>
      </x:c>
      <x:c r="P1254" s="9" t="n">
        <x:f>IF(K1254=0,0,L1254/K1254)</x:f>
        <x:v>0.33362043293764915</x:v>
      </x:c>
      <x:c r="Q1254" s="3" t="str">
        <x:f>IF(L1254&lt;0,"Yes","No")</x:f>
        <x:v>No</x:v>
      </x:c>
    </x:row>
    <x:row r="1255" ht="21" customHeight="1">
      <x:c r="A1255" s="3" t="str">
        <x:v>ORD-101727</x:v>
      </x:c>
      <x:c r="B1255" s="5" t="n">
        <x:v>45621</x:v>
      </x:c>
      <x:c r="C1255" s="3" t="str">
        <x:v>CUST-00347</x:v>
      </x:c>
      <x:c r="D1255" s="3" t="str">
        <x:v>South</x:v>
      </x:c>
      <x:c r="E1255" s="3" t="str">
        <x:v>Beauty</x:v>
      </x:c>
      <x:c r="F1255" s="3" t="str">
        <x:v>Makeup</x:v>
      </x:c>
      <x:c r="G1255" s="3" t="str">
        <x:v>HD Foundation Kit</x:v>
      </x:c>
      <x:c r="H1255" s="3" t="n">
        <x:v>2</x:v>
      </x:c>
      <x:c r="I1255" s="7" t="n">
        <x:v>1427.2</x:v>
      </x:c>
      <x:c r="J1255" s="9" t="n">
        <x:v>0.1</x:v>
      </x:c>
      <x:c r="K1255" s="7" t="n">
        <x:v>2568.96</x:v>
      </x:c>
      <x:c r="L1255" s="7" t="n">
        <x:v>1106.16</x:v>
      </x:c>
      <x:c r="M1255" s="3" t="str">
        <x:v>UPI</x:v>
      </x:c>
      <x:c r="N1255" s="3" t="str">
        <x:f>TEXT(B1255,"yyyy-mm")</x:f>
        <x:v>2024-11</x:v>
      </x:c>
      <x:c r="O1255" s="3" t="str">
        <x:f>IF(J1255=0,"No discount",IF(J1255&lt;=0.1,"1-10%",IF(J1255&lt;=0.15,"11-15%",IF(J1255&lt;=0.2,"16-20%","21%+"))))</x:f>
        <x:v>1-10%</x:v>
      </x:c>
      <x:c r="P1255" s="9" t="n">
        <x:f>IF(K1255=0,0,L1255/K1255)</x:f>
        <x:v>0.4305866965620329</x:v>
      </x:c>
      <x:c r="Q1255" s="3" t="str">
        <x:f>IF(L1255&lt;0,"Yes","No")</x:f>
        <x:v>No</x:v>
      </x:c>
    </x:row>
    <x:row r="1256" ht="21" customHeight="1">
      <x:c r="A1256" s="3" t="str">
        <x:v>ORD-100058</x:v>
      </x:c>
      <x:c r="B1256" s="5" t="n">
        <x:v>45622</x:v>
      </x:c>
      <x:c r="C1256" s="3" t="str">
        <x:v>CUST-00027</x:v>
      </x:c>
      <x:c r="D1256" s="3" t="str">
        <x:v>North</x:v>
      </x:c>
      <x:c r="E1256" s="3" t="str">
        <x:v>Home &amp; Kitchen</x:v>
      </x:c>
      <x:c r="F1256" s="3" t="str">
        <x:v>Appliances</x:v>
      </x:c>
      <x:c r="G1256" s="3" t="str">
        <x:v>ColdBrew Coffee Maker</x:v>
      </x:c>
      <x:c r="H1256" s="3" t="n">
        <x:v>4</x:v>
      </x:c>
      <x:c r="I1256" s="7" t="n">
        <x:v>6494.97</x:v>
      </x:c>
      <x:c r="J1256" s="9" t="n">
        <x:v>0.05</x:v>
      </x:c>
      <x:c r="K1256" s="7" t="n">
        <x:v>24680.89</x:v>
      </x:c>
      <x:c r="L1256" s="7" t="n">
        <x:v>5897.14</x:v>
      </x:c>
      <x:c r="M1256" s="3" t="str">
        <x:v>Credit Card</x:v>
      </x:c>
      <x:c r="N1256" s="3" t="str">
        <x:f>TEXT(B1256,"yyyy-mm")</x:f>
        <x:v>2024-11</x:v>
      </x:c>
      <x:c r="O1256" s="3" t="str">
        <x:f>IF(J1256=0,"No discount",IF(J1256&lt;=0.1,"1-10%",IF(J1256&lt;=0.15,"11-15%",IF(J1256&lt;=0.2,"16-20%","21%+"))))</x:f>
        <x:v>1-10%</x:v>
      </x:c>
      <x:c r="P1256" s="9" t="n">
        <x:f>IF(K1256=0,0,L1256/K1256)</x:f>
        <x:v>0.23893546788628775</x:v>
      </x:c>
      <x:c r="Q1256" s="3" t="str">
        <x:f>IF(L1256&lt;0,"Yes","No")</x:f>
        <x:v>No</x:v>
      </x:c>
    </x:row>
    <x:row r="1257" ht="21" customHeight="1">
      <x:c r="A1257" s="3" t="str">
        <x:v>ORD-100406</x:v>
      </x:c>
      <x:c r="B1257" s="5" t="n">
        <x:v>45622</x:v>
      </x:c>
      <x:c r="C1257" s="3" t="str">
        <x:v>CUST-00389</x:v>
      </x:c>
      <x:c r="D1257" s="3" t="str">
        <x:v>East</x:v>
      </x:c>
      <x:c r="E1257" s="3" t="str">
        <x:v>Electronics</x:v>
      </x:c>
      <x:c r="F1257" s="3" t="str">
        <x:v>Mobile</x:v>
      </x:c>
      <x:c r="G1257" s="3" t="str">
        <x:v>Pixel Aura 12</x:v>
      </x:c>
      <x:c r="H1257" s="3" t="n">
        <x:v>5</x:v>
      </x:c>
      <x:c r="I1257" s="7" t="n">
        <x:v>32287.48</x:v>
      </x:c>
      <x:c r="J1257" s="9" t="n">
        <x:v>0</x:v>
      </x:c>
      <x:c r="K1257" s="7" t="n">
        <x:v>161437.4</x:v>
      </x:c>
      <x:c r="L1257" s="7" t="n">
        <x:v>31137.07</x:v>
      </x:c>
      <x:c r="M1257" s="3" t="str">
        <x:v>Credit Card</x:v>
      </x:c>
      <x:c r="N1257" s="3" t="str">
        <x:f>TEXT(B1257,"yyyy-mm")</x:f>
        <x:v>2024-11</x:v>
      </x:c>
      <x:c r="O1257" s="3" t="str">
        <x:f>IF(J1257=0,"No discount",IF(J1257&lt;=0.1,"1-10%",IF(J1257&lt;=0.15,"11-15%",IF(J1257&lt;=0.2,"16-20%","21%+"))))</x:f>
        <x:v>No discount</x:v>
      </x:c>
      <x:c r="P1257" s="9" t="n">
        <x:f>IF(K1257=0,0,L1257/K1257)</x:f>
        <x:v>0.19287395609691435</x:v>
      </x:c>
      <x:c r="Q1257" s="3" t="str">
        <x:f>IF(L1257&lt;0,"Yes","No")</x:f>
        <x:v>No</x:v>
      </x:c>
    </x:row>
    <x:row r="1258" ht="21" customHeight="1">
      <x:c r="A1258" s="3" t="str">
        <x:v>ORD-101797</x:v>
      </x:c>
      <x:c r="B1258" s="5" t="n">
        <x:v>45622</x:v>
      </x:c>
      <x:c r="C1258" s="3" t="str">
        <x:v>CUST-00044</x:v>
      </x:c>
      <x:c r="D1258" s="3" t="str">
        <x:v>West</x:v>
      </x:c>
      <x:c r="E1258" s="3" t="str">
        <x:v>Electronics</x:v>
      </x:c>
      <x:c r="F1258" s="3" t="str">
        <x:v>Laptop</x:v>
      </x:c>
      <x:c r="G1258" s="3" t="str">
        <x:v>AirBook Slim</x:v>
      </x:c>
      <x:c r="H1258" s="3" t="n">
        <x:v>1</x:v>
      </x:c>
      <x:c r="I1258" s="7" t="n">
        <x:v>76398.42</x:v>
      </x:c>
      <x:c r="J1258" s="9" t="n">
        <x:v>0</x:v>
      </x:c>
      <x:c r="K1258" s="7" t="n">
        <x:v>76398.42</x:v>
      </x:c>
      <x:c r="L1258" s="7" t="n">
        <x:v>15618.23</x:v>
      </x:c>
      <x:c r="M1258" s="3" t="str">
        <x:v>UPI</x:v>
      </x:c>
      <x:c r="N1258" s="3" t="str">
        <x:f>TEXT(B1258,"yyyy-mm")</x:f>
        <x:v>2024-11</x:v>
      </x:c>
      <x:c r="O1258" s="3" t="str">
        <x:f>IF(J1258=0,"No discount",IF(J1258&lt;=0.1,"1-10%",IF(J1258&lt;=0.15,"11-15%",IF(J1258&lt;=0.2,"16-20%","21%+"))))</x:f>
        <x:v>No discount</x:v>
      </x:c>
      <x:c r="P1258" s="9" t="n">
        <x:f>IF(K1258=0,0,L1258/K1258)</x:f>
        <x:v>0.20443132200901537</x:v>
      </x:c>
      <x:c r="Q1258" s="3" t="str">
        <x:f>IF(L1258&lt;0,"Yes","No")</x:f>
        <x:v>No</x:v>
      </x:c>
    </x:row>
    <x:row r="1259" ht="21" customHeight="1">
      <x:c r="A1259" s="3" t="str">
        <x:v>ORD-101799</x:v>
      </x:c>
      <x:c r="B1259" s="5" t="n">
        <x:v>45622</x:v>
      </x:c>
      <x:c r="C1259" s="3" t="str">
        <x:v>CUST-00204</x:v>
      </x:c>
      <x:c r="D1259" s="3" t="str">
        <x:v>South</x:v>
      </x:c>
      <x:c r="E1259" s="3" t="str">
        <x:v>Home &amp; Kitchen</x:v>
      </x:c>
      <x:c r="F1259" s="3" t="str">
        <x:v>Furniture</x:v>
      </x:c>
      <x:c r="G1259" s="3" t="str">
        <x:v>ErgoComfort Chair</x:v>
      </x:c>
      <x:c r="H1259" s="3" t="n">
        <x:v>1</x:v>
      </x:c>
      <x:c r="I1259" s="7" t="n">
        <x:v>8737.34</x:v>
      </x:c>
      <x:c r="J1259" s="9" t="n">
        <x:v>0.05</x:v>
      </x:c>
      <x:c r="K1259" s="7" t="n">
        <x:v>8300.47</x:v>
      </x:c>
      <x:c r="L1259" s="7" t="n">
        <x:v>2575.21</x:v>
      </x:c>
      <x:c r="M1259" s="3" t="str">
        <x:v>UPI</x:v>
      </x:c>
      <x:c r="N1259" s="3" t="str">
        <x:f>TEXT(B1259,"yyyy-mm")</x:f>
        <x:v>2024-11</x:v>
      </x:c>
      <x:c r="O1259" s="3" t="str">
        <x:f>IF(J1259=0,"No discount",IF(J1259&lt;=0.1,"1-10%",IF(J1259&lt;=0.15,"11-15%",IF(J1259&lt;=0.2,"16-20%","21%+"))))</x:f>
        <x:v>1-10%</x:v>
      </x:c>
      <x:c r="P1259" s="9" t="n">
        <x:f>IF(K1259=0,0,L1259/K1259)</x:f>
        <x:v>0.3102486967605449</x:v>
      </x:c>
      <x:c r="Q1259" s="3" t="str">
        <x:f>IF(L1259&lt;0,"Yes","No")</x:f>
        <x:v>No</x:v>
      </x:c>
    </x:row>
    <x:row r="1260" ht="21" customHeight="1">
      <x:c r="A1260" s="3" t="str">
        <x:v>ORD-100374</x:v>
      </x:c>
      <x:c r="B1260" s="5" t="n">
        <x:v>45623</x:v>
      </x:c>
      <x:c r="C1260" s="3" t="str">
        <x:v>CUST-00577</x:v>
      </x:c>
      <x:c r="D1260" s="3" t="str">
        <x:v>South</x:v>
      </x:c>
      <x:c r="E1260" s="3" t="str">
        <x:v>Beauty</x:v>
      </x:c>
      <x:c r="F1260" s="3" t="str">
        <x:v>Makeup</x:v>
      </x:c>
      <x:c r="G1260" s="3" t="str">
        <x:v>HD Foundation Kit</x:v>
      </x:c>
      <x:c r="H1260" s="3" t="n">
        <x:v>4</x:v>
      </x:c>
      <x:c r="I1260" s="7" t="n">
        <x:v>1573.48</x:v>
      </x:c>
      <x:c r="J1260" s="9" t="n">
        <x:v>0.1</x:v>
      </x:c>
      <x:c r="K1260" s="7" t="n">
        <x:v>5664.53</x:v>
      </x:c>
      <x:c r="L1260" s="7" t="n">
        <x:v>2620.35</x:v>
      </x:c>
      <x:c r="M1260" s="3" t="str">
        <x:v>Credit Card</x:v>
      </x:c>
      <x:c r="N1260" s="3" t="str">
        <x:f>TEXT(B1260,"yyyy-mm")</x:f>
        <x:v>2024-11</x:v>
      </x:c>
      <x:c r="O1260" s="3" t="str">
        <x:f>IF(J1260=0,"No discount",IF(J1260&lt;=0.1,"1-10%",IF(J1260&lt;=0.15,"11-15%",IF(J1260&lt;=0.2,"16-20%","21%+"))))</x:f>
        <x:v>1-10%</x:v>
      </x:c>
      <x:c r="P1260" s="9" t="n">
        <x:f>IF(K1260=0,0,L1260/K1260)</x:f>
        <x:v>0.4625891291951848</x:v>
      </x:c>
      <x:c r="Q1260" s="3" t="str">
        <x:f>IF(L1260&lt;0,"Yes","No")</x:f>
        <x:v>No</x:v>
      </x:c>
    </x:row>
    <x:row r="1261" ht="21" customHeight="1">
      <x:c r="A1261" s="3" t="str">
        <x:v>ORD-100635</x:v>
      </x:c>
      <x:c r="B1261" s="5" t="n">
        <x:v>45623</x:v>
      </x:c>
      <x:c r="C1261" s="3" t="str">
        <x:v>CUST-00412</x:v>
      </x:c>
      <x:c r="D1261" s="3" t="str">
        <x:v>North</x:v>
      </x:c>
      <x:c r="E1261" s="3" t="str">
        <x:v>Home &amp; Kitchen</x:v>
      </x:c>
      <x:c r="F1261" s="3" t="str">
        <x:v>Appliances</x:v>
      </x:c>
      <x:c r="G1261" s="3" t="str">
        <x:v>AirFryer Deluxe</x:v>
      </x:c>
      <x:c r="H1261" s="3" t="n">
        <x:v>2</x:v>
      </x:c>
      <x:c r="I1261" s="7" t="n">
        <x:v>7915.06</x:v>
      </x:c>
      <x:c r="J1261" s="9" t="n">
        <x:v>0.25</x:v>
      </x:c>
      <x:c r="K1261" s="7" t="n">
        <x:v>11872.59</x:v>
      </x:c>
      <x:c r="L1261" s="7" t="n">
        <x:v>436.09</x:v>
      </x:c>
      <x:c r="M1261" s="3" t="str">
        <x:v>UPI</x:v>
      </x:c>
      <x:c r="N1261" s="3" t="str">
        <x:f>TEXT(B1261,"yyyy-mm")</x:f>
        <x:v>2024-11</x:v>
      </x:c>
      <x:c r="O1261" s="3" t="str">
        <x:f>IF(J1261=0,"No discount",IF(J1261&lt;=0.1,"1-10%",IF(J1261&lt;=0.15,"11-15%",IF(J1261&lt;=0.2,"16-20%","21%+"))))</x:f>
        <x:v>21%+</x:v>
      </x:c>
      <x:c r="P1261" s="9" t="n">
        <x:f>IF(K1261=0,0,L1261/K1261)</x:f>
        <x:v>0.03673082284488894</x:v>
      </x:c>
      <x:c r="Q1261" s="3" t="str">
        <x:f>IF(L1261&lt;0,"Yes","No")</x:f>
        <x:v>No</x:v>
      </x:c>
    </x:row>
    <x:row r="1262" ht="21" customHeight="1">
      <x:c r="A1262" s="3" t="str">
        <x:v>ORD-101060</x:v>
      </x:c>
      <x:c r="B1262" s="5" t="n">
        <x:v>45623</x:v>
      </x:c>
      <x:c r="C1262" s="3" t="str">
        <x:v>CUST-00583</x:v>
      </x:c>
      <x:c r="D1262" s="3" t="str">
        <x:v>South</x:v>
      </x:c>
      <x:c r="E1262" s="3" t="str">
        <x:v>Fashion</x:v>
      </x:c>
      <x:c r="F1262" s="3" t="str">
        <x:v>Women</x:v>
      </x:c>
      <x:c r="G1262" s="3" t="str">
        <x:v>Knit Winter Sweater</x:v>
      </x:c>
      <x:c r="H1262" s="3" t="n">
        <x:v>2</x:v>
      </x:c>
      <x:c r="I1262" s="7" t="n">
        <x:v>2231.18</x:v>
      </x:c>
      <x:c r="J1262" s="9" t="n">
        <x:v>0.1</x:v>
      </x:c>
      <x:c r="K1262" s="7" t="n">
        <x:v>4016.12</x:v>
      </x:c>
      <x:c r="L1262" s="7" t="n">
        <x:v>1191.35</x:v>
      </x:c>
      <x:c r="M1262" s="3" t="str">
        <x:v>Debit Card</x:v>
      </x:c>
      <x:c r="N1262" s="3" t="str">
        <x:f>TEXT(B1262,"yyyy-mm")</x:f>
        <x:v>2024-11</x:v>
      </x:c>
      <x:c r="O1262" s="3" t="str">
        <x:f>IF(J1262=0,"No discount",IF(J1262&lt;=0.1,"1-10%",IF(J1262&lt;=0.15,"11-15%",IF(J1262&lt;=0.2,"16-20%","21%+"))))</x:f>
        <x:v>1-10%</x:v>
      </x:c>
      <x:c r="P1262" s="9" t="n">
        <x:f>IF(K1262=0,0,L1262/K1262)</x:f>
        <x:v>0.2966420326085874</x:v>
      </x:c>
      <x:c r="Q1262" s="3" t="str">
        <x:f>IF(L1262&lt;0,"Yes","No")</x:f>
        <x:v>No</x:v>
      </x:c>
    </x:row>
    <x:row r="1263" ht="21" customHeight="1">
      <x:c r="A1263" s="3" t="str">
        <x:v>ORD-101100</x:v>
      </x:c>
      <x:c r="B1263" s="5" t="n">
        <x:v>45623</x:v>
      </x:c>
      <x:c r="C1263" s="3" t="str">
        <x:v>CUST-00580</x:v>
      </x:c>
      <x:c r="D1263" s="3" t="str">
        <x:v>South</x:v>
      </x:c>
      <x:c r="E1263" s="3" t="str">
        <x:v>Sports</x:v>
      </x:c>
      <x:c r="F1263" s="3" t="str">
        <x:v>Outdoor</x:v>
      </x:c>
      <x:c r="G1263" s="3" t="str">
        <x:v>TrailHike Backpack 60L</x:v>
      </x:c>
      <x:c r="H1263" s="3" t="n">
        <x:v>1</x:v>
      </x:c>
      <x:c r="I1263" s="7" t="n">
        <x:v>3418.96</x:v>
      </x:c>
      <x:c r="J1263" s="9" t="n">
        <x:v>0</x:v>
      </x:c>
      <x:c r="K1263" s="7" t="n">
        <x:v>3418.96</x:v>
      </x:c>
      <x:c r="L1263" s="7" t="n">
        <x:v>1241.48</x:v>
      </x:c>
      <x:c r="M1263" s="3" t="str">
        <x:v>UPI</x:v>
      </x:c>
      <x:c r="N1263" s="3" t="str">
        <x:f>TEXT(B1263,"yyyy-mm")</x:f>
        <x:v>2024-11</x:v>
      </x:c>
      <x:c r="O1263" s="3" t="str">
        <x:f>IF(J1263=0,"No discount",IF(J1263&lt;=0.1,"1-10%",IF(J1263&lt;=0.15,"11-15%",IF(J1263&lt;=0.2,"16-20%","21%+"))))</x:f>
        <x:v>No discount</x:v>
      </x:c>
      <x:c r="P1263" s="9" t="n">
        <x:f>IF(K1263=0,0,L1263/K1263)</x:f>
        <x:v>0.36311626927486723</x:v>
      </x:c>
      <x:c r="Q1263" s="3" t="str">
        <x:f>IF(L1263&lt;0,"Yes","No")</x:f>
        <x:v>No</x:v>
      </x:c>
    </x:row>
    <x:row r="1264" ht="21" customHeight="1">
      <x:c r="A1264" s="3" t="str">
        <x:v>ORD-101145</x:v>
      </x:c>
      <x:c r="B1264" s="5" t="n">
        <x:v>45623</x:v>
      </x:c>
      <x:c r="C1264" s="3" t="str">
        <x:v>CUST-00335</x:v>
      </x:c>
      <x:c r="D1264" s="3" t="str">
        <x:v>West</x:v>
      </x:c>
      <x:c r="E1264" s="3" t="str">
        <x:v>Fashion</x:v>
      </x:c>
      <x:c r="F1264" s="3" t="str">
        <x:v>Women</x:v>
      </x:c>
      <x:c r="G1264" s="3" t="str">
        <x:v>Floral Summer Dress</x:v>
      </x:c>
      <x:c r="H1264" s="3" t="n">
        <x:v>1</x:v>
      </x:c>
      <x:c r="I1264" s="7" t="n">
        <x:v>1853.62</x:v>
      </x:c>
      <x:c r="J1264" s="9" t="n">
        <x:v>0.2</x:v>
      </x:c>
      <x:c r="K1264" s="7" t="n">
        <x:v>1482.9</x:v>
      </x:c>
      <x:c r="L1264" s="7" t="n">
        <x:v>268.65</x:v>
      </x:c>
      <x:c r="M1264" s="3" t="str">
        <x:v>Credit Card</x:v>
      </x:c>
      <x:c r="N1264" s="3" t="str">
        <x:f>TEXT(B1264,"yyyy-mm")</x:f>
        <x:v>2024-11</x:v>
      </x:c>
      <x:c r="O1264" s="3" t="str">
        <x:f>IF(J1264=0,"No discount",IF(J1264&lt;=0.1,"1-10%",IF(J1264&lt;=0.15,"11-15%",IF(J1264&lt;=0.2,"16-20%","21%+"))))</x:f>
        <x:v>16-20%</x:v>
      </x:c>
      <x:c r="P1264" s="9" t="n">
        <x:f>IF(K1264=0,0,L1264/K1264)</x:f>
        <x:v>0.18116528424033984</x:v>
      </x:c>
      <x:c r="Q1264" s="3" t="str">
        <x:f>IF(L1264&lt;0,"Yes","No")</x:f>
        <x:v>No</x:v>
      </x:c>
    </x:row>
    <x:row r="1265" ht="21" customHeight="1">
      <x:c r="A1265" s="3" t="str">
        <x:v>ORD-101554</x:v>
      </x:c>
      <x:c r="B1265" s="5" t="n">
        <x:v>45623</x:v>
      </x:c>
      <x:c r="C1265" s="3" t="str">
        <x:v>CUST-00210</x:v>
      </x:c>
      <x:c r="D1265" s="3" t="str">
        <x:v>East</x:v>
      </x:c>
      <x:c r="E1265" s="3" t="str">
        <x:v>Home &amp; Kitchen</x:v>
      </x:c>
      <x:c r="F1265" s="3" t="str">
        <x:v>Decor</x:v>
      </x:c>
      <x:c r="G1265" s="3" t="str">
        <x:v>Ceramic Vase Set</x:v>
      </x:c>
      <x:c r="H1265" s="3" t="n">
        <x:v>3</x:v>
      </x:c>
      <x:c r="I1265" s="7" t="n">
        <x:v>1435.52</x:v>
      </x:c>
      <x:c r="J1265" s="9" t="n">
        <x:v>0.1</x:v>
      </x:c>
      <x:c r="K1265" s="7" t="n">
        <x:v>3875.9</x:v>
      </x:c>
      <x:c r="L1265" s="7" t="n">
        <x:v>955.27</x:v>
      </x:c>
      <x:c r="M1265" s="3" t="str">
        <x:v>Credit Card</x:v>
      </x:c>
      <x:c r="N1265" s="3" t="str">
        <x:f>TEXT(B1265,"yyyy-mm")</x:f>
        <x:v>2024-11</x:v>
      </x:c>
      <x:c r="O1265" s="3" t="str">
        <x:f>IF(J1265=0,"No discount",IF(J1265&lt;=0.1,"1-10%",IF(J1265&lt;=0.15,"11-15%",IF(J1265&lt;=0.2,"16-20%","21%+"))))</x:f>
        <x:v>1-10%</x:v>
      </x:c>
      <x:c r="P1265" s="9" t="n">
        <x:f>IF(K1265=0,0,L1265/K1265)</x:f>
        <x:v>0.24646404706003766</x:v>
      </x:c>
      <x:c r="Q1265" s="3" t="str">
        <x:f>IF(L1265&lt;0,"Yes","No")</x:f>
        <x:v>No</x:v>
      </x:c>
    </x:row>
    <x:row r="1266" ht="21" customHeight="1">
      <x:c r="A1266" s="3" t="str">
        <x:v>ORD-101816</x:v>
      </x:c>
      <x:c r="B1266" s="5" t="n">
        <x:v>45623</x:v>
      </x:c>
      <x:c r="C1266" s="3" t="str">
        <x:v>CUST-00184</x:v>
      </x:c>
      <x:c r="D1266" s="3" t="str">
        <x:v>North</x:v>
      </x:c>
      <x:c r="E1266" s="3" t="str">
        <x:v>Fashion</x:v>
      </x:c>
      <x:c r="F1266" s="3" t="str">
        <x:v>Women</x:v>
      </x:c>
      <x:c r="G1266" s="3" t="str">
        <x:v>Knit Winter Sweater</x:v>
      </x:c>
      <x:c r="H1266" s="3" t="n">
        <x:v>1</x:v>
      </x:c>
      <x:c r="I1266" s="7" t="n">
        <x:v>2267.59</x:v>
      </x:c>
      <x:c r="J1266" s="9" t="n">
        <x:v>0.2</x:v>
      </x:c>
      <x:c r="K1266" s="7" t="n">
        <x:v>1814.07</x:v>
      </x:c>
      <x:c r="L1266" s="7" t="n">
        <x:v>315.45</x:v>
      </x:c>
      <x:c r="M1266" s="3" t="str">
        <x:v>UPI</x:v>
      </x:c>
      <x:c r="N1266" s="3" t="str">
        <x:f>TEXT(B1266,"yyyy-mm")</x:f>
        <x:v>2024-11</x:v>
      </x:c>
      <x:c r="O1266" s="3" t="str">
        <x:f>IF(J1266=0,"No discount",IF(J1266&lt;=0.1,"1-10%",IF(J1266&lt;=0.15,"11-15%",IF(J1266&lt;=0.2,"16-20%","21%+"))))</x:f>
        <x:v>16-20%</x:v>
      </x:c>
      <x:c r="P1266" s="9" t="n">
        <x:f>IF(K1266=0,0,L1266/K1266)</x:f>
        <x:v>0.1738907539400354</x:v>
      </x:c>
      <x:c r="Q1266" s="3" t="str">
        <x:f>IF(L1266&lt;0,"Yes","No")</x:f>
        <x:v>No</x:v>
      </x:c>
    </x:row>
    <x:row r="1267" ht="21" customHeight="1">
      <x:c r="A1267" s="3" t="str">
        <x:v>ORD-101641</x:v>
      </x:c>
      <x:c r="B1267" s="5" t="n">
        <x:v>45624</x:v>
      </x:c>
      <x:c r="C1267" s="3" t="str">
        <x:v>CUST-00225</x:v>
      </x:c>
      <x:c r="D1267" s="3" t="str">
        <x:v>East</x:v>
      </x:c>
      <x:c r="E1267" s="3" t="str">
        <x:v>Electronics</x:v>
      </x:c>
      <x:c r="F1267" s="3" t="str">
        <x:v>Audio</x:v>
      </x:c>
      <x:c r="G1267" s="3" t="str">
        <x:v>BassBoom Speaker</x:v>
      </x:c>
      <x:c r="H1267" s="3" t="n">
        <x:v>2</x:v>
      </x:c>
      <x:c r="I1267" s="7" t="n">
        <x:v>8603.82</x:v>
      </x:c>
      <x:c r="J1267" s="9" t="n">
        <x:v>0.05</x:v>
      </x:c>
      <x:c r="K1267" s="7" t="n">
        <x:v>16347.26</x:v>
      </x:c>
      <x:c r="L1267" s="7" t="n">
        <x:v>2500.77</x:v>
      </x:c>
      <x:c r="M1267" s="3" t="str">
        <x:v>Credit Card</x:v>
      </x:c>
      <x:c r="N1267" s="3" t="str">
        <x:f>TEXT(B1267,"yyyy-mm")</x:f>
        <x:v>2024-11</x:v>
      </x:c>
      <x:c r="O1267" s="3" t="str">
        <x:f>IF(J1267=0,"No discount",IF(J1267&lt;=0.1,"1-10%",IF(J1267&lt;=0.15,"11-15%",IF(J1267&lt;=0.2,"16-20%","21%+"))))</x:f>
        <x:v>1-10%</x:v>
      </x:c>
      <x:c r="P1267" s="9" t="n">
        <x:f>IF(K1267=0,0,L1267/K1267)</x:f>
        <x:v>0.15297793024641437</x:v>
      </x:c>
      <x:c r="Q1267" s="3" t="str">
        <x:f>IF(L1267&lt;0,"Yes","No")</x:f>
        <x:v>No</x:v>
      </x:c>
    </x:row>
    <x:row r="1268" ht="21" customHeight="1">
      <x:c r="A1268" s="3" t="str">
        <x:v>ORD-101769</x:v>
      </x:c>
      <x:c r="B1268" s="5" t="n">
        <x:v>45624</x:v>
      </x:c>
      <x:c r="C1268" s="3" t="str">
        <x:v>CUST-00455</x:v>
      </x:c>
      <x:c r="D1268" s="3" t="str">
        <x:v>West</x:v>
      </x:c>
      <x:c r="E1268" s="3" t="str">
        <x:v>Beauty</x:v>
      </x:c>
      <x:c r="F1268" s="3" t="str">
        <x:v>Makeup</x:v>
      </x:c>
      <x:c r="G1268" s="3" t="str">
        <x:v>HD Foundation Kit</x:v>
      </x:c>
      <x:c r="H1268" s="3" t="n">
        <x:v>1</x:v>
      </x:c>
      <x:c r="I1268" s="7" t="n">
        <x:v>1510.24</x:v>
      </x:c>
      <x:c r="J1268" s="9" t="n">
        <x:v>0.15</x:v>
      </x:c>
      <x:c r="K1268" s="7" t="n">
        <x:v>1283.7</x:v>
      </x:c>
      <x:c r="L1268" s="7" t="n">
        <x:v>488.34</x:v>
      </x:c>
      <x:c r="M1268" s="3" t="str">
        <x:v>UPI</x:v>
      </x:c>
      <x:c r="N1268" s="3" t="str">
        <x:f>TEXT(B1268,"yyyy-mm")</x:f>
        <x:v>2024-11</x:v>
      </x:c>
      <x:c r="O1268" s="3" t="str">
        <x:f>IF(J1268=0,"No discount",IF(J1268&lt;=0.1,"1-10%",IF(J1268&lt;=0.15,"11-15%",IF(J1268&lt;=0.2,"16-20%","21%+"))))</x:f>
        <x:v>11-15%</x:v>
      </x:c>
      <x:c r="P1268" s="9" t="n">
        <x:f>IF(K1268=0,0,L1268/K1268)</x:f>
        <x:v>0.3804159850432344</x:v>
      </x:c>
      <x:c r="Q1268" s="3" t="str">
        <x:f>IF(L1268&lt;0,"Yes","No")</x:f>
        <x:v>No</x:v>
      </x:c>
    </x:row>
    <x:row r="1269" ht="21" customHeight="1">
      <x:c r="A1269" s="3" t="str">
        <x:v>ORD-100576</x:v>
      </x:c>
      <x:c r="B1269" s="5" t="n">
        <x:v>45625</x:v>
      </x:c>
      <x:c r="C1269" s="3" t="str">
        <x:v>CUST-00420</x:v>
      </x:c>
      <x:c r="D1269" s="3" t="str">
        <x:v>South</x:v>
      </x:c>
      <x:c r="E1269" s="3" t="str">
        <x:v>Sports</x:v>
      </x:c>
      <x:c r="F1269" s="3" t="str">
        <x:v>Outdoor</x:v>
      </x:c>
      <x:c r="G1269" s="3" t="str">
        <x:v>TrailHike Backpack 60L</x:v>
      </x:c>
      <x:c r="H1269" s="3" t="n">
        <x:v>2</x:v>
      </x:c>
      <x:c r="I1269" s="7" t="n">
        <x:v>3485.33</x:v>
      </x:c>
      <x:c r="J1269" s="9" t="n">
        <x:v>0.05</x:v>
      </x:c>
      <x:c r="K1269" s="7" t="n">
        <x:v>6622.13</x:v>
      </x:c>
      <x:c r="L1269" s="7" t="n">
        <x:v>2109.11</x:v>
      </x:c>
      <x:c r="M1269" s="3" t="str">
        <x:v>Net Banking</x:v>
      </x:c>
      <x:c r="N1269" s="3" t="str">
        <x:f>TEXT(B1269,"yyyy-mm")</x:f>
        <x:v>2024-11</x:v>
      </x:c>
      <x:c r="O1269" s="3" t="str">
        <x:f>IF(J1269=0,"No discount",IF(J1269&lt;=0.1,"1-10%",IF(J1269&lt;=0.15,"11-15%",IF(J1269&lt;=0.2,"16-20%","21%+"))))</x:f>
        <x:v>1-10%</x:v>
      </x:c>
      <x:c r="P1269" s="9" t="n">
        <x:f>IF(K1269=0,0,L1269/K1269)</x:f>
        <x:v>0.3184942005064836</x:v>
      </x:c>
      <x:c r="Q1269" s="3" t="str">
        <x:f>IF(L1269&lt;0,"Yes","No")</x:f>
        <x:v>No</x:v>
      </x:c>
    </x:row>
    <x:row r="1270" ht="21" customHeight="1">
      <x:c r="A1270" s="3" t="str">
        <x:v>ORD-100628</x:v>
      </x:c>
      <x:c r="B1270" s="5" t="n">
        <x:v>45625</x:v>
      </x:c>
      <x:c r="C1270" s="3" t="str">
        <x:v>CUST-00169</x:v>
      </x:c>
      <x:c r="D1270" s="3" t="str">
        <x:v>West</x:v>
      </x:c>
      <x:c r="E1270" s="3" t="str">
        <x:v>Beauty</x:v>
      </x:c>
      <x:c r="F1270" s="3" t="str">
        <x:v>Skincare</x:v>
      </x:c>
      <x:c r="G1270" s="3" t="str">
        <x:v>HydraBoost Moisturizer</x:v>
      </x:c>
      <x:c r="H1270" s="3" t="n">
        <x:v>2</x:v>
      </x:c>
      <x:c r="I1270" s="7" t="n">
        <x:v>1245.23</x:v>
      </x:c>
      <x:c r="J1270" s="9" t="n">
        <x:v>0</x:v>
      </x:c>
      <x:c r="K1270" s="7" t="n">
        <x:v>2490.46</x:v>
      </x:c>
      <x:c r="L1270" s="7" t="n">
        <x:v>1301.6</x:v>
      </x:c>
      <x:c r="M1270" s="3" t="str">
        <x:v>Credit Card</x:v>
      </x:c>
      <x:c r="N1270" s="3" t="str">
        <x:f>TEXT(B1270,"yyyy-mm")</x:f>
        <x:v>2024-11</x:v>
      </x:c>
      <x:c r="O1270" s="3" t="str">
        <x:f>IF(J1270=0,"No discount",IF(J1270&lt;=0.1,"1-10%",IF(J1270&lt;=0.15,"11-15%",IF(J1270&lt;=0.2,"16-20%","21%+"))))</x:f>
        <x:v>No discount</x:v>
      </x:c>
      <x:c r="P1270" s="9" t="n">
        <x:f>IF(K1270=0,0,L1270/K1270)</x:f>
        <x:v>0.5226343727664768</x:v>
      </x:c>
      <x:c r="Q1270" s="3" t="str">
        <x:f>IF(L1270&lt;0,"Yes","No")</x:f>
        <x:v>No</x:v>
      </x:c>
    </x:row>
    <x:row r="1271" ht="21" customHeight="1">
      <x:c r="A1271" s="3" t="str">
        <x:v>ORD-100483</x:v>
      </x:c>
      <x:c r="B1271" s="5" t="n">
        <x:v>45626</x:v>
      </x:c>
      <x:c r="C1271" s="3" t="str">
        <x:v>CUST-00200</x:v>
      </x:c>
      <x:c r="D1271" s="3" t="str">
        <x:v>North</x:v>
      </x:c>
      <x:c r="E1271" s="3" t="str">
        <x:v>Sports</x:v>
      </x:c>
      <x:c r="F1271" s="3" t="str">
        <x:v>Fitness</x:v>
      </x:c>
      <x:c r="G1271" s="3" t="str">
        <x:v>ProYoga Mat</x:v>
      </x:c>
      <x:c r="H1271" s="3" t="n">
        <x:v>2</x:v>
      </x:c>
      <x:c r="I1271" s="7" t="n">
        <x:v>1237.27</x:v>
      </x:c>
      <x:c r="J1271" s="9" t="n">
        <x:v>0</x:v>
      </x:c>
      <x:c r="K1271" s="7" t="n">
        <x:v>2474.54</x:v>
      </x:c>
      <x:c r="L1271" s="7" t="n">
        <x:v>963.59</x:v>
      </x:c>
      <x:c r="M1271" s="3" t="str">
        <x:v>UPI</x:v>
      </x:c>
      <x:c r="N1271" s="3" t="str">
        <x:f>TEXT(B1271,"yyyy-mm")</x:f>
        <x:v>2024-11</x:v>
      </x:c>
      <x:c r="O1271" s="3" t="str">
        <x:f>IF(J1271=0,"No discount",IF(J1271&lt;=0.1,"1-10%",IF(J1271&lt;=0.15,"11-15%",IF(J1271&lt;=0.2,"16-20%","21%+"))))</x:f>
        <x:v>No discount</x:v>
      </x:c>
      <x:c r="P1271" s="9" t="n">
        <x:f>IF(K1271=0,0,L1271/K1271)</x:f>
        <x:v>0.3894016665723731</x:v>
      </x:c>
      <x:c r="Q1271" s="3" t="str">
        <x:f>IF(L1271&lt;0,"Yes","No")</x:f>
        <x:v>No</x:v>
      </x:c>
    </x:row>
    <x:row r="1272" ht="21" customHeight="1">
      <x:c r="A1272" s="3" t="str">
        <x:v>ORD-100661</x:v>
      </x:c>
      <x:c r="B1272" s="5" t="n">
        <x:v>45626</x:v>
      </x:c>
      <x:c r="C1272" s="3" t="str">
        <x:v>CUST-00288</x:v>
      </x:c>
      <x:c r="D1272" s="3" t="str">
        <x:v>East</x:v>
      </x:c>
      <x:c r="E1272" s="3" t="str">
        <x:v>Fashion</x:v>
      </x:c>
      <x:c r="F1272" s="3" t="str">
        <x:v>Men</x:v>
      </x:c>
      <x:c r="G1272" s="3" t="str">
        <x:v>SlimFit Denim Jeans</x:v>
      </x:c>
      <x:c r="H1272" s="3" t="n">
        <x:v>2</x:v>
      </x:c>
      <x:c r="I1272" s="7" t="n">
        <x:v>1916.93</x:v>
      </x:c>
      <x:c r="J1272" s="9" t="n">
        <x:v>0.1</x:v>
      </x:c>
      <x:c r="K1272" s="7" t="n">
        <x:v>3450.47</x:v>
      </x:c>
      <x:c r="L1272" s="7" t="n">
        <x:v>1034.42</x:v>
      </x:c>
      <x:c r="M1272" s="3" t="str">
        <x:v>UPI</x:v>
      </x:c>
      <x:c r="N1272" s="3" t="str">
        <x:f>TEXT(B1272,"yyyy-mm")</x:f>
        <x:v>2024-11</x:v>
      </x:c>
      <x:c r="O1272" s="3" t="str">
        <x:f>IF(J1272=0,"No discount",IF(J1272&lt;=0.1,"1-10%",IF(J1272&lt;=0.15,"11-15%",IF(J1272&lt;=0.2,"16-20%","21%+"))))</x:f>
        <x:v>1-10%</x:v>
      </x:c>
      <x:c r="P1272" s="9" t="n">
        <x:f>IF(K1272=0,0,L1272/K1272)</x:f>
        <x:v>0.299791042959365</x:v>
      </x:c>
      <x:c r="Q1272" s="3" t="str">
        <x:f>IF(L1272&lt;0,"Yes","No")</x:f>
        <x:v>No</x:v>
      </x:c>
    </x:row>
    <x:row r="1273" ht="21" customHeight="1">
      <x:c r="A1273" s="3" t="str">
        <x:v>ORD-101059</x:v>
      </x:c>
      <x:c r="B1273" s="5" t="n">
        <x:v>45626</x:v>
      </x:c>
      <x:c r="C1273" s="3" t="str">
        <x:v>CUST-00378</x:v>
      </x:c>
      <x:c r="D1273" s="3" t="str">
        <x:v>West</x:v>
      </x:c>
      <x:c r="E1273" s="3" t="str">
        <x:v>Sports</x:v>
      </x:c>
      <x:c r="F1273" s="3" t="str">
        <x:v>Outdoor</x:v>
      </x:c>
      <x:c r="G1273" s="3" t="str">
        <x:v>TrailHike Backpack 60L</x:v>
      </x:c>
      <x:c r="H1273" s="3" t="n">
        <x:v>2</x:v>
      </x:c>
      <x:c r="I1273" s="7" t="n">
        <x:v>3381.05</x:v>
      </x:c>
      <x:c r="J1273" s="9" t="n">
        <x:v>0.05</x:v>
      </x:c>
      <x:c r="K1273" s="7" t="n">
        <x:v>6423.99</x:v>
      </x:c>
      <x:c r="L1273" s="7" t="n">
        <x:v>1880.83</x:v>
      </x:c>
      <x:c r="M1273" s="3" t="str">
        <x:v>UPI</x:v>
      </x:c>
      <x:c r="N1273" s="3" t="str">
        <x:f>TEXT(B1273,"yyyy-mm")</x:f>
        <x:v>2024-11</x:v>
      </x:c>
      <x:c r="O1273" s="3" t="str">
        <x:f>IF(J1273=0,"No discount",IF(J1273&lt;=0.1,"1-10%",IF(J1273&lt;=0.15,"11-15%",IF(J1273&lt;=0.2,"16-20%","21%+"))))</x:f>
        <x:v>1-10%</x:v>
      </x:c>
      <x:c r="P1273" s="9" t="n">
        <x:f>IF(K1273=0,0,L1273/K1273)</x:f>
        <x:v>0.2927822116784117</x:v>
      </x:c>
      <x:c r="Q1273" s="3" t="str">
        <x:f>IF(L1273&lt;0,"Yes","No")</x:f>
        <x:v>No</x:v>
      </x:c>
    </x:row>
    <x:row r="1274" ht="21" customHeight="1">
      <x:c r="A1274" s="3" t="str">
        <x:v>ORD-101066</x:v>
      </x:c>
      <x:c r="B1274" s="5" t="n">
        <x:v>45626</x:v>
      </x:c>
      <x:c r="C1274" s="3" t="str">
        <x:v>CUST-00403</x:v>
      </x:c>
      <x:c r="D1274" s="3" t="str">
        <x:v>East</x:v>
      </x:c>
      <x:c r="E1274" s="3" t="str">
        <x:v>Beauty</x:v>
      </x:c>
      <x:c r="F1274" s="3" t="str">
        <x:v>Makeup</x:v>
      </x:c>
      <x:c r="G1274" s="3" t="str">
        <x:v>HD Foundation Kit</x:v>
      </x:c>
      <x:c r="H1274" s="3" t="n">
        <x:v>2</x:v>
      </x:c>
      <x:c r="I1274" s="7" t="n">
        <x:v>1448.01</x:v>
      </x:c>
      <x:c r="J1274" s="9" t="n">
        <x:v>0.05</x:v>
      </x:c>
      <x:c r="K1274" s="7" t="n">
        <x:v>2751.22</x:v>
      </x:c>
      <x:c r="L1274" s="7" t="n">
        <x:v>1289.3</x:v>
      </x:c>
      <x:c r="M1274" s="3" t="str">
        <x:v>UPI</x:v>
      </x:c>
      <x:c r="N1274" s="3" t="str">
        <x:f>TEXT(B1274,"yyyy-mm")</x:f>
        <x:v>2024-11</x:v>
      </x:c>
      <x:c r="O1274" s="3" t="str">
        <x:f>IF(J1274=0,"No discount",IF(J1274&lt;=0.1,"1-10%",IF(J1274&lt;=0.15,"11-15%",IF(J1274&lt;=0.2,"16-20%","21%+"))))</x:f>
        <x:v>1-10%</x:v>
      </x:c>
      <x:c r="P1274" s="9" t="n">
        <x:f>IF(K1274=0,0,L1274/K1274)</x:f>
        <x:v>0.4686284630091378</x:v>
      </x:c>
      <x:c r="Q1274" s="3" t="str">
        <x:f>IF(L1274&lt;0,"Yes","No")</x:f>
        <x:v>No</x:v>
      </x:c>
    </x:row>
    <x:row r="1275" ht="21" customHeight="1">
      <x:c r="A1275" s="3" t="str">
        <x:v>ORD-101327</x:v>
      </x:c>
      <x:c r="B1275" s="5" t="n">
        <x:v>45626</x:v>
      </x:c>
      <x:c r="C1275" s="3" t="str">
        <x:v>CUST-00404</x:v>
      </x:c>
      <x:c r="D1275" s="3" t="str">
        <x:v>West</x:v>
      </x:c>
      <x:c r="E1275" s="3" t="str">
        <x:v>Sports</x:v>
      </x:c>
      <x:c r="F1275" s="3" t="str">
        <x:v>Outdoor</x:v>
      </x:c>
      <x:c r="G1275" s="3" t="str">
        <x:v>TrailHike Backpack 60L</x:v>
      </x:c>
      <x:c r="H1275" s="3" t="n">
        <x:v>1</x:v>
      </x:c>
      <x:c r="I1275" s="7" t="n">
        <x:v>3418.83</x:v>
      </x:c>
      <x:c r="J1275" s="9" t="n">
        <x:v>0</x:v>
      </x:c>
      <x:c r="K1275" s="7" t="n">
        <x:v>3418.83</x:v>
      </x:c>
      <x:c r="L1275" s="7" t="n">
        <x:v>1303.8</x:v>
      </x:c>
      <x:c r="M1275" s="3" t="str">
        <x:v>Debit Card</x:v>
      </x:c>
      <x:c r="N1275" s="3" t="str">
        <x:f>TEXT(B1275,"yyyy-mm")</x:f>
        <x:v>2024-11</x:v>
      </x:c>
      <x:c r="O1275" s="3" t="str">
        <x:f>IF(J1275=0,"No discount",IF(J1275&lt;=0.1,"1-10%",IF(J1275&lt;=0.15,"11-15%",IF(J1275&lt;=0.2,"16-20%","21%+"))))</x:f>
        <x:v>No discount</x:v>
      </x:c>
      <x:c r="P1275" s="9" t="n">
        <x:f>IF(K1275=0,0,L1275/K1275)</x:f>
        <x:v>0.38135853493739086</x:v>
      </x:c>
      <x:c r="Q1275" s="3" t="str">
        <x:f>IF(L1275&lt;0,"Yes","No")</x:f>
        <x:v>No</x:v>
      </x:c>
    </x:row>
    <x:row r="1276" ht="21" customHeight="1">
      <x:c r="A1276" s="3" t="str">
        <x:v>ORD-101069</x:v>
      </x:c>
      <x:c r="B1276" s="5" t="n">
        <x:v>45627</x:v>
      </x:c>
      <x:c r="C1276" s="3" t="str">
        <x:v>CUST-00401</x:v>
      </x:c>
      <x:c r="D1276" s="3" t="str">
        <x:v>South</x:v>
      </x:c>
      <x:c r="E1276" s="3" t="str">
        <x:v>Fashion</x:v>
      </x:c>
      <x:c r="F1276" s="3" t="str">
        <x:v>Footwear</x:v>
      </x:c>
      <x:c r="G1276" s="3" t="str">
        <x:v>RunFlex Sneakers</x:v>
      </x:c>
      <x:c r="H1276" s="3" t="n">
        <x:v>1</x:v>
      </x:c>
      <x:c r="I1276" s="7" t="n">
        <x:v>2903.31</x:v>
      </x:c>
      <x:c r="J1276" s="9" t="n">
        <x:v>0</x:v>
      </x:c>
      <x:c r="K1276" s="7" t="n">
        <x:v>2903.31</x:v>
      </x:c>
      <x:c r="L1276" s="7" t="n">
        <x:v>1180.82</x:v>
      </x:c>
      <x:c r="M1276" s="3" t="str">
        <x:v>Debit Card</x:v>
      </x:c>
      <x:c r="N1276" s="3" t="str">
        <x:f>TEXT(B1276,"yyyy-mm")</x:f>
        <x:v>2024-12</x:v>
      </x:c>
      <x:c r="O1276" s="3" t="str">
        <x:f>IF(J1276=0,"No discount",IF(J1276&lt;=0.1,"1-10%",IF(J1276&lt;=0.15,"11-15%",IF(J1276&lt;=0.2,"16-20%","21%+"))))</x:f>
        <x:v>No discount</x:v>
      </x:c>
      <x:c r="P1276" s="9" t="n">
        <x:f>IF(K1276=0,0,L1276/K1276)</x:f>
        <x:v>0.4067150941511585</x:v>
      </x:c>
      <x:c r="Q1276" s="3" t="str">
        <x:f>IF(L1276&lt;0,"Yes","No")</x:f>
        <x:v>No</x:v>
      </x:c>
    </x:row>
    <x:row r="1277" ht="21" customHeight="1">
      <x:c r="A1277" s="3" t="str">
        <x:v>ORD-101534</x:v>
      </x:c>
      <x:c r="B1277" s="5" t="n">
        <x:v>45627</x:v>
      </x:c>
      <x:c r="C1277" s="3" t="str">
        <x:v>CUST-00495</x:v>
      </x:c>
      <x:c r="D1277" s="3" t="str">
        <x:v>West</x:v>
      </x:c>
      <x:c r="E1277" s="3" t="str">
        <x:v>Fashion</x:v>
      </x:c>
      <x:c r="F1277" s="3" t="str">
        <x:v>Women</x:v>
      </x:c>
      <x:c r="G1277" s="3" t="str">
        <x:v>Floral Summer Dress</x:v>
      </x:c>
      <x:c r="H1277" s="3" t="n">
        <x:v>1</x:v>
      </x:c>
      <x:c r="I1277" s="7" t="n">
        <x:v>1833.45</x:v>
      </x:c>
      <x:c r="J1277" s="9" t="n">
        <x:v>0</x:v>
      </x:c>
      <x:c r="K1277" s="7" t="n">
        <x:v>1833.45</x:v>
      </x:c>
      <x:c r="L1277" s="7" t="n">
        <x:v>756.64</x:v>
      </x:c>
      <x:c r="M1277" s="3" t="str">
        <x:v>UPI</x:v>
      </x:c>
      <x:c r="N1277" s="3" t="str">
        <x:f>TEXT(B1277,"yyyy-mm")</x:f>
        <x:v>2024-12</x:v>
      </x:c>
      <x:c r="O1277" s="3" t="str">
        <x:f>IF(J1277=0,"No discount",IF(J1277&lt;=0.1,"1-10%",IF(J1277&lt;=0.15,"11-15%",IF(J1277&lt;=0.2,"16-20%","21%+"))))</x:f>
        <x:v>No discount</x:v>
      </x:c>
      <x:c r="P1277" s="9" t="n">
        <x:f>IF(K1277=0,0,L1277/K1277)</x:f>
        <x:v>0.4126864654067468</x:v>
      </x:c>
      <x:c r="Q1277" s="3" t="str">
        <x:f>IF(L1277&lt;0,"Yes","No")</x:f>
        <x:v>No</x:v>
      </x:c>
    </x:row>
    <x:row r="1278" ht="21" customHeight="1">
      <x:c r="A1278" s="3" t="str">
        <x:v>ORD-100068</x:v>
      </x:c>
      <x:c r="B1278" s="5" t="n">
        <x:v>45628</x:v>
      </x:c>
      <x:c r="C1278" s="3" t="str">
        <x:v>CUST-00547</x:v>
      </x:c>
      <x:c r="D1278" s="3" t="str">
        <x:v>West</x:v>
      </x:c>
      <x:c r="E1278" s="3" t="str">
        <x:v>Electronics</x:v>
      </x:c>
      <x:c r="F1278" s="3" t="str">
        <x:v>Audio</x:v>
      </x:c>
      <x:c r="G1278" s="3" t="str">
        <x:v>SoundPods Pro</x:v>
      </x:c>
      <x:c r="H1278" s="3" t="n">
        <x:v>1</x:v>
      </x:c>
      <x:c r="I1278" s="7" t="n">
        <x:v>4826.22</x:v>
      </x:c>
      <x:c r="J1278" s="9" t="n">
        <x:v>0.1</x:v>
      </x:c>
      <x:c r="K1278" s="7" t="n">
        <x:v>4343.6</x:v>
      </x:c>
      <x:c r="L1278" s="7" t="n">
        <x:v>271.73</x:v>
      </x:c>
      <x:c r="M1278" s="3" t="str">
        <x:v>UPI</x:v>
      </x:c>
      <x:c r="N1278" s="3" t="str">
        <x:f>TEXT(B1278,"yyyy-mm")</x:f>
        <x:v>2024-12</x:v>
      </x:c>
      <x:c r="O1278" s="3" t="str">
        <x:f>IF(J1278=0,"No discount",IF(J1278&lt;=0.1,"1-10%",IF(J1278&lt;=0.15,"11-15%",IF(J1278&lt;=0.2,"16-20%","21%+"))))</x:f>
        <x:v>1-10%</x:v>
      </x:c>
      <x:c r="P1278" s="9" t="n">
        <x:f>IF(K1278=0,0,L1278/K1278)</x:f>
        <x:v>0.0625587070632655</x:v>
      </x:c>
      <x:c r="Q1278" s="3" t="str">
        <x:f>IF(L1278&lt;0,"Yes","No")</x:f>
        <x:v>No</x:v>
      </x:c>
    </x:row>
    <x:row r="1279" ht="21" customHeight="1">
      <x:c r="A1279" s="3" t="str">
        <x:v>ORD-100106</x:v>
      </x:c>
      <x:c r="B1279" s="5" t="n">
        <x:v>45628</x:v>
      </x:c>
      <x:c r="C1279" s="3" t="str">
        <x:v>CUST-00540</x:v>
      </x:c>
      <x:c r="D1279" s="3" t="str">
        <x:v>West</x:v>
      </x:c>
      <x:c r="E1279" s="3" t="str">
        <x:v>Fashion</x:v>
      </x:c>
      <x:c r="F1279" s="3" t="str">
        <x:v>Women</x:v>
      </x:c>
      <x:c r="G1279" s="3" t="str">
        <x:v>Knit Winter Sweater</x:v>
      </x:c>
      <x:c r="H1279" s="3" t="n">
        <x:v>5</x:v>
      </x:c>
      <x:c r="I1279" s="7" t="n">
        <x:v>2175.24</x:v>
      </x:c>
      <x:c r="J1279" s="9" t="n">
        <x:v>0.1</x:v>
      </x:c>
      <x:c r="K1279" s="7" t="n">
        <x:v>9788.58</x:v>
      </x:c>
      <x:c r="L1279" s="7" t="n">
        <x:v>3059.94</x:v>
      </x:c>
      <x:c r="M1279" s="3" t="str">
        <x:v>UPI</x:v>
      </x:c>
      <x:c r="N1279" s="3" t="str">
        <x:f>TEXT(B1279,"yyyy-mm")</x:f>
        <x:v>2024-12</x:v>
      </x:c>
      <x:c r="O1279" s="3" t="str">
        <x:f>IF(J1279=0,"No discount",IF(J1279&lt;=0.1,"1-10%",IF(J1279&lt;=0.15,"11-15%",IF(J1279&lt;=0.2,"16-20%","21%+"))))</x:f>
        <x:v>1-10%</x:v>
      </x:c>
      <x:c r="P1279" s="9" t="n">
        <x:f>IF(K1279=0,0,L1279/K1279)</x:f>
        <x:v>0.31260305376264996</x:v>
      </x:c>
      <x:c r="Q1279" s="3" t="str">
        <x:f>IF(L1279&lt;0,"Yes","No")</x:f>
        <x:v>No</x:v>
      </x:c>
    </x:row>
    <x:row r="1280" ht="21" customHeight="1">
      <x:c r="A1280" s="3" t="str">
        <x:v>ORD-100540</x:v>
      </x:c>
      <x:c r="B1280" s="5" t="n">
        <x:v>45628</x:v>
      </x:c>
      <x:c r="C1280" s="3" t="str">
        <x:v>CUST-00125</x:v>
      </x:c>
      <x:c r="D1280" s="3" t="str">
        <x:v>East</x:v>
      </x:c>
      <x:c r="E1280" s="3" t="str">
        <x:v>Fashion</x:v>
      </x:c>
      <x:c r="F1280" s="3" t="str">
        <x:v>Footwear</x:v>
      </x:c>
      <x:c r="G1280" s="3" t="str">
        <x:v>RunFlex Sneakers</x:v>
      </x:c>
      <x:c r="H1280" s="3" t="n">
        <x:v>1</x:v>
      </x:c>
      <x:c r="I1280" s="7" t="n">
        <x:v>2973.93</x:v>
      </x:c>
      <x:c r="J1280" s="9" t="n">
        <x:v>0.1</x:v>
      </x:c>
      <x:c r="K1280" s="7" t="n">
        <x:v>2676.54</x:v>
      </x:c>
      <x:c r="L1280" s="7" t="n">
        <x:v>725.74</x:v>
      </x:c>
      <x:c r="M1280" s="3" t="str">
        <x:v>Credit Card</x:v>
      </x:c>
      <x:c r="N1280" s="3" t="str">
        <x:f>TEXT(B1280,"yyyy-mm")</x:f>
        <x:v>2024-12</x:v>
      </x:c>
      <x:c r="O1280" s="3" t="str">
        <x:f>IF(J1280=0,"No discount",IF(J1280&lt;=0.1,"1-10%",IF(J1280&lt;=0.15,"11-15%",IF(J1280&lt;=0.2,"16-20%","21%+"))))</x:f>
        <x:v>1-10%</x:v>
      </x:c>
      <x:c r="P1280" s="9" t="n">
        <x:f>IF(K1280=0,0,L1280/K1280)</x:f>
        <x:v>0.2711485724106496</x:v>
      </x:c>
      <x:c r="Q1280" s="3" t="str">
        <x:f>IF(L1280&lt;0,"Yes","No")</x:f>
        <x:v>No</x:v>
      </x:c>
    </x:row>
    <x:row r="1281" ht="21" customHeight="1">
      <x:c r="A1281" s="3" t="str">
        <x:v>ORD-100588</x:v>
      </x:c>
      <x:c r="B1281" s="5" t="n">
        <x:v>45628</x:v>
      </x:c>
      <x:c r="C1281" s="3" t="str">
        <x:v>CUST-00137</x:v>
      </x:c>
      <x:c r="D1281" s="3" t="str">
        <x:v>South</x:v>
      </x:c>
      <x:c r="E1281" s="3" t="str">
        <x:v>Home &amp; Kitchen</x:v>
      </x:c>
      <x:c r="F1281" s="3" t="str">
        <x:v>Appliances</x:v>
      </x:c>
      <x:c r="G1281" s="3" t="str">
        <x:v>ColdBrew Coffee Maker</x:v>
      </x:c>
      <x:c r="H1281" s="3" t="n">
        <x:v>5</x:v>
      </x:c>
      <x:c r="I1281" s="7" t="n">
        <x:v>6351.48</x:v>
      </x:c>
      <x:c r="J1281" s="9" t="n">
        <x:v>0.15</x:v>
      </x:c>
      <x:c r="K1281" s="7" t="n">
        <x:v>26993.79</x:v>
      </x:c>
      <x:c r="L1281" s="7" t="n">
        <x:v>4601.96</x:v>
      </x:c>
      <x:c r="M1281" s="3" t="str">
        <x:v>UPI</x:v>
      </x:c>
      <x:c r="N1281" s="3" t="str">
        <x:f>TEXT(B1281,"yyyy-mm")</x:f>
        <x:v>2024-12</x:v>
      </x:c>
      <x:c r="O1281" s="3" t="str">
        <x:f>IF(J1281=0,"No discount",IF(J1281&lt;=0.1,"1-10%",IF(J1281&lt;=0.15,"11-15%",IF(J1281&lt;=0.2,"16-20%","21%+"))))</x:f>
        <x:v>11-15%</x:v>
      </x:c>
      <x:c r="P1281" s="9" t="n">
        <x:f>IF(K1281=0,0,L1281/K1281)</x:f>
        <x:v>0.17048217386295145</x:v>
      </x:c>
      <x:c r="Q1281" s="3" t="str">
        <x:f>IF(L1281&lt;0,"Yes","No")</x:f>
        <x:v>No</x:v>
      </x:c>
    </x:row>
    <x:row r="1282" ht="21" customHeight="1">
      <x:c r="A1282" s="3" t="str">
        <x:v>ORD-100912</x:v>
      </x:c>
      <x:c r="B1282" s="5" t="n">
        <x:v>45628</x:v>
      </x:c>
      <x:c r="C1282" s="3" t="str">
        <x:v>CUST-00488</x:v>
      </x:c>
      <x:c r="D1282" s="3" t="str">
        <x:v>South</x:v>
      </x:c>
      <x:c r="E1282" s="3" t="str">
        <x:v>Electronics</x:v>
      </x:c>
      <x:c r="F1282" s="3" t="str">
        <x:v>Audio</x:v>
      </x:c>
      <x:c r="G1282" s="3" t="str">
        <x:v>BassBoom Speaker</x:v>
      </x:c>
      <x:c r="H1282" s="3" t="n">
        <x:v>1</x:v>
      </x:c>
      <x:c r="I1282" s="7" t="n">
        <x:v>9204.32</x:v>
      </x:c>
      <x:c r="J1282" s="9" t="n">
        <x:v>0.1</x:v>
      </x:c>
      <x:c r="K1282" s="7" t="n">
        <x:v>8283.89</x:v>
      </x:c>
      <x:c r="L1282" s="7" t="n">
        <x:v>610.9</x:v>
      </x:c>
      <x:c r="M1282" s="3" t="str">
        <x:v>Credit Card</x:v>
      </x:c>
      <x:c r="N1282" s="3" t="str">
        <x:f>TEXT(B1282,"yyyy-mm")</x:f>
        <x:v>2024-12</x:v>
      </x:c>
      <x:c r="O1282" s="3" t="str">
        <x:f>IF(J1282=0,"No discount",IF(J1282&lt;=0.1,"1-10%",IF(J1282&lt;=0.15,"11-15%",IF(J1282&lt;=0.2,"16-20%","21%+"))))</x:f>
        <x:v>1-10%</x:v>
      </x:c>
      <x:c r="P1282" s="9" t="n">
        <x:f>IF(K1282=0,0,L1282/K1282)</x:f>
        <x:v>0.07374554707993466</x:v>
      </x:c>
      <x:c r="Q1282" s="3" t="str">
        <x:f>IF(L1282&lt;0,"Yes","No")</x:f>
        <x:v>No</x:v>
      </x:c>
    </x:row>
    <x:row r="1283" ht="21" customHeight="1">
      <x:c r="A1283" s="3" t="str">
        <x:v>ORD-101153</x:v>
      </x:c>
      <x:c r="B1283" s="5" t="n">
        <x:v>45628</x:v>
      </x:c>
      <x:c r="C1283" s="3" t="str">
        <x:v>CUST-00206</x:v>
      </x:c>
      <x:c r="D1283" s="3" t="str">
        <x:v>North</x:v>
      </x:c>
      <x:c r="E1283" s="3" t="str">
        <x:v>Beauty</x:v>
      </x:c>
      <x:c r="F1283" s="3" t="str">
        <x:v>Skincare</x:v>
      </x:c>
      <x:c r="G1283" s="3" t="str">
        <x:v>HydraBoost Moisturizer</x:v>
      </x:c>
      <x:c r="H1283" s="3" t="n">
        <x:v>5</x:v>
      </x:c>
      <x:c r="I1283" s="7" t="n">
        <x:v>1218.34</x:v>
      </x:c>
      <x:c r="J1283" s="9" t="n">
        <x:v>0</x:v>
      </x:c>
      <x:c r="K1283" s="7" t="n">
        <x:v>6091.7</x:v>
      </x:c>
      <x:c r="L1283" s="7" t="n">
        <x:v>3246.9</x:v>
      </x:c>
      <x:c r="M1283" s="3" t="str">
        <x:v>UPI</x:v>
      </x:c>
      <x:c r="N1283" s="3" t="str">
        <x:f>TEXT(B1283,"yyyy-mm")</x:f>
        <x:v>2024-12</x:v>
      </x:c>
      <x:c r="O1283" s="3" t="str">
        <x:f>IF(J1283=0,"No discount",IF(J1283&lt;=0.1,"1-10%",IF(J1283&lt;=0.15,"11-15%",IF(J1283&lt;=0.2,"16-20%","21%+"))))</x:f>
        <x:v>No discount</x:v>
      </x:c>
      <x:c r="P1283" s="9" t="n">
        <x:f>IF(K1283=0,0,L1283/K1283)</x:f>
        <x:v>0.5330039233711443</x:v>
      </x:c>
      <x:c r="Q1283" s="3" t="str">
        <x:f>IF(L1283&lt;0,"Yes","No")</x:f>
        <x:v>No</x:v>
      </x:c>
    </x:row>
    <x:row r="1284" ht="21" customHeight="1">
      <x:c r="A1284" s="3" t="str">
        <x:v>ORD-101648</x:v>
      </x:c>
      <x:c r="B1284" s="5" t="n">
        <x:v>45628</x:v>
      </x:c>
      <x:c r="C1284" s="3" t="str">
        <x:v>CUST-00035</x:v>
      </x:c>
      <x:c r="D1284" s="3" t="str">
        <x:v>North</x:v>
      </x:c>
      <x:c r="E1284" s="3" t="str">
        <x:v>Fashion</x:v>
      </x:c>
      <x:c r="F1284" s="3" t="str">
        <x:v>Women</x:v>
      </x:c>
      <x:c r="G1284" s="3" t="str">
        <x:v>Knit Winter Sweater</x:v>
      </x:c>
      <x:c r="H1284" s="3" t="n">
        <x:v>1</x:v>
      </x:c>
      <x:c r="I1284" s="7" t="n">
        <x:v>2114.01</x:v>
      </x:c>
      <x:c r="J1284" s="9" t="n">
        <x:v>0.3</x:v>
      </x:c>
      <x:c r="K1284" s="7" t="n">
        <x:v>1479.81</x:v>
      </x:c>
      <x:c r="L1284" s="7" t="n">
        <x:v>156.53</x:v>
      </x:c>
      <x:c r="M1284" s="3" t="str">
        <x:v>UPI</x:v>
      </x:c>
      <x:c r="N1284" s="3" t="str">
        <x:f>TEXT(B1284,"yyyy-mm")</x:f>
        <x:v>2024-12</x:v>
      </x:c>
      <x:c r="O1284" s="3" t="str">
        <x:f>IF(J1284=0,"No discount",IF(J1284&lt;=0.1,"1-10%",IF(J1284&lt;=0.15,"11-15%",IF(J1284&lt;=0.2,"16-20%","21%+"))))</x:f>
        <x:v>21%+</x:v>
      </x:c>
      <x:c r="P1284" s="9" t="n">
        <x:f>IF(K1284=0,0,L1284/K1284)</x:f>
        <x:v>0.1057770930051831</x:v>
      </x:c>
      <x:c r="Q1284" s="3" t="str">
        <x:f>IF(L1284&lt;0,"Yes","No")</x:f>
        <x:v>No</x:v>
      </x:c>
    </x:row>
    <x:row r="1285" ht="21" customHeight="1">
      <x:c r="A1285" s="3" t="str">
        <x:v>ORD-101928</x:v>
      </x:c>
      <x:c r="B1285" s="5" t="n">
        <x:v>45628</x:v>
      </x:c>
      <x:c r="C1285" s="3" t="str">
        <x:v>CUST-00099</x:v>
      </x:c>
      <x:c r="D1285" s="3" t="str">
        <x:v>North</x:v>
      </x:c>
      <x:c r="E1285" s="3" t="str">
        <x:v>Sports</x:v>
      </x:c>
      <x:c r="F1285" s="3" t="str">
        <x:v>Fitness</x:v>
      </x:c>
      <x:c r="G1285" s="3" t="str">
        <x:v>Adjustable Dumbbell 24kg</x:v>
      </x:c>
      <x:c r="H1285" s="3" t="n">
        <x:v>1</x:v>
      </x:c>
      <x:c r="I1285" s="7" t="n">
        <x:v>9991.84</x:v>
      </x:c>
      <x:c r="J1285" s="9" t="n">
        <x:v>0</x:v>
      </x:c>
      <x:c r="K1285" s="7" t="n">
        <x:v>9991.84</x:v>
      </x:c>
      <x:c r="L1285" s="7" t="n">
        <x:v>3909.24</x:v>
      </x:c>
      <x:c r="M1285" s="3" t="str">
        <x:v>Net Banking</x:v>
      </x:c>
      <x:c r="N1285" s="3" t="str">
        <x:f>TEXT(B1285,"yyyy-mm")</x:f>
        <x:v>2024-12</x:v>
      </x:c>
      <x:c r="O1285" s="3" t="str">
        <x:f>IF(J1285=0,"No discount",IF(J1285&lt;=0.1,"1-10%",IF(J1285&lt;=0.15,"11-15%",IF(J1285&lt;=0.2,"16-20%","21%+"))))</x:f>
        <x:v>No discount</x:v>
      </x:c>
      <x:c r="P1285" s="9" t="n">
        <x:f>IF(K1285=0,0,L1285/K1285)</x:f>
        <x:v>0.39124325449566844</x:v>
      </x:c>
      <x:c r="Q1285" s="3" t="str">
        <x:f>IF(L1285&lt;0,"Yes","No")</x:f>
        <x:v>No</x:v>
      </x:c>
    </x:row>
    <x:row r="1286" ht="21" customHeight="1">
      <x:c r="A1286" s="3" t="str">
        <x:v>ORD-101188</x:v>
      </x:c>
      <x:c r="B1286" s="5" t="n">
        <x:v>45629</x:v>
      </x:c>
      <x:c r="C1286" s="3" t="str">
        <x:v>CUST-00162</x:v>
      </x:c>
      <x:c r="D1286" s="3" t="str">
        <x:v>West</x:v>
      </x:c>
      <x:c r="E1286" s="3" t="str">
        <x:v>Fashion</x:v>
      </x:c>
      <x:c r="F1286" s="3" t="str">
        <x:v>Footwear</x:v>
      </x:c>
      <x:c r="G1286" s="3" t="str">
        <x:v>RunFlex Sneakers</x:v>
      </x:c>
      <x:c r="H1286" s="3" t="n">
        <x:v>1</x:v>
      </x:c>
      <x:c r="I1286" s="7" t="n">
        <x:v>3015.49</x:v>
      </x:c>
      <x:c r="J1286" s="9" t="n">
        <x:v>0.1</x:v>
      </x:c>
      <x:c r="K1286" s="7" t="n">
        <x:v>2713.94</x:v>
      </x:c>
      <x:c r="L1286" s="7" t="n">
        <x:v>866.21</x:v>
      </x:c>
      <x:c r="M1286" s="3" t="str">
        <x:v>Cash on Delivery</x:v>
      </x:c>
      <x:c r="N1286" s="3" t="str">
        <x:f>TEXT(B1286,"yyyy-mm")</x:f>
        <x:v>2024-12</x:v>
      </x:c>
      <x:c r="O1286" s="3" t="str">
        <x:f>IF(J1286=0,"No discount",IF(J1286&lt;=0.1,"1-10%",IF(J1286&lt;=0.15,"11-15%",IF(J1286&lt;=0.2,"16-20%","21%+"))))</x:f>
        <x:v>1-10%</x:v>
      </x:c>
      <x:c r="P1286" s="9" t="n">
        <x:f>IF(K1286=0,0,L1286/K1286)</x:f>
        <x:v>0.31917065226202496</x:v>
      </x:c>
      <x:c r="Q1286" s="3" t="str">
        <x:f>IF(L1286&lt;0,"Yes","No")</x:f>
        <x:v>No</x:v>
      </x:c>
    </x:row>
    <x:row r="1287" ht="21" customHeight="1">
      <x:c r="A1287" s="3" t="str">
        <x:v>ORD-101868</x:v>
      </x:c>
      <x:c r="B1287" s="5" t="n">
        <x:v>45629</x:v>
      </x:c>
      <x:c r="C1287" s="3" t="str">
        <x:v>CUST-00080</x:v>
      </x:c>
      <x:c r="D1287" s="3" t="str">
        <x:v>West</x:v>
      </x:c>
      <x:c r="E1287" s="3" t="str">
        <x:v>Fashion</x:v>
      </x:c>
      <x:c r="F1287" s="3" t="str">
        <x:v>Footwear</x:v>
      </x:c>
      <x:c r="G1287" s="3" t="str">
        <x:v>RunFlex Sneakers</x:v>
      </x:c>
      <x:c r="H1287" s="3" t="n">
        <x:v>3</x:v>
      </x:c>
      <x:c r="I1287" s="7" t="n">
        <x:v>2939.05</x:v>
      </x:c>
      <x:c r="J1287" s="9" t="n">
        <x:v>0</x:v>
      </x:c>
      <x:c r="K1287" s="7" t="n">
        <x:v>8817.15</x:v>
      </x:c>
      <x:c r="L1287" s="7" t="n">
        <x:v>3789.3</x:v>
      </x:c>
      <x:c r="M1287" s="3" t="str">
        <x:v>Debit Card</x:v>
      </x:c>
      <x:c r="N1287" s="3" t="str">
        <x:f>TEXT(B1287,"yyyy-mm")</x:f>
        <x:v>2024-12</x:v>
      </x:c>
      <x:c r="O1287" s="3" t="str">
        <x:f>IF(J1287=0,"No discount",IF(J1287&lt;=0.1,"1-10%",IF(J1287&lt;=0.15,"11-15%",IF(J1287&lt;=0.2,"16-20%","21%+"))))</x:f>
        <x:v>No discount</x:v>
      </x:c>
      <x:c r="P1287" s="9" t="n">
        <x:f>IF(K1287=0,0,L1287/K1287)</x:f>
        <x:v>0.4297647198924823</x:v>
      </x:c>
      <x:c r="Q1287" s="3" t="str">
        <x:f>IF(L1287&lt;0,"Yes","No")</x:f>
        <x:v>No</x:v>
      </x:c>
    </x:row>
    <x:row r="1288" ht="21" customHeight="1">
      <x:c r="A1288" s="3" t="str">
        <x:v>ORD-100013</x:v>
      </x:c>
      <x:c r="B1288" s="5" t="n">
        <x:v>45630</x:v>
      </x:c>
      <x:c r="C1288" s="3" t="str">
        <x:v>CUST-00244</x:v>
      </x:c>
      <x:c r="D1288" s="3" t="str">
        <x:v>North</x:v>
      </x:c>
      <x:c r="E1288" s="3" t="str">
        <x:v>Electronics</x:v>
      </x:c>
      <x:c r="F1288" s="3" t="str">
        <x:v>Audio</x:v>
      </x:c>
      <x:c r="G1288" s="3" t="str">
        <x:v>SoundPods Pro</x:v>
      </x:c>
      <x:c r="H1288" s="3" t="n">
        <x:v>2</x:v>
      </x:c>
      <x:c r="I1288" s="7" t="n">
        <x:v>5102.9</x:v>
      </x:c>
      <x:c r="J1288" s="9" t="n">
        <x:v>0</x:v>
      </x:c>
      <x:c r="K1288" s="7" t="n">
        <x:v>10205.8</x:v>
      </x:c>
      <x:c r="L1288" s="7" t="n">
        <x:v>1476.88</x:v>
      </x:c>
      <x:c r="M1288" s="3" t="str">
        <x:v>UPI</x:v>
      </x:c>
      <x:c r="N1288" s="3" t="str">
        <x:f>TEXT(B1288,"yyyy-mm")</x:f>
        <x:v>2024-12</x:v>
      </x:c>
      <x:c r="O1288" s="3" t="str">
        <x:f>IF(J1288=0,"No discount",IF(J1288&lt;=0.1,"1-10%",IF(J1288&lt;=0.15,"11-15%",IF(J1288&lt;=0.2,"16-20%","21%+"))))</x:f>
        <x:v>No discount</x:v>
      </x:c>
      <x:c r="P1288" s="9" t="n">
        <x:f>IF(K1288=0,0,L1288/K1288)</x:f>
        <x:v>0.14470987085774759</x:v>
      </x:c>
      <x:c r="Q1288" s="3" t="str">
        <x:f>IF(L1288&lt;0,"Yes","No")</x:f>
        <x:v>No</x:v>
      </x:c>
    </x:row>
    <x:row r="1289" ht="21" customHeight="1">
      <x:c r="A1289" s="3" t="str">
        <x:v>ORD-100870</x:v>
      </x:c>
      <x:c r="B1289" s="5" t="n">
        <x:v>45630</x:v>
      </x:c>
      <x:c r="C1289" s="3" t="str">
        <x:v>CUST-00139</x:v>
      </x:c>
      <x:c r="D1289" s="3" t="str">
        <x:v>South</x:v>
      </x:c>
      <x:c r="E1289" s="3" t="str">
        <x:v>Fashion</x:v>
      </x:c>
      <x:c r="F1289" s="3" t="str">
        <x:v>Women</x:v>
      </x:c>
      <x:c r="G1289" s="3" t="str">
        <x:v>Floral Summer Dress</x:v>
      </x:c>
      <x:c r="H1289" s="3" t="n">
        <x:v>3</x:v>
      </x:c>
      <x:c r="I1289" s="7" t="n">
        <x:v>1775.84</x:v>
      </x:c>
      <x:c r="J1289" s="9" t="n">
        <x:v>0.3</x:v>
      </x:c>
      <x:c r="K1289" s="7" t="n">
        <x:v>3729.26</x:v>
      </x:c>
      <x:c r="L1289" s="7" t="n">
        <x:v>310.88</x:v>
      </x:c>
      <x:c r="M1289" s="3" t="str">
        <x:v>UPI</x:v>
      </x:c>
      <x:c r="N1289" s="3" t="str">
        <x:f>TEXT(B1289,"yyyy-mm")</x:f>
        <x:v>2024-12</x:v>
      </x:c>
      <x:c r="O1289" s="3" t="str">
        <x:f>IF(J1289=0,"No discount",IF(J1289&lt;=0.1,"1-10%",IF(J1289&lt;=0.15,"11-15%",IF(J1289&lt;=0.2,"16-20%","21%+"))))</x:f>
        <x:v>21%+</x:v>
      </x:c>
      <x:c r="P1289" s="9" t="n">
        <x:f>IF(K1289=0,0,L1289/K1289)</x:f>
        <x:v>0.08336238288561269</x:v>
      </x:c>
      <x:c r="Q1289" s="3" t="str">
        <x:f>IF(L1289&lt;0,"Yes","No")</x:f>
        <x:v>No</x:v>
      </x:c>
    </x:row>
    <x:row r="1290" ht="21" customHeight="1">
      <x:c r="A1290" s="3" t="str">
        <x:v>ORD-100874</x:v>
      </x:c>
      <x:c r="B1290" s="5" t="n">
        <x:v>45630</x:v>
      </x:c>
      <x:c r="C1290" s="3" t="str">
        <x:v>CUST-00284</x:v>
      </x:c>
      <x:c r="D1290" s="3" t="str">
        <x:v>East</x:v>
      </x:c>
      <x:c r="E1290" s="3" t="str">
        <x:v>Electronics</x:v>
      </x:c>
      <x:c r="F1290" s="3" t="str">
        <x:v>Audio</x:v>
      </x:c>
      <x:c r="G1290" s="3" t="str">
        <x:v>SoundPods Pro</x:v>
      </x:c>
      <x:c r="H1290" s="3" t="n">
        <x:v>1</x:v>
      </x:c>
      <x:c r="I1290" s="7" t="n">
        <x:v>4800.2</x:v>
      </x:c>
      <x:c r="J1290" s="9" t="n">
        <x:v>0</x:v>
      </x:c>
      <x:c r="K1290" s="7" t="n">
        <x:v>4800.2</x:v>
      </x:c>
      <x:c r="L1290" s="7" t="n">
        <x:v>978.04</x:v>
      </x:c>
      <x:c r="M1290" s="3" t="str">
        <x:v>Debit Card</x:v>
      </x:c>
      <x:c r="N1290" s="3" t="str">
        <x:f>TEXT(B1290,"yyyy-mm")</x:f>
        <x:v>2024-12</x:v>
      </x:c>
      <x:c r="O1290" s="3" t="str">
        <x:f>IF(J1290=0,"No discount",IF(J1290&lt;=0.1,"1-10%",IF(J1290&lt;=0.15,"11-15%",IF(J1290&lt;=0.2,"16-20%","21%+"))))</x:f>
        <x:v>No discount</x:v>
      </x:c>
      <x:c r="P1290" s="9" t="n">
        <x:f>IF(K1290=0,0,L1290/K1290)</x:f>
        <x:v>0.20374984375651015</x:v>
      </x:c>
      <x:c r="Q1290" s="3" t="str">
        <x:f>IF(L1290&lt;0,"Yes","No")</x:f>
        <x:v>No</x:v>
      </x:c>
    </x:row>
    <x:row r="1291" ht="21" customHeight="1">
      <x:c r="A1291" s="3" t="str">
        <x:v>ORD-100926</x:v>
      </x:c>
      <x:c r="B1291" s="5" t="n">
        <x:v>45630</x:v>
      </x:c>
      <x:c r="C1291" s="3" t="str">
        <x:v>CUST-00265</x:v>
      </x:c>
      <x:c r="D1291" s="3" t="str">
        <x:v>South</x:v>
      </x:c>
      <x:c r="E1291" s="3" t="str">
        <x:v>Home &amp; Kitchen</x:v>
      </x:c>
      <x:c r="F1291" s="3" t="str">
        <x:v>Appliances</x:v>
      </x:c>
      <x:c r="G1291" s="3" t="str">
        <x:v>AirFryer Deluxe</x:v>
      </x:c>
      <x:c r="H1291" s="3" t="n">
        <x:v>1</x:v>
      </x:c>
      <x:c r="I1291" s="7" t="n">
        <x:v>8200.98</x:v>
      </x:c>
      <x:c r="J1291" s="9" t="n">
        <x:v>0.15</x:v>
      </x:c>
      <x:c r="K1291" s="7" t="n">
        <x:v>6970.83</x:v>
      </x:c>
      <x:c r="L1291" s="7" t="n">
        <x:v>1241.22</x:v>
      </x:c>
      <x:c r="M1291" s="3" t="str">
        <x:v>Credit Card</x:v>
      </x:c>
      <x:c r="N1291" s="3" t="str">
        <x:f>TEXT(B1291,"yyyy-mm")</x:f>
        <x:v>2024-12</x:v>
      </x:c>
      <x:c r="O1291" s="3" t="str">
        <x:f>IF(J1291=0,"No discount",IF(J1291&lt;=0.1,"1-10%",IF(J1291&lt;=0.15,"11-15%",IF(J1291&lt;=0.2,"16-20%","21%+"))))</x:f>
        <x:v>11-15%</x:v>
      </x:c>
      <x:c r="P1291" s="9" t="n">
        <x:f>IF(K1291=0,0,L1291/K1291)</x:f>
        <x:v>0.17805914073359988</x:v>
      </x:c>
      <x:c r="Q1291" s="3" t="str">
        <x:f>IF(L1291&lt;0,"Yes","No")</x:f>
        <x:v>No</x:v>
      </x:c>
    </x:row>
    <x:row r="1292" ht="21" customHeight="1">
      <x:c r="A1292" s="3" t="str">
        <x:v>ORD-101133</x:v>
      </x:c>
      <x:c r="B1292" s="5" t="n">
        <x:v>45630</x:v>
      </x:c>
      <x:c r="C1292" s="3" t="str">
        <x:v>CUST-00335</x:v>
      </x:c>
      <x:c r="D1292" s="3" t="str">
        <x:v>West</x:v>
      </x:c>
      <x:c r="E1292" s="3" t="str">
        <x:v>Home &amp; Kitchen</x:v>
      </x:c>
      <x:c r="F1292" s="3" t="str">
        <x:v>Appliances</x:v>
      </x:c>
      <x:c r="G1292" s="3" t="str">
        <x:v>ColdBrew Coffee Maker</x:v>
      </x:c>
      <x:c r="H1292" s="3" t="n">
        <x:v>3</x:v>
      </x:c>
      <x:c r="I1292" s="7" t="n">
        <x:v>6341.78</x:v>
      </x:c>
      <x:c r="J1292" s="9" t="n">
        <x:v>0.3</x:v>
      </x:c>
      <x:c r="K1292" s="7" t="n">
        <x:v>13317.74</x:v>
      </x:c>
      <x:c r="L1292" s="7" t="n">
        <x:v>-137.37</x:v>
      </x:c>
      <x:c r="M1292" s="3" t="str">
        <x:v>Debit Card</x:v>
      </x:c>
      <x:c r="N1292" s="3" t="str">
        <x:f>TEXT(B1292,"yyyy-mm")</x:f>
        <x:v>2024-12</x:v>
      </x:c>
      <x:c r="O1292" s="3" t="str">
        <x:f>IF(J1292=0,"No discount",IF(J1292&lt;=0.1,"1-10%",IF(J1292&lt;=0.15,"11-15%",IF(J1292&lt;=0.2,"16-20%","21%+"))))</x:f>
        <x:v>21%+</x:v>
      </x:c>
      <x:c r="P1292" s="9" t="n">
        <x:f>IF(K1292=0,0,L1292/K1292)</x:f>
        <x:v>-0.010314813174007002</x:v>
      </x:c>
      <x:c r="Q1292" s="3" t="str">
        <x:f>IF(L1292&lt;0,"Yes","No")</x:f>
        <x:v>Yes</x:v>
      </x:c>
    </x:row>
    <x:row r="1293" ht="21" customHeight="1">
      <x:c r="A1293" s="3" t="str">
        <x:v>ORD-101183</x:v>
      </x:c>
      <x:c r="B1293" s="5" t="n">
        <x:v>45630</x:v>
      </x:c>
      <x:c r="C1293" s="3" t="str">
        <x:v>CUST-00516</x:v>
      </x:c>
      <x:c r="D1293" s="3" t="str">
        <x:v>East</x:v>
      </x:c>
      <x:c r="E1293" s="3" t="str">
        <x:v>Home &amp; Kitchen</x:v>
      </x:c>
      <x:c r="F1293" s="3" t="str">
        <x:v>Appliances</x:v>
      </x:c>
      <x:c r="G1293" s="3" t="str">
        <x:v>AirFryer Deluxe</x:v>
      </x:c>
      <x:c r="H1293" s="3" t="n">
        <x:v>1</x:v>
      </x:c>
      <x:c r="I1293" s="7" t="n">
        <x:v>8031.86</x:v>
      </x:c>
      <x:c r="J1293" s="9" t="n">
        <x:v>0.1</x:v>
      </x:c>
      <x:c r="K1293" s="7" t="n">
        <x:v>7228.67</x:v>
      </x:c>
      <x:c r="L1293" s="7" t="n">
        <x:v>1645.13</x:v>
      </x:c>
      <x:c r="M1293" s="3" t="str">
        <x:v>UPI</x:v>
      </x:c>
      <x:c r="N1293" s="3" t="str">
        <x:f>TEXT(B1293,"yyyy-mm")</x:f>
        <x:v>2024-12</x:v>
      </x:c>
      <x:c r="O1293" s="3" t="str">
        <x:f>IF(J1293=0,"No discount",IF(J1293&lt;=0.1,"1-10%",IF(J1293&lt;=0.15,"11-15%",IF(J1293&lt;=0.2,"16-20%","21%+"))))</x:f>
        <x:v>1-10%</x:v>
      </x:c>
      <x:c r="P1293" s="9" t="n">
        <x:f>IF(K1293=0,0,L1293/K1293)</x:f>
        <x:v>0.22758405073132404</x:v>
      </x:c>
      <x:c r="Q1293" s="3" t="str">
        <x:f>IF(L1293&lt;0,"Yes","No")</x:f>
        <x:v>No</x:v>
      </x:c>
    </x:row>
    <x:row r="1294" ht="21" customHeight="1">
      <x:c r="A1294" s="3" t="str">
        <x:v>ORD-101419</x:v>
      </x:c>
      <x:c r="B1294" s="5" t="n">
        <x:v>45630</x:v>
      </x:c>
      <x:c r="C1294" s="3" t="str">
        <x:v>CUST-00412</x:v>
      </x:c>
      <x:c r="D1294" s="3" t="str">
        <x:v>South</x:v>
      </x:c>
      <x:c r="E1294" s="3" t="str">
        <x:v>Home &amp; Kitchen</x:v>
      </x:c>
      <x:c r="F1294" s="3" t="str">
        <x:v>Appliances</x:v>
      </x:c>
      <x:c r="G1294" s="3" t="str">
        <x:v>ColdBrew Coffee Maker</x:v>
      </x:c>
      <x:c r="H1294" s="3" t="n">
        <x:v>1</x:v>
      </x:c>
      <x:c r="I1294" s="7" t="n">
        <x:v>6647.02</x:v>
      </x:c>
      <x:c r="J1294" s="9" t="n">
        <x:v>0.05</x:v>
      </x:c>
      <x:c r="K1294" s="7" t="n">
        <x:v>6314.67</x:v>
      </x:c>
      <x:c r="L1294" s="7" t="n">
        <x:v>1930.97</x:v>
      </x:c>
      <x:c r="M1294" s="3" t="str">
        <x:v>UPI</x:v>
      </x:c>
      <x:c r="N1294" s="3" t="str">
        <x:f>TEXT(B1294,"yyyy-mm")</x:f>
        <x:v>2024-12</x:v>
      </x:c>
      <x:c r="O1294" s="3" t="str">
        <x:f>IF(J1294=0,"No discount",IF(J1294&lt;=0.1,"1-10%",IF(J1294&lt;=0.15,"11-15%",IF(J1294&lt;=0.2,"16-20%","21%+"))))</x:f>
        <x:v>1-10%</x:v>
      </x:c>
      <x:c r="P1294" s="9" t="n">
        <x:f>IF(K1294=0,0,L1294/K1294)</x:f>
        <x:v>0.3057911181423574</x:v>
      </x:c>
      <x:c r="Q1294" s="3" t="str">
        <x:f>IF(L1294&lt;0,"Yes","No")</x:f>
        <x:v>No</x:v>
      </x:c>
    </x:row>
    <x:row r="1295" ht="21" customHeight="1">
      <x:c r="A1295" s="3" t="str">
        <x:v>ORD-101911</x:v>
      </x:c>
      <x:c r="B1295" s="5" t="n">
        <x:v>45630</x:v>
      </x:c>
      <x:c r="C1295" s="3" t="str">
        <x:v>CUST-00106</x:v>
      </x:c>
      <x:c r="D1295" s="3" t="str">
        <x:v>South</x:v>
      </x:c>
      <x:c r="E1295" s="3" t="str">
        <x:v>Electronics</x:v>
      </x:c>
      <x:c r="F1295" s="3" t="str">
        <x:v>Laptop</x:v>
      </x:c>
      <x:c r="G1295" s="3" t="str">
        <x:v>ThinkPro 14</x:v>
      </x:c>
      <x:c r="H1295" s="3" t="n">
        <x:v>1</x:v>
      </x:c>
      <x:c r="I1295" s="7" t="n">
        <x:v>54480.18</x:v>
      </x:c>
      <x:c r="J1295" s="9" t="n">
        <x:v>0</x:v>
      </x:c>
      <x:c r="K1295" s="7" t="n">
        <x:v>54480.18</x:v>
      </x:c>
      <x:c r="L1295" s="7" t="n">
        <x:v>11522.01</x:v>
      </x:c>
      <x:c r="M1295" s="3" t="str">
        <x:v>Credit Card</x:v>
      </x:c>
      <x:c r="N1295" s="3" t="str">
        <x:f>TEXT(B1295,"yyyy-mm")</x:f>
        <x:v>2024-12</x:v>
      </x:c>
      <x:c r="O1295" s="3" t="str">
        <x:f>IF(J1295=0,"No discount",IF(J1295&lt;=0.1,"1-10%",IF(J1295&lt;=0.15,"11-15%",IF(J1295&lt;=0.2,"16-20%","21%+"))))</x:f>
        <x:v>No discount</x:v>
      </x:c>
      <x:c r="P1295" s="9" t="n">
        <x:f>IF(K1295=0,0,L1295/K1295)</x:f>
        <x:v>0.2114899400112114</x:v>
      </x:c>
      <x:c r="Q1295" s="3" t="str">
        <x:f>IF(L1295&lt;0,"Yes","No")</x:f>
        <x:v>No</x:v>
      </x:c>
    </x:row>
    <x:row r="1296" ht="21" customHeight="1">
      <x:c r="A1296" s="3" t="str">
        <x:v>ORD-100027</x:v>
      </x:c>
      <x:c r="B1296" s="5" t="n">
        <x:v>45631</x:v>
      </x:c>
      <x:c r="C1296" s="3" t="str">
        <x:v>CUST-00119</x:v>
      </x:c>
      <x:c r="D1296" s="3" t="str">
        <x:v>South</x:v>
      </x:c>
      <x:c r="E1296" s="3" t="str">
        <x:v>Fashion</x:v>
      </x:c>
      <x:c r="F1296" s="3" t="str">
        <x:v>Men</x:v>
      </x:c>
      <x:c r="G1296" s="3" t="str">
        <x:v>SlimFit Denim Jeans</x:v>
      </x:c>
      <x:c r="H1296" s="3" t="n">
        <x:v>1</x:v>
      </x:c>
      <x:c r="I1296" s="7" t="n">
        <x:v>1912.93</x:v>
      </x:c>
      <x:c r="J1296" s="9" t="n">
        <x:v>0</x:v>
      </x:c>
      <x:c r="K1296" s="7" t="n">
        <x:v>1912.93</x:v>
      </x:c>
      <x:c r="L1296" s="7" t="n">
        <x:v>845.26</x:v>
      </x:c>
      <x:c r="M1296" s="3" t="str">
        <x:v>Credit Card</x:v>
      </x:c>
      <x:c r="N1296" s="3" t="str">
        <x:f>TEXT(B1296,"yyyy-mm")</x:f>
        <x:v>2024-12</x:v>
      </x:c>
      <x:c r="O1296" s="3" t="str">
        <x:f>IF(J1296=0,"No discount",IF(J1296&lt;=0.1,"1-10%",IF(J1296&lt;=0.15,"11-15%",IF(J1296&lt;=0.2,"16-20%","21%+"))))</x:f>
        <x:v>No discount</x:v>
      </x:c>
      <x:c r="P1296" s="9" t="n">
        <x:f>IF(K1296=0,0,L1296/K1296)</x:f>
        <x:v>0.44186666527264457</x:v>
      </x:c>
      <x:c r="Q1296" s="3" t="str">
        <x:f>IF(L1296&lt;0,"Yes","No")</x:f>
        <x:v>No</x:v>
      </x:c>
    </x:row>
    <x:row r="1297" ht="21" customHeight="1">
      <x:c r="A1297" s="3" t="str">
        <x:v>ORD-100190</x:v>
      </x:c>
      <x:c r="B1297" s="5" t="n">
        <x:v>45631</x:v>
      </x:c>
      <x:c r="C1297" s="3" t="str">
        <x:v>CUST-00441</x:v>
      </x:c>
      <x:c r="D1297" s="3" t="str">
        <x:v>North</x:v>
      </x:c>
      <x:c r="E1297" s="3" t="str">
        <x:v>Beauty</x:v>
      </x:c>
      <x:c r="F1297" s="3" t="str">
        <x:v>Skincare</x:v>
      </x:c>
      <x:c r="G1297" s="3" t="str">
        <x:v>Vitamin C Serum</x:v>
      </x:c>
      <x:c r="H1297" s="3" t="n">
        <x:v>2</x:v>
      </x:c>
      <x:c r="I1297" s="7" t="n">
        <x:v>885.97</x:v>
      </x:c>
      <x:c r="J1297" s="9" t="n">
        <x:v>0.1</x:v>
      </x:c>
      <x:c r="K1297" s="7" t="n">
        <x:v>1594.75</x:v>
      </x:c>
      <x:c r="L1297" s="7" t="n">
        <x:v>712.47</x:v>
      </x:c>
      <x:c r="M1297" s="3" t="str">
        <x:v>Cash on Delivery</x:v>
      </x:c>
      <x:c r="N1297" s="3" t="str">
        <x:f>TEXT(B1297,"yyyy-mm")</x:f>
        <x:v>2024-12</x:v>
      </x:c>
      <x:c r="O1297" s="3" t="str">
        <x:f>IF(J1297=0,"No discount",IF(J1297&lt;=0.1,"1-10%",IF(J1297&lt;=0.15,"11-15%",IF(J1297&lt;=0.2,"16-20%","21%+"))))</x:f>
        <x:v>1-10%</x:v>
      </x:c>
      <x:c r="P1297" s="9" t="n">
        <x:f>IF(K1297=0,0,L1297/K1297)</x:f>
        <x:v>0.4467596802006584</x:v>
      </x:c>
      <x:c r="Q1297" s="3" t="str">
        <x:f>IF(L1297&lt;0,"Yes","No")</x:f>
        <x:v>No</x:v>
      </x:c>
    </x:row>
    <x:row r="1298" ht="21" customHeight="1">
      <x:c r="A1298" s="3" t="str">
        <x:v>ORD-100232</x:v>
      </x:c>
      <x:c r="B1298" s="5" t="n">
        <x:v>45631</x:v>
      </x:c>
      <x:c r="C1298" s="3" t="str">
        <x:v>CUST-00473</x:v>
      </x:c>
      <x:c r="D1298" s="3" t="str">
        <x:v>North</x:v>
      </x:c>
      <x:c r="E1298" s="3" t="str">
        <x:v>Home &amp; Kitchen</x:v>
      </x:c>
      <x:c r="F1298" s="3" t="str">
        <x:v>Appliances</x:v>
      </x:c>
      <x:c r="G1298" s="3" t="str">
        <x:v>AirFryer Deluxe</x:v>
      </x:c>
      <x:c r="H1298" s="3" t="n">
        <x:v>2</x:v>
      </x:c>
      <x:c r="I1298" s="7" t="n">
        <x:v>8249.17</x:v>
      </x:c>
      <x:c r="J1298" s="9" t="n">
        <x:v>0</x:v>
      </x:c>
      <x:c r="K1298" s="7" t="n">
        <x:v>16498.34</x:v>
      </x:c>
      <x:c r="L1298" s="7" t="n">
        <x:v>4813.29</x:v>
      </x:c>
      <x:c r="M1298" s="3" t="str">
        <x:v>Net Banking</x:v>
      </x:c>
      <x:c r="N1298" s="3" t="str">
        <x:f>TEXT(B1298,"yyyy-mm")</x:f>
        <x:v>2024-12</x:v>
      </x:c>
      <x:c r="O1298" s="3" t="str">
        <x:f>IF(J1298=0,"No discount",IF(J1298&lt;=0.1,"1-10%",IF(J1298&lt;=0.15,"11-15%",IF(J1298&lt;=0.2,"16-20%","21%+"))))</x:f>
        <x:v>No discount</x:v>
      </x:c>
      <x:c r="P1298" s="9" t="n">
        <x:f>IF(K1298=0,0,L1298/K1298)</x:f>
        <x:v>0.29174389665869416</x:v>
      </x:c>
      <x:c r="Q1298" s="3" t="str">
        <x:f>IF(L1298&lt;0,"Yes","No")</x:f>
        <x:v>No</x:v>
      </x:c>
    </x:row>
    <x:row r="1299" ht="21" customHeight="1">
      <x:c r="A1299" s="3" t="str">
        <x:v>ORD-100287</x:v>
      </x:c>
      <x:c r="B1299" s="5" t="n">
        <x:v>45631</x:v>
      </x:c>
      <x:c r="C1299" s="3" t="str">
        <x:v>CUST-00485</x:v>
      </x:c>
      <x:c r="D1299" s="3" t="str">
        <x:v>West</x:v>
      </x:c>
      <x:c r="E1299" s="3" t="str">
        <x:v>Electronics</x:v>
      </x:c>
      <x:c r="F1299" s="3" t="str">
        <x:v>Audio</x:v>
      </x:c>
      <x:c r="G1299" s="3" t="str">
        <x:v>SoundPods Pro</x:v>
      </x:c>
      <x:c r="H1299" s="3" t="n">
        <x:v>3</x:v>
      </x:c>
      <x:c r="I1299" s="7" t="n">
        <x:v>5230.54</x:v>
      </x:c>
      <x:c r="J1299" s="9" t="n">
        <x:v>0.15</x:v>
      </x:c>
      <x:c r="K1299" s="7" t="n">
        <x:v>13337.88</x:v>
      </x:c>
      <x:c r="L1299" s="7" t="n">
        <x:v>246.79</x:v>
      </x:c>
      <x:c r="M1299" s="3" t="str">
        <x:v>Credit Card</x:v>
      </x:c>
      <x:c r="N1299" s="3" t="str">
        <x:f>TEXT(B1299,"yyyy-mm")</x:f>
        <x:v>2024-12</x:v>
      </x:c>
      <x:c r="O1299" s="3" t="str">
        <x:f>IF(J1299=0,"No discount",IF(J1299&lt;=0.1,"1-10%",IF(J1299&lt;=0.15,"11-15%",IF(J1299&lt;=0.2,"16-20%","21%+"))))</x:f>
        <x:v>11-15%</x:v>
      </x:c>
      <x:c r="P1299" s="9" t="n">
        <x:f>IF(K1299=0,0,L1299/K1299)</x:f>
        <x:v>0.018502940497290423</x:v>
      </x:c>
      <x:c r="Q1299" s="3" t="str">
        <x:f>IF(L1299&lt;0,"Yes","No")</x:f>
        <x:v>No</x:v>
      </x:c>
    </x:row>
    <x:row r="1300" ht="21" customHeight="1">
      <x:c r="A1300" s="3" t="str">
        <x:v>ORD-100922</x:v>
      </x:c>
      <x:c r="B1300" s="5" t="n">
        <x:v>45631</x:v>
      </x:c>
      <x:c r="C1300" s="3" t="str">
        <x:v>CUST-00164</x:v>
      </x:c>
      <x:c r="D1300" s="3" t="str">
        <x:v>North</x:v>
      </x:c>
      <x:c r="E1300" s="3" t="str">
        <x:v>Fashion</x:v>
      </x:c>
      <x:c r="F1300" s="3" t="str">
        <x:v>Footwear</x:v>
      </x:c>
      <x:c r="G1300" s="3" t="str">
        <x:v>UrbanLoafers</x:v>
      </x:c>
      <x:c r="H1300" s="3" t="n">
        <x:v>1</x:v>
      </x:c>
      <x:c r="I1300" s="7" t="n">
        <x:v>3479.28</x:v>
      </x:c>
      <x:c r="J1300" s="9" t="n">
        <x:v>0.1</x:v>
      </x:c>
      <x:c r="K1300" s="7" t="n">
        <x:v>3131.35</x:v>
      </x:c>
      <x:c r="L1300" s="7" t="n">
        <x:v>890.4</x:v>
      </x:c>
      <x:c r="M1300" s="3" t="str">
        <x:v>Credit Card</x:v>
      </x:c>
      <x:c r="N1300" s="3" t="str">
        <x:f>TEXT(B1300,"yyyy-mm")</x:f>
        <x:v>2024-12</x:v>
      </x:c>
      <x:c r="O1300" s="3" t="str">
        <x:f>IF(J1300=0,"No discount",IF(J1300&lt;=0.1,"1-10%",IF(J1300&lt;=0.15,"11-15%",IF(J1300&lt;=0.2,"16-20%","21%+"))))</x:f>
        <x:v>1-10%</x:v>
      </x:c>
      <x:c r="P1300" s="9" t="n">
        <x:f>IF(K1300=0,0,L1300/K1300)</x:f>
        <x:v>0.28435020039280184</x:v>
      </x:c>
      <x:c r="Q1300" s="3" t="str">
        <x:f>IF(L1300&lt;0,"Yes","No")</x:f>
        <x:v>No</x:v>
      </x:c>
    </x:row>
    <x:row r="1301" ht="21" customHeight="1">
      <x:c r="A1301" s="3" t="str">
        <x:v>ORD-100997</x:v>
      </x:c>
      <x:c r="B1301" s="5" t="n">
        <x:v>45631</x:v>
      </x:c>
      <x:c r="C1301" s="3" t="str">
        <x:v>CUST-00414</x:v>
      </x:c>
      <x:c r="D1301" s="3" t="str">
        <x:v>North</x:v>
      </x:c>
      <x:c r="E1301" s="3" t="str">
        <x:v>Home &amp; Kitchen</x:v>
      </x:c>
      <x:c r="F1301" s="3" t="str">
        <x:v>Appliances</x:v>
      </x:c>
      <x:c r="G1301" s="3" t="str">
        <x:v>AirFryer Deluxe</x:v>
      </x:c>
      <x:c r="H1301" s="3" t="n">
        <x:v>3</x:v>
      </x:c>
      <x:c r="I1301" s="7" t="n">
        <x:v>7649.95</x:v>
      </x:c>
      <x:c r="J1301" s="9" t="n">
        <x:v>0</x:v>
      </x:c>
      <x:c r="K1301" s="7" t="n">
        <x:v>22949.85</x:v>
      </x:c>
      <x:c r="L1301" s="7" t="n">
        <x:v>7415.03</x:v>
      </x:c>
      <x:c r="M1301" s="3" t="str">
        <x:v>UPI</x:v>
      </x:c>
      <x:c r="N1301" s="3" t="str">
        <x:f>TEXT(B1301,"yyyy-mm")</x:f>
        <x:v>2024-12</x:v>
      </x:c>
      <x:c r="O1301" s="3" t="str">
        <x:f>IF(J1301=0,"No discount",IF(J1301&lt;=0.1,"1-10%",IF(J1301&lt;=0.15,"11-15%",IF(J1301&lt;=0.2,"16-20%","21%+"))))</x:f>
        <x:v>No discount</x:v>
      </x:c>
      <x:c r="P1301" s="9" t="n">
        <x:f>IF(K1301=0,0,L1301/K1301)</x:f>
        <x:v>0.32309710085251103</x:v>
      </x:c>
      <x:c r="Q1301" s="3" t="str">
        <x:f>IF(L1301&lt;0,"Yes","No")</x:f>
        <x:v>No</x:v>
      </x:c>
    </x:row>
    <x:row r="1302" ht="21" customHeight="1">
      <x:c r="A1302" s="3" t="str">
        <x:v>ORD-101755</x:v>
      </x:c>
      <x:c r="B1302" s="5" t="n">
        <x:v>45631</x:v>
      </x:c>
      <x:c r="C1302" s="3" t="str">
        <x:v>CUST-00087</x:v>
      </x:c>
      <x:c r="D1302" s="3" t="str">
        <x:v>North</x:v>
      </x:c>
      <x:c r="E1302" s="3" t="str">
        <x:v>Fashion</x:v>
      </x:c>
      <x:c r="F1302" s="3" t="str">
        <x:v>Women</x:v>
      </x:c>
      <x:c r="G1302" s="3" t="str">
        <x:v>Knit Winter Sweater</x:v>
      </x:c>
      <x:c r="H1302" s="3" t="n">
        <x:v>2</x:v>
      </x:c>
      <x:c r="I1302" s="7" t="n">
        <x:v>2204.56</x:v>
      </x:c>
      <x:c r="J1302" s="9" t="n">
        <x:v>0.1</x:v>
      </x:c>
      <x:c r="K1302" s="7" t="n">
        <x:v>3968.21</x:v>
      </x:c>
      <x:c r="L1302" s="7" t="n">
        <x:v>1333.94</x:v>
      </x:c>
      <x:c r="M1302" s="3" t="str">
        <x:v>Credit Card</x:v>
      </x:c>
      <x:c r="N1302" s="3" t="str">
        <x:f>TEXT(B1302,"yyyy-mm")</x:f>
        <x:v>2024-12</x:v>
      </x:c>
      <x:c r="O1302" s="3" t="str">
        <x:f>IF(J1302=0,"No discount",IF(J1302&lt;=0.1,"1-10%",IF(J1302&lt;=0.15,"11-15%",IF(J1302&lt;=0.2,"16-20%","21%+"))))</x:f>
        <x:v>1-10%</x:v>
      </x:c>
      <x:c r="P1302" s="9" t="n">
        <x:f>IF(K1302=0,0,L1302/K1302)</x:f>
        <x:v>0.33615660461517916</x:v>
      </x:c>
      <x:c r="Q1302" s="3" t="str">
        <x:f>IF(L1302&lt;0,"Yes","No")</x:f>
        <x:v>No</x:v>
      </x:c>
    </x:row>
    <x:row r="1303" ht="21" customHeight="1">
      <x:c r="A1303" s="3" t="str">
        <x:v>ORD-100185</x:v>
      </x:c>
      <x:c r="B1303" s="5" t="n">
        <x:v>45632</x:v>
      </x:c>
      <x:c r="C1303" s="3" t="str">
        <x:v>CUST-00390</x:v>
      </x:c>
      <x:c r="D1303" s="3" t="str">
        <x:v>South</x:v>
      </x:c>
      <x:c r="E1303" s="3" t="str">
        <x:v>Electronics</x:v>
      </x:c>
      <x:c r="F1303" s="3" t="str">
        <x:v>Laptop</x:v>
      </x:c>
      <x:c r="G1303" s="3" t="str">
        <x:v>AirBook Slim</x:v>
      </x:c>
      <x:c r="H1303" s="3" t="n">
        <x:v>4</x:v>
      </x:c>
      <x:c r="I1303" s="7" t="n">
        <x:v>78965.84</x:v>
      </x:c>
      <x:c r="J1303" s="9" t="n">
        <x:v>0.15</x:v>
      </x:c>
      <x:c r="K1303" s="7" t="n">
        <x:v>268483.86</x:v>
      </x:c>
      <x:c r="L1303" s="7" t="n">
        <x:v>4519.52</x:v>
      </x:c>
      <x:c r="M1303" s="3" t="str">
        <x:v>UPI</x:v>
      </x:c>
      <x:c r="N1303" s="3" t="str">
        <x:f>TEXT(B1303,"yyyy-mm")</x:f>
        <x:v>2024-12</x:v>
      </x:c>
      <x:c r="O1303" s="3" t="str">
        <x:f>IF(J1303=0,"No discount",IF(J1303&lt;=0.1,"1-10%",IF(J1303&lt;=0.15,"11-15%",IF(J1303&lt;=0.2,"16-20%","21%+"))))</x:f>
        <x:v>11-15%</x:v>
      </x:c>
      <x:c r="P1303" s="9" t="n">
        <x:f>IF(K1303=0,0,L1303/K1303)</x:f>
        <x:v>0.01683348861268607</x:v>
      </x:c>
      <x:c r="Q1303" s="3" t="str">
        <x:f>IF(L1303&lt;0,"Yes","No")</x:f>
        <x:v>No</x:v>
      </x:c>
    </x:row>
    <x:row r="1304" ht="21" customHeight="1">
      <x:c r="A1304" s="3" t="str">
        <x:v>ORD-100526</x:v>
      </x:c>
      <x:c r="B1304" s="5" t="n">
        <x:v>45632</x:v>
      </x:c>
      <x:c r="C1304" s="3" t="str">
        <x:v>CUST-00103</x:v>
      </x:c>
      <x:c r="D1304" s="3" t="str">
        <x:v>South</x:v>
      </x:c>
      <x:c r="E1304" s="3" t="str">
        <x:v>Sports</x:v>
      </x:c>
      <x:c r="F1304" s="3" t="str">
        <x:v>Outdoor</x:v>
      </x:c>
      <x:c r="G1304" s="3" t="str">
        <x:v>AllWeather Tent 4P</x:v>
      </x:c>
      <x:c r="H1304" s="3" t="n">
        <x:v>3</x:v>
      </x:c>
      <x:c r="I1304" s="7" t="n">
        <x:v>11495.16</x:v>
      </x:c>
      <x:c r="J1304" s="9" t="n">
        <x:v>0</x:v>
      </x:c>
      <x:c r="K1304" s="7" t="n">
        <x:v>34485.48</x:v>
      </x:c>
      <x:c r="L1304" s="7" t="n">
        <x:v>13875.46</x:v>
      </x:c>
      <x:c r="M1304" s="3" t="str">
        <x:v>Debit Card</x:v>
      </x:c>
      <x:c r="N1304" s="3" t="str">
        <x:f>TEXT(B1304,"yyyy-mm")</x:f>
        <x:v>2024-12</x:v>
      </x:c>
      <x:c r="O1304" s="3" t="str">
        <x:f>IF(J1304=0,"No discount",IF(J1304&lt;=0.1,"1-10%",IF(J1304&lt;=0.15,"11-15%",IF(J1304&lt;=0.2,"16-20%","21%+"))))</x:f>
        <x:v>No discount</x:v>
      </x:c>
      <x:c r="P1304" s="9" t="n">
        <x:f>IF(K1304=0,0,L1304/K1304)</x:f>
        <x:v>0.4023565860182314</x:v>
      </x:c>
      <x:c r="Q1304" s="3" t="str">
        <x:f>IF(L1304&lt;0,"Yes","No")</x:f>
        <x:v>No</x:v>
      </x:c>
    </x:row>
    <x:row r="1305" ht="21" customHeight="1">
      <x:c r="A1305" s="3" t="str">
        <x:v>ORD-101035</x:v>
      </x:c>
      <x:c r="B1305" s="5" t="n">
        <x:v>45632</x:v>
      </x:c>
      <x:c r="C1305" s="3" t="str">
        <x:v>CUST-00134</x:v>
      </x:c>
      <x:c r="D1305" s="3" t="str">
        <x:v>North</x:v>
      </x:c>
      <x:c r="E1305" s="3" t="str">
        <x:v>Electronics</x:v>
      </x:c>
      <x:c r="F1305" s="3" t="str">
        <x:v>Audio</x:v>
      </x:c>
      <x:c r="G1305" s="3" t="str">
        <x:v>SoundPods Pro</x:v>
      </x:c>
      <x:c r="H1305" s="3" t="n">
        <x:v>2</x:v>
      </x:c>
      <x:c r="I1305" s="7" t="n">
        <x:v>5247.03</x:v>
      </x:c>
      <x:c r="J1305" s="9" t="n">
        <x:v>0</x:v>
      </x:c>
      <x:c r="K1305" s="7" t="n">
        <x:v>10494.06</x:v>
      </x:c>
      <x:c r="L1305" s="7" t="n">
        <x:v>1752.52</x:v>
      </x:c>
      <x:c r="M1305" s="3" t="str">
        <x:v>Cash on Delivery</x:v>
      </x:c>
      <x:c r="N1305" s="3" t="str">
        <x:f>TEXT(B1305,"yyyy-mm")</x:f>
        <x:v>2024-12</x:v>
      </x:c>
      <x:c r="O1305" s="3" t="str">
        <x:f>IF(J1305=0,"No discount",IF(J1305&lt;=0.1,"1-10%",IF(J1305&lt;=0.15,"11-15%",IF(J1305&lt;=0.2,"16-20%","21%+"))))</x:f>
        <x:v>No discount</x:v>
      </x:c>
      <x:c r="P1305" s="9" t="n">
        <x:f>IF(K1305=0,0,L1305/K1305)</x:f>
        <x:v>0.16700114159819937</x:v>
      </x:c>
      <x:c r="Q1305" s="3" t="str">
        <x:f>IF(L1305&lt;0,"Yes","No")</x:f>
        <x:v>No</x:v>
      </x:c>
    </x:row>
    <x:row r="1306" ht="21" customHeight="1">
      <x:c r="A1306" s="3" t="str">
        <x:v>ORD-100389</x:v>
      </x:c>
      <x:c r="B1306" s="5" t="n">
        <x:v>45633</x:v>
      </x:c>
      <x:c r="C1306" s="3" t="str">
        <x:v>CUST-00161</x:v>
      </x:c>
      <x:c r="D1306" s="3" t="str">
        <x:v>North</x:v>
      </x:c>
      <x:c r="E1306" s="3" t="str">
        <x:v>Electronics</x:v>
      </x:c>
      <x:c r="F1306" s="3" t="str">
        <x:v>Mobile</x:v>
      </x:c>
      <x:c r="G1306" s="3" t="str">
        <x:v>Galaxy Nova X5</x:v>
      </x:c>
      <x:c r="H1306" s="3" t="n">
        <x:v>1</x:v>
      </x:c>
      <x:c r="I1306" s="7" t="n">
        <x:v>26064.83</x:v>
      </x:c>
      <x:c r="J1306" s="9" t="n">
        <x:v>0.05</x:v>
      </x:c>
      <x:c r="K1306" s="7" t="n">
        <x:v>24761.59</x:v>
      </x:c>
      <x:c r="L1306" s="7" t="n">
        <x:v>2085.4</x:v>
      </x:c>
      <x:c r="M1306" s="3" t="str">
        <x:v>Credit Card</x:v>
      </x:c>
      <x:c r="N1306" s="3" t="str">
        <x:f>TEXT(B1306,"yyyy-mm")</x:f>
        <x:v>2024-12</x:v>
      </x:c>
      <x:c r="O1306" s="3" t="str">
        <x:f>IF(J1306=0,"No discount",IF(J1306&lt;=0.1,"1-10%",IF(J1306&lt;=0.15,"11-15%",IF(J1306&lt;=0.2,"16-20%","21%+"))))</x:f>
        <x:v>1-10%</x:v>
      </x:c>
      <x:c r="P1306" s="9" t="n">
        <x:f>IF(K1306=0,0,L1306/K1306)</x:f>
        <x:v>0.08421914747800929</x:v>
      </x:c>
      <x:c r="Q1306" s="3" t="str">
        <x:f>IF(L1306&lt;0,"Yes","No")</x:f>
        <x:v>No</x:v>
      </x:c>
    </x:row>
    <x:row r="1307" ht="21" customHeight="1">
      <x:c r="A1307" s="3" t="str">
        <x:v>ORD-100722</x:v>
      </x:c>
      <x:c r="B1307" s="5" t="n">
        <x:v>45633</x:v>
      </x:c>
      <x:c r="C1307" s="3" t="str">
        <x:v>CUST-00252</x:v>
      </x:c>
      <x:c r="D1307" s="3" t="str">
        <x:v>South</x:v>
      </x:c>
      <x:c r="E1307" s="3" t="str">
        <x:v>Fashion</x:v>
      </x:c>
      <x:c r="F1307" s="3" t="str">
        <x:v>Men</x:v>
      </x:c>
      <x:c r="G1307" s="3" t="str">
        <x:v>Oxford Casual Shirt</x:v>
      </x:c>
      <x:c r="H1307" s="3" t="n">
        <x:v>5</x:v>
      </x:c>
      <x:c r="I1307" s="7" t="n">
        <x:v>1284.06</x:v>
      </x:c>
      <x:c r="J1307" s="9" t="n">
        <x:v>0</x:v>
      </x:c>
      <x:c r="K1307" s="7" t="n">
        <x:v>6420.3</x:v>
      </x:c>
      <x:c r="L1307" s="7" t="n">
        <x:v>2603.72</x:v>
      </x:c>
      <x:c r="M1307" s="3" t="str">
        <x:v>Credit Card</x:v>
      </x:c>
      <x:c r="N1307" s="3" t="str">
        <x:f>TEXT(B1307,"yyyy-mm")</x:f>
        <x:v>2024-12</x:v>
      </x:c>
      <x:c r="O1307" s="3" t="str">
        <x:f>IF(J1307=0,"No discount",IF(J1307&lt;=0.1,"1-10%",IF(J1307&lt;=0.15,"11-15%",IF(J1307&lt;=0.2,"16-20%","21%+"))))</x:f>
        <x:v>No discount</x:v>
      </x:c>
      <x:c r="P1307" s="9" t="n">
        <x:f>IF(K1307=0,0,L1307/K1307)</x:f>
        <x:v>0.4055449122315156</x:v>
      </x:c>
      <x:c r="Q1307" s="3" t="str">
        <x:f>IF(L1307&lt;0,"Yes","No")</x:f>
        <x:v>No</x:v>
      </x:c>
    </x:row>
    <x:row r="1308" ht="21" customHeight="1">
      <x:c r="A1308" s="3" t="str">
        <x:v>ORD-101660</x:v>
      </x:c>
      <x:c r="B1308" s="5" t="n">
        <x:v>45633</x:v>
      </x:c>
      <x:c r="C1308" s="3" t="str">
        <x:v>CUST-00368</x:v>
      </x:c>
      <x:c r="D1308" s="3" t="str">
        <x:v>North</x:v>
      </x:c>
      <x:c r="E1308" s="3" t="str">
        <x:v>Beauty</x:v>
      </x:c>
      <x:c r="F1308" s="3" t="str">
        <x:v>Skincare</x:v>
      </x:c>
      <x:c r="G1308" s="3" t="str">
        <x:v>Vitamin C Serum</x:v>
      </x:c>
      <x:c r="H1308" s="3" t="n">
        <x:v>1</x:v>
      </x:c>
      <x:c r="I1308" s="7" t="n">
        <x:v>913.88</x:v>
      </x:c>
      <x:c r="J1308" s="9" t="n">
        <x:v>0.15</x:v>
      </x:c>
      <x:c r="K1308" s="7" t="n">
        <x:v>776.8</x:v>
      </x:c>
      <x:c r="L1308" s="7" t="n">
        <x:v>321.83</x:v>
      </x:c>
      <x:c r="M1308" s="3" t="str">
        <x:v>Net Banking</x:v>
      </x:c>
      <x:c r="N1308" s="3" t="str">
        <x:f>TEXT(B1308,"yyyy-mm")</x:f>
        <x:v>2024-12</x:v>
      </x:c>
      <x:c r="O1308" s="3" t="str">
        <x:f>IF(J1308=0,"No discount",IF(J1308&lt;=0.1,"1-10%",IF(J1308&lt;=0.15,"11-15%",IF(J1308&lt;=0.2,"16-20%","21%+"))))</x:f>
        <x:v>11-15%</x:v>
      </x:c>
      <x:c r="P1308" s="9" t="n">
        <x:f>IF(K1308=0,0,L1308/K1308)</x:f>
        <x:v>0.4143022657054583</x:v>
      </x:c>
      <x:c r="Q1308" s="3" t="str">
        <x:f>IF(L1308&lt;0,"Yes","No")</x:f>
        <x:v>No</x:v>
      </x:c>
    </x:row>
    <x:row r="1309" ht="21" customHeight="1">
      <x:c r="A1309" s="3" t="str">
        <x:v>ORD-100346</x:v>
      </x:c>
      <x:c r="B1309" s="5" t="n">
        <x:v>45634</x:v>
      </x:c>
      <x:c r="C1309" s="3" t="str">
        <x:v>CUST-00369</x:v>
      </x:c>
      <x:c r="D1309" s="3" t="str">
        <x:v>East</x:v>
      </x:c>
      <x:c r="E1309" s="3" t="str">
        <x:v>Electronics</x:v>
      </x:c>
      <x:c r="F1309" s="3" t="str">
        <x:v>Laptop</x:v>
      </x:c>
      <x:c r="G1309" s="3" t="str">
        <x:v>ThinkPro 14</x:v>
      </x:c>
      <x:c r="H1309" s="3" t="n">
        <x:v>2</x:v>
      </x:c>
      <x:c r="I1309" s="7" t="n">
        <x:v>56724.97</x:v>
      </x:c>
      <x:c r="J1309" s="9" t="n">
        <x:v>0</x:v>
      </x:c>
      <x:c r="K1309" s="7" t="n">
        <x:v>113449.94</x:v>
      </x:c>
      <x:c r="L1309" s="7" t="n">
        <x:v>20208.06</x:v>
      </x:c>
      <x:c r="M1309" s="3" t="str">
        <x:v>Credit Card</x:v>
      </x:c>
      <x:c r="N1309" s="3" t="str">
        <x:f>TEXT(B1309,"yyyy-mm")</x:f>
        <x:v>2024-12</x:v>
      </x:c>
      <x:c r="O1309" s="3" t="str">
        <x:f>IF(J1309=0,"No discount",IF(J1309&lt;=0.1,"1-10%",IF(J1309&lt;=0.15,"11-15%",IF(J1309&lt;=0.2,"16-20%","21%+"))))</x:f>
        <x:v>No discount</x:v>
      </x:c>
      <x:c r="P1309" s="9" t="n">
        <x:f>IF(K1309=0,0,L1309/K1309)</x:f>
        <x:v>0.17812314400518856</x:v>
      </x:c>
      <x:c r="Q1309" s="3" t="str">
        <x:f>IF(L1309&lt;0,"Yes","No")</x:f>
        <x:v>No</x:v>
      </x:c>
    </x:row>
    <x:row r="1310" ht="21" customHeight="1">
      <x:c r="A1310" s="3" t="str">
        <x:v>ORD-100566</x:v>
      </x:c>
      <x:c r="B1310" s="5" t="n">
        <x:v>45634</x:v>
      </x:c>
      <x:c r="C1310" s="3" t="str">
        <x:v>CUST-00130</x:v>
      </x:c>
      <x:c r="D1310" s="3" t="str">
        <x:v>South</x:v>
      </x:c>
      <x:c r="E1310" s="3" t="str">
        <x:v>Beauty</x:v>
      </x:c>
      <x:c r="F1310" s="3" t="str">
        <x:v>Makeup</x:v>
      </x:c>
      <x:c r="G1310" s="3" t="str">
        <x:v>HD Foundation Kit</x:v>
      </x:c>
      <x:c r="H1310" s="3" t="n">
        <x:v>3</x:v>
      </x:c>
      <x:c r="I1310" s="7" t="n">
        <x:v>1484.69</x:v>
      </x:c>
      <x:c r="J1310" s="9" t="n">
        <x:v>0.15</x:v>
      </x:c>
      <x:c r="K1310" s="7" t="n">
        <x:v>3785.96</x:v>
      </x:c>
      <x:c r="L1310" s="7" t="n">
        <x:v>1337.52</x:v>
      </x:c>
      <x:c r="M1310" s="3" t="str">
        <x:v>UPI</x:v>
      </x:c>
      <x:c r="N1310" s="3" t="str">
        <x:f>TEXT(B1310,"yyyy-mm")</x:f>
        <x:v>2024-12</x:v>
      </x:c>
      <x:c r="O1310" s="3" t="str">
        <x:f>IF(J1310=0,"No discount",IF(J1310&lt;=0.1,"1-10%",IF(J1310&lt;=0.15,"11-15%",IF(J1310&lt;=0.2,"16-20%","21%+"))))</x:f>
        <x:v>11-15%</x:v>
      </x:c>
      <x:c r="P1310" s="9" t="n">
        <x:f>IF(K1310=0,0,L1310/K1310)</x:f>
        <x:v>0.3532842396644444</x:v>
      </x:c>
      <x:c r="Q1310" s="3" t="str">
        <x:f>IF(L1310&lt;0,"Yes","No")</x:f>
        <x:v>No</x:v>
      </x:c>
    </x:row>
    <x:row r="1311" ht="21" customHeight="1">
      <x:c r="A1311" s="3" t="str">
        <x:v>ORD-101167</x:v>
      </x:c>
      <x:c r="B1311" s="5" t="n">
        <x:v>45634</x:v>
      </x:c>
      <x:c r="C1311" s="3" t="str">
        <x:v>CUST-00583</x:v>
      </x:c>
      <x:c r="D1311" s="3" t="str">
        <x:v>West</x:v>
      </x:c>
      <x:c r="E1311" s="3" t="str">
        <x:v>Electronics</x:v>
      </x:c>
      <x:c r="F1311" s="3" t="str">
        <x:v>Laptop</x:v>
      </x:c>
      <x:c r="G1311" s="3" t="str">
        <x:v>AirBook Slim</x:v>
      </x:c>
      <x:c r="H1311" s="3" t="n">
        <x:v>1</x:v>
      </x:c>
      <x:c r="I1311" s="7" t="n">
        <x:v>76303.61</x:v>
      </x:c>
      <x:c r="J1311" s="9" t="n">
        <x:v>0</x:v>
      </x:c>
      <x:c r="K1311" s="7" t="n">
        <x:v>76303.61</x:v>
      </x:c>
      <x:c r="L1311" s="7" t="n">
        <x:v>16418.44</x:v>
      </x:c>
      <x:c r="M1311" s="3" t="str">
        <x:v>UPI</x:v>
      </x:c>
      <x:c r="N1311" s="3" t="str">
        <x:f>TEXT(B1311,"yyyy-mm")</x:f>
        <x:v>2024-12</x:v>
      </x:c>
      <x:c r="O1311" s="3" t="str">
        <x:f>IF(J1311=0,"No discount",IF(J1311&lt;=0.1,"1-10%",IF(J1311&lt;=0.15,"11-15%",IF(J1311&lt;=0.2,"16-20%","21%+"))))</x:f>
        <x:v>No discount</x:v>
      </x:c>
      <x:c r="P1311" s="9" t="n">
        <x:f>IF(K1311=0,0,L1311/K1311)</x:f>
        <x:v>0.21517251936048634</x:v>
      </x:c>
      <x:c r="Q1311" s="3" t="str">
        <x:f>IF(L1311&lt;0,"Yes","No")</x:f>
        <x:v>No</x:v>
      </x:c>
    </x:row>
    <x:row r="1312" ht="21" customHeight="1">
      <x:c r="A1312" s="3" t="str">
        <x:v>ORD-101232</x:v>
      </x:c>
      <x:c r="B1312" s="5" t="n">
        <x:v>45634</x:v>
      </x:c>
      <x:c r="C1312" s="3" t="str">
        <x:v>CUST-00027</x:v>
      </x:c>
      <x:c r="D1312" s="3" t="str">
        <x:v>North</x:v>
      </x:c>
      <x:c r="E1312" s="3" t="str">
        <x:v>Sports</x:v>
      </x:c>
      <x:c r="F1312" s="3" t="str">
        <x:v>Fitness</x:v>
      </x:c>
      <x:c r="G1312" s="3" t="str">
        <x:v>ProYoga Mat</x:v>
      </x:c>
      <x:c r="H1312" s="3" t="n">
        <x:v>1</x:v>
      </x:c>
      <x:c r="I1312" s="7" t="n">
        <x:v>1284.35</x:v>
      </x:c>
      <x:c r="J1312" s="9" t="n">
        <x:v>0.3</x:v>
      </x:c>
      <x:c r="K1312" s="7" t="n">
        <x:v>899.04</x:v>
      </x:c>
      <x:c r="L1312" s="7" t="n">
        <x:v>10.04</x:v>
      </x:c>
      <x:c r="M1312" s="3" t="str">
        <x:v>UPI</x:v>
      </x:c>
      <x:c r="N1312" s="3" t="str">
        <x:f>TEXT(B1312,"yyyy-mm")</x:f>
        <x:v>2024-12</x:v>
      </x:c>
      <x:c r="O1312" s="3" t="str">
        <x:f>IF(J1312=0,"No discount",IF(J1312&lt;=0.1,"1-10%",IF(J1312&lt;=0.15,"11-15%",IF(J1312&lt;=0.2,"16-20%","21%+"))))</x:f>
        <x:v>21%+</x:v>
      </x:c>
      <x:c r="P1312" s="9" t="n">
        <x:f>IF(K1312=0,0,L1312/K1312)</x:f>
        <x:v>0.011167467520911193</x:v>
      </x:c>
      <x:c r="Q1312" s="3" t="str">
        <x:f>IF(L1312&lt;0,"Yes","No")</x:f>
        <x:v>No</x:v>
      </x:c>
    </x:row>
    <x:row r="1313" ht="21" customHeight="1">
      <x:c r="A1313" s="3" t="str">
        <x:v>ORD-101391</x:v>
      </x:c>
      <x:c r="B1313" s="5" t="n">
        <x:v>45634</x:v>
      </x:c>
      <x:c r="C1313" s="3" t="str">
        <x:v>CUST-00224</x:v>
      </x:c>
      <x:c r="D1313" s="3" t="str">
        <x:v>East</x:v>
      </x:c>
      <x:c r="E1313" s="3" t="str">
        <x:v>Home &amp; Kitchen</x:v>
      </x:c>
      <x:c r="F1313" s="3" t="str">
        <x:v>Decor</x:v>
      </x:c>
      <x:c r="G1313" s="3" t="str">
        <x:v>LED Wall Lamp</x:v>
      </x:c>
      <x:c r="H1313" s="3" t="n">
        <x:v>3</x:v>
      </x:c>
      <x:c r="I1313" s="7" t="n">
        <x:v>988.27</x:v>
      </x:c>
      <x:c r="J1313" s="9" t="n">
        <x:v>0</x:v>
      </x:c>
      <x:c r="K1313" s="7" t="n">
        <x:v>2964.81</x:v>
      </x:c>
      <x:c r="L1313" s="7" t="n">
        <x:v>968.54</x:v>
      </x:c>
      <x:c r="M1313" s="3" t="str">
        <x:v>Debit Card</x:v>
      </x:c>
      <x:c r="N1313" s="3" t="str">
        <x:f>TEXT(B1313,"yyyy-mm")</x:f>
        <x:v>2024-12</x:v>
      </x:c>
      <x:c r="O1313" s="3" t="str">
        <x:f>IF(J1313=0,"No discount",IF(J1313&lt;=0.1,"1-10%",IF(J1313&lt;=0.15,"11-15%",IF(J1313&lt;=0.2,"16-20%","21%+"))))</x:f>
        <x:v>No discount</x:v>
      </x:c>
      <x:c r="P1313" s="9" t="n">
        <x:f>IF(K1313=0,0,L1313/K1313)</x:f>
        <x:v>0.3266786067235337</x:v>
      </x:c>
      <x:c r="Q1313" s="3" t="str">
        <x:f>IF(L1313&lt;0,"Yes","No")</x:f>
        <x:v>No</x:v>
      </x:c>
    </x:row>
    <x:row r="1314" ht="21" customHeight="1">
      <x:c r="A1314" s="3" t="str">
        <x:v>ORD-101815</x:v>
      </x:c>
      <x:c r="B1314" s="5" t="n">
        <x:v>45634</x:v>
      </x:c>
      <x:c r="C1314" s="3" t="str">
        <x:v>CUST-00162</x:v>
      </x:c>
      <x:c r="D1314" s="3" t="str">
        <x:v>East</x:v>
      </x:c>
      <x:c r="E1314" s="3" t="str">
        <x:v>Fashion</x:v>
      </x:c>
      <x:c r="F1314" s="3" t="str">
        <x:v>Women</x:v>
      </x:c>
      <x:c r="G1314" s="3" t="str">
        <x:v>Floral Summer Dress</x:v>
      </x:c>
      <x:c r="H1314" s="3" t="n">
        <x:v>1</x:v>
      </x:c>
      <x:c r="I1314" s="7" t="n">
        <x:v>1814.21</x:v>
      </x:c>
      <x:c r="J1314" s="9" t="n">
        <x:v>0</x:v>
      </x:c>
      <x:c r="K1314" s="7" t="n">
        <x:v>1814.21</x:v>
      </x:c>
      <x:c r="L1314" s="7" t="n">
        <x:v>798.32</x:v>
      </x:c>
      <x:c r="M1314" s="3" t="str">
        <x:v>Credit Card</x:v>
      </x:c>
      <x:c r="N1314" s="3" t="str">
        <x:f>TEXT(B1314,"yyyy-mm")</x:f>
        <x:v>2024-12</x:v>
      </x:c>
      <x:c r="O1314" s="3" t="str">
        <x:f>IF(J1314=0,"No discount",IF(J1314&lt;=0.1,"1-10%",IF(J1314&lt;=0.15,"11-15%",IF(J1314&lt;=0.2,"16-20%","21%+"))))</x:f>
        <x:v>No discount</x:v>
      </x:c>
      <x:c r="P1314" s="9" t="n">
        <x:f>IF(K1314=0,0,L1314/K1314)</x:f>
        <x:v>0.4400372613975229</x:v>
      </x:c>
      <x:c r="Q1314" s="3" t="str">
        <x:f>IF(L1314&lt;0,"Yes","No")</x:f>
        <x:v>No</x:v>
      </x:c>
    </x:row>
    <x:row r="1315" ht="21" customHeight="1">
      <x:c r="A1315" s="3" t="str">
        <x:v>ORD-100032</x:v>
      </x:c>
      <x:c r="B1315" s="5" t="n">
        <x:v>45635</x:v>
      </x:c>
      <x:c r="C1315" s="3" t="str">
        <x:v>CUST-00241</x:v>
      </x:c>
      <x:c r="D1315" s="3" t="str">
        <x:v>North</x:v>
      </x:c>
      <x:c r="E1315" s="3" t="str">
        <x:v>Fashion</x:v>
      </x:c>
      <x:c r="F1315" s="3" t="str">
        <x:v>Footwear</x:v>
      </x:c>
      <x:c r="G1315" s="3" t="str">
        <x:v>UrbanLoafers</x:v>
      </x:c>
      <x:c r="H1315" s="3" t="n">
        <x:v>3</x:v>
      </x:c>
      <x:c r="I1315" s="7" t="n">
        <x:v>3581.56</x:v>
      </x:c>
      <x:c r="J1315" s="9" t="n">
        <x:v>0.3</x:v>
      </x:c>
      <x:c r="K1315" s="7" t="n">
        <x:v>7521.28</x:v>
      </x:c>
      <x:c r="L1315" s="7" t="n">
        <x:v>659.68</x:v>
      </x:c>
      <x:c r="M1315" s="3" t="str">
        <x:v>Credit Card</x:v>
      </x:c>
      <x:c r="N1315" s="3" t="str">
        <x:f>TEXT(B1315,"yyyy-mm")</x:f>
        <x:v>2024-12</x:v>
      </x:c>
      <x:c r="O1315" s="3" t="str">
        <x:f>IF(J1315=0,"No discount",IF(J1315&lt;=0.1,"1-10%",IF(J1315&lt;=0.15,"11-15%",IF(J1315&lt;=0.2,"16-20%","21%+"))))</x:f>
        <x:v>21%+</x:v>
      </x:c>
      <x:c r="P1315" s="9" t="n">
        <x:f>IF(K1315=0,0,L1315/K1315)</x:f>
        <x:v>0.08770847515316542</x:v>
      </x:c>
      <x:c r="Q1315" s="3" t="str">
        <x:f>IF(L1315&lt;0,"Yes","No")</x:f>
        <x:v>No</x:v>
      </x:c>
    </x:row>
    <x:row r="1316" ht="21" customHeight="1">
      <x:c r="A1316" s="3" t="str">
        <x:v>ORD-100150</x:v>
      </x:c>
      <x:c r="B1316" s="5" t="n">
        <x:v>45635</x:v>
      </x:c>
      <x:c r="C1316" s="3" t="str">
        <x:v>CUST-00557</x:v>
      </x:c>
      <x:c r="D1316" s="3" t="str">
        <x:v>North</x:v>
      </x:c>
      <x:c r="E1316" s="3" t="str">
        <x:v>Electronics</x:v>
      </x:c>
      <x:c r="F1316" s="3" t="str">
        <x:v>Laptop</x:v>
      </x:c>
      <x:c r="G1316" s="3" t="str">
        <x:v>AirBook Slim</x:v>
      </x:c>
      <x:c r="H1316" s="3" t="n">
        <x:v>1</x:v>
      </x:c>
      <x:c r="I1316" s="7" t="n">
        <x:v>81940.06</x:v>
      </x:c>
      <x:c r="J1316" s="9" t="n">
        <x:v>0.15</x:v>
      </x:c>
      <x:c r="K1316" s="7" t="n">
        <x:v>69649.05</x:v>
      </x:c>
      <x:c r="L1316" s="7" t="n">
        <x:v>-650.71</x:v>
      </x:c>
      <x:c r="M1316" s="3" t="str">
        <x:v>UPI</x:v>
      </x:c>
      <x:c r="N1316" s="3" t="str">
        <x:f>TEXT(B1316,"yyyy-mm")</x:f>
        <x:v>2024-12</x:v>
      </x:c>
      <x:c r="O1316" s="3" t="str">
        <x:f>IF(J1316=0,"No discount",IF(J1316&lt;=0.1,"1-10%",IF(J1316&lt;=0.15,"11-15%",IF(J1316&lt;=0.2,"16-20%","21%+"))))</x:f>
        <x:v>11-15%</x:v>
      </x:c>
      <x:c r="P1316" s="9" t="n">
        <x:f>IF(K1316=0,0,L1316/K1316)</x:f>
        <x:v>-0.009342697423726527</x:v>
      </x:c>
      <x:c r="Q1316" s="3" t="str">
        <x:f>IF(L1316&lt;0,"Yes","No")</x:f>
        <x:v>Yes</x:v>
      </x:c>
    </x:row>
    <x:row r="1317" ht="21" customHeight="1">
      <x:c r="A1317" s="3" t="str">
        <x:v>ORD-100243</x:v>
      </x:c>
      <x:c r="B1317" s="5" t="n">
        <x:v>45635</x:v>
      </x:c>
      <x:c r="C1317" s="3" t="str">
        <x:v>CUST-00272</x:v>
      </x:c>
      <x:c r="D1317" s="3" t="str">
        <x:v>West</x:v>
      </x:c>
      <x:c r="E1317" s="3" t="str">
        <x:v>Beauty</x:v>
      </x:c>
      <x:c r="F1317" s="3" t="str">
        <x:v>Skincare</x:v>
      </x:c>
      <x:c r="G1317" s="3" t="str">
        <x:v>Vitamin C Serum</x:v>
      </x:c>
      <x:c r="H1317" s="3" t="n">
        <x:v>4</x:v>
      </x:c>
      <x:c r="I1317" s="7" t="n">
        <x:v>921.06</x:v>
      </x:c>
      <x:c r="J1317" s="9" t="n">
        <x:v>0</x:v>
      </x:c>
      <x:c r="K1317" s="7" t="n">
        <x:v>3684.24</x:v>
      </x:c>
      <x:c r="L1317" s="7" t="n">
        <x:v>1949.11</x:v>
      </x:c>
      <x:c r="M1317" s="3" t="str">
        <x:v>UPI</x:v>
      </x:c>
      <x:c r="N1317" s="3" t="str">
        <x:f>TEXT(B1317,"yyyy-mm")</x:f>
        <x:v>2024-12</x:v>
      </x:c>
      <x:c r="O1317" s="3" t="str">
        <x:f>IF(J1317=0,"No discount",IF(J1317&lt;=0.1,"1-10%",IF(J1317&lt;=0.15,"11-15%",IF(J1317&lt;=0.2,"16-20%","21%+"))))</x:f>
        <x:v>No discount</x:v>
      </x:c>
      <x:c r="P1317" s="9" t="n">
        <x:f>IF(K1317=0,0,L1317/K1317)</x:f>
        <x:v>0.5290399105378586</x:v>
      </x:c>
      <x:c r="Q1317" s="3" t="str">
        <x:f>IF(L1317&lt;0,"Yes","No")</x:f>
        <x:v>No</x:v>
      </x:c>
    </x:row>
    <x:row r="1318" ht="21" customHeight="1">
      <x:c r="A1318" s="3" t="str">
        <x:v>ORD-100268</x:v>
      </x:c>
      <x:c r="B1318" s="5" t="n">
        <x:v>45635</x:v>
      </x:c>
      <x:c r="C1318" s="3" t="str">
        <x:v>CUST-00228</x:v>
      </x:c>
      <x:c r="D1318" s="3" t="str">
        <x:v>East</x:v>
      </x:c>
      <x:c r="E1318" s="3" t="str">
        <x:v>Beauty</x:v>
      </x:c>
      <x:c r="F1318" s="3" t="str">
        <x:v>Skincare</x:v>
      </x:c>
      <x:c r="G1318" s="3" t="str">
        <x:v>HydraBoost Moisturizer</x:v>
      </x:c>
      <x:c r="H1318" s="3" t="n">
        <x:v>1</x:v>
      </x:c>
      <x:c r="I1318" s="7" t="n">
        <x:v>1170.06</x:v>
      </x:c>
      <x:c r="J1318" s="9" t="n">
        <x:v>0</x:v>
      </x:c>
      <x:c r="K1318" s="7" t="n">
        <x:v>1170.06</x:v>
      </x:c>
      <x:c r="L1318" s="7" t="n">
        <x:v>672.4</x:v>
      </x:c>
      <x:c r="M1318" s="3" t="str">
        <x:v>UPI</x:v>
      </x:c>
      <x:c r="N1318" s="3" t="str">
        <x:f>TEXT(B1318,"yyyy-mm")</x:f>
        <x:v>2024-12</x:v>
      </x:c>
      <x:c r="O1318" s="3" t="str">
        <x:f>IF(J1318=0,"No discount",IF(J1318&lt;=0.1,"1-10%",IF(J1318&lt;=0.15,"11-15%",IF(J1318&lt;=0.2,"16-20%","21%+"))))</x:f>
        <x:v>No discount</x:v>
      </x:c>
      <x:c r="P1318" s="9" t="n">
        <x:f>IF(K1318=0,0,L1318/K1318)</x:f>
        <x:v>0.5746713843734509</x:v>
      </x:c>
      <x:c r="Q1318" s="3" t="str">
        <x:f>IF(L1318&lt;0,"Yes","No")</x:f>
        <x:v>No</x:v>
      </x:c>
    </x:row>
    <x:row r="1319" ht="21" customHeight="1">
      <x:c r="A1319" s="3" t="str">
        <x:v>ORD-100730</x:v>
      </x:c>
      <x:c r="B1319" s="5" t="n">
        <x:v>45635</x:v>
      </x:c>
      <x:c r="C1319" s="3" t="str">
        <x:v>CUST-00289</x:v>
      </x:c>
      <x:c r="D1319" s="3" t="str">
        <x:v>North</x:v>
      </x:c>
      <x:c r="E1319" s="3" t="str">
        <x:v>Sports</x:v>
      </x:c>
      <x:c r="F1319" s="3" t="str">
        <x:v>Fitness</x:v>
      </x:c>
      <x:c r="G1319" s="3" t="str">
        <x:v>ProYoga Mat</x:v>
      </x:c>
      <x:c r="H1319" s="3" t="n">
        <x:v>3</x:v>
      </x:c>
      <x:c r="I1319" s="7" t="n">
        <x:v>1259.35</x:v>
      </x:c>
      <x:c r="J1319" s="9" t="n">
        <x:v>0.1</x:v>
      </x:c>
      <x:c r="K1319" s="7" t="n">
        <x:v>3400.24</x:v>
      </x:c>
      <x:c r="L1319" s="7" t="n">
        <x:v>794.54</x:v>
      </x:c>
      <x:c r="M1319" s="3" t="str">
        <x:v>Credit Card</x:v>
      </x:c>
      <x:c r="N1319" s="3" t="str">
        <x:f>TEXT(B1319,"yyyy-mm")</x:f>
        <x:v>2024-12</x:v>
      </x:c>
      <x:c r="O1319" s="3" t="str">
        <x:f>IF(J1319=0,"No discount",IF(J1319&lt;=0.1,"1-10%",IF(J1319&lt;=0.15,"11-15%",IF(J1319&lt;=0.2,"16-20%","21%+"))))</x:f>
        <x:v>1-10%</x:v>
      </x:c>
      <x:c r="P1319" s="9" t="n">
        <x:f>IF(K1319=0,0,L1319/K1319)</x:f>
        <x:v>0.23367174081829517</x:v>
      </x:c>
      <x:c r="Q1319" s="3" t="str">
        <x:f>IF(L1319&lt;0,"Yes","No")</x:f>
        <x:v>No</x:v>
      </x:c>
    </x:row>
    <x:row r="1320" ht="21" customHeight="1">
      <x:c r="A1320" s="3" t="str">
        <x:v>ORD-100849</x:v>
      </x:c>
      <x:c r="B1320" s="5" t="n">
        <x:v>45635</x:v>
      </x:c>
      <x:c r="C1320" s="3" t="str">
        <x:v>CUST-00526</x:v>
      </x:c>
      <x:c r="D1320" s="3" t="str">
        <x:v>North</x:v>
      </x:c>
      <x:c r="E1320" s="3" t="str">
        <x:v>Home &amp; Kitchen</x:v>
      </x:c>
      <x:c r="F1320" s="3" t="str">
        <x:v>Appliances</x:v>
      </x:c>
      <x:c r="G1320" s="3" t="str">
        <x:v>AirFryer Deluxe</x:v>
      </x:c>
      <x:c r="H1320" s="3" t="n">
        <x:v>5</x:v>
      </x:c>
      <x:c r="I1320" s="7" t="n">
        <x:v>8194.4</x:v>
      </x:c>
      <x:c r="J1320" s="9" t="n">
        <x:v>0.15</x:v>
      </x:c>
      <x:c r="K1320" s="7" t="n">
        <x:v>34826.2</x:v>
      </x:c>
      <x:c r="L1320" s="7" t="n">
        <x:v>4711.82</x:v>
      </x:c>
      <x:c r="M1320" s="3" t="str">
        <x:v>UPI</x:v>
      </x:c>
      <x:c r="N1320" s="3" t="str">
        <x:f>TEXT(B1320,"yyyy-mm")</x:f>
        <x:v>2024-12</x:v>
      </x:c>
      <x:c r="O1320" s="3" t="str">
        <x:f>IF(J1320=0,"No discount",IF(J1320&lt;=0.1,"1-10%",IF(J1320&lt;=0.15,"11-15%",IF(J1320&lt;=0.2,"16-20%","21%+"))))</x:f>
        <x:v>11-15%</x:v>
      </x:c>
      <x:c r="P1320" s="9" t="n">
        <x:f>IF(K1320=0,0,L1320/K1320)</x:f>
        <x:v>0.1352952662076253</x:v>
      </x:c>
      <x:c r="Q1320" s="3" t="str">
        <x:f>IF(L1320&lt;0,"Yes","No")</x:f>
        <x:v>No</x:v>
      </x:c>
    </x:row>
    <x:row r="1321" ht="21" customHeight="1">
      <x:c r="A1321" s="3" t="str">
        <x:v>ORD-101455</x:v>
      </x:c>
      <x:c r="B1321" s="5" t="n">
        <x:v>45635</x:v>
      </x:c>
      <x:c r="C1321" s="3" t="str">
        <x:v>CUST-00358</x:v>
      </x:c>
      <x:c r="D1321" s="3" t="str">
        <x:v>West</x:v>
      </x:c>
      <x:c r="E1321" s="3" t="str">
        <x:v>Electronics</x:v>
      </x:c>
      <x:c r="F1321" s="3" t="str">
        <x:v>Mobile</x:v>
      </x:c>
      <x:c r="G1321" s="3" t="str">
        <x:v>iPhone Zeta</x:v>
      </x:c>
      <x:c r="H1321" s="3" t="n">
        <x:v>1</x:v>
      </x:c>
      <x:c r="I1321" s="7" t="n">
        <x:v>67943.62</x:v>
      </x:c>
      <x:c r="J1321" s="9" t="n">
        <x:v>0.05</x:v>
      </x:c>
      <x:c r="K1321" s="7" t="n">
        <x:v>64546.44</x:v>
      </x:c>
      <x:c r="L1321" s="7" t="n">
        <x:v>6872.7</x:v>
      </x:c>
      <x:c r="M1321" s="3" t="str">
        <x:v>Net Banking</x:v>
      </x:c>
      <x:c r="N1321" s="3" t="str">
        <x:f>TEXT(B1321,"yyyy-mm")</x:f>
        <x:v>2024-12</x:v>
      </x:c>
      <x:c r="O1321" s="3" t="str">
        <x:f>IF(J1321=0,"No discount",IF(J1321&lt;=0.1,"1-10%",IF(J1321&lt;=0.15,"11-15%",IF(J1321&lt;=0.2,"16-20%","21%+"))))</x:f>
        <x:v>1-10%</x:v>
      </x:c>
      <x:c r="P1321" s="9" t="n">
        <x:f>IF(K1321=0,0,L1321/K1321)</x:f>
        <x:v>0.10647682505805121</x:v>
      </x:c>
      <x:c r="Q1321" s="3" t="str">
        <x:f>IF(L1321&lt;0,"Yes","No")</x:f>
        <x:v>No</x:v>
      </x:c>
    </x:row>
    <x:row r="1322" ht="21" customHeight="1">
      <x:c r="A1322" s="3" t="str">
        <x:v>ORD-101856</x:v>
      </x:c>
      <x:c r="B1322" s="5" t="n">
        <x:v>45635</x:v>
      </x:c>
      <x:c r="C1322" s="3" t="str">
        <x:v>CUST-00053</x:v>
      </x:c>
      <x:c r="D1322" s="3" t="str">
        <x:v>East</x:v>
      </x:c>
      <x:c r="E1322" s="3" t="str">
        <x:v>Home &amp; Kitchen</x:v>
      </x:c>
      <x:c r="F1322" s="3" t="str">
        <x:v>Furniture</x:v>
      </x:c>
      <x:c r="G1322" s="3" t="str">
        <x:v>Oakwood Study Desk</x:v>
      </x:c>
      <x:c r="H1322" s="3" t="n">
        <x:v>2</x:v>
      </x:c>
      <x:c r="I1322" s="7" t="n">
        <x:v>12718.17</x:v>
      </x:c>
      <x:c r="J1322" s="9" t="n">
        <x:v>0</x:v>
      </x:c>
      <x:c r="K1322" s="7" t="n">
        <x:v>25436.34</x:v>
      </x:c>
      <x:c r="L1322" s="7" t="n">
        <x:v>7473.98</x:v>
      </x:c>
      <x:c r="M1322" s="3" t="str">
        <x:v>UPI</x:v>
      </x:c>
      <x:c r="N1322" s="3" t="str">
        <x:f>TEXT(B1322,"yyyy-mm")</x:f>
        <x:v>2024-12</x:v>
      </x:c>
      <x:c r="O1322" s="3" t="str">
        <x:f>IF(J1322=0,"No discount",IF(J1322&lt;=0.1,"1-10%",IF(J1322&lt;=0.15,"11-15%",IF(J1322&lt;=0.2,"16-20%","21%+"))))</x:f>
        <x:v>No discount</x:v>
      </x:c>
      <x:c r="P1322" s="9" t="n">
        <x:f>IF(K1322=0,0,L1322/K1322)</x:f>
        <x:v>0.2938307948391946</x:v>
      </x:c>
      <x:c r="Q1322" s="3" t="str">
        <x:f>IF(L1322&lt;0,"Yes","No")</x:f>
        <x:v>No</x:v>
      </x:c>
    </x:row>
    <x:row r="1323" ht="21" customHeight="1">
      <x:c r="A1323" s="3" t="str">
        <x:v>ORD-101917</x:v>
      </x:c>
      <x:c r="B1323" s="5" t="n">
        <x:v>45635</x:v>
      </x:c>
      <x:c r="C1323" s="3" t="str">
        <x:v>CUST-00069</x:v>
      </x:c>
      <x:c r="D1323" s="3" t="str">
        <x:v>West</x:v>
      </x:c>
      <x:c r="E1323" s="3" t="str">
        <x:v>Fashion</x:v>
      </x:c>
      <x:c r="F1323" s="3" t="str">
        <x:v>Footwear</x:v>
      </x:c>
      <x:c r="G1323" s="3" t="str">
        <x:v>RunFlex Sneakers</x:v>
      </x:c>
      <x:c r="H1323" s="3" t="n">
        <x:v>1</x:v>
      </x:c>
      <x:c r="I1323" s="7" t="n">
        <x:v>3046.82</x:v>
      </x:c>
      <x:c r="J1323" s="9" t="n">
        <x:v>0.05</x:v>
      </x:c>
      <x:c r="K1323" s="7" t="n">
        <x:v>2894.48</x:v>
      </x:c>
      <x:c r="L1323" s="7" t="n">
        <x:v>955.3</x:v>
      </x:c>
      <x:c r="M1323" s="3" t="str">
        <x:v>Debit Card</x:v>
      </x:c>
      <x:c r="N1323" s="3" t="str">
        <x:f>TEXT(B1323,"yyyy-mm")</x:f>
        <x:v>2024-12</x:v>
      </x:c>
      <x:c r="O1323" s="3" t="str">
        <x:f>IF(J1323=0,"No discount",IF(J1323&lt;=0.1,"1-10%",IF(J1323&lt;=0.15,"11-15%",IF(J1323&lt;=0.2,"16-20%","21%+"))))</x:f>
        <x:v>1-10%</x:v>
      </x:c>
      <x:c r="P1323" s="9" t="n">
        <x:f>IF(K1323=0,0,L1323/K1323)</x:f>
        <x:v>0.3300420110002487</x:v>
      </x:c>
      <x:c r="Q1323" s="3" t="str">
        <x:f>IF(L1323&lt;0,"Yes","No")</x:f>
        <x:v>No</x:v>
      </x:c>
    </x:row>
    <x:row r="1324" ht="21" customHeight="1">
      <x:c r="A1324" s="3" t="str">
        <x:v>ORD-100108</x:v>
      </x:c>
      <x:c r="B1324" s="5" t="n">
        <x:v>45636</x:v>
      </x:c>
      <x:c r="C1324" s="3" t="str">
        <x:v>CUST-00135</x:v>
      </x:c>
      <x:c r="D1324" s="3" t="str">
        <x:v>West</x:v>
      </x:c>
      <x:c r="E1324" s="3" t="str">
        <x:v>Fashion</x:v>
      </x:c>
      <x:c r="F1324" s="3" t="str">
        <x:v>Men</x:v>
      </x:c>
      <x:c r="G1324" s="3" t="str">
        <x:v>Oxford Casual Shirt</x:v>
      </x:c>
      <x:c r="H1324" s="3" t="n">
        <x:v>3</x:v>
      </x:c>
      <x:c r="I1324" s="7" t="n">
        <x:v>1334.19</x:v>
      </x:c>
      <x:c r="J1324" s="9" t="n">
        <x:v>0</x:v>
      </x:c>
      <x:c r="K1324" s="7" t="n">
        <x:v>4002.57</x:v>
      </x:c>
      <x:c r="L1324" s="7" t="n">
        <x:v>1788.39</x:v>
      </x:c>
      <x:c r="M1324" s="3" t="str">
        <x:v>UPI</x:v>
      </x:c>
      <x:c r="N1324" s="3" t="str">
        <x:f>TEXT(B1324,"yyyy-mm")</x:f>
        <x:v>2024-12</x:v>
      </x:c>
      <x:c r="O1324" s="3" t="str">
        <x:f>IF(J1324=0,"No discount",IF(J1324&lt;=0.1,"1-10%",IF(J1324&lt;=0.15,"11-15%",IF(J1324&lt;=0.2,"16-20%","21%+"))))</x:f>
        <x:v>No discount</x:v>
      </x:c>
      <x:c r="P1324" s="9" t="n">
        <x:f>IF(K1324=0,0,L1324/K1324)</x:f>
        <x:v>0.4468104243023857</x:v>
      </x:c>
      <x:c r="Q1324" s="3" t="str">
        <x:f>IF(L1324&lt;0,"Yes","No")</x:f>
        <x:v>No</x:v>
      </x:c>
    </x:row>
    <x:row r="1325" ht="21" customHeight="1">
      <x:c r="A1325" s="3" t="str">
        <x:v>ORD-100825</x:v>
      </x:c>
      <x:c r="B1325" s="5" t="n">
        <x:v>45636</x:v>
      </x:c>
      <x:c r="C1325" s="3" t="str">
        <x:v>CUST-00269</x:v>
      </x:c>
      <x:c r="D1325" s="3" t="str">
        <x:v>South</x:v>
      </x:c>
      <x:c r="E1325" s="3" t="str">
        <x:v>Fashion</x:v>
      </x:c>
      <x:c r="F1325" s="3" t="str">
        <x:v>Men</x:v>
      </x:c>
      <x:c r="G1325" s="3" t="str">
        <x:v>Oxford Casual Shirt</x:v>
      </x:c>
      <x:c r="H1325" s="3" t="n">
        <x:v>1</x:v>
      </x:c>
      <x:c r="I1325" s="7" t="n">
        <x:v>1240.84</x:v>
      </x:c>
      <x:c r="J1325" s="9" t="n">
        <x:v>0.05</x:v>
      </x:c>
      <x:c r="K1325" s="7" t="n">
        <x:v>1178.8</x:v>
      </x:c>
      <x:c r="L1325" s="7" t="n">
        <x:v>408.94</x:v>
      </x:c>
      <x:c r="M1325" s="3" t="str">
        <x:v>UPI</x:v>
      </x:c>
      <x:c r="N1325" s="3" t="str">
        <x:f>TEXT(B1325,"yyyy-mm")</x:f>
        <x:v>2024-12</x:v>
      </x:c>
      <x:c r="O1325" s="3" t="str">
        <x:f>IF(J1325=0,"No discount",IF(J1325&lt;=0.1,"1-10%",IF(J1325&lt;=0.15,"11-15%",IF(J1325&lt;=0.2,"16-20%","21%+"))))</x:f>
        <x:v>1-10%</x:v>
      </x:c>
      <x:c r="P1325" s="9" t="n">
        <x:f>IF(K1325=0,0,L1325/K1325)</x:f>
        <x:v>0.3469121140142518</x:v>
      </x:c>
      <x:c r="Q1325" s="3" t="str">
        <x:f>IF(L1325&lt;0,"Yes","No")</x:f>
        <x:v>No</x:v>
      </x:c>
    </x:row>
    <x:row r="1326" ht="21" customHeight="1">
      <x:c r="A1326" s="3" t="str">
        <x:v>ORD-101780</x:v>
      </x:c>
      <x:c r="B1326" s="5" t="n">
        <x:v>45636</x:v>
      </x:c>
      <x:c r="C1326" s="3" t="str">
        <x:v>CUST-00562</x:v>
      </x:c>
      <x:c r="D1326" s="3" t="str">
        <x:v>North</x:v>
      </x:c>
      <x:c r="E1326" s="3" t="str">
        <x:v>Sports</x:v>
      </x:c>
      <x:c r="F1326" s="3" t="str">
        <x:v>Outdoor</x:v>
      </x:c>
      <x:c r="G1326" s="3" t="str">
        <x:v>TrailHike Backpack 60L</x:v>
      </x:c>
      <x:c r="H1326" s="3" t="n">
        <x:v>2</x:v>
      </x:c>
      <x:c r="I1326" s="7" t="n">
        <x:v>3547.69</x:v>
      </x:c>
      <x:c r="J1326" s="9" t="n">
        <x:v>0.05</x:v>
      </x:c>
      <x:c r="K1326" s="7" t="n">
        <x:v>6740.61</x:v>
      </x:c>
      <x:c r="L1326" s="7" t="n">
        <x:v>2024.35</x:v>
      </x:c>
      <x:c r="M1326" s="3" t="str">
        <x:v>UPI</x:v>
      </x:c>
      <x:c r="N1326" s="3" t="str">
        <x:f>TEXT(B1326,"yyyy-mm")</x:f>
        <x:v>2024-12</x:v>
      </x:c>
      <x:c r="O1326" s="3" t="str">
        <x:f>IF(J1326=0,"No discount",IF(J1326&lt;=0.1,"1-10%",IF(J1326&lt;=0.15,"11-15%",IF(J1326&lt;=0.2,"16-20%","21%+"))))</x:f>
        <x:v>1-10%</x:v>
      </x:c>
      <x:c r="P1326" s="9" t="n">
        <x:f>IF(K1326=0,0,L1326/K1326)</x:f>
        <x:v>0.3003214842573595</x:v>
      </x:c>
      <x:c r="Q1326" s="3" t="str">
        <x:f>IF(L1326&lt;0,"Yes","No")</x:f>
        <x:v>No</x:v>
      </x:c>
    </x:row>
    <x:row r="1327" ht="21" customHeight="1">
      <x:c r="A1327" s="3" t="str">
        <x:v>ORD-100131</x:v>
      </x:c>
      <x:c r="B1327" s="5" t="n">
        <x:v>45637</x:v>
      </x:c>
      <x:c r="C1327" s="3" t="str">
        <x:v>CUST-00578</x:v>
      </x:c>
      <x:c r="D1327" s="3" t="str">
        <x:v>East</x:v>
      </x:c>
      <x:c r="E1327" s="3" t="str">
        <x:v>Home &amp; Kitchen</x:v>
      </x:c>
      <x:c r="F1327" s="3" t="str">
        <x:v>Furniture</x:v>
      </x:c>
      <x:c r="G1327" s="3" t="str">
        <x:v>ErgoComfort Chair</x:v>
      </x:c>
      <x:c r="H1327" s="3" t="n">
        <x:v>2</x:v>
      </x:c>
      <x:c r="I1327" s="7" t="n">
        <x:v>9125.87</x:v>
      </x:c>
      <x:c r="J1327" s="9" t="n">
        <x:v>0</x:v>
      </x:c>
      <x:c r="K1327" s="7" t="n">
        <x:v>18251.74</x:v>
      </x:c>
      <x:c r="L1327" s="7" t="n">
        <x:v>6157.13</x:v>
      </x:c>
      <x:c r="M1327" s="3" t="str">
        <x:v>UPI</x:v>
      </x:c>
      <x:c r="N1327" s="3" t="str">
        <x:f>TEXT(B1327,"yyyy-mm")</x:f>
        <x:v>2024-12</x:v>
      </x:c>
      <x:c r="O1327" s="3" t="str">
        <x:f>IF(J1327=0,"No discount",IF(J1327&lt;=0.1,"1-10%",IF(J1327&lt;=0.15,"11-15%",IF(J1327&lt;=0.2,"16-20%","21%+"))))</x:f>
        <x:v>No discount</x:v>
      </x:c>
      <x:c r="P1327" s="9" t="n">
        <x:f>IF(K1327=0,0,L1327/K1327)</x:f>
        <x:v>0.33734482301413454</x:v>
      </x:c>
      <x:c r="Q1327" s="3" t="str">
        <x:f>IF(L1327&lt;0,"Yes","No")</x:f>
        <x:v>No</x:v>
      </x:c>
    </x:row>
    <x:row r="1328" ht="21" customHeight="1">
      <x:c r="A1328" s="3" t="str">
        <x:v>ORD-100348</x:v>
      </x:c>
      <x:c r="B1328" s="5" t="n">
        <x:v>45637</x:v>
      </x:c>
      <x:c r="C1328" s="3" t="str">
        <x:v>CUST-00586</x:v>
      </x:c>
      <x:c r="D1328" s="3" t="str">
        <x:v>North</x:v>
      </x:c>
      <x:c r="E1328" s="3" t="str">
        <x:v>Sports</x:v>
      </x:c>
      <x:c r="F1328" s="3" t="str">
        <x:v>Outdoor</x:v>
      </x:c>
      <x:c r="G1328" s="3" t="str">
        <x:v>TrailHike Backpack 60L</x:v>
      </x:c>
      <x:c r="H1328" s="3" t="n">
        <x:v>1</x:v>
      </x:c>
      <x:c r="I1328" s="7" t="n">
        <x:v>3545.09</x:v>
      </x:c>
      <x:c r="J1328" s="9" t="n">
        <x:v>0</x:v>
      </x:c>
      <x:c r="K1328" s="7" t="n">
        <x:v>3545.09</x:v>
      </x:c>
      <x:c r="L1328" s="7" t="n">
        <x:v>1246.41</x:v>
      </x:c>
      <x:c r="M1328" s="3" t="str">
        <x:v>Debit Card</x:v>
      </x:c>
      <x:c r="N1328" s="3" t="str">
        <x:f>TEXT(B1328,"yyyy-mm")</x:f>
        <x:v>2024-12</x:v>
      </x:c>
      <x:c r="O1328" s="3" t="str">
        <x:f>IF(J1328=0,"No discount",IF(J1328&lt;=0.1,"1-10%",IF(J1328&lt;=0.15,"11-15%",IF(J1328&lt;=0.2,"16-20%","21%+"))))</x:f>
        <x:v>No discount</x:v>
      </x:c>
      <x:c r="P1328" s="9" t="n">
        <x:f>IF(K1328=0,0,L1328/K1328)</x:f>
        <x:v>0.35158768888801134</x:v>
      </x:c>
      <x:c r="Q1328" s="3" t="str">
        <x:f>IF(L1328&lt;0,"Yes","No")</x:f>
        <x:v>No</x:v>
      </x:c>
    </x:row>
    <x:row r="1329" ht="21" customHeight="1">
      <x:c r="A1329" s="3" t="str">
        <x:v>ORD-101156</x:v>
      </x:c>
      <x:c r="B1329" s="5" t="n">
        <x:v>45637</x:v>
      </x:c>
      <x:c r="C1329" s="3" t="str">
        <x:v>CUST-00548</x:v>
      </x:c>
      <x:c r="D1329" s="3" t="str">
        <x:v>North</x:v>
      </x:c>
      <x:c r="E1329" s="3" t="str">
        <x:v>Electronics</x:v>
      </x:c>
      <x:c r="F1329" s="3" t="str">
        <x:v>Mobile</x:v>
      </x:c>
      <x:c r="G1329" s="3" t="str">
        <x:v>Galaxy Nova X5</x:v>
      </x:c>
      <x:c r="H1329" s="3" t="n">
        <x:v>1</x:v>
      </x:c>
      <x:c r="I1329" s="7" t="n">
        <x:v>25645.09</x:v>
      </x:c>
      <x:c r="J1329" s="9" t="n">
        <x:v>0.15</x:v>
      </x:c>
      <x:c r="K1329" s="7" t="n">
        <x:v>21798.33</x:v>
      </x:c>
      <x:c r="L1329" s="7" t="n">
        <x:v>-237.51</x:v>
      </x:c>
      <x:c r="M1329" s="3" t="str">
        <x:v>Debit Card</x:v>
      </x:c>
      <x:c r="N1329" s="3" t="str">
        <x:f>TEXT(B1329,"yyyy-mm")</x:f>
        <x:v>2024-12</x:v>
      </x:c>
      <x:c r="O1329" s="3" t="str">
        <x:f>IF(J1329=0,"No discount",IF(J1329&lt;=0.1,"1-10%",IF(J1329&lt;=0.15,"11-15%",IF(J1329&lt;=0.2,"16-20%","21%+"))))</x:f>
        <x:v>11-15%</x:v>
      </x:c>
      <x:c r="P1329" s="9" t="n">
        <x:f>IF(K1329=0,0,L1329/K1329)</x:f>
        <x:v>-0.010895788805839713</x:v>
      </x:c>
      <x:c r="Q1329" s="3" t="str">
        <x:f>IF(L1329&lt;0,"Yes","No")</x:f>
        <x:v>Yes</x:v>
      </x:c>
    </x:row>
    <x:row r="1330" ht="21" customHeight="1">
      <x:c r="A1330" s="3" t="str">
        <x:v>ORD-101384</x:v>
      </x:c>
      <x:c r="B1330" s="5" t="n">
        <x:v>45637</x:v>
      </x:c>
      <x:c r="C1330" s="3" t="str">
        <x:v>CUST-00188</x:v>
      </x:c>
      <x:c r="D1330" s="3" t="str">
        <x:v>North</x:v>
      </x:c>
      <x:c r="E1330" s="3" t="str">
        <x:v>Beauty</x:v>
      </x:c>
      <x:c r="F1330" s="3" t="str">
        <x:v>Makeup</x:v>
      </x:c>
      <x:c r="G1330" s="3" t="str">
        <x:v>Matte Lipstick Set</x:v>
      </x:c>
      <x:c r="H1330" s="3" t="n">
        <x:v>1</x:v>
      </x:c>
      <x:c r="I1330" s="7" t="n">
        <x:v>1024.93</x:v>
      </x:c>
      <x:c r="J1330" s="9" t="n">
        <x:v>0.2</x:v>
      </x:c>
      <x:c r="K1330" s="7" t="n">
        <x:v>819.94</x:v>
      </x:c>
      <x:c r="L1330" s="7" t="n">
        <x:v>275.48</x:v>
      </x:c>
      <x:c r="M1330" s="3" t="str">
        <x:v>UPI</x:v>
      </x:c>
      <x:c r="N1330" s="3" t="str">
        <x:f>TEXT(B1330,"yyyy-mm")</x:f>
        <x:v>2024-12</x:v>
      </x:c>
      <x:c r="O1330" s="3" t="str">
        <x:f>IF(J1330=0,"No discount",IF(J1330&lt;=0.1,"1-10%",IF(J1330&lt;=0.15,"11-15%",IF(J1330&lt;=0.2,"16-20%","21%+"))))</x:f>
        <x:v>16-20%</x:v>
      </x:c>
      <x:c r="P1330" s="9" t="n">
        <x:f>IF(K1330=0,0,L1330/K1330)</x:f>
        <x:v>0.33597580310754444</x:v>
      </x:c>
      <x:c r="Q1330" s="3" t="str">
        <x:f>IF(L1330&lt;0,"Yes","No")</x:f>
        <x:v>No</x:v>
      </x:c>
    </x:row>
    <x:row r="1331" ht="21" customHeight="1">
      <x:c r="A1331" s="3" t="str">
        <x:v>ORD-101463</x:v>
      </x:c>
      <x:c r="B1331" s="5" t="n">
        <x:v>45637</x:v>
      </x:c>
      <x:c r="C1331" s="3" t="str">
        <x:v>CUST-00483</x:v>
      </x:c>
      <x:c r="D1331" s="3" t="str">
        <x:v>South</x:v>
      </x:c>
      <x:c r="E1331" s="3" t="str">
        <x:v>Fashion</x:v>
      </x:c>
      <x:c r="F1331" s="3" t="str">
        <x:v>Footwear</x:v>
      </x:c>
      <x:c r="G1331" s="3" t="str">
        <x:v>UrbanLoafers</x:v>
      </x:c>
      <x:c r="H1331" s="3" t="n">
        <x:v>1</x:v>
      </x:c>
      <x:c r="I1331" s="7" t="n">
        <x:v>3448.7</x:v>
      </x:c>
      <x:c r="J1331" s="9" t="n">
        <x:v>0.05</x:v>
      </x:c>
      <x:c r="K1331" s="7" t="n">
        <x:v>3276.26</x:v>
      </x:c>
      <x:c r="L1331" s="7" t="n">
        <x:v>1241.89</x:v>
      </x:c>
      <x:c r="M1331" s="3" t="str">
        <x:v>UPI</x:v>
      </x:c>
      <x:c r="N1331" s="3" t="str">
        <x:f>TEXT(B1331,"yyyy-mm")</x:f>
        <x:v>2024-12</x:v>
      </x:c>
      <x:c r="O1331" s="3" t="str">
        <x:f>IF(J1331=0,"No discount",IF(J1331&lt;=0.1,"1-10%",IF(J1331&lt;=0.15,"11-15%",IF(J1331&lt;=0.2,"16-20%","21%+"))))</x:f>
        <x:v>1-10%</x:v>
      </x:c>
      <x:c r="P1331" s="9" t="n">
        <x:f>IF(K1331=0,0,L1331/K1331)</x:f>
        <x:v>0.3790572176811364</x:v>
      </x:c>
      <x:c r="Q1331" s="3" t="str">
        <x:f>IF(L1331&lt;0,"Yes","No")</x:f>
        <x:v>No</x:v>
      </x:c>
    </x:row>
    <x:row r="1332" ht="21" customHeight="1">
      <x:c r="A1332" s="3" t="str">
        <x:v>ORD-100283</x:v>
      </x:c>
      <x:c r="B1332" s="5" t="n">
        <x:v>45638</x:v>
      </x:c>
      <x:c r="C1332" s="3" t="str">
        <x:v>CUST-00098</x:v>
      </x:c>
      <x:c r="D1332" s="3" t="str">
        <x:v>East</x:v>
      </x:c>
      <x:c r="E1332" s="3" t="str">
        <x:v>Electronics</x:v>
      </x:c>
      <x:c r="F1332" s="3" t="str">
        <x:v>Laptop</x:v>
      </x:c>
      <x:c r="G1332" s="3" t="str">
        <x:v>AirBook Slim</x:v>
      </x:c>
      <x:c r="H1332" s="3" t="n">
        <x:v>1</x:v>
      </x:c>
      <x:c r="I1332" s="7" t="n">
        <x:v>77531.5</x:v>
      </x:c>
      <x:c r="J1332" s="9" t="n">
        <x:v>0</x:v>
      </x:c>
      <x:c r="K1332" s="7" t="n">
        <x:v>77531.5</x:v>
      </x:c>
      <x:c r="L1332" s="7" t="n">
        <x:v>15224.51</x:v>
      </x:c>
      <x:c r="M1332" s="3" t="str">
        <x:v>Debit Card</x:v>
      </x:c>
      <x:c r="N1332" s="3" t="str">
        <x:f>TEXT(B1332,"yyyy-mm")</x:f>
        <x:v>2024-12</x:v>
      </x:c>
      <x:c r="O1332" s="3" t="str">
        <x:f>IF(J1332=0,"No discount",IF(J1332&lt;=0.1,"1-10%",IF(J1332&lt;=0.15,"11-15%",IF(J1332&lt;=0.2,"16-20%","21%+"))))</x:f>
        <x:v>No discount</x:v>
      </x:c>
      <x:c r="P1332" s="9" t="n">
        <x:f>IF(K1332=0,0,L1332/K1332)</x:f>
        <x:v>0.19636547725763076</x:v>
      </x:c>
      <x:c r="Q1332" s="3" t="str">
        <x:f>IF(L1332&lt;0,"Yes","No")</x:f>
        <x:v>No</x:v>
      </x:c>
    </x:row>
    <x:row r="1333" ht="21" customHeight="1">
      <x:c r="A1333" s="3" t="str">
        <x:v>ORD-100015</x:v>
      </x:c>
      <x:c r="B1333" s="5" t="n">
        <x:v>45639</x:v>
      </x:c>
      <x:c r="C1333" s="3" t="str">
        <x:v>CUST-00112</x:v>
      </x:c>
      <x:c r="D1333" s="3" t="str">
        <x:v>East</x:v>
      </x:c>
      <x:c r="E1333" s="3" t="str">
        <x:v>Sports</x:v>
      </x:c>
      <x:c r="F1333" s="3" t="str">
        <x:v>Outdoor</x:v>
      </x:c>
      <x:c r="G1333" s="3" t="str">
        <x:v>AllWeather Tent 4P</x:v>
      </x:c>
      <x:c r="H1333" s="3" t="n">
        <x:v>1</x:v>
      </x:c>
      <x:c r="I1333" s="7" t="n">
        <x:v>11464.05</x:v>
      </x:c>
      <x:c r="J1333" s="9" t="n">
        <x:v>0.2</x:v>
      </x:c>
      <x:c r="K1333" s="7" t="n">
        <x:v>9171.24</x:v>
      </x:c>
      <x:c r="L1333" s="7" t="n">
        <x:v>1488.28</x:v>
      </x:c>
      <x:c r="M1333" s="3" t="str">
        <x:v>UPI</x:v>
      </x:c>
      <x:c r="N1333" s="3" t="str">
        <x:f>TEXT(B1333,"yyyy-mm")</x:f>
        <x:v>2024-12</x:v>
      </x:c>
      <x:c r="O1333" s="3" t="str">
        <x:f>IF(J1333=0,"No discount",IF(J1333&lt;=0.1,"1-10%",IF(J1333&lt;=0.15,"11-15%",IF(J1333&lt;=0.2,"16-20%","21%+"))))</x:f>
        <x:v>16-20%</x:v>
      </x:c>
      <x:c r="P1333" s="9" t="n">
        <x:f>IF(K1333=0,0,L1333/K1333)</x:f>
        <x:v>0.16227685678272513</x:v>
      </x:c>
      <x:c r="Q1333" s="3" t="str">
        <x:f>IF(L1333&lt;0,"Yes","No")</x:f>
        <x:v>No</x:v>
      </x:c>
    </x:row>
    <x:row r="1334" ht="21" customHeight="1">
      <x:c r="A1334" s="3" t="str">
        <x:v>ORD-100555</x:v>
      </x:c>
      <x:c r="B1334" s="5" t="n">
        <x:v>45639</x:v>
      </x:c>
      <x:c r="C1334" s="3" t="str">
        <x:v>CUST-00480</x:v>
      </x:c>
      <x:c r="D1334" s="3" t="str">
        <x:v>South</x:v>
      </x:c>
      <x:c r="E1334" s="3" t="str">
        <x:v>Sports</x:v>
      </x:c>
      <x:c r="F1334" s="3" t="str">
        <x:v>Outdoor</x:v>
      </x:c>
      <x:c r="G1334" s="3" t="str">
        <x:v>TrailHike Backpack 60L</x:v>
      </x:c>
      <x:c r="H1334" s="3" t="n">
        <x:v>1</x:v>
      </x:c>
      <x:c r="I1334" s="7" t="n">
        <x:v>3488.24</x:v>
      </x:c>
      <x:c r="J1334" s="9" t="n">
        <x:v>0.15</x:v>
      </x:c>
      <x:c r="K1334" s="7" t="n">
        <x:v>2965</x:v>
      </x:c>
      <x:c r="L1334" s="7" t="n">
        <x:v>600.56</x:v>
      </x:c>
      <x:c r="M1334" s="3" t="str">
        <x:v>Credit Card</x:v>
      </x:c>
      <x:c r="N1334" s="3" t="str">
        <x:f>TEXT(B1334,"yyyy-mm")</x:f>
        <x:v>2024-12</x:v>
      </x:c>
      <x:c r="O1334" s="3" t="str">
        <x:f>IF(J1334=0,"No discount",IF(J1334&lt;=0.1,"1-10%",IF(J1334&lt;=0.15,"11-15%",IF(J1334&lt;=0.2,"16-20%","21%+"))))</x:f>
        <x:v>11-15%</x:v>
      </x:c>
      <x:c r="P1334" s="9" t="n">
        <x:f>IF(K1334=0,0,L1334/K1334)</x:f>
        <x:v>0.20254974704890386</x:v>
      </x:c>
      <x:c r="Q1334" s="3" t="str">
        <x:f>IF(L1334&lt;0,"Yes","No")</x:f>
        <x:v>No</x:v>
      </x:c>
    </x:row>
    <x:row r="1335" ht="21" customHeight="1">
      <x:c r="A1335" s="3" t="str">
        <x:v>ORD-100607</x:v>
      </x:c>
      <x:c r="B1335" s="5" t="n">
        <x:v>45639</x:v>
      </x:c>
      <x:c r="C1335" s="3" t="str">
        <x:v>CUST-00252</x:v>
      </x:c>
      <x:c r="D1335" s="3" t="str">
        <x:v>West</x:v>
      </x:c>
      <x:c r="E1335" s="3" t="str">
        <x:v>Fashion</x:v>
      </x:c>
      <x:c r="F1335" s="3" t="str">
        <x:v>Footwear</x:v>
      </x:c>
      <x:c r="G1335" s="3" t="str">
        <x:v>UrbanLoafers</x:v>
      </x:c>
      <x:c r="H1335" s="3" t="n">
        <x:v>1</x:v>
      </x:c>
      <x:c r="I1335" s="7" t="n">
        <x:v>3393.27</x:v>
      </x:c>
      <x:c r="J1335" s="9" t="n">
        <x:v>0</x:v>
      </x:c>
      <x:c r="K1335" s="7" t="n">
        <x:v>3393.27</x:v>
      </x:c>
      <x:c r="L1335" s="7" t="n">
        <x:v>1336.72</x:v>
      </x:c>
      <x:c r="M1335" s="3" t="str">
        <x:v>Debit Card</x:v>
      </x:c>
      <x:c r="N1335" s="3" t="str">
        <x:f>TEXT(B1335,"yyyy-mm")</x:f>
        <x:v>2024-12</x:v>
      </x:c>
      <x:c r="O1335" s="3" t="str">
        <x:f>IF(J1335=0,"No discount",IF(J1335&lt;=0.1,"1-10%",IF(J1335&lt;=0.15,"11-15%",IF(J1335&lt;=0.2,"16-20%","21%+"))))</x:f>
        <x:v>No discount</x:v>
      </x:c>
      <x:c r="P1335" s="9" t="n">
        <x:f>IF(K1335=0,0,L1335/K1335)</x:f>
        <x:v>0.393932696189811</x:v>
      </x:c>
      <x:c r="Q1335" s="3" t="str">
        <x:f>IF(L1335&lt;0,"Yes","No")</x:f>
        <x:v>No</x:v>
      </x:c>
    </x:row>
    <x:row r="1336" ht="21" customHeight="1">
      <x:c r="A1336" s="3" t="str">
        <x:v>ORD-101490</x:v>
      </x:c>
      <x:c r="B1336" s="5" t="n">
        <x:v>45639</x:v>
      </x:c>
      <x:c r="C1336" s="3" t="str">
        <x:v>CUST-00210</x:v>
      </x:c>
      <x:c r="D1336" s="3" t="str">
        <x:v>South</x:v>
      </x:c>
      <x:c r="E1336" s="3" t="str">
        <x:v>Beauty</x:v>
      </x:c>
      <x:c r="F1336" s="3" t="str">
        <x:v>Makeup</x:v>
      </x:c>
      <x:c r="G1336" s="3" t="str">
        <x:v>Matte Lipstick Set</x:v>
      </x:c>
      <x:c r="H1336" s="3" t="n">
        <x:v>1</x:v>
      </x:c>
      <x:c r="I1336" s="7" t="n">
        <x:v>982.54</x:v>
      </x:c>
      <x:c r="J1336" s="9" t="n">
        <x:v>0.05</x:v>
      </x:c>
      <x:c r="K1336" s="7" t="n">
        <x:v>933.41</x:v>
      </x:c>
      <x:c r="L1336" s="7" t="n">
        <x:v>441.72</x:v>
      </x:c>
      <x:c r="M1336" s="3" t="str">
        <x:v>Credit Card</x:v>
      </x:c>
      <x:c r="N1336" s="3" t="str">
        <x:f>TEXT(B1336,"yyyy-mm")</x:f>
        <x:v>2024-12</x:v>
      </x:c>
      <x:c r="O1336" s="3" t="str">
        <x:f>IF(J1336=0,"No discount",IF(J1336&lt;=0.1,"1-10%",IF(J1336&lt;=0.15,"11-15%",IF(J1336&lt;=0.2,"16-20%","21%+"))))</x:f>
        <x:v>1-10%</x:v>
      </x:c>
      <x:c r="P1336" s="9" t="n">
        <x:f>IF(K1336=0,0,L1336/K1336)</x:f>
        <x:v>0.4732325558971942</x:v>
      </x:c>
      <x:c r="Q1336" s="3" t="str">
        <x:f>IF(L1336&lt;0,"Yes","No")</x:f>
        <x:v>No</x:v>
      </x:c>
    </x:row>
    <x:row r="1337" ht="21" customHeight="1">
      <x:c r="A1337" s="3" t="str">
        <x:v>ORD-100052</x:v>
      </x:c>
      <x:c r="B1337" s="5" t="n">
        <x:v>45640</x:v>
      </x:c>
      <x:c r="C1337" s="3" t="str">
        <x:v>CUST-00053</x:v>
      </x:c>
      <x:c r="D1337" s="3" t="str">
        <x:v>North</x:v>
      </x:c>
      <x:c r="E1337" s="3" t="str">
        <x:v>Beauty</x:v>
      </x:c>
      <x:c r="F1337" s="3" t="str">
        <x:v>Makeup</x:v>
      </x:c>
      <x:c r="G1337" s="3" t="str">
        <x:v>Matte Lipstick Set</x:v>
      </x:c>
      <x:c r="H1337" s="3" t="n">
        <x:v>2</x:v>
      </x:c>
      <x:c r="I1337" s="7" t="n">
        <x:v>959.3</x:v>
      </x:c>
      <x:c r="J1337" s="9" t="n">
        <x:v>0.15</x:v>
      </x:c>
      <x:c r="K1337" s="7" t="n">
        <x:v>1630.81</x:v>
      </x:c>
      <x:c r="L1337" s="7" t="n">
        <x:v>552</x:v>
      </x:c>
      <x:c r="M1337" s="3" t="str">
        <x:v>Credit Card</x:v>
      </x:c>
      <x:c r="N1337" s="3" t="str">
        <x:f>TEXT(B1337,"yyyy-mm")</x:f>
        <x:v>2024-12</x:v>
      </x:c>
      <x:c r="O1337" s="3" t="str">
        <x:f>IF(J1337=0,"No discount",IF(J1337&lt;=0.1,"1-10%",IF(J1337&lt;=0.15,"11-15%",IF(J1337&lt;=0.2,"16-20%","21%+"))))</x:f>
        <x:v>11-15%</x:v>
      </x:c>
      <x:c r="P1337" s="9" t="n">
        <x:f>IF(K1337=0,0,L1337/K1337)</x:f>
        <x:v>0.33848210398513623</x:v>
      </x:c>
      <x:c r="Q1337" s="3" t="str">
        <x:f>IF(L1337&lt;0,"Yes","No")</x:f>
        <x:v>No</x:v>
      </x:c>
    </x:row>
    <x:row r="1338" ht="21" customHeight="1">
      <x:c r="A1338" s="3" t="str">
        <x:v>ORD-100425</x:v>
      </x:c>
      <x:c r="B1338" s="5" t="n">
        <x:v>45640</x:v>
      </x:c>
      <x:c r="C1338" s="3" t="str">
        <x:v>CUST-00442</x:v>
      </x:c>
      <x:c r="D1338" s="3" t="str">
        <x:v>West</x:v>
      </x:c>
      <x:c r="E1338" s="3" t="str">
        <x:v>Home &amp; Kitchen</x:v>
      </x:c>
      <x:c r="F1338" s="3" t="str">
        <x:v>Appliances</x:v>
      </x:c>
      <x:c r="G1338" s="3" t="str">
        <x:v>ColdBrew Coffee Maker</x:v>
      </x:c>
      <x:c r="H1338" s="3" t="n">
        <x:v>1</x:v>
      </x:c>
      <x:c r="I1338" s="7" t="n">
        <x:v>6577.56</x:v>
      </x:c>
      <x:c r="J1338" s="9" t="n">
        <x:v>0.05</x:v>
      </x:c>
      <x:c r="K1338" s="7" t="n">
        <x:v>6248.68</x:v>
      </x:c>
      <x:c r="L1338" s="7" t="n">
        <x:v>1726.73</x:v>
      </x:c>
      <x:c r="M1338" s="3" t="str">
        <x:v>UPI</x:v>
      </x:c>
      <x:c r="N1338" s="3" t="str">
        <x:f>TEXT(B1338,"yyyy-mm")</x:f>
        <x:v>2024-12</x:v>
      </x:c>
      <x:c r="O1338" s="3" t="str">
        <x:f>IF(J1338=0,"No discount",IF(J1338&lt;=0.1,"1-10%",IF(J1338&lt;=0.15,"11-15%",IF(J1338&lt;=0.2,"16-20%","21%+"))))</x:f>
        <x:v>1-10%</x:v>
      </x:c>
      <x:c r="P1338" s="9" t="n">
        <x:f>IF(K1338=0,0,L1338/K1338)</x:f>
        <x:v>0.2763351619862115</x:v>
      </x:c>
      <x:c r="Q1338" s="3" t="str">
        <x:f>IF(L1338&lt;0,"Yes","No")</x:f>
        <x:v>No</x:v>
      </x:c>
    </x:row>
    <x:row r="1339" ht="21" customHeight="1">
      <x:c r="A1339" s="3" t="str">
        <x:v>ORD-101052</x:v>
      </x:c>
      <x:c r="B1339" s="5" t="n">
        <x:v>45640</x:v>
      </x:c>
      <x:c r="C1339" s="3" t="str">
        <x:v>CUST-00340</x:v>
      </x:c>
      <x:c r="D1339" s="3" t="str">
        <x:v>West</x:v>
      </x:c>
      <x:c r="E1339" s="3" t="str">
        <x:v>Electronics</x:v>
      </x:c>
      <x:c r="F1339" s="3" t="str">
        <x:v>Mobile</x:v>
      </x:c>
      <x:c r="G1339" s="3" t="str">
        <x:v>Pixel Aura 12</x:v>
      </x:c>
      <x:c r="H1339" s="3" t="n">
        <x:v>1</x:v>
      </x:c>
      <x:c r="I1339" s="7" t="n">
        <x:v>34466.06</x:v>
      </x:c>
      <x:c r="J1339" s="9" t="n">
        <x:v>0</x:v>
      </x:c>
      <x:c r="K1339" s="7" t="n">
        <x:v>34466.06</x:v>
      </x:c>
      <x:c r="L1339" s="7" t="n">
        <x:v>6723.04</x:v>
      </x:c>
      <x:c r="M1339" s="3" t="str">
        <x:v>Net Banking</x:v>
      </x:c>
      <x:c r="N1339" s="3" t="str">
        <x:f>TEXT(B1339,"yyyy-mm")</x:f>
        <x:v>2024-12</x:v>
      </x:c>
      <x:c r="O1339" s="3" t="str">
        <x:f>IF(J1339=0,"No discount",IF(J1339&lt;=0.1,"1-10%",IF(J1339&lt;=0.15,"11-15%",IF(J1339&lt;=0.2,"16-20%","21%+"))))</x:f>
        <x:v>No discount</x:v>
      </x:c>
      <x:c r="P1339" s="9" t="n">
        <x:f>IF(K1339=0,0,L1339/K1339)</x:f>
        <x:v>0.1950626210248575</x:v>
      </x:c>
      <x:c r="Q1339" s="3" t="str">
        <x:f>IF(L1339&lt;0,"Yes","No")</x:f>
        <x:v>No</x:v>
      </x:c>
    </x:row>
    <x:row r="1340" ht="21" customHeight="1">
      <x:c r="A1340" s="3" t="str">
        <x:v>ORD-101673</x:v>
      </x:c>
      <x:c r="B1340" s="5" t="n">
        <x:v>45640</x:v>
      </x:c>
      <x:c r="C1340" s="3" t="str">
        <x:v>CUST-00564</x:v>
      </x:c>
      <x:c r="D1340" s="3" t="str">
        <x:v>West</x:v>
      </x:c>
      <x:c r="E1340" s="3" t="str">
        <x:v>Home &amp; Kitchen</x:v>
      </x:c>
      <x:c r="F1340" s="3" t="str">
        <x:v>Appliances</x:v>
      </x:c>
      <x:c r="G1340" s="3" t="str">
        <x:v>ColdBrew Coffee Maker</x:v>
      </x:c>
      <x:c r="H1340" s="3" t="n">
        <x:v>1</x:v>
      </x:c>
      <x:c r="I1340" s="7" t="n">
        <x:v>6706.18</x:v>
      </x:c>
      <x:c r="J1340" s="9" t="n">
        <x:v>0.3</x:v>
      </x:c>
      <x:c r="K1340" s="7" t="n">
        <x:v>4694.33</x:v>
      </x:c>
      <x:c r="L1340" s="7" t="n">
        <x:v>72.29</x:v>
      </x:c>
      <x:c r="M1340" s="3" t="str">
        <x:v>Credit Card</x:v>
      </x:c>
      <x:c r="N1340" s="3" t="str">
        <x:f>TEXT(B1340,"yyyy-mm")</x:f>
        <x:v>2024-12</x:v>
      </x:c>
      <x:c r="O1340" s="3" t="str">
        <x:f>IF(J1340=0,"No discount",IF(J1340&lt;=0.1,"1-10%",IF(J1340&lt;=0.15,"11-15%",IF(J1340&lt;=0.2,"16-20%","21%+"))))</x:f>
        <x:v>21%+</x:v>
      </x:c>
      <x:c r="P1340" s="9" t="n">
        <x:f>IF(K1340=0,0,L1340/K1340)</x:f>
        <x:v>0.015399428672462313</x:v>
      </x:c>
      <x:c r="Q1340" s="3" t="str">
        <x:f>IF(L1340&lt;0,"Yes","No")</x:f>
        <x:v>No</x:v>
      </x:c>
    </x:row>
    <x:row r="1341" ht="21" customHeight="1">
      <x:c r="A1341" s="3" t="str">
        <x:v>ORD-101692</x:v>
      </x:c>
      <x:c r="B1341" s="5" t="n">
        <x:v>45640</x:v>
      </x:c>
      <x:c r="C1341" s="3" t="str">
        <x:v>CUST-00450</x:v>
      </x:c>
      <x:c r="D1341" s="3" t="str">
        <x:v>South</x:v>
      </x:c>
      <x:c r="E1341" s="3" t="str">
        <x:v>Electronics</x:v>
      </x:c>
      <x:c r="F1341" s="3" t="str">
        <x:v>Laptop</x:v>
      </x:c>
      <x:c r="G1341" s="3" t="str">
        <x:v>AirBook Slim</x:v>
      </x:c>
      <x:c r="H1341" s="3" t="n">
        <x:v>3</x:v>
      </x:c>
      <x:c r="I1341" s="7" t="n">
        <x:v>78355.53</x:v>
      </x:c>
      <x:c r="J1341" s="9" t="n">
        <x:v>0.1</x:v>
      </x:c>
      <x:c r="K1341" s="7" t="n">
        <x:v>211559.93</x:v>
      </x:c>
      <x:c r="L1341" s="7" t="n">
        <x:v>5742.31</x:v>
      </x:c>
      <x:c r="M1341" s="3" t="str">
        <x:v>UPI</x:v>
      </x:c>
      <x:c r="N1341" s="3" t="str">
        <x:f>TEXT(B1341,"yyyy-mm")</x:f>
        <x:v>2024-12</x:v>
      </x:c>
      <x:c r="O1341" s="3" t="str">
        <x:f>IF(J1341=0,"No discount",IF(J1341&lt;=0.1,"1-10%",IF(J1341&lt;=0.15,"11-15%",IF(J1341&lt;=0.2,"16-20%","21%+"))))</x:f>
        <x:v>1-10%</x:v>
      </x:c>
      <x:c r="P1341" s="9" t="n">
        <x:f>IF(K1341=0,0,L1341/K1341)</x:f>
        <x:v>0.027142710814850434</x:v>
      </x:c>
      <x:c r="Q1341" s="3" t="str">
        <x:f>IF(L1341&lt;0,"Yes","No")</x:f>
        <x:v>No</x:v>
      </x:c>
    </x:row>
    <x:row r="1342" ht="21" customHeight="1">
      <x:c r="A1342" s="3" t="str">
        <x:v>ORD-101787</x:v>
      </x:c>
      <x:c r="B1342" s="5" t="n">
        <x:v>45640</x:v>
      </x:c>
      <x:c r="C1342" s="3" t="str">
        <x:v>CUST-00425</x:v>
      </x:c>
      <x:c r="D1342" s="3" t="str">
        <x:v>South</x:v>
      </x:c>
      <x:c r="E1342" s="3" t="str">
        <x:v>Home &amp; Kitchen</x:v>
      </x:c>
      <x:c r="F1342" s="3" t="str">
        <x:v>Furniture</x:v>
      </x:c>
      <x:c r="G1342" s="3" t="str">
        <x:v>Oakwood Study Desk</x:v>
      </x:c>
      <x:c r="H1342" s="3" t="n">
        <x:v>1</x:v>
      </x:c>
      <x:c r="I1342" s="7" t="n">
        <x:v>12732.39</x:v>
      </x:c>
      <x:c r="J1342" s="9" t="n">
        <x:v>0.05</x:v>
      </x:c>
      <x:c r="K1342" s="7" t="n">
        <x:v>12095.77</x:v>
      </x:c>
      <x:c r="L1342" s="7" t="n">
        <x:v>2954.2</x:v>
      </x:c>
      <x:c r="M1342" s="3" t="str">
        <x:v>UPI</x:v>
      </x:c>
      <x:c r="N1342" s="3" t="str">
        <x:f>TEXT(B1342,"yyyy-mm")</x:f>
        <x:v>2024-12</x:v>
      </x:c>
      <x:c r="O1342" s="3" t="str">
        <x:f>IF(J1342=0,"No discount",IF(J1342&lt;=0.1,"1-10%",IF(J1342&lt;=0.15,"11-15%",IF(J1342&lt;=0.2,"16-20%","21%+"))))</x:f>
        <x:v>1-10%</x:v>
      </x:c>
      <x:c r="P1342" s="9" t="n">
        <x:f>IF(K1342=0,0,L1342/K1342)</x:f>
        <x:v>0.24423414135685448</x:v>
      </x:c>
      <x:c r="Q1342" s="3" t="str">
        <x:f>IF(L1342&lt;0,"Yes","No")</x:f>
        <x:v>No</x:v>
      </x:c>
    </x:row>
    <x:row r="1343" ht="21" customHeight="1">
      <x:c r="A1343" s="3" t="str">
        <x:v>ORD-100510</x:v>
      </x:c>
      <x:c r="B1343" s="5" t="n">
        <x:v>45641</x:v>
      </x:c>
      <x:c r="C1343" s="3" t="str">
        <x:v>CUST-00439</x:v>
      </x:c>
      <x:c r="D1343" s="3" t="str">
        <x:v>South</x:v>
      </x:c>
      <x:c r="E1343" s="3" t="str">
        <x:v>Beauty</x:v>
      </x:c>
      <x:c r="F1343" s="3" t="str">
        <x:v>Makeup</x:v>
      </x:c>
      <x:c r="G1343" s="3" t="str">
        <x:v>HD Foundation Kit</x:v>
      </x:c>
      <x:c r="H1343" s="3" t="n">
        <x:v>1</x:v>
      </x:c>
      <x:c r="I1343" s="7" t="n">
        <x:v>1430.81</x:v>
      </x:c>
      <x:c r="J1343" s="9" t="n">
        <x:v>0</x:v>
      </x:c>
      <x:c r="K1343" s="7" t="n">
        <x:v>1430.81</x:v>
      </x:c>
      <x:c r="L1343" s="7" t="n">
        <x:v>825.51</x:v>
      </x:c>
      <x:c r="M1343" s="3" t="str">
        <x:v>Debit Card</x:v>
      </x:c>
      <x:c r="N1343" s="3" t="str">
        <x:f>TEXT(B1343,"yyyy-mm")</x:f>
        <x:v>2024-12</x:v>
      </x:c>
      <x:c r="O1343" s="3" t="str">
        <x:f>IF(J1343=0,"No discount",IF(J1343&lt;=0.1,"1-10%",IF(J1343&lt;=0.15,"11-15%",IF(J1343&lt;=0.2,"16-20%","21%+"))))</x:f>
        <x:v>No discount</x:v>
      </x:c>
      <x:c r="P1343" s="9" t="n">
        <x:f>IF(K1343=0,0,L1343/K1343)</x:f>
        <x:v>0.5769529147825357</x:v>
      </x:c>
      <x:c r="Q1343" s="3" t="str">
        <x:f>IF(L1343&lt;0,"Yes","No")</x:f>
        <x:v>No</x:v>
      </x:c>
    </x:row>
    <x:row r="1344" ht="21" customHeight="1">
      <x:c r="A1344" s="3" t="str">
        <x:v>ORD-100604</x:v>
      </x:c>
      <x:c r="B1344" s="5" t="n">
        <x:v>45641</x:v>
      </x:c>
      <x:c r="C1344" s="3" t="str">
        <x:v>CUST-00488</x:v>
      </x:c>
      <x:c r="D1344" s="3" t="str">
        <x:v>West</x:v>
      </x:c>
      <x:c r="E1344" s="3" t="str">
        <x:v>Electronics</x:v>
      </x:c>
      <x:c r="F1344" s="3" t="str">
        <x:v>Mobile</x:v>
      </x:c>
      <x:c r="G1344" s="3" t="str">
        <x:v>iPhone Zeta</x:v>
      </x:c>
      <x:c r="H1344" s="3" t="n">
        <x:v>3</x:v>
      </x:c>
      <x:c r="I1344" s="7" t="n">
        <x:v>66881.3</x:v>
      </x:c>
      <x:c r="J1344" s="9" t="n">
        <x:v>0.1</x:v>
      </x:c>
      <x:c r="K1344" s="7" t="n">
        <x:v>180579.51</x:v>
      </x:c>
      <x:c r="L1344" s="7" t="n">
        <x:v>9481.38</x:v>
      </x:c>
      <x:c r="M1344" s="3" t="str">
        <x:v>Credit Card</x:v>
      </x:c>
      <x:c r="N1344" s="3" t="str">
        <x:f>TEXT(B1344,"yyyy-mm")</x:f>
        <x:v>2024-12</x:v>
      </x:c>
      <x:c r="O1344" s="3" t="str">
        <x:f>IF(J1344=0,"No discount",IF(J1344&lt;=0.1,"1-10%",IF(J1344&lt;=0.15,"11-15%",IF(J1344&lt;=0.2,"16-20%","21%+"))))</x:f>
        <x:v>1-10%</x:v>
      </x:c>
      <x:c r="P1344" s="9" t="n">
        <x:f>IF(K1344=0,0,L1344/K1344)</x:f>
        <x:v>0.052505292543987954</x:v>
      </x:c>
      <x:c r="Q1344" s="3" t="str">
        <x:f>IF(L1344&lt;0,"Yes","No")</x:f>
        <x:v>No</x:v>
      </x:c>
    </x:row>
    <x:row r="1345" ht="21" customHeight="1">
      <x:c r="A1345" s="3" t="str">
        <x:v>ORD-100968</x:v>
      </x:c>
      <x:c r="B1345" s="5" t="n">
        <x:v>45641</x:v>
      </x:c>
      <x:c r="C1345" s="3" t="str">
        <x:v>CUST-00500</x:v>
      </x:c>
      <x:c r="D1345" s="3" t="str">
        <x:v>West</x:v>
      </x:c>
      <x:c r="E1345" s="3" t="str">
        <x:v>Beauty</x:v>
      </x:c>
      <x:c r="F1345" s="3" t="str">
        <x:v>Makeup</x:v>
      </x:c>
      <x:c r="G1345" s="3" t="str">
        <x:v>Matte Lipstick Set</x:v>
      </x:c>
      <x:c r="H1345" s="3" t="n">
        <x:v>2</x:v>
      </x:c>
      <x:c r="I1345" s="7" t="n">
        <x:v>1000.45</x:v>
      </x:c>
      <x:c r="J1345" s="9" t="n">
        <x:v>0.1</x:v>
      </x:c>
      <x:c r="K1345" s="7" t="n">
        <x:v>1800.81</x:v>
      </x:c>
      <x:c r="L1345" s="7" t="n">
        <x:v>759.92</x:v>
      </x:c>
      <x:c r="M1345" s="3" t="str">
        <x:v>UPI</x:v>
      </x:c>
      <x:c r="N1345" s="3" t="str">
        <x:f>TEXT(B1345,"yyyy-mm")</x:f>
        <x:v>2024-12</x:v>
      </x:c>
      <x:c r="O1345" s="3" t="str">
        <x:f>IF(J1345=0,"No discount",IF(J1345&lt;=0.1,"1-10%",IF(J1345&lt;=0.15,"11-15%",IF(J1345&lt;=0.2,"16-20%","21%+"))))</x:f>
        <x:v>1-10%</x:v>
      </x:c>
      <x:c r="P1345" s="9" t="n">
        <x:f>IF(K1345=0,0,L1345/K1345)</x:f>
        <x:v>0.4219878832303241</x:v>
      </x:c>
      <x:c r="Q1345" s="3" t="str">
        <x:f>IF(L1345&lt;0,"Yes","No")</x:f>
        <x:v>No</x:v>
      </x:c>
    </x:row>
    <x:row r="1346" ht="21" customHeight="1">
      <x:c r="A1346" s="3" t="str">
        <x:v>ORD-100977</x:v>
      </x:c>
      <x:c r="B1346" s="5" t="n">
        <x:v>45641</x:v>
      </x:c>
      <x:c r="C1346" s="3" t="str">
        <x:v>CUST-00042</x:v>
      </x:c>
      <x:c r="D1346" s="3" t="str">
        <x:v>North</x:v>
      </x:c>
      <x:c r="E1346" s="3" t="str">
        <x:v>Fashion</x:v>
      </x:c>
      <x:c r="F1346" s="3" t="str">
        <x:v>Footwear</x:v>
      </x:c>
      <x:c r="G1346" s="3" t="str">
        <x:v>UrbanLoafers</x:v>
      </x:c>
      <x:c r="H1346" s="3" t="n">
        <x:v>1</x:v>
      </x:c>
      <x:c r="I1346" s="7" t="n">
        <x:v>3583.99</x:v>
      </x:c>
      <x:c r="J1346" s="9" t="n">
        <x:v>0</x:v>
      </x:c>
      <x:c r="K1346" s="7" t="n">
        <x:v>3583.99</x:v>
      </x:c>
      <x:c r="L1346" s="7" t="n">
        <x:v>1492.19</x:v>
      </x:c>
      <x:c r="M1346" s="3" t="str">
        <x:v>Cash on Delivery</x:v>
      </x:c>
      <x:c r="N1346" s="3" t="str">
        <x:f>TEXT(B1346,"yyyy-mm")</x:f>
        <x:v>2024-12</x:v>
      </x:c>
      <x:c r="O1346" s="3" t="str">
        <x:f>IF(J1346=0,"No discount",IF(J1346&lt;=0.1,"1-10%",IF(J1346&lt;=0.15,"11-15%",IF(J1346&lt;=0.2,"16-20%","21%+"))))</x:f>
        <x:v>No discount</x:v>
      </x:c>
      <x:c r="P1346" s="9" t="n">
        <x:f>IF(K1346=0,0,L1346/K1346)</x:f>
        <x:v>0.4163488179375501</x:v>
      </x:c>
      <x:c r="Q1346" s="3" t="str">
        <x:f>IF(L1346&lt;0,"Yes","No")</x:f>
        <x:v>No</x:v>
      </x:c>
    </x:row>
    <x:row r="1347" ht="21" customHeight="1">
      <x:c r="A1347" s="3" t="str">
        <x:v>ORD-100144</x:v>
      </x:c>
      <x:c r="B1347" s="5" t="n">
        <x:v>45642</x:v>
      </x:c>
      <x:c r="C1347" s="3" t="str">
        <x:v>CUST-00271</x:v>
      </x:c>
      <x:c r="D1347" s="3" t="str">
        <x:v>South</x:v>
      </x:c>
      <x:c r="E1347" s="3" t="str">
        <x:v>Electronics</x:v>
      </x:c>
      <x:c r="F1347" s="3" t="str">
        <x:v>Audio</x:v>
      </x:c>
      <x:c r="G1347" s="3" t="str">
        <x:v>SoundPods Pro</x:v>
      </x:c>
      <x:c r="H1347" s="3" t="n">
        <x:v>1</x:v>
      </x:c>
      <x:c r="I1347" s="7" t="n">
        <x:v>5248.01</x:v>
      </x:c>
      <x:c r="J1347" s="9" t="n">
        <x:v>0.1</x:v>
      </x:c>
      <x:c r="K1347" s="7" t="n">
        <x:v>4723.21</x:v>
      </x:c>
      <x:c r="L1347" s="7" t="n">
        <x:v>298.84</x:v>
      </x:c>
      <x:c r="M1347" s="3" t="str">
        <x:v>Cash on Delivery</x:v>
      </x:c>
      <x:c r="N1347" s="3" t="str">
        <x:f>TEXT(B1347,"yyyy-mm")</x:f>
        <x:v>2024-12</x:v>
      </x:c>
      <x:c r="O1347" s="3" t="str">
        <x:f>IF(J1347=0,"No discount",IF(J1347&lt;=0.1,"1-10%",IF(J1347&lt;=0.15,"11-15%",IF(J1347&lt;=0.2,"16-20%","21%+"))))</x:f>
        <x:v>1-10%</x:v>
      </x:c>
      <x:c r="P1347" s="9" t="n">
        <x:f>IF(K1347=0,0,L1347/K1347)</x:f>
        <x:v>0.06327052999972475</x:v>
      </x:c>
      <x:c r="Q1347" s="3" t="str">
        <x:f>IF(L1347&lt;0,"Yes","No")</x:f>
        <x:v>No</x:v>
      </x:c>
    </x:row>
    <x:row r="1348" ht="21" customHeight="1">
      <x:c r="A1348" s="3" t="str">
        <x:v>ORD-100245</x:v>
      </x:c>
      <x:c r="B1348" s="5" t="n">
        <x:v>45642</x:v>
      </x:c>
      <x:c r="C1348" s="3" t="str">
        <x:v>CUST-00385</x:v>
      </x:c>
      <x:c r="D1348" s="3" t="str">
        <x:v>North</x:v>
      </x:c>
      <x:c r="E1348" s="3" t="str">
        <x:v>Sports</x:v>
      </x:c>
      <x:c r="F1348" s="3" t="str">
        <x:v>Fitness</x:v>
      </x:c>
      <x:c r="G1348" s="3" t="str">
        <x:v>ProYoga Mat</x:v>
      </x:c>
      <x:c r="H1348" s="3" t="n">
        <x:v>1</x:v>
      </x:c>
      <x:c r="I1348" s="7" t="n">
        <x:v>1238.39</x:v>
      </x:c>
      <x:c r="J1348" s="9" t="n">
        <x:v>0.15</x:v>
      </x:c>
      <x:c r="K1348" s="7" t="n">
        <x:v>1052.63</x:v>
      </x:c>
      <x:c r="L1348" s="7" t="n">
        <x:v>178.01</x:v>
      </x:c>
      <x:c r="M1348" s="3" t="str">
        <x:v>UPI</x:v>
      </x:c>
      <x:c r="N1348" s="3" t="str">
        <x:f>TEXT(B1348,"yyyy-mm")</x:f>
        <x:v>2024-12</x:v>
      </x:c>
      <x:c r="O1348" s="3" t="str">
        <x:f>IF(J1348=0,"No discount",IF(J1348&lt;=0.1,"1-10%",IF(J1348&lt;=0.15,"11-15%",IF(J1348&lt;=0.2,"16-20%","21%+"))))</x:f>
        <x:v>11-15%</x:v>
      </x:c>
      <x:c r="P1348" s="9" t="n">
        <x:f>IF(K1348=0,0,L1348/K1348)</x:f>
        <x:v>0.16910975366463046</x:v>
      </x:c>
      <x:c r="Q1348" s="3" t="str">
        <x:f>IF(L1348&lt;0,"Yes","No")</x:f>
        <x:v>No</x:v>
      </x:c>
    </x:row>
    <x:row r="1349" ht="21" customHeight="1">
      <x:c r="A1349" s="3" t="str">
        <x:v>ORD-100495</x:v>
      </x:c>
      <x:c r="B1349" s="5" t="n">
        <x:v>45642</x:v>
      </x:c>
      <x:c r="C1349" s="3" t="str">
        <x:v>CUST-00312</x:v>
      </x:c>
      <x:c r="D1349" s="3" t="str">
        <x:v>East</x:v>
      </x:c>
      <x:c r="E1349" s="3" t="str">
        <x:v>Sports</x:v>
      </x:c>
      <x:c r="F1349" s="3" t="str">
        <x:v>Outdoor</x:v>
      </x:c>
      <x:c r="G1349" s="3" t="str">
        <x:v>TrailHike Backpack 60L</x:v>
      </x:c>
      <x:c r="H1349" s="3" t="n">
        <x:v>1</x:v>
      </x:c>
      <x:c r="I1349" s="7" t="n">
        <x:v>3330.13</x:v>
      </x:c>
      <x:c r="J1349" s="9" t="n">
        <x:v>0</x:v>
      </x:c>
      <x:c r="K1349" s="7" t="n">
        <x:v>3330.13</x:v>
      </x:c>
      <x:c r="L1349" s="7" t="n">
        <x:v>1225.01</x:v>
      </x:c>
      <x:c r="M1349" s="3" t="str">
        <x:v>UPI</x:v>
      </x:c>
      <x:c r="N1349" s="3" t="str">
        <x:f>TEXT(B1349,"yyyy-mm")</x:f>
        <x:v>2024-12</x:v>
      </x:c>
      <x:c r="O1349" s="3" t="str">
        <x:f>IF(J1349=0,"No discount",IF(J1349&lt;=0.1,"1-10%",IF(J1349&lt;=0.15,"11-15%",IF(J1349&lt;=0.2,"16-20%","21%+"))))</x:f>
        <x:v>No discount</x:v>
      </x:c>
      <x:c r="P1349" s="9" t="n">
        <x:f>IF(K1349=0,0,L1349/K1349)</x:f>
        <x:v>0.36785651010621206</x:v>
      </x:c>
      <x:c r="Q1349" s="3" t="str">
        <x:f>IF(L1349&lt;0,"Yes","No")</x:f>
        <x:v>No</x:v>
      </x:c>
    </x:row>
    <x:row r="1350" ht="21" customHeight="1">
      <x:c r="A1350" s="3" t="str">
        <x:v>ORD-101220</x:v>
      </x:c>
      <x:c r="B1350" s="5" t="n">
        <x:v>45642</x:v>
      </x:c>
      <x:c r="C1350" s="3" t="str">
        <x:v>CUST-00489</x:v>
      </x:c>
      <x:c r="D1350" s="3" t="str">
        <x:v>West</x:v>
      </x:c>
      <x:c r="E1350" s="3" t="str">
        <x:v>Home &amp; Kitchen</x:v>
      </x:c>
      <x:c r="F1350" s="3" t="str">
        <x:v>Decor</x:v>
      </x:c>
      <x:c r="G1350" s="3" t="str">
        <x:v>Ceramic Vase Set</x:v>
      </x:c>
      <x:c r="H1350" s="3" t="n">
        <x:v>1</x:v>
      </x:c>
      <x:c r="I1350" s="7" t="n">
        <x:v>1507.17</x:v>
      </x:c>
      <x:c r="J1350" s="9" t="n">
        <x:v>0.05</x:v>
      </x:c>
      <x:c r="K1350" s="7" t="n">
        <x:v>1431.81</x:v>
      </x:c>
      <x:c r="L1350" s="7" t="n">
        <x:v>423.82</x:v>
      </x:c>
      <x:c r="M1350" s="3" t="str">
        <x:v>Debit Card</x:v>
      </x:c>
      <x:c r="N1350" s="3" t="str">
        <x:f>TEXT(B1350,"yyyy-mm")</x:f>
        <x:v>2024-12</x:v>
      </x:c>
      <x:c r="O1350" s="3" t="str">
        <x:f>IF(J1350=0,"No discount",IF(J1350&lt;=0.1,"1-10%",IF(J1350&lt;=0.15,"11-15%",IF(J1350&lt;=0.2,"16-20%","21%+"))))</x:f>
        <x:v>1-10%</x:v>
      </x:c>
      <x:c r="P1350" s="9" t="n">
        <x:f>IF(K1350=0,0,L1350/K1350)</x:f>
        <x:v>0.2960029612867629</x:v>
      </x:c>
      <x:c r="Q1350" s="3" t="str">
        <x:f>IF(L1350&lt;0,"Yes","No")</x:f>
        <x:v>No</x:v>
      </x:c>
    </x:row>
    <x:row r="1351" ht="21" customHeight="1">
      <x:c r="A1351" s="3" t="str">
        <x:v>ORD-101340</x:v>
      </x:c>
      <x:c r="B1351" s="5" t="n">
        <x:v>45642</x:v>
      </x:c>
      <x:c r="C1351" s="3" t="str">
        <x:v>CUST-00355</x:v>
      </x:c>
      <x:c r="D1351" s="3" t="str">
        <x:v>East</x:v>
      </x:c>
      <x:c r="E1351" s="3" t="str">
        <x:v>Electronics</x:v>
      </x:c>
      <x:c r="F1351" s="3" t="str">
        <x:v>Mobile</x:v>
      </x:c>
      <x:c r="G1351" s="3" t="str">
        <x:v>iPhone Zeta</x:v>
      </x:c>
      <x:c r="H1351" s="3" t="n">
        <x:v>1</x:v>
      </x:c>
      <x:c r="I1351" s="7" t="n">
        <x:v>67926.27</x:v>
      </x:c>
      <x:c r="J1351" s="9" t="n">
        <x:v>0</x:v>
      </x:c>
      <x:c r="K1351" s="7" t="n">
        <x:v>67926.27</x:v>
      </x:c>
      <x:c r="L1351" s="7" t="n">
        <x:v>10874.88</x:v>
      </x:c>
      <x:c r="M1351" s="3" t="str">
        <x:v>Net Banking</x:v>
      </x:c>
      <x:c r="N1351" s="3" t="str">
        <x:f>TEXT(B1351,"yyyy-mm")</x:f>
        <x:v>2024-12</x:v>
      </x:c>
      <x:c r="O1351" s="3" t="str">
        <x:f>IF(J1351=0,"No discount",IF(J1351&lt;=0.1,"1-10%",IF(J1351&lt;=0.15,"11-15%",IF(J1351&lt;=0.2,"16-20%","21%+"))))</x:f>
        <x:v>No discount</x:v>
      </x:c>
      <x:c r="P1351" s="9" t="n">
        <x:f>IF(K1351=0,0,L1351/K1351)</x:f>
        <x:v>0.16009829481289048</x:v>
      </x:c>
      <x:c r="Q1351" s="3" t="str">
        <x:f>IF(L1351&lt;0,"Yes","No")</x:f>
        <x:v>No</x:v>
      </x:c>
    </x:row>
    <x:row r="1352" ht="21" customHeight="1">
      <x:c r="A1352" s="3" t="str">
        <x:v>ORD-101078</x:v>
      </x:c>
      <x:c r="B1352" s="5" t="n">
        <x:v>45643</x:v>
      </x:c>
      <x:c r="C1352" s="3" t="str">
        <x:v>CUST-00149</x:v>
      </x:c>
      <x:c r="D1352" s="3" t="str">
        <x:v>East</x:v>
      </x:c>
      <x:c r="E1352" s="3" t="str">
        <x:v>Electronics</x:v>
      </x:c>
      <x:c r="F1352" s="3" t="str">
        <x:v>Audio</x:v>
      </x:c>
      <x:c r="G1352" s="3" t="str">
        <x:v>BassBoom Speaker</x:v>
      </x:c>
      <x:c r="H1352" s="3" t="n">
        <x:v>3</x:v>
      </x:c>
      <x:c r="I1352" s="7" t="n">
        <x:v>8871.82</x:v>
      </x:c>
      <x:c r="J1352" s="9" t="n">
        <x:v>0.05</x:v>
      </x:c>
      <x:c r="K1352" s="7" t="n">
        <x:v>25284.69</x:v>
      </x:c>
      <x:c r="L1352" s="7" t="n">
        <x:v>3029.72</x:v>
      </x:c>
      <x:c r="M1352" s="3" t="str">
        <x:v>Net Banking</x:v>
      </x:c>
      <x:c r="N1352" s="3" t="str">
        <x:f>TEXT(B1352,"yyyy-mm")</x:f>
        <x:v>2024-12</x:v>
      </x:c>
      <x:c r="O1352" s="3" t="str">
        <x:f>IF(J1352=0,"No discount",IF(J1352&lt;=0.1,"1-10%",IF(J1352&lt;=0.15,"11-15%",IF(J1352&lt;=0.2,"16-20%","21%+"))))</x:f>
        <x:v>1-10%</x:v>
      </x:c>
      <x:c r="P1352" s="9" t="n">
        <x:f>IF(K1352=0,0,L1352/K1352)</x:f>
        <x:v>0.11982428892741022</x:v>
      </x:c>
      <x:c r="Q1352" s="3" t="str">
        <x:f>IF(L1352&lt;0,"Yes","No")</x:f>
        <x:v>No</x:v>
      </x:c>
    </x:row>
    <x:row r="1353" ht="21" customHeight="1">
      <x:c r="A1353" s="3" t="str">
        <x:v>ORD-101147</x:v>
      </x:c>
      <x:c r="B1353" s="5" t="n">
        <x:v>45643</x:v>
      </x:c>
      <x:c r="C1353" s="3" t="str">
        <x:v>CUST-00382</x:v>
      </x:c>
      <x:c r="D1353" s="3" t="str">
        <x:v>East</x:v>
      </x:c>
      <x:c r="E1353" s="3" t="str">
        <x:v>Fashion</x:v>
      </x:c>
      <x:c r="F1353" s="3" t="str">
        <x:v>Footwear</x:v>
      </x:c>
      <x:c r="G1353" s="3" t="str">
        <x:v>UrbanLoafers</x:v>
      </x:c>
      <x:c r="H1353" s="3" t="n">
        <x:v>4</x:v>
      </x:c>
      <x:c r="I1353" s="7" t="n">
        <x:v>3576.25</x:v>
      </x:c>
      <x:c r="J1353" s="9" t="n">
        <x:v>0.25</x:v>
      </x:c>
      <x:c r="K1353" s="7" t="n">
        <x:v>10728.75</x:v>
      </x:c>
      <x:c r="L1353" s="7" t="n">
        <x:v>1351.07</x:v>
      </x:c>
      <x:c r="M1353" s="3" t="str">
        <x:v>Credit Card</x:v>
      </x:c>
      <x:c r="N1353" s="3" t="str">
        <x:f>TEXT(B1353,"yyyy-mm")</x:f>
        <x:v>2024-12</x:v>
      </x:c>
      <x:c r="O1353" s="3" t="str">
        <x:f>IF(J1353=0,"No discount",IF(J1353&lt;=0.1,"1-10%",IF(J1353&lt;=0.15,"11-15%",IF(J1353&lt;=0.2,"16-20%","21%+"))))</x:f>
        <x:v>21%+</x:v>
      </x:c>
      <x:c r="P1353" s="9" t="n">
        <x:f>IF(K1353=0,0,L1353/K1353)</x:f>
        <x:v>0.125929861353839</x:v>
      </x:c>
      <x:c r="Q1353" s="3" t="str">
        <x:f>IF(L1353&lt;0,"Yes","No")</x:f>
        <x:v>No</x:v>
      </x:c>
    </x:row>
    <x:row r="1354" ht="21" customHeight="1">
      <x:c r="A1354" s="3" t="str">
        <x:v>ORD-100309</x:v>
      </x:c>
      <x:c r="B1354" s="5" t="n">
        <x:v>45644</x:v>
      </x:c>
      <x:c r="C1354" s="3" t="str">
        <x:v>CUST-00525</x:v>
      </x:c>
      <x:c r="D1354" s="3" t="str">
        <x:v>South</x:v>
      </x:c>
      <x:c r="E1354" s="3" t="str">
        <x:v>Fashion</x:v>
      </x:c>
      <x:c r="F1354" s="3" t="str">
        <x:v>Men</x:v>
      </x:c>
      <x:c r="G1354" s="3" t="str">
        <x:v>SlimFit Denim Jeans</x:v>
      </x:c>
      <x:c r="H1354" s="3" t="n">
        <x:v>1</x:v>
      </x:c>
      <x:c r="I1354" s="7" t="n">
        <x:v>2006.43</x:v>
      </x:c>
      <x:c r="J1354" s="9" t="n">
        <x:v>0.1</x:v>
      </x:c>
      <x:c r="K1354" s="7" t="n">
        <x:v>1805.79</x:v>
      </x:c>
      <x:c r="L1354" s="7" t="n">
        <x:v>615.34</x:v>
      </x:c>
      <x:c r="M1354" s="3" t="str">
        <x:v>Debit Card</x:v>
      </x:c>
      <x:c r="N1354" s="3" t="str">
        <x:f>TEXT(B1354,"yyyy-mm")</x:f>
        <x:v>2024-12</x:v>
      </x:c>
      <x:c r="O1354" s="3" t="str">
        <x:f>IF(J1354=0,"No discount",IF(J1354&lt;=0.1,"1-10%",IF(J1354&lt;=0.15,"11-15%",IF(J1354&lt;=0.2,"16-20%","21%+"))))</x:f>
        <x:v>1-10%</x:v>
      </x:c>
      <x:c r="P1354" s="9" t="n">
        <x:f>IF(K1354=0,0,L1354/K1354)</x:f>
        <x:v>0.34075944600424196</x:v>
      </x:c>
      <x:c r="Q1354" s="3" t="str">
        <x:f>IF(L1354&lt;0,"Yes","No")</x:f>
        <x:v>No</x:v>
      </x:c>
    </x:row>
    <x:row r="1355" ht="21" customHeight="1">
      <x:c r="A1355" s="3" t="str">
        <x:v>ORD-100354</x:v>
      </x:c>
      <x:c r="B1355" s="5" t="n">
        <x:v>45644</x:v>
      </x:c>
      <x:c r="C1355" s="3" t="str">
        <x:v>CUST-00548</x:v>
      </x:c>
      <x:c r="D1355" s="3" t="str">
        <x:v>West</x:v>
      </x:c>
      <x:c r="E1355" s="3" t="str">
        <x:v>Electronics</x:v>
      </x:c>
      <x:c r="F1355" s="3" t="str">
        <x:v>Laptop</x:v>
      </x:c>
      <x:c r="G1355" s="3" t="str">
        <x:v>AirBook Slim</x:v>
      </x:c>
      <x:c r="H1355" s="3" t="n">
        <x:v>1</x:v>
      </x:c>
      <x:c r="I1355" s="7" t="n">
        <x:v>77447.25</x:v>
      </x:c>
      <x:c r="J1355" s="9" t="n">
        <x:v>0</x:v>
      </x:c>
      <x:c r="K1355" s="7" t="n">
        <x:v>77447.25</x:v>
      </x:c>
      <x:c r="L1355" s="7" t="n">
        <x:v>10843.19</x:v>
      </x:c>
      <x:c r="M1355" s="3" t="str">
        <x:v>Debit Card</x:v>
      </x:c>
      <x:c r="N1355" s="3" t="str">
        <x:f>TEXT(B1355,"yyyy-mm")</x:f>
        <x:v>2024-12</x:v>
      </x:c>
      <x:c r="O1355" s="3" t="str">
        <x:f>IF(J1355=0,"No discount",IF(J1355&lt;=0.1,"1-10%",IF(J1355&lt;=0.15,"11-15%",IF(J1355&lt;=0.2,"16-20%","21%+"))))</x:f>
        <x:v>No discount</x:v>
      </x:c>
      <x:c r="P1355" s="9" t="n">
        <x:f>IF(K1355=0,0,L1355/K1355)</x:f>
        <x:v>0.14000742440822625</x:v>
      </x:c>
      <x:c r="Q1355" s="3" t="str">
        <x:f>IF(L1355&lt;0,"Yes","No")</x:f>
        <x:v>No</x:v>
      </x:c>
    </x:row>
    <x:row r="1356" ht="21" customHeight="1">
      <x:c r="A1356" s="3" t="str">
        <x:v>ORD-100429</x:v>
      </x:c>
      <x:c r="B1356" s="5" t="n">
        <x:v>45644</x:v>
      </x:c>
      <x:c r="C1356" s="3" t="str">
        <x:v>CUST-00597</x:v>
      </x:c>
      <x:c r="D1356" s="3" t="str">
        <x:v>South</x:v>
      </x:c>
      <x:c r="E1356" s="3" t="str">
        <x:v>Sports</x:v>
      </x:c>
      <x:c r="F1356" s="3" t="str">
        <x:v>Fitness</x:v>
      </x:c>
      <x:c r="G1356" s="3" t="str">
        <x:v>ProYoga Mat</x:v>
      </x:c>
      <x:c r="H1356" s="3" t="n">
        <x:v>2</x:v>
      </x:c>
      <x:c r="I1356" s="7" t="n">
        <x:v>1308.13</x:v>
      </x:c>
      <x:c r="J1356" s="9" t="n">
        <x:v>0.05</x:v>
      </x:c>
      <x:c r="K1356" s="7" t="n">
        <x:v>2485.45</x:v>
      </x:c>
      <x:c r="L1356" s="7" t="n">
        <x:v>883.72</x:v>
      </x:c>
      <x:c r="M1356" s="3" t="str">
        <x:v>Cash on Delivery</x:v>
      </x:c>
      <x:c r="N1356" s="3" t="str">
        <x:f>TEXT(B1356,"yyyy-mm")</x:f>
        <x:v>2024-12</x:v>
      </x:c>
      <x:c r="O1356" s="3" t="str">
        <x:f>IF(J1356=0,"No discount",IF(J1356&lt;=0.1,"1-10%",IF(J1356&lt;=0.15,"11-15%",IF(J1356&lt;=0.2,"16-20%","21%+"))))</x:f>
        <x:v>1-10%</x:v>
      </x:c>
      <x:c r="P1356" s="9" t="n">
        <x:f>IF(K1356=0,0,L1356/K1356)</x:f>
        <x:v>0.35555734374057013</x:v>
      </x:c>
      <x:c r="Q1356" s="3" t="str">
        <x:f>IF(L1356&lt;0,"Yes","No")</x:f>
        <x:v>No</x:v>
      </x:c>
    </x:row>
    <x:row r="1357" ht="21" customHeight="1">
      <x:c r="A1357" s="3" t="str">
        <x:v>ORD-100983</x:v>
      </x:c>
      <x:c r="B1357" s="5" t="n">
        <x:v>45644</x:v>
      </x:c>
      <x:c r="C1357" s="3" t="str">
        <x:v>CUST-00255</x:v>
      </x:c>
      <x:c r="D1357" s="3" t="str">
        <x:v>West</x:v>
      </x:c>
      <x:c r="E1357" s="3" t="str">
        <x:v>Electronics</x:v>
      </x:c>
      <x:c r="F1357" s="3" t="str">
        <x:v>Audio</x:v>
      </x:c>
      <x:c r="G1357" s="3" t="str">
        <x:v>BassBoom Speaker</x:v>
      </x:c>
      <x:c r="H1357" s="3" t="n">
        <x:v>1</x:v>
      </x:c>
      <x:c r="I1357" s="7" t="n">
        <x:v>9270.68</x:v>
      </x:c>
      <x:c r="J1357" s="9" t="n">
        <x:v>0.25</x:v>
      </x:c>
      <x:c r="K1357" s="7" t="n">
        <x:v>6953.01</x:v>
      </x:c>
      <x:c r="L1357" s="7" t="n">
        <x:v>-620.04</x:v>
      </x:c>
      <x:c r="M1357" s="3" t="str">
        <x:v>UPI</x:v>
      </x:c>
      <x:c r="N1357" s="3" t="str">
        <x:f>TEXT(B1357,"yyyy-mm")</x:f>
        <x:v>2024-12</x:v>
      </x:c>
      <x:c r="O1357" s="3" t="str">
        <x:f>IF(J1357=0,"No discount",IF(J1357&lt;=0.1,"1-10%",IF(J1357&lt;=0.15,"11-15%",IF(J1357&lt;=0.2,"16-20%","21%+"))))</x:f>
        <x:v>21%+</x:v>
      </x:c>
      <x:c r="P1357" s="9" t="n">
        <x:f>IF(K1357=0,0,L1357/K1357)</x:f>
        <x:v>-0.08917576704189983</x:v>
      </x:c>
      <x:c r="Q1357" s="3" t="str">
        <x:f>IF(L1357&lt;0,"Yes","No")</x:f>
        <x:v>Yes</x:v>
      </x:c>
    </x:row>
    <x:row r="1358" ht="21" customHeight="1">
      <x:c r="A1358" s="3" t="str">
        <x:v>ORD-101227</x:v>
      </x:c>
      <x:c r="B1358" s="5" t="n">
        <x:v>45644</x:v>
      </x:c>
      <x:c r="C1358" s="3" t="str">
        <x:v>CUST-00121</x:v>
      </x:c>
      <x:c r="D1358" s="3" t="str">
        <x:v>North</x:v>
      </x:c>
      <x:c r="E1358" s="3" t="str">
        <x:v>Fashion</x:v>
      </x:c>
      <x:c r="F1358" s="3" t="str">
        <x:v>Footwear</x:v>
      </x:c>
      <x:c r="G1358" s="3" t="str">
        <x:v>RunFlex Sneakers</x:v>
      </x:c>
      <x:c r="H1358" s="3" t="n">
        <x:v>2</x:v>
      </x:c>
      <x:c r="I1358" s="7" t="n">
        <x:v>2854.3</x:v>
      </x:c>
      <x:c r="J1358" s="9" t="n">
        <x:v>0.1</x:v>
      </x:c>
      <x:c r="K1358" s="7" t="n">
        <x:v>5137.74</x:v>
      </x:c>
      <x:c r="L1358" s="7" t="n">
        <x:v>1698.03</x:v>
      </x:c>
      <x:c r="M1358" s="3" t="str">
        <x:v>UPI</x:v>
      </x:c>
      <x:c r="N1358" s="3" t="str">
        <x:f>TEXT(B1358,"yyyy-mm")</x:f>
        <x:v>2024-12</x:v>
      </x:c>
      <x:c r="O1358" s="3" t="str">
        <x:f>IF(J1358=0,"No discount",IF(J1358&lt;=0.1,"1-10%",IF(J1358&lt;=0.15,"11-15%",IF(J1358&lt;=0.2,"16-20%","21%+"))))</x:f>
        <x:v>1-10%</x:v>
      </x:c>
      <x:c r="P1358" s="9" t="n">
        <x:f>IF(K1358=0,0,L1358/K1358)</x:f>
        <x:v>0.3305013488420979</x:v>
      </x:c>
      <x:c r="Q1358" s="3" t="str">
        <x:f>IF(L1358&lt;0,"Yes","No")</x:f>
        <x:v>No</x:v>
      </x:c>
    </x:row>
    <x:row r="1359" ht="21" customHeight="1">
      <x:c r="A1359" s="3" t="str">
        <x:v>ORD-101522</x:v>
      </x:c>
      <x:c r="B1359" s="5" t="n">
        <x:v>45644</x:v>
      </x:c>
      <x:c r="C1359" s="3" t="str">
        <x:v>CUST-00447</x:v>
      </x:c>
      <x:c r="D1359" s="3" t="str">
        <x:v>North</x:v>
      </x:c>
      <x:c r="E1359" s="3" t="str">
        <x:v>Sports</x:v>
      </x:c>
      <x:c r="F1359" s="3" t="str">
        <x:v>Outdoor</x:v>
      </x:c>
      <x:c r="G1359" s="3" t="str">
        <x:v>AllWeather Tent 4P</x:v>
      </x:c>
      <x:c r="H1359" s="3" t="n">
        <x:v>1</x:v>
      </x:c>
      <x:c r="I1359" s="7" t="n">
        <x:v>11852.41</x:v>
      </x:c>
      <x:c r="J1359" s="9" t="n">
        <x:v>0.25</x:v>
      </x:c>
      <x:c r="K1359" s="7" t="n">
        <x:v>8889.31</x:v>
      </x:c>
      <x:c r="L1359" s="7" t="n">
        <x:v>1026.64</x:v>
      </x:c>
      <x:c r="M1359" s="3" t="str">
        <x:v>UPI</x:v>
      </x:c>
      <x:c r="N1359" s="3" t="str">
        <x:f>TEXT(B1359,"yyyy-mm")</x:f>
        <x:v>2024-12</x:v>
      </x:c>
      <x:c r="O1359" s="3" t="str">
        <x:f>IF(J1359=0,"No discount",IF(J1359&lt;=0.1,"1-10%",IF(J1359&lt;=0.15,"11-15%",IF(J1359&lt;=0.2,"16-20%","21%+"))))</x:f>
        <x:v>21%+</x:v>
      </x:c>
      <x:c r="P1359" s="9" t="n">
        <x:f>IF(K1359=0,0,L1359/K1359)</x:f>
        <x:v>0.11549152858883312</x:v>
      </x:c>
      <x:c r="Q1359" s="3" t="str">
        <x:f>IF(L1359&lt;0,"Yes","No")</x:f>
        <x:v>No</x:v>
      </x:c>
    </x:row>
    <x:row r="1360" ht="21" customHeight="1">
      <x:c r="A1360" s="3" t="str">
        <x:v>ORD-101870</x:v>
      </x:c>
      <x:c r="B1360" s="5" t="n">
        <x:v>45644</x:v>
      </x:c>
      <x:c r="C1360" s="3" t="str">
        <x:v>CUST-00573</x:v>
      </x:c>
      <x:c r="D1360" s="3" t="str">
        <x:v>North</x:v>
      </x:c>
      <x:c r="E1360" s="3" t="str">
        <x:v>Beauty</x:v>
      </x:c>
      <x:c r="F1360" s="3" t="str">
        <x:v>Skincare</x:v>
      </x:c>
      <x:c r="G1360" s="3" t="str">
        <x:v>Vitamin C Serum</x:v>
      </x:c>
      <x:c r="H1360" s="3" t="n">
        <x:v>1</x:v>
      </x:c>
      <x:c r="I1360" s="7" t="n">
        <x:v>903.99</x:v>
      </x:c>
      <x:c r="J1360" s="9" t="n">
        <x:v>0.05</x:v>
      </x:c>
      <x:c r="K1360" s="7" t="n">
        <x:v>858.79</x:v>
      </x:c>
      <x:c r="L1360" s="7" t="n">
        <x:v>430.53</x:v>
      </x:c>
      <x:c r="M1360" s="3" t="str">
        <x:v>UPI</x:v>
      </x:c>
      <x:c r="N1360" s="3" t="str">
        <x:f>TEXT(B1360,"yyyy-mm")</x:f>
        <x:v>2024-12</x:v>
      </x:c>
      <x:c r="O1360" s="3" t="str">
        <x:f>IF(J1360=0,"No discount",IF(J1360&lt;=0.1,"1-10%",IF(J1360&lt;=0.15,"11-15%",IF(J1360&lt;=0.2,"16-20%","21%+"))))</x:f>
        <x:v>1-10%</x:v>
      </x:c>
      <x:c r="P1360" s="9" t="n">
        <x:f>IF(K1360=0,0,L1360/K1360)</x:f>
        <x:v>0.5013216269402299</x:v>
      </x:c>
      <x:c r="Q1360" s="3" t="str">
        <x:f>IF(L1360&lt;0,"Yes","No")</x:f>
        <x:v>No</x:v>
      </x:c>
    </x:row>
    <x:row r="1361" ht="21" customHeight="1">
      <x:c r="A1361" s="3" t="str">
        <x:v>ORD-101964</x:v>
      </x:c>
      <x:c r="B1361" s="5" t="n">
        <x:v>45644</x:v>
      </x:c>
      <x:c r="C1361" s="3" t="str">
        <x:v>CUST-00053</x:v>
      </x:c>
      <x:c r="D1361" s="3" t="str">
        <x:v>East</x:v>
      </x:c>
      <x:c r="E1361" s="3" t="str">
        <x:v>Sports</x:v>
      </x:c>
      <x:c r="F1361" s="3" t="str">
        <x:v>Outdoor</x:v>
      </x:c>
      <x:c r="G1361" s="3" t="str">
        <x:v>TrailHike Backpack 60L</x:v>
      </x:c>
      <x:c r="H1361" s="3" t="n">
        <x:v>3</x:v>
      </x:c>
      <x:c r="I1361" s="7" t="n">
        <x:v>3376.18</x:v>
      </x:c>
      <x:c r="J1361" s="9" t="n">
        <x:v>0.15</x:v>
      </x:c>
      <x:c r="K1361" s="7" t="n">
        <x:v>8609.26</x:v>
      </x:c>
      <x:c r="L1361" s="7" t="n">
        <x:v>1741.05</x:v>
      </x:c>
      <x:c r="M1361" s="3" t="str">
        <x:v>Net Banking</x:v>
      </x:c>
      <x:c r="N1361" s="3" t="str">
        <x:f>TEXT(B1361,"yyyy-mm")</x:f>
        <x:v>2024-12</x:v>
      </x:c>
      <x:c r="O1361" s="3" t="str">
        <x:f>IF(J1361=0,"No discount",IF(J1361&lt;=0.1,"1-10%",IF(J1361&lt;=0.15,"11-15%",IF(J1361&lt;=0.2,"16-20%","21%+"))))</x:f>
        <x:v>11-15%</x:v>
      </x:c>
      <x:c r="P1361" s="9" t="n">
        <x:f>IF(K1361=0,0,L1361/K1361)</x:f>
        <x:v>0.20222992452312974</x:v>
      </x:c>
      <x:c r="Q1361" s="3" t="str">
        <x:f>IF(L1361&lt;0,"Yes","No")</x:f>
        <x:v>No</x:v>
      </x:c>
    </x:row>
    <x:row r="1362" ht="21" customHeight="1">
      <x:c r="A1362" s="3" t="str">
        <x:v>ORD-100293</x:v>
      </x:c>
      <x:c r="B1362" s="5" t="n">
        <x:v>45645</x:v>
      </x:c>
      <x:c r="C1362" s="3" t="str">
        <x:v>CUST-00136</x:v>
      </x:c>
      <x:c r="D1362" s="3" t="str">
        <x:v>East</x:v>
      </x:c>
      <x:c r="E1362" s="3" t="str">
        <x:v>Home &amp; Kitchen</x:v>
      </x:c>
      <x:c r="F1362" s="3" t="str">
        <x:v>Appliances</x:v>
      </x:c>
      <x:c r="G1362" s="3" t="str">
        <x:v>ColdBrew Coffee Maker</x:v>
      </x:c>
      <x:c r="H1362" s="3" t="n">
        <x:v>2</x:v>
      </x:c>
      <x:c r="I1362" s="7" t="n">
        <x:v>6585.17</x:v>
      </x:c>
      <x:c r="J1362" s="9" t="n">
        <x:v>0.25</x:v>
      </x:c>
      <x:c r="K1362" s="7" t="n">
        <x:v>9877.76</x:v>
      </x:c>
      <x:c r="L1362" s="7" t="n">
        <x:v>183.44</x:v>
      </x:c>
      <x:c r="M1362" s="3" t="str">
        <x:v>UPI</x:v>
      </x:c>
      <x:c r="N1362" s="3" t="str">
        <x:f>TEXT(B1362,"yyyy-mm")</x:f>
        <x:v>2024-12</x:v>
      </x:c>
      <x:c r="O1362" s="3" t="str">
        <x:f>IF(J1362=0,"No discount",IF(J1362&lt;=0.1,"1-10%",IF(J1362&lt;=0.15,"11-15%",IF(J1362&lt;=0.2,"16-20%","21%+"))))</x:f>
        <x:v>21%+</x:v>
      </x:c>
      <x:c r="P1362" s="9" t="n">
        <x:f>IF(K1362=0,0,L1362/K1362)</x:f>
        <x:v>0.018571012051315276</x:v>
      </x:c>
      <x:c r="Q1362" s="3" t="str">
        <x:f>IF(L1362&lt;0,"Yes","No")</x:f>
        <x:v>No</x:v>
      </x:c>
    </x:row>
    <x:row r="1363" ht="21" customHeight="1">
      <x:c r="A1363" s="3" t="str">
        <x:v>ORD-100688</x:v>
      </x:c>
      <x:c r="B1363" s="5" t="n">
        <x:v>45645</x:v>
      </x:c>
      <x:c r="C1363" s="3" t="str">
        <x:v>CUST-00541</x:v>
      </x:c>
      <x:c r="D1363" s="3" t="str">
        <x:v>South</x:v>
      </x:c>
      <x:c r="E1363" s="3" t="str">
        <x:v>Beauty</x:v>
      </x:c>
      <x:c r="F1363" s="3" t="str">
        <x:v>Skincare</x:v>
      </x:c>
      <x:c r="G1363" s="3" t="str">
        <x:v>HydraBoost Moisturizer</x:v>
      </x:c>
      <x:c r="H1363" s="3" t="n">
        <x:v>1</x:v>
      </x:c>
      <x:c r="I1363" s="7" t="n">
        <x:v>1238.73</x:v>
      </x:c>
      <x:c r="J1363" s="9" t="n">
        <x:v>0</x:v>
      </x:c>
      <x:c r="K1363" s="7" t="n">
        <x:v>1238.73</x:v>
      </x:c>
      <x:c r="L1363" s="7" t="n">
        <x:v>632.47</x:v>
      </x:c>
      <x:c r="M1363" s="3" t="str">
        <x:v>Credit Card</x:v>
      </x:c>
      <x:c r="N1363" s="3" t="str">
        <x:f>TEXT(B1363,"yyyy-mm")</x:f>
        <x:v>2024-12</x:v>
      </x:c>
      <x:c r="O1363" s="3" t="str">
        <x:f>IF(J1363=0,"No discount",IF(J1363&lt;=0.1,"1-10%",IF(J1363&lt;=0.15,"11-15%",IF(J1363&lt;=0.2,"16-20%","21%+"))))</x:f>
        <x:v>No discount</x:v>
      </x:c>
      <x:c r="P1363" s="9" t="n">
        <x:f>IF(K1363=0,0,L1363/K1363)</x:f>
        <x:v>0.5105793837236524</x:v>
      </x:c>
      <x:c r="Q1363" s="3" t="str">
        <x:f>IF(L1363&lt;0,"Yes","No")</x:f>
        <x:v>No</x:v>
      </x:c>
    </x:row>
    <x:row r="1364" ht="21" customHeight="1">
      <x:c r="A1364" s="3" t="str">
        <x:v>ORD-100872</x:v>
      </x:c>
      <x:c r="B1364" s="5" t="n">
        <x:v>45645</x:v>
      </x:c>
      <x:c r="C1364" s="3" t="str">
        <x:v>CUST-00198</x:v>
      </x:c>
      <x:c r="D1364" s="3" t="str">
        <x:v>East</x:v>
      </x:c>
      <x:c r="E1364" s="3" t="str">
        <x:v>Beauty</x:v>
      </x:c>
      <x:c r="F1364" s="3" t="str">
        <x:v>Makeup</x:v>
      </x:c>
      <x:c r="G1364" s="3" t="str">
        <x:v>HD Foundation Kit</x:v>
      </x:c>
      <x:c r="H1364" s="3" t="n">
        <x:v>1</x:v>
      </x:c>
      <x:c r="I1364" s="7" t="n">
        <x:v>1513.16</x:v>
      </x:c>
      <x:c r="J1364" s="9" t="n">
        <x:v>0.1</x:v>
      </x:c>
      <x:c r="K1364" s="7" t="n">
        <x:v>1361.84</x:v>
      </x:c>
      <x:c r="L1364" s="7" t="n">
        <x:v>545.2</x:v>
      </x:c>
      <x:c r="M1364" s="3" t="str">
        <x:v>Net Banking</x:v>
      </x:c>
      <x:c r="N1364" s="3" t="str">
        <x:f>TEXT(B1364,"yyyy-mm")</x:f>
        <x:v>2024-12</x:v>
      </x:c>
      <x:c r="O1364" s="3" t="str">
        <x:f>IF(J1364=0,"No discount",IF(J1364&lt;=0.1,"1-10%",IF(J1364&lt;=0.15,"11-15%",IF(J1364&lt;=0.2,"16-20%","21%+"))))</x:f>
        <x:v>1-10%</x:v>
      </x:c>
      <x:c r="P1364" s="9" t="n">
        <x:f>IF(K1364=0,0,L1364/K1364)</x:f>
        <x:v>0.4003407155025554</x:v>
      </x:c>
      <x:c r="Q1364" s="3" t="str">
        <x:f>IF(L1364&lt;0,"Yes","No")</x:f>
        <x:v>No</x:v>
      </x:c>
    </x:row>
    <x:row r="1365" ht="21" customHeight="1">
      <x:c r="A1365" s="3" t="str">
        <x:v>ORD-101043</x:v>
      </x:c>
      <x:c r="B1365" s="5" t="n">
        <x:v>45645</x:v>
      </x:c>
      <x:c r="C1365" s="3" t="str">
        <x:v>CUST-00544</x:v>
      </x:c>
      <x:c r="D1365" s="3" t="str">
        <x:v>North</x:v>
      </x:c>
      <x:c r="E1365" s="3" t="str">
        <x:v>Fashion</x:v>
      </x:c>
      <x:c r="F1365" s="3" t="str">
        <x:v>Men</x:v>
      </x:c>
      <x:c r="G1365" s="3" t="str">
        <x:v>Oxford Casual Shirt</x:v>
      </x:c>
      <x:c r="H1365" s="3" t="n">
        <x:v>2</x:v>
      </x:c>
      <x:c r="I1365" s="7" t="n">
        <x:v>1312.19</x:v>
      </x:c>
      <x:c r="J1365" s="9" t="n">
        <x:v>0.1</x:v>
      </x:c>
      <x:c r="K1365" s="7" t="n">
        <x:v>2361.94</x:v>
      </x:c>
      <x:c r="L1365" s="7" t="n">
        <x:v>721.65</x:v>
      </x:c>
      <x:c r="M1365" s="3" t="str">
        <x:v>Credit Card</x:v>
      </x:c>
      <x:c r="N1365" s="3" t="str">
        <x:f>TEXT(B1365,"yyyy-mm")</x:f>
        <x:v>2024-12</x:v>
      </x:c>
      <x:c r="O1365" s="3" t="str">
        <x:f>IF(J1365=0,"No discount",IF(J1365&lt;=0.1,"1-10%",IF(J1365&lt;=0.15,"11-15%",IF(J1365&lt;=0.2,"16-20%","21%+"))))</x:f>
        <x:v>1-10%</x:v>
      </x:c>
      <x:c r="P1365" s="9" t="n">
        <x:f>IF(K1365=0,0,L1365/K1365)</x:f>
        <x:v>0.30553274003573333</x:v>
      </x:c>
      <x:c r="Q1365" s="3" t="str">
        <x:f>IF(L1365&lt;0,"Yes","No")</x:f>
        <x:v>No</x:v>
      </x:c>
    </x:row>
    <x:row r="1366" ht="21" customHeight="1">
      <x:c r="A1366" s="3" t="str">
        <x:v>ORD-100179</x:v>
      </x:c>
      <x:c r="B1366" s="5" t="n">
        <x:v>45646</x:v>
      </x:c>
      <x:c r="C1366" s="3" t="str">
        <x:v>CUST-00448</x:v>
      </x:c>
      <x:c r="D1366" s="3" t="str">
        <x:v>North</x:v>
      </x:c>
      <x:c r="E1366" s="3" t="str">
        <x:v>Beauty</x:v>
      </x:c>
      <x:c r="F1366" s="3" t="str">
        <x:v>Makeup</x:v>
      </x:c>
      <x:c r="G1366" s="3" t="str">
        <x:v>HD Foundation Kit</x:v>
      </x:c>
      <x:c r="H1366" s="3" t="n">
        <x:v>1</x:v>
      </x:c>
      <x:c r="I1366" s="7" t="n">
        <x:v>1542.55</x:v>
      </x:c>
      <x:c r="J1366" s="9" t="n">
        <x:v>0.15</x:v>
      </x:c>
      <x:c r="K1366" s="7" t="n">
        <x:v>1311.17</x:v>
      </x:c>
      <x:c r="L1366" s="7" t="n">
        <x:v>514.82</x:v>
      </x:c>
      <x:c r="M1366" s="3" t="str">
        <x:v>Debit Card</x:v>
      </x:c>
      <x:c r="N1366" s="3" t="str">
        <x:f>TEXT(B1366,"yyyy-mm")</x:f>
        <x:v>2024-12</x:v>
      </x:c>
      <x:c r="O1366" s="3" t="str">
        <x:f>IF(J1366=0,"No discount",IF(J1366&lt;=0.1,"1-10%",IF(J1366&lt;=0.15,"11-15%",IF(J1366&lt;=0.2,"16-20%","21%+"))))</x:f>
        <x:v>11-15%</x:v>
      </x:c>
      <x:c r="P1366" s="9" t="n">
        <x:f>IF(K1366=0,0,L1366/K1366)</x:f>
        <x:v>0.39264168643272807</x:v>
      </x:c>
      <x:c r="Q1366" s="3" t="str">
        <x:f>IF(L1366&lt;0,"Yes","No")</x:f>
        <x:v>No</x:v>
      </x:c>
    </x:row>
    <x:row r="1367" ht="21" customHeight="1">
      <x:c r="A1367" s="3" t="str">
        <x:v>ORD-100878</x:v>
      </x:c>
      <x:c r="B1367" s="5" t="n">
        <x:v>45646</x:v>
      </x:c>
      <x:c r="C1367" s="3" t="str">
        <x:v>CUST-00219</x:v>
      </x:c>
      <x:c r="D1367" s="3" t="str">
        <x:v>East</x:v>
      </x:c>
      <x:c r="E1367" s="3" t="str">
        <x:v>Beauty</x:v>
      </x:c>
      <x:c r="F1367" s="3" t="str">
        <x:v>Makeup</x:v>
      </x:c>
      <x:c r="G1367" s="3" t="str">
        <x:v>HD Foundation Kit</x:v>
      </x:c>
      <x:c r="H1367" s="3" t="n">
        <x:v>2</x:v>
      </x:c>
      <x:c r="I1367" s="7" t="n">
        <x:v>1442.07</x:v>
      </x:c>
      <x:c r="J1367" s="9" t="n">
        <x:v>0</x:v>
      </x:c>
      <x:c r="K1367" s="7" t="n">
        <x:v>2884.14</x:v>
      </x:c>
      <x:c r="L1367" s="7" t="n">
        <x:v>1678.51</x:v>
      </x:c>
      <x:c r="M1367" s="3" t="str">
        <x:v>UPI</x:v>
      </x:c>
      <x:c r="N1367" s="3" t="str">
        <x:f>TEXT(B1367,"yyyy-mm")</x:f>
        <x:v>2024-12</x:v>
      </x:c>
      <x:c r="O1367" s="3" t="str">
        <x:f>IF(J1367=0,"No discount",IF(J1367&lt;=0.1,"1-10%",IF(J1367&lt;=0.15,"11-15%",IF(J1367&lt;=0.2,"16-20%","21%+"))))</x:f>
        <x:v>No discount</x:v>
      </x:c>
      <x:c r="P1367" s="9" t="n">
        <x:f>IF(K1367=0,0,L1367/K1367)</x:f>
        <x:v>0.5819793768679745</x:v>
      </x:c>
      <x:c r="Q1367" s="3" t="str">
        <x:f>IF(L1367&lt;0,"Yes","No")</x:f>
        <x:v>No</x:v>
      </x:c>
    </x:row>
    <x:row r="1368" ht="21" customHeight="1">
      <x:c r="A1368" s="3" t="str">
        <x:v>ORD-100341</x:v>
      </x:c>
      <x:c r="B1368" s="5" t="n">
        <x:v>45647</x:v>
      </x:c>
      <x:c r="C1368" s="3" t="str">
        <x:v>CUST-00179</x:v>
      </x:c>
      <x:c r="D1368" s="3" t="str">
        <x:v>West</x:v>
      </x:c>
      <x:c r="E1368" s="3" t="str">
        <x:v>Home &amp; Kitchen</x:v>
      </x:c>
      <x:c r="F1368" s="3" t="str">
        <x:v>Decor</x:v>
      </x:c>
      <x:c r="G1368" s="3" t="str">
        <x:v>Ceramic Vase Set</x:v>
      </x:c>
      <x:c r="H1368" s="3" t="n">
        <x:v>2</x:v>
      </x:c>
      <x:c r="I1368" s="7" t="n">
        <x:v>1502.86</x:v>
      </x:c>
      <x:c r="J1368" s="9" t="n">
        <x:v>0</x:v>
      </x:c>
      <x:c r="K1368" s="7" t="n">
        <x:v>3005.72</x:v>
      </x:c>
      <x:c r="L1368" s="7" t="n">
        <x:v>973.41</x:v>
      </x:c>
      <x:c r="M1368" s="3" t="str">
        <x:v>UPI</x:v>
      </x:c>
      <x:c r="N1368" s="3" t="str">
        <x:f>TEXT(B1368,"yyyy-mm")</x:f>
        <x:v>2024-12</x:v>
      </x:c>
      <x:c r="O1368" s="3" t="str">
        <x:f>IF(J1368=0,"No discount",IF(J1368&lt;=0.1,"1-10%",IF(J1368&lt;=0.15,"11-15%",IF(J1368&lt;=0.2,"16-20%","21%+"))))</x:f>
        <x:v>No discount</x:v>
      </x:c>
      <x:c r="P1368" s="9" t="n">
        <x:f>IF(K1368=0,0,L1368/K1368)</x:f>
        <x:v>0.3238525211929255</x:v>
      </x:c>
      <x:c r="Q1368" s="3" t="str">
        <x:f>IF(L1368&lt;0,"Yes","No")</x:f>
        <x:v>No</x:v>
      </x:c>
    </x:row>
    <x:row r="1369" ht="21" customHeight="1">
      <x:c r="A1369" s="3" t="str">
        <x:v>ORD-100353</x:v>
      </x:c>
      <x:c r="B1369" s="5" t="n">
        <x:v>45647</x:v>
      </x:c>
      <x:c r="C1369" s="3" t="str">
        <x:v>CUST-00233</x:v>
      </x:c>
      <x:c r="D1369" s="3" t="str">
        <x:v>East</x:v>
      </x:c>
      <x:c r="E1369" s="3" t="str">
        <x:v>Beauty</x:v>
      </x:c>
      <x:c r="F1369" s="3" t="str">
        <x:v>Skincare</x:v>
      </x:c>
      <x:c r="G1369" s="3" t="str">
        <x:v>HydraBoost Moisturizer</x:v>
      </x:c>
      <x:c r="H1369" s="3" t="n">
        <x:v>2</x:v>
      </x:c>
      <x:c r="I1369" s="7" t="n">
        <x:v>1206.67</x:v>
      </x:c>
      <x:c r="J1369" s="9" t="n">
        <x:v>0.1</x:v>
      </x:c>
      <x:c r="K1369" s="7" t="n">
        <x:v>2172.01</x:v>
      </x:c>
      <x:c r="L1369" s="7" t="n">
        <x:v>948.9</x:v>
      </x:c>
      <x:c r="M1369" s="3" t="str">
        <x:v>UPI</x:v>
      </x:c>
      <x:c r="N1369" s="3" t="str">
        <x:f>TEXT(B1369,"yyyy-mm")</x:f>
        <x:v>2024-12</x:v>
      </x:c>
      <x:c r="O1369" s="3" t="str">
        <x:f>IF(J1369=0,"No discount",IF(J1369&lt;=0.1,"1-10%",IF(J1369&lt;=0.15,"11-15%",IF(J1369&lt;=0.2,"16-20%","21%+"))))</x:f>
        <x:v>1-10%</x:v>
      </x:c>
      <x:c r="P1369" s="9" t="n">
        <x:f>IF(K1369=0,0,L1369/K1369)</x:f>
        <x:v>0.436876441637009</x:v>
      </x:c>
      <x:c r="Q1369" s="3" t="str">
        <x:f>IF(L1369&lt;0,"Yes","No")</x:f>
        <x:v>No</x:v>
      </x:c>
    </x:row>
    <x:row r="1370" ht="21" customHeight="1">
      <x:c r="A1370" s="3" t="str">
        <x:v>ORD-101335</x:v>
      </x:c>
      <x:c r="B1370" s="5" t="n">
        <x:v>45647</x:v>
      </x:c>
      <x:c r="C1370" s="3" t="str">
        <x:v>CUST-00055</x:v>
      </x:c>
      <x:c r="D1370" s="3" t="str">
        <x:v>East</x:v>
      </x:c>
      <x:c r="E1370" s="3" t="str">
        <x:v>Sports</x:v>
      </x:c>
      <x:c r="F1370" s="3" t="str">
        <x:v>Fitness</x:v>
      </x:c>
      <x:c r="G1370" s="3" t="str">
        <x:v>ProYoga Mat</x:v>
      </x:c>
      <x:c r="H1370" s="3" t="n">
        <x:v>3</x:v>
      </x:c>
      <x:c r="I1370" s="7" t="n">
        <x:v>1271.62</x:v>
      </x:c>
      <x:c r="J1370" s="9" t="n">
        <x:v>0.05</x:v>
      </x:c>
      <x:c r="K1370" s="7" t="n">
        <x:v>3624.12</x:v>
      </x:c>
      <x:c r="L1370" s="7" t="n">
        <x:v>1055.24</x:v>
      </x:c>
      <x:c r="M1370" s="3" t="str">
        <x:v>Credit Card</x:v>
      </x:c>
      <x:c r="N1370" s="3" t="str">
        <x:f>TEXT(B1370,"yyyy-mm")</x:f>
        <x:v>2024-12</x:v>
      </x:c>
      <x:c r="O1370" s="3" t="str">
        <x:f>IF(J1370=0,"No discount",IF(J1370&lt;=0.1,"1-10%",IF(J1370&lt;=0.15,"11-15%",IF(J1370&lt;=0.2,"16-20%","21%+"))))</x:f>
        <x:v>1-10%</x:v>
      </x:c>
      <x:c r="P1370" s="9" t="n">
        <x:f>IF(K1370=0,0,L1370/K1370)</x:f>
        <x:v>0.29117137401631293</x:v>
      </x:c>
      <x:c r="Q1370" s="3" t="str">
        <x:f>IF(L1370&lt;0,"Yes","No")</x:f>
        <x:v>No</x:v>
      </x:c>
    </x:row>
    <x:row r="1371" ht="21" customHeight="1">
      <x:c r="A1371" s="3" t="str">
        <x:v>ORD-101551</x:v>
      </x:c>
      <x:c r="B1371" s="5" t="n">
        <x:v>45647</x:v>
      </x:c>
      <x:c r="C1371" s="3" t="str">
        <x:v>CUST-00119</x:v>
      </x:c>
      <x:c r="D1371" s="3" t="str">
        <x:v>South</x:v>
      </x:c>
      <x:c r="E1371" s="3" t="str">
        <x:v>Sports</x:v>
      </x:c>
      <x:c r="F1371" s="3" t="str">
        <x:v>Fitness</x:v>
      </x:c>
      <x:c r="G1371" s="3" t="str">
        <x:v>ProYoga Mat</x:v>
      </x:c>
      <x:c r="H1371" s="3" t="n">
        <x:v>2</x:v>
      </x:c>
      <x:c r="I1371" s="7" t="n">
        <x:v>1340.62</x:v>
      </x:c>
      <x:c r="J1371" s="9" t="n">
        <x:v>0.2</x:v>
      </x:c>
      <x:c r="K1371" s="7" t="n">
        <x:v>2144.99</x:v>
      </x:c>
      <x:c r="L1371" s="7" t="n">
        <x:v>277.03</x:v>
      </x:c>
      <x:c r="M1371" s="3" t="str">
        <x:v>UPI</x:v>
      </x:c>
      <x:c r="N1371" s="3" t="str">
        <x:f>TEXT(B1371,"yyyy-mm")</x:f>
        <x:v>2024-12</x:v>
      </x:c>
      <x:c r="O1371" s="3" t="str">
        <x:f>IF(J1371=0,"No discount",IF(J1371&lt;=0.1,"1-10%",IF(J1371&lt;=0.15,"11-15%",IF(J1371&lt;=0.2,"16-20%","21%+"))))</x:f>
        <x:v>16-20%</x:v>
      </x:c>
      <x:c r="P1371" s="9" t="n">
        <x:f>IF(K1371=0,0,L1371/K1371)</x:f>
        <x:v>0.12915211725928794</x:v>
      </x:c>
      <x:c r="Q1371" s="3" t="str">
        <x:f>IF(L1371&lt;0,"Yes","No")</x:f>
        <x:v>No</x:v>
      </x:c>
    </x:row>
    <x:row r="1372" ht="21" customHeight="1">
      <x:c r="A1372" s="3" t="str">
        <x:v>ORD-101722</x:v>
      </x:c>
      <x:c r="B1372" s="5" t="n">
        <x:v>45647</x:v>
      </x:c>
      <x:c r="C1372" s="3" t="str">
        <x:v>CUST-00361</x:v>
      </x:c>
      <x:c r="D1372" s="3" t="str">
        <x:v>West</x:v>
      </x:c>
      <x:c r="E1372" s="3" t="str">
        <x:v>Beauty</x:v>
      </x:c>
      <x:c r="F1372" s="3" t="str">
        <x:v>Skincare</x:v>
      </x:c>
      <x:c r="G1372" s="3" t="str">
        <x:v>HydraBoost Moisturizer</x:v>
      </x:c>
      <x:c r="H1372" s="3" t="n">
        <x:v>2</x:v>
      </x:c>
      <x:c r="I1372" s="7" t="n">
        <x:v>1221.55</x:v>
      </x:c>
      <x:c r="J1372" s="9" t="n">
        <x:v>0.3</x:v>
      </x:c>
      <x:c r="K1372" s="7" t="n">
        <x:v>1710.17</x:v>
      </x:c>
      <x:c r="L1372" s="7" t="n">
        <x:v>398.93</x:v>
      </x:c>
      <x:c r="M1372" s="3" t="str">
        <x:v>UPI</x:v>
      </x:c>
      <x:c r="N1372" s="3" t="str">
        <x:f>TEXT(B1372,"yyyy-mm")</x:f>
        <x:v>2024-12</x:v>
      </x:c>
      <x:c r="O1372" s="3" t="str">
        <x:f>IF(J1372=0,"No discount",IF(J1372&lt;=0.1,"1-10%",IF(J1372&lt;=0.15,"11-15%",IF(J1372&lt;=0.2,"16-20%","21%+"))))</x:f>
        <x:v>21%+</x:v>
      </x:c>
      <x:c r="P1372" s="9" t="n">
        <x:f>IF(K1372=0,0,L1372/K1372)</x:f>
        <x:v>0.23326920715484425</x:v>
      </x:c>
      <x:c r="Q1372" s="3" t="str">
        <x:f>IF(L1372&lt;0,"Yes","No")</x:f>
        <x:v>No</x:v>
      </x:c>
    </x:row>
    <x:row r="1373" ht="21" customHeight="1">
      <x:c r="A1373" s="3" t="str">
        <x:v>ORD-100192</x:v>
      </x:c>
      <x:c r="B1373" s="5" t="n">
        <x:v>45648</x:v>
      </x:c>
      <x:c r="C1373" s="3" t="str">
        <x:v>CUST-00467</x:v>
      </x:c>
      <x:c r="D1373" s="3" t="str">
        <x:v>West</x:v>
      </x:c>
      <x:c r="E1373" s="3" t="str">
        <x:v>Fashion</x:v>
      </x:c>
      <x:c r="F1373" s="3" t="str">
        <x:v>Women</x:v>
      </x:c>
      <x:c r="G1373" s="3" t="str">
        <x:v>Floral Summer Dress</x:v>
      </x:c>
      <x:c r="H1373" s="3" t="n">
        <x:v>1</x:v>
      </x:c>
      <x:c r="I1373" s="7" t="n">
        <x:v>1874.66</x:v>
      </x:c>
      <x:c r="J1373" s="9" t="n">
        <x:v>0</x:v>
      </x:c>
      <x:c r="K1373" s="7" t="n">
        <x:v>1874.66</x:v>
      </x:c>
      <x:c r="L1373" s="7" t="n">
        <x:v>725.25</x:v>
      </x:c>
      <x:c r="M1373" s="3" t="str">
        <x:v>Debit Card</x:v>
      </x:c>
      <x:c r="N1373" s="3" t="str">
        <x:f>TEXT(B1373,"yyyy-mm")</x:f>
        <x:v>2024-12</x:v>
      </x:c>
      <x:c r="O1373" s="3" t="str">
        <x:f>IF(J1373=0,"No discount",IF(J1373&lt;=0.1,"1-10%",IF(J1373&lt;=0.15,"11-15%",IF(J1373&lt;=0.2,"16-20%","21%+"))))</x:f>
        <x:v>No discount</x:v>
      </x:c>
      <x:c r="P1373" s="9" t="n">
        <x:f>IF(K1373=0,0,L1373/K1373)</x:f>
        <x:v>0.3868701524543117</x:v>
      </x:c>
      <x:c r="Q1373" s="3" t="str">
        <x:f>IF(L1373&lt;0,"Yes","No")</x:f>
        <x:v>No</x:v>
      </x:c>
    </x:row>
    <x:row r="1374" ht="21" customHeight="1">
      <x:c r="A1374" s="3" t="str">
        <x:v>ORD-100498</x:v>
      </x:c>
      <x:c r="B1374" s="5" t="n">
        <x:v>45648</x:v>
      </x:c>
      <x:c r="C1374" s="3" t="str">
        <x:v>CUST-00513</x:v>
      </x:c>
      <x:c r="D1374" s="3" t="str">
        <x:v>North</x:v>
      </x:c>
      <x:c r="E1374" s="3" t="str">
        <x:v>Electronics</x:v>
      </x:c>
      <x:c r="F1374" s="3" t="str">
        <x:v>Mobile</x:v>
      </x:c>
      <x:c r="G1374" s="3" t="str">
        <x:v>iPhone Zeta</x:v>
      </x:c>
      <x:c r="H1374" s="3" t="n">
        <x:v>1</x:v>
      </x:c>
      <x:c r="I1374" s="7" t="n">
        <x:v>67792.5</x:v>
      </x:c>
      <x:c r="J1374" s="9" t="n">
        <x:v>0.25</x:v>
      </x:c>
      <x:c r="K1374" s="7" t="n">
        <x:v>50844.38</x:v>
      </x:c>
      <x:c r="L1374" s="7" t="n">
        <x:v>-6069.67</x:v>
      </x:c>
      <x:c r="M1374" s="3" t="str">
        <x:v>Debit Card</x:v>
      </x:c>
      <x:c r="N1374" s="3" t="str">
        <x:f>TEXT(B1374,"yyyy-mm")</x:f>
        <x:v>2024-12</x:v>
      </x:c>
      <x:c r="O1374" s="3" t="str">
        <x:f>IF(J1374=0,"No discount",IF(J1374&lt;=0.1,"1-10%",IF(J1374&lt;=0.15,"11-15%",IF(J1374&lt;=0.2,"16-20%","21%+"))))</x:f>
        <x:v>21%+</x:v>
      </x:c>
      <x:c r="P1374" s="9" t="n">
        <x:f>IF(K1374=0,0,L1374/K1374)</x:f>
        <x:v>-0.11937740218289614</x:v>
      </x:c>
      <x:c r="Q1374" s="3" t="str">
        <x:f>IF(L1374&lt;0,"Yes","No")</x:f>
        <x:v>Yes</x:v>
      </x:c>
    </x:row>
    <x:row r="1375" ht="21" customHeight="1">
      <x:c r="A1375" s="3" t="str">
        <x:v>ORD-100953</x:v>
      </x:c>
      <x:c r="B1375" s="5" t="n">
        <x:v>45648</x:v>
      </x:c>
      <x:c r="C1375" s="3" t="str">
        <x:v>CUST-00336</x:v>
      </x:c>
      <x:c r="D1375" s="3" t="str">
        <x:v>West</x:v>
      </x:c>
      <x:c r="E1375" s="3" t="str">
        <x:v>Fashion</x:v>
      </x:c>
      <x:c r="F1375" s="3" t="str">
        <x:v>Men</x:v>
      </x:c>
      <x:c r="G1375" s="3" t="str">
        <x:v>SlimFit Denim Jeans</x:v>
      </x:c>
      <x:c r="H1375" s="3" t="n">
        <x:v>1</x:v>
      </x:c>
      <x:c r="I1375" s="7" t="n">
        <x:v>1904.29</x:v>
      </x:c>
      <x:c r="J1375" s="9" t="n">
        <x:v>0</x:v>
      </x:c>
      <x:c r="K1375" s="7" t="n">
        <x:v>1904.29</x:v>
      </x:c>
      <x:c r="L1375" s="7" t="n">
        <x:v>815.33</x:v>
      </x:c>
      <x:c r="M1375" s="3" t="str">
        <x:v>Debit Card</x:v>
      </x:c>
      <x:c r="N1375" s="3" t="str">
        <x:f>TEXT(B1375,"yyyy-mm")</x:f>
        <x:v>2024-12</x:v>
      </x:c>
      <x:c r="O1375" s="3" t="str">
        <x:f>IF(J1375=0,"No discount",IF(J1375&lt;=0.1,"1-10%",IF(J1375&lt;=0.15,"11-15%",IF(J1375&lt;=0.2,"16-20%","21%+"))))</x:f>
        <x:v>No discount</x:v>
      </x:c>
      <x:c r="P1375" s="9" t="n">
        <x:f>IF(K1375=0,0,L1375/K1375)</x:f>
        <x:v>0.42815432523407676</x:v>
      </x:c>
      <x:c r="Q1375" s="3" t="str">
        <x:f>IF(L1375&lt;0,"Yes","No")</x:f>
        <x:v>No</x:v>
      </x:c>
    </x:row>
    <x:row r="1376" ht="21" customHeight="1">
      <x:c r="A1376" s="3" t="str">
        <x:v>ORD-101525</x:v>
      </x:c>
      <x:c r="B1376" s="5" t="n">
        <x:v>45648</x:v>
      </x:c>
      <x:c r="C1376" s="3" t="str">
        <x:v>CUST-00171</x:v>
      </x:c>
      <x:c r="D1376" s="3" t="str">
        <x:v>North</x:v>
      </x:c>
      <x:c r="E1376" s="3" t="str">
        <x:v>Fashion</x:v>
      </x:c>
      <x:c r="F1376" s="3" t="str">
        <x:v>Men</x:v>
      </x:c>
      <x:c r="G1376" s="3" t="str">
        <x:v>SlimFit Denim Jeans</x:v>
      </x:c>
      <x:c r="H1376" s="3" t="n">
        <x:v>1</x:v>
      </x:c>
      <x:c r="I1376" s="7" t="n">
        <x:v>1996.82</x:v>
      </x:c>
      <x:c r="J1376" s="9" t="n">
        <x:v>0.05</x:v>
      </x:c>
      <x:c r="K1376" s="7" t="n">
        <x:v>1896.98</x:v>
      </x:c>
      <x:c r="L1376" s="7" t="n">
        <x:v>624.2</x:v>
      </x:c>
      <x:c r="M1376" s="3" t="str">
        <x:v>UPI</x:v>
      </x:c>
      <x:c r="N1376" s="3" t="str">
        <x:f>TEXT(B1376,"yyyy-mm")</x:f>
        <x:v>2024-12</x:v>
      </x:c>
      <x:c r="O1376" s="3" t="str">
        <x:f>IF(J1376=0,"No discount",IF(J1376&lt;=0.1,"1-10%",IF(J1376&lt;=0.15,"11-15%",IF(J1376&lt;=0.2,"16-20%","21%+"))))</x:f>
        <x:v>1-10%</x:v>
      </x:c>
      <x:c r="P1376" s="9" t="n">
        <x:f>IF(K1376=0,0,L1376/K1376)</x:f>
        <x:v>0.329049331041972</x:v>
      </x:c>
      <x:c r="Q1376" s="3" t="str">
        <x:f>IF(L1376&lt;0,"Yes","No")</x:f>
        <x:v>No</x:v>
      </x:c>
    </x:row>
    <x:row r="1377" ht="21" customHeight="1">
      <x:c r="A1377" s="3" t="str">
        <x:v>ORD-101809</x:v>
      </x:c>
      <x:c r="B1377" s="5" t="n">
        <x:v>45648</x:v>
      </x:c>
      <x:c r="C1377" s="3" t="str">
        <x:v>CUST-00031</x:v>
      </x:c>
      <x:c r="D1377" s="3" t="str">
        <x:v>West</x:v>
      </x:c>
      <x:c r="E1377" s="3" t="str">
        <x:v>Beauty</x:v>
      </x:c>
      <x:c r="F1377" s="3" t="str">
        <x:v>Skincare</x:v>
      </x:c>
      <x:c r="G1377" s="3" t="str">
        <x:v>HydraBoost Moisturizer</x:v>
      </x:c>
      <x:c r="H1377" s="3" t="n">
        <x:v>1</x:v>
      </x:c>
      <x:c r="I1377" s="7" t="n">
        <x:v>1167.99</x:v>
      </x:c>
      <x:c r="J1377" s="9" t="n">
        <x:v>0.1</x:v>
      </x:c>
      <x:c r="K1377" s="7" t="n">
        <x:v>1051.19</x:v>
      </x:c>
      <x:c r="L1377" s="7" t="n">
        <x:v>432.15</x:v>
      </x:c>
      <x:c r="M1377" s="3" t="str">
        <x:v>Debit Card</x:v>
      </x:c>
      <x:c r="N1377" s="3" t="str">
        <x:f>TEXT(B1377,"yyyy-mm")</x:f>
        <x:v>2024-12</x:v>
      </x:c>
      <x:c r="O1377" s="3" t="str">
        <x:f>IF(J1377=0,"No discount",IF(J1377&lt;=0.1,"1-10%",IF(J1377&lt;=0.15,"11-15%",IF(J1377&lt;=0.2,"16-20%","21%+"))))</x:f>
        <x:v>1-10%</x:v>
      </x:c>
      <x:c r="P1377" s="9" t="n">
        <x:f>IF(K1377=0,0,L1377/K1377)</x:f>
        <x:v>0.411105508994568</x:v>
      </x:c>
      <x:c r="Q1377" s="3" t="str">
        <x:f>IF(L1377&lt;0,"Yes","No")</x:f>
        <x:v>No</x:v>
      </x:c>
    </x:row>
    <x:row r="1378" ht="21" customHeight="1">
      <x:c r="A1378" s="3" t="str">
        <x:v>ORD-101291</x:v>
      </x:c>
      <x:c r="B1378" s="5" t="n">
        <x:v>45650</x:v>
      </x:c>
      <x:c r="C1378" s="3" t="str">
        <x:v>CUST-00068</x:v>
      </x:c>
      <x:c r="D1378" s="3" t="str">
        <x:v>West</x:v>
      </x:c>
      <x:c r="E1378" s="3" t="str">
        <x:v>Fashion</x:v>
      </x:c>
      <x:c r="F1378" s="3" t="str">
        <x:v>Men</x:v>
      </x:c>
      <x:c r="G1378" s="3" t="str">
        <x:v>Oxford Casual Shirt</x:v>
      </x:c>
      <x:c r="H1378" s="3" t="n">
        <x:v>1</x:v>
      </x:c>
      <x:c r="I1378" s="7" t="n">
        <x:v>1340.99</x:v>
      </x:c>
      <x:c r="J1378" s="9" t="n">
        <x:v>0</x:v>
      </x:c>
      <x:c r="K1378" s="7" t="n">
        <x:v>1340.99</x:v>
      </x:c>
      <x:c r="L1378" s="7" t="n">
        <x:v>530.35</x:v>
      </x:c>
      <x:c r="M1378" s="3" t="str">
        <x:v>Cash on Delivery</x:v>
      </x:c>
      <x:c r="N1378" s="3" t="str">
        <x:f>TEXT(B1378,"yyyy-mm")</x:f>
        <x:v>2024-12</x:v>
      </x:c>
      <x:c r="O1378" s="3" t="str">
        <x:f>IF(J1378=0,"No discount",IF(J1378&lt;=0.1,"1-10%",IF(J1378&lt;=0.15,"11-15%",IF(J1378&lt;=0.2,"16-20%","21%+"))))</x:f>
        <x:v>No discount</x:v>
      </x:c>
      <x:c r="P1378" s="9" t="n">
        <x:f>IF(K1378=0,0,L1378/K1378)</x:f>
        <x:v>0.3954913906889686</x:v>
      </x:c>
      <x:c r="Q1378" s="3" t="str">
        <x:f>IF(L1378&lt;0,"Yes","No")</x:f>
        <x:v>No</x:v>
      </x:c>
    </x:row>
    <x:row r="1379" ht="21" customHeight="1">
      <x:c r="A1379" s="3" t="str">
        <x:v>ORD-101507</x:v>
      </x:c>
      <x:c r="B1379" s="5" t="n">
        <x:v>45650</x:v>
      </x:c>
      <x:c r="C1379" s="3" t="str">
        <x:v>CUST-00183</x:v>
      </x:c>
      <x:c r="D1379" s="3" t="str">
        <x:v>North</x:v>
      </x:c>
      <x:c r="E1379" s="3" t="str">
        <x:v>Electronics</x:v>
      </x:c>
      <x:c r="F1379" s="3" t="str">
        <x:v>Laptop</x:v>
      </x:c>
      <x:c r="G1379" s="3" t="str">
        <x:v>ThinkPro 14</x:v>
      </x:c>
      <x:c r="H1379" s="3" t="n">
        <x:v>1</x:v>
      </x:c>
      <x:c r="I1379" s="7" t="n">
        <x:v>55436.55</x:v>
      </x:c>
      <x:c r="J1379" s="9" t="n">
        <x:v>0.1</x:v>
      </x:c>
      <x:c r="K1379" s="7" t="n">
        <x:v>49892.9</x:v>
      </x:c>
      <x:c r="L1379" s="7" t="n">
        <x:v>3375.72</x:v>
      </x:c>
      <x:c r="M1379" s="3" t="str">
        <x:v>Credit Card</x:v>
      </x:c>
      <x:c r="N1379" s="3" t="str">
        <x:f>TEXT(B1379,"yyyy-mm")</x:f>
        <x:v>2024-12</x:v>
      </x:c>
      <x:c r="O1379" s="3" t="str">
        <x:f>IF(J1379=0,"No discount",IF(J1379&lt;=0.1,"1-10%",IF(J1379&lt;=0.15,"11-15%",IF(J1379&lt;=0.2,"16-20%","21%+"))))</x:f>
        <x:v>1-10%</x:v>
      </x:c>
      <x:c r="P1379" s="9" t="n">
        <x:f>IF(K1379=0,0,L1379/K1379)</x:f>
        <x:v>0.06765932627688508</x:v>
      </x:c>
      <x:c r="Q1379" s="3" t="str">
        <x:f>IF(L1379&lt;0,"Yes","No")</x:f>
        <x:v>No</x:v>
      </x:c>
    </x:row>
    <x:row r="1380" ht="21" customHeight="1">
      <x:c r="A1380" s="3" t="str">
        <x:v>ORD-100099</x:v>
      </x:c>
      <x:c r="B1380" s="5" t="n">
        <x:v>45651</x:v>
      </x:c>
      <x:c r="C1380" s="3" t="str">
        <x:v>CUST-00152</x:v>
      </x:c>
      <x:c r="D1380" s="3" t="str">
        <x:v>North</x:v>
      </x:c>
      <x:c r="E1380" s="3" t="str">
        <x:v>Home &amp; Kitchen</x:v>
      </x:c>
      <x:c r="F1380" s="3" t="str">
        <x:v>Furniture</x:v>
      </x:c>
      <x:c r="G1380" s="3" t="str">
        <x:v>ErgoComfort Chair</x:v>
      </x:c>
      <x:c r="H1380" s="3" t="n">
        <x:v>3</x:v>
      </x:c>
      <x:c r="I1380" s="7" t="n">
        <x:v>9118.89</x:v>
      </x:c>
      <x:c r="J1380" s="9" t="n">
        <x:v>0</x:v>
      </x:c>
      <x:c r="K1380" s="7" t="n">
        <x:v>27356.67</x:v>
      </x:c>
      <x:c r="L1380" s="7" t="n">
        <x:v>9094.68</x:v>
      </x:c>
      <x:c r="M1380" s="3" t="str">
        <x:v>Debit Card</x:v>
      </x:c>
      <x:c r="N1380" s="3" t="str">
        <x:f>TEXT(B1380,"yyyy-mm")</x:f>
        <x:v>2024-12</x:v>
      </x:c>
      <x:c r="O1380" s="3" t="str">
        <x:f>IF(J1380=0,"No discount",IF(J1380&lt;=0.1,"1-10%",IF(J1380&lt;=0.15,"11-15%",IF(J1380&lt;=0.2,"16-20%","21%+"))))</x:f>
        <x:v>No discount</x:v>
      </x:c>
      <x:c r="P1380" s="9" t="n">
        <x:f>IF(K1380=0,0,L1380/K1380)</x:f>
        <x:v>0.33244835720136995</x:v>
      </x:c>
      <x:c r="Q1380" s="3" t="str">
        <x:f>IF(L1380&lt;0,"Yes","No")</x:f>
        <x:v>No</x:v>
      </x:c>
    </x:row>
    <x:row r="1381" ht="21" customHeight="1">
      <x:c r="A1381" s="3" t="str">
        <x:v>ORD-100244</x:v>
      </x:c>
      <x:c r="B1381" s="5" t="n">
        <x:v>45651</x:v>
      </x:c>
      <x:c r="C1381" s="3" t="str">
        <x:v>CUST-00104</x:v>
      </x:c>
      <x:c r="D1381" s="3" t="str">
        <x:v>South</x:v>
      </x:c>
      <x:c r="E1381" s="3" t="str">
        <x:v>Fashion</x:v>
      </x:c>
      <x:c r="F1381" s="3" t="str">
        <x:v>Men</x:v>
      </x:c>
      <x:c r="G1381" s="3" t="str">
        <x:v>SlimFit Denim Jeans</x:v>
      </x:c>
      <x:c r="H1381" s="3" t="n">
        <x:v>1</x:v>
      </x:c>
      <x:c r="I1381" s="7" t="n">
        <x:v>2043.06</x:v>
      </x:c>
      <x:c r="J1381" s="9" t="n">
        <x:v>0.15</x:v>
      </x:c>
      <x:c r="K1381" s="7" t="n">
        <x:v>1736.6</x:v>
      </x:c>
      <x:c r="L1381" s="7" t="n">
        <x:v>367.03</x:v>
      </x:c>
      <x:c r="M1381" s="3" t="str">
        <x:v>UPI</x:v>
      </x:c>
      <x:c r="N1381" s="3" t="str">
        <x:f>TEXT(B1381,"yyyy-mm")</x:f>
        <x:v>2024-12</x:v>
      </x:c>
      <x:c r="O1381" s="3" t="str">
        <x:f>IF(J1381=0,"No discount",IF(J1381&lt;=0.1,"1-10%",IF(J1381&lt;=0.15,"11-15%",IF(J1381&lt;=0.2,"16-20%","21%+"))))</x:f>
        <x:v>11-15%</x:v>
      </x:c>
      <x:c r="P1381" s="9" t="n">
        <x:f>IF(K1381=0,0,L1381/K1381)</x:f>
        <x:v>0.21134976390648394</x:v>
      </x:c>
      <x:c r="Q1381" s="3" t="str">
        <x:f>IF(L1381&lt;0,"Yes","No")</x:f>
        <x:v>No</x:v>
      </x:c>
    </x:row>
    <x:row r="1382" ht="21" customHeight="1">
      <x:c r="A1382" s="3" t="str">
        <x:v>ORD-100586</x:v>
      </x:c>
      <x:c r="B1382" s="5" t="n">
        <x:v>45651</x:v>
      </x:c>
      <x:c r="C1382" s="3" t="str">
        <x:v>CUST-00218</x:v>
      </x:c>
      <x:c r="D1382" s="3" t="str">
        <x:v>West</x:v>
      </x:c>
      <x:c r="E1382" s="3" t="str">
        <x:v>Beauty</x:v>
      </x:c>
      <x:c r="F1382" s="3" t="str">
        <x:v>Makeup</x:v>
      </x:c>
      <x:c r="G1382" s="3" t="str">
        <x:v>Matte Lipstick Set</x:v>
      </x:c>
      <x:c r="H1382" s="3" t="n">
        <x:v>1</x:v>
      </x:c>
      <x:c r="I1382" s="7" t="n">
        <x:v>997.22</x:v>
      </x:c>
      <x:c r="J1382" s="9" t="n">
        <x:v>0.25</x:v>
      </x:c>
      <x:c r="K1382" s="7" t="n">
        <x:v>747.91</x:v>
      </x:c>
      <x:c r="L1382" s="7" t="n">
        <x:v>202.18</x:v>
      </x:c>
      <x:c r="M1382" s="3" t="str">
        <x:v>UPI</x:v>
      </x:c>
      <x:c r="N1382" s="3" t="str">
        <x:f>TEXT(B1382,"yyyy-mm")</x:f>
        <x:v>2024-12</x:v>
      </x:c>
      <x:c r="O1382" s="3" t="str">
        <x:f>IF(J1382=0,"No discount",IF(J1382&lt;=0.1,"1-10%",IF(J1382&lt;=0.15,"11-15%",IF(J1382&lt;=0.2,"16-20%","21%+"))))</x:f>
        <x:v>21%+</x:v>
      </x:c>
      <x:c r="P1382" s="9" t="n">
        <x:f>IF(K1382=0,0,L1382/K1382)</x:f>
        <x:v>0.27032664358010994</x:v>
      </x:c>
      <x:c r="Q1382" s="3" t="str">
        <x:f>IF(L1382&lt;0,"Yes","No")</x:f>
        <x:v>No</x:v>
      </x:c>
    </x:row>
    <x:row r="1383" ht="21" customHeight="1">
      <x:c r="A1383" s="3" t="str">
        <x:v>ORD-100701</x:v>
      </x:c>
      <x:c r="B1383" s="5" t="n">
        <x:v>45651</x:v>
      </x:c>
      <x:c r="C1383" s="3" t="str">
        <x:v>CUST-00253</x:v>
      </x:c>
      <x:c r="D1383" s="3" t="str">
        <x:v>North</x:v>
      </x:c>
      <x:c r="E1383" s="3" t="str">
        <x:v>Fashion</x:v>
      </x:c>
      <x:c r="F1383" s="3" t="str">
        <x:v>Women</x:v>
      </x:c>
      <x:c r="G1383" s="3" t="str">
        <x:v>Knit Winter Sweater</x:v>
      </x:c>
      <x:c r="H1383" s="3" t="n">
        <x:v>1</x:v>
      </x:c>
      <x:c r="I1383" s="7" t="n">
        <x:v>2230.64</x:v>
      </x:c>
      <x:c r="J1383" s="9" t="n">
        <x:v>0.05</x:v>
      </x:c>
      <x:c r="K1383" s="7" t="n">
        <x:v>2119.11</x:v>
      </x:c>
      <x:c r="L1383" s="7" t="n">
        <x:v>735</x:v>
      </x:c>
      <x:c r="M1383" s="3" t="str">
        <x:v>UPI</x:v>
      </x:c>
      <x:c r="N1383" s="3" t="str">
        <x:f>TEXT(B1383,"yyyy-mm")</x:f>
        <x:v>2024-12</x:v>
      </x:c>
      <x:c r="O1383" s="3" t="str">
        <x:f>IF(J1383=0,"No discount",IF(J1383&lt;=0.1,"1-10%",IF(J1383&lt;=0.15,"11-15%",IF(J1383&lt;=0.2,"16-20%","21%+"))))</x:f>
        <x:v>1-10%</x:v>
      </x:c>
      <x:c r="P1383" s="9" t="n">
        <x:f>IF(K1383=0,0,L1383/K1383)</x:f>
        <x:v>0.34684372212862946</x:v>
      </x:c>
      <x:c r="Q1383" s="3" t="str">
        <x:f>IF(L1383&lt;0,"Yes","No")</x:f>
        <x:v>No</x:v>
      </x:c>
    </x:row>
    <x:row r="1384" ht="21" customHeight="1">
      <x:c r="A1384" s="3" t="str">
        <x:v>ORD-101085</x:v>
      </x:c>
      <x:c r="B1384" s="5" t="n">
        <x:v>45651</x:v>
      </x:c>
      <x:c r="C1384" s="3" t="str">
        <x:v>CUST-00503</x:v>
      </x:c>
      <x:c r="D1384" s="3" t="str">
        <x:v>East</x:v>
      </x:c>
      <x:c r="E1384" s="3" t="str">
        <x:v>Electronics</x:v>
      </x:c>
      <x:c r="F1384" s="3" t="str">
        <x:v>Laptop</x:v>
      </x:c>
      <x:c r="G1384" s="3" t="str">
        <x:v>AirBook Slim</x:v>
      </x:c>
      <x:c r="H1384" s="3" t="n">
        <x:v>3</x:v>
      </x:c>
      <x:c r="I1384" s="7" t="n">
        <x:v>79307.23</x:v>
      </x:c>
      <x:c r="J1384" s="9" t="n">
        <x:v>0.05</x:v>
      </x:c>
      <x:c r="K1384" s="7" t="n">
        <x:v>226025.61</x:v>
      </x:c>
      <x:c r="L1384" s="7" t="n">
        <x:v>20419.28</x:v>
      </x:c>
      <x:c r="M1384" s="3" t="str">
        <x:v>Credit Card</x:v>
      </x:c>
      <x:c r="N1384" s="3" t="str">
        <x:f>TEXT(B1384,"yyyy-mm")</x:f>
        <x:v>2024-12</x:v>
      </x:c>
      <x:c r="O1384" s="3" t="str">
        <x:f>IF(J1384=0,"No discount",IF(J1384&lt;=0.1,"1-10%",IF(J1384&lt;=0.15,"11-15%",IF(J1384&lt;=0.2,"16-20%","21%+"))))</x:f>
        <x:v>1-10%</x:v>
      </x:c>
      <x:c r="P1384" s="9" t="n">
        <x:f>IF(K1384=0,0,L1384/K1384)</x:f>
        <x:v>0.09034055919592475</x:v>
      </x:c>
      <x:c r="Q1384" s="3" t="str">
        <x:f>IF(L1384&lt;0,"Yes","No")</x:f>
        <x:v>No</x:v>
      </x:c>
    </x:row>
    <x:row r="1385" ht="21" customHeight="1">
      <x:c r="A1385" s="3" t="str">
        <x:v>ORD-101158</x:v>
      </x:c>
      <x:c r="B1385" s="5" t="n">
        <x:v>45651</x:v>
      </x:c>
      <x:c r="C1385" s="3" t="str">
        <x:v>CUST-00399</x:v>
      </x:c>
      <x:c r="D1385" s="3" t="str">
        <x:v>East</x:v>
      </x:c>
      <x:c r="E1385" s="3" t="str">
        <x:v>Electronics</x:v>
      </x:c>
      <x:c r="F1385" s="3" t="str">
        <x:v>Audio</x:v>
      </x:c>
      <x:c r="G1385" s="3" t="str">
        <x:v>SoundPods Pro</x:v>
      </x:c>
      <x:c r="H1385" s="3" t="n">
        <x:v>5</x:v>
      </x:c>
      <x:c r="I1385" s="7" t="n">
        <x:v>4920.07</x:v>
      </x:c>
      <x:c r="J1385" s="9" t="n">
        <x:v>0</x:v>
      </x:c>
      <x:c r="K1385" s="7" t="n">
        <x:v>24600.35</x:v>
      </x:c>
      <x:c r="L1385" s="7" t="n">
        <x:v>4471.53</x:v>
      </x:c>
      <x:c r="M1385" s="3" t="str">
        <x:v>UPI</x:v>
      </x:c>
      <x:c r="N1385" s="3" t="str">
        <x:f>TEXT(B1385,"yyyy-mm")</x:f>
        <x:v>2024-12</x:v>
      </x:c>
      <x:c r="O1385" s="3" t="str">
        <x:f>IF(J1385=0,"No discount",IF(J1385&lt;=0.1,"1-10%",IF(J1385&lt;=0.15,"11-15%",IF(J1385&lt;=0.2,"16-20%","21%+"))))</x:f>
        <x:v>No discount</x:v>
      </x:c>
      <x:c r="P1385" s="9" t="n">
        <x:f>IF(K1385=0,0,L1385/K1385)</x:f>
        <x:v>0.18176692608032</x:v>
      </x:c>
      <x:c r="Q1385" s="3" t="str">
        <x:f>IF(L1385&lt;0,"Yes","No")</x:f>
        <x:v>No</x:v>
      </x:c>
    </x:row>
    <x:row r="1386" ht="21" customHeight="1">
      <x:c r="A1386" s="3" t="str">
        <x:v>ORD-101863</x:v>
      </x:c>
      <x:c r="B1386" s="5" t="n">
        <x:v>45651</x:v>
      </x:c>
      <x:c r="C1386" s="3" t="str">
        <x:v>CUST-00166</x:v>
      </x:c>
      <x:c r="D1386" s="3" t="str">
        <x:v>South</x:v>
      </x:c>
      <x:c r="E1386" s="3" t="str">
        <x:v>Home &amp; Kitchen</x:v>
      </x:c>
      <x:c r="F1386" s="3" t="str">
        <x:v>Furniture</x:v>
      </x:c>
      <x:c r="G1386" s="3" t="str">
        <x:v>ErgoComfort Chair</x:v>
      </x:c>
      <x:c r="H1386" s="3" t="n">
        <x:v>1</x:v>
      </x:c>
      <x:c r="I1386" s="7" t="n">
        <x:v>8973.54</x:v>
      </x:c>
      <x:c r="J1386" s="9" t="n">
        <x:v>0</x:v>
      </x:c>
      <x:c r="K1386" s="7" t="n">
        <x:v>8973.54</x:v>
      </x:c>
      <x:c r="L1386" s="7" t="n">
        <x:v>2723.29</x:v>
      </x:c>
      <x:c r="M1386" s="3" t="str">
        <x:v>UPI</x:v>
      </x:c>
      <x:c r="N1386" s="3" t="str">
        <x:f>TEXT(B1386,"yyyy-mm")</x:f>
        <x:v>2024-12</x:v>
      </x:c>
      <x:c r="O1386" s="3" t="str">
        <x:f>IF(J1386=0,"No discount",IF(J1386&lt;=0.1,"1-10%",IF(J1386&lt;=0.15,"11-15%",IF(J1386&lt;=0.2,"16-20%","21%+"))))</x:f>
        <x:v>No discount</x:v>
      </x:c>
      <x:c r="P1386" s="9" t="n">
        <x:f>IF(K1386=0,0,L1386/K1386)</x:f>
        <x:v>0.30348000900425026</x:v>
      </x:c>
      <x:c r="Q1386" s="3" t="str">
        <x:f>IF(L1386&lt;0,"Yes","No")</x:f>
        <x:v>No</x:v>
      </x:c>
    </x:row>
    <x:row r="1387" ht="21" customHeight="1">
      <x:c r="A1387" s="3" t="str">
        <x:v>ORD-100074</x:v>
      </x:c>
      <x:c r="B1387" s="5" t="n">
        <x:v>45652</x:v>
      </x:c>
      <x:c r="C1387" s="3" t="str">
        <x:v>CUST-00195</x:v>
      </x:c>
      <x:c r="D1387" s="3" t="str">
        <x:v>East</x:v>
      </x:c>
      <x:c r="E1387" s="3" t="str">
        <x:v>Home &amp; Kitchen</x:v>
      </x:c>
      <x:c r="F1387" s="3" t="str">
        <x:v>Furniture</x:v>
      </x:c>
      <x:c r="G1387" s="3" t="str">
        <x:v>Oakwood Study Desk</x:v>
      </x:c>
      <x:c r="H1387" s="3" t="n">
        <x:v>4</x:v>
      </x:c>
      <x:c r="I1387" s="7" t="n">
        <x:v>13431.66</x:v>
      </x:c>
      <x:c r="J1387" s="9" t="n">
        <x:v>0.15</x:v>
      </x:c>
      <x:c r="K1387" s="7" t="n">
        <x:v>45667.64</x:v>
      </x:c>
      <x:c r="L1387" s="7" t="n">
        <x:v>8664.74</x:v>
      </x:c>
      <x:c r="M1387" s="3" t="str">
        <x:v>UPI</x:v>
      </x:c>
      <x:c r="N1387" s="3" t="str">
        <x:f>TEXT(B1387,"yyyy-mm")</x:f>
        <x:v>2024-12</x:v>
      </x:c>
      <x:c r="O1387" s="3" t="str">
        <x:f>IF(J1387=0,"No discount",IF(J1387&lt;=0.1,"1-10%",IF(J1387&lt;=0.15,"11-15%",IF(J1387&lt;=0.2,"16-20%","21%+"))))</x:f>
        <x:v>11-15%</x:v>
      </x:c>
      <x:c r="P1387" s="9" t="n">
        <x:f>IF(K1387=0,0,L1387/K1387)</x:f>
        <x:v>0.18973478813444267</x:v>
      </x:c>
      <x:c r="Q1387" s="3" t="str">
        <x:f>IF(L1387&lt;0,"Yes","No")</x:f>
        <x:v>No</x:v>
      </x:c>
    </x:row>
    <x:row r="1388" ht="21" customHeight="1">
      <x:c r="A1388" s="3" t="str">
        <x:v>ORD-100748</x:v>
      </x:c>
      <x:c r="B1388" s="5" t="n">
        <x:v>45652</x:v>
      </x:c>
      <x:c r="C1388" s="3" t="str">
        <x:v>CUST-00437</x:v>
      </x:c>
      <x:c r="D1388" s="3" t="str">
        <x:v>South</x:v>
      </x:c>
      <x:c r="E1388" s="3" t="str">
        <x:v>Electronics</x:v>
      </x:c>
      <x:c r="F1388" s="3" t="str">
        <x:v>Laptop</x:v>
      </x:c>
      <x:c r="G1388" s="3" t="str">
        <x:v>AirBook Slim</x:v>
      </x:c>
      <x:c r="H1388" s="3" t="n">
        <x:v>1</x:v>
      </x:c>
      <x:c r="I1388" s="7" t="n">
        <x:v>80573.59</x:v>
      </x:c>
      <x:c r="J1388" s="9" t="n">
        <x:v>0.2</x:v>
      </x:c>
      <x:c r="K1388" s="7" t="n">
        <x:v>64458.87</x:v>
      </x:c>
      <x:c r="L1388" s="7" t="n">
        <x:v>-2455.05</x:v>
      </x:c>
      <x:c r="M1388" s="3" t="str">
        <x:v>UPI</x:v>
      </x:c>
      <x:c r="N1388" s="3" t="str">
        <x:f>TEXT(B1388,"yyyy-mm")</x:f>
        <x:v>2024-12</x:v>
      </x:c>
      <x:c r="O1388" s="3" t="str">
        <x:f>IF(J1388=0,"No discount",IF(J1388&lt;=0.1,"1-10%",IF(J1388&lt;=0.15,"11-15%",IF(J1388&lt;=0.2,"16-20%","21%+"))))</x:f>
        <x:v>16-20%</x:v>
      </x:c>
      <x:c r="P1388" s="9" t="n">
        <x:f>IF(K1388=0,0,L1388/K1388)</x:f>
        <x:v>-0.038087077852900615</x:v>
      </x:c>
      <x:c r="Q1388" s="3" t="str">
        <x:f>IF(L1388&lt;0,"Yes","No")</x:f>
        <x:v>Yes</x:v>
      </x:c>
    </x:row>
    <x:row r="1389" ht="21" customHeight="1">
      <x:c r="A1389" s="3" t="str">
        <x:v>ORD-101948</x:v>
      </x:c>
      <x:c r="B1389" s="5" t="n">
        <x:v>45652</x:v>
      </x:c>
      <x:c r="C1389" s="3" t="str">
        <x:v>CUST-00360</x:v>
      </x:c>
      <x:c r="D1389" s="3" t="str">
        <x:v>North</x:v>
      </x:c>
      <x:c r="E1389" s="3" t="str">
        <x:v>Electronics</x:v>
      </x:c>
      <x:c r="F1389" s="3" t="str">
        <x:v>Laptop</x:v>
      </x:c>
      <x:c r="G1389" s="3" t="str">
        <x:v>AirBook Slim</x:v>
      </x:c>
      <x:c r="H1389" s="3" t="n">
        <x:v>1</x:v>
      </x:c>
      <x:c r="I1389" s="7" t="n">
        <x:v>79565.08</x:v>
      </x:c>
      <x:c r="J1389" s="9" t="n">
        <x:v>0.1</x:v>
      </x:c>
      <x:c r="K1389" s="7" t="n">
        <x:v>71608.57</x:v>
      </x:c>
      <x:c r="L1389" s="7" t="n">
        <x:v>7251.93</x:v>
      </x:c>
      <x:c r="M1389" s="3" t="str">
        <x:v>Cash on Delivery</x:v>
      </x:c>
      <x:c r="N1389" s="3" t="str">
        <x:f>TEXT(B1389,"yyyy-mm")</x:f>
        <x:v>2024-12</x:v>
      </x:c>
      <x:c r="O1389" s="3" t="str">
        <x:f>IF(J1389=0,"No discount",IF(J1389&lt;=0.1,"1-10%",IF(J1389&lt;=0.15,"11-15%",IF(J1389&lt;=0.2,"16-20%","21%+"))))</x:f>
        <x:v>1-10%</x:v>
      </x:c>
      <x:c r="P1389" s="9" t="n">
        <x:f>IF(K1389=0,0,L1389/K1389)</x:f>
        <x:v>0.10127181704647921</x:v>
      </x:c>
      <x:c r="Q1389" s="3" t="str">
        <x:f>IF(L1389&lt;0,"Yes","No")</x:f>
        <x:v>No</x:v>
      </x:c>
    </x:row>
    <x:row r="1390" ht="21" customHeight="1">
      <x:c r="A1390" s="3" t="str">
        <x:v>ORD-100122</x:v>
      </x:c>
      <x:c r="B1390" s="5" t="n">
        <x:v>45653</x:v>
      </x:c>
      <x:c r="C1390" s="3" t="str">
        <x:v>CUST-00446</x:v>
      </x:c>
      <x:c r="D1390" s="3" t="str">
        <x:v>East</x:v>
      </x:c>
      <x:c r="E1390" s="3" t="str">
        <x:v>Electronics</x:v>
      </x:c>
      <x:c r="F1390" s="3" t="str">
        <x:v>Mobile</x:v>
      </x:c>
      <x:c r="G1390" s="3" t="str">
        <x:v>Pixel Aura 12</x:v>
      </x:c>
      <x:c r="H1390" s="3" t="n">
        <x:v>2</x:v>
      </x:c>
      <x:c r="I1390" s="7" t="n">
        <x:v>33337.64</x:v>
      </x:c>
      <x:c r="J1390" s="9" t="n">
        <x:v>0.05</x:v>
      </x:c>
      <x:c r="K1390" s="7" t="n">
        <x:v>63341.52</x:v>
      </x:c>
      <x:c r="L1390" s="7" t="n">
        <x:v>7384.94</x:v>
      </x:c>
      <x:c r="M1390" s="3" t="str">
        <x:v>UPI</x:v>
      </x:c>
      <x:c r="N1390" s="3" t="str">
        <x:f>TEXT(B1390,"yyyy-mm")</x:f>
        <x:v>2024-12</x:v>
      </x:c>
      <x:c r="O1390" s="3" t="str">
        <x:f>IF(J1390=0,"No discount",IF(J1390&lt;=0.1,"1-10%",IF(J1390&lt;=0.15,"11-15%",IF(J1390&lt;=0.2,"16-20%","21%+"))))</x:f>
        <x:v>1-10%</x:v>
      </x:c>
      <x:c r="P1390" s="9" t="n">
        <x:f>IF(K1390=0,0,L1390/K1390)</x:f>
        <x:v>0.11658924509547608</x:v>
      </x:c>
      <x:c r="Q1390" s="3" t="str">
        <x:f>IF(L1390&lt;0,"Yes","No")</x:f>
        <x:v>No</x:v>
      </x:c>
    </x:row>
    <x:row r="1391" ht="21" customHeight="1">
      <x:c r="A1391" s="3" t="str">
        <x:v>ORD-101046</x:v>
      </x:c>
      <x:c r="B1391" s="5" t="n">
        <x:v>45653</x:v>
      </x:c>
      <x:c r="C1391" s="3" t="str">
        <x:v>CUST-00473</x:v>
      </x:c>
      <x:c r="D1391" s="3" t="str">
        <x:v>East</x:v>
      </x:c>
      <x:c r="E1391" s="3" t="str">
        <x:v>Home &amp; Kitchen</x:v>
      </x:c>
      <x:c r="F1391" s="3" t="str">
        <x:v>Decor</x:v>
      </x:c>
      <x:c r="G1391" s="3" t="str">
        <x:v>LED Wall Lamp</x:v>
      </x:c>
      <x:c r="H1391" s="3" t="n">
        <x:v>2</x:v>
      </x:c>
      <x:c r="I1391" s="7" t="n">
        <x:v>1048.86</x:v>
      </x:c>
      <x:c r="J1391" s="9" t="n">
        <x:v>0.05</x:v>
      </x:c>
      <x:c r="K1391" s="7" t="n">
        <x:v>1992.83</x:v>
      </x:c>
      <x:c r="L1391" s="7" t="n">
        <x:v>493.67</x:v>
      </x:c>
      <x:c r="M1391" s="3" t="str">
        <x:v>UPI</x:v>
      </x:c>
      <x:c r="N1391" s="3" t="str">
        <x:f>TEXT(B1391,"yyyy-mm")</x:f>
        <x:v>2024-12</x:v>
      </x:c>
      <x:c r="O1391" s="3" t="str">
        <x:f>IF(J1391=0,"No discount",IF(J1391&lt;=0.1,"1-10%",IF(J1391&lt;=0.15,"11-15%",IF(J1391&lt;=0.2,"16-20%","21%+"))))</x:f>
        <x:v>1-10%</x:v>
      </x:c>
      <x:c r="P1391" s="9" t="n">
        <x:f>IF(K1391=0,0,L1391/K1391)</x:f>
        <x:v>0.24772308726785527</x:v>
      </x:c>
      <x:c r="Q1391" s="3" t="str">
        <x:f>IF(L1391&lt;0,"Yes","No")</x:f>
        <x:v>No</x:v>
      </x:c>
    </x:row>
    <x:row r="1392" ht="21" customHeight="1">
      <x:c r="A1392" s="3" t="str">
        <x:v>ORD-101895</x:v>
      </x:c>
      <x:c r="B1392" s="5" t="n">
        <x:v>45653</x:v>
      </x:c>
      <x:c r="C1392" s="3" t="str">
        <x:v>CUST-00439</x:v>
      </x:c>
      <x:c r="D1392" s="3" t="str">
        <x:v>South</x:v>
      </x:c>
      <x:c r="E1392" s="3" t="str">
        <x:v>Sports</x:v>
      </x:c>
      <x:c r="F1392" s="3" t="str">
        <x:v>Outdoor</x:v>
      </x:c>
      <x:c r="G1392" s="3" t="str">
        <x:v>AllWeather Tent 4P</x:v>
      </x:c>
      <x:c r="H1392" s="3" t="n">
        <x:v>2</x:v>
      </x:c>
      <x:c r="I1392" s="7" t="n">
        <x:v>11808.01</x:v>
      </x:c>
      <x:c r="J1392" s="9" t="n">
        <x:v>0.2</x:v>
      </x:c>
      <x:c r="K1392" s="7" t="n">
        <x:v>18892.82</x:v>
      </x:c>
      <x:c r="L1392" s="7" t="n">
        <x:v>2396.08</x:v>
      </x:c>
      <x:c r="M1392" s="3" t="str">
        <x:v>UPI</x:v>
      </x:c>
      <x:c r="N1392" s="3" t="str">
        <x:f>TEXT(B1392,"yyyy-mm")</x:f>
        <x:v>2024-12</x:v>
      </x:c>
      <x:c r="O1392" s="3" t="str">
        <x:f>IF(J1392=0,"No discount",IF(J1392&lt;=0.1,"1-10%",IF(J1392&lt;=0.15,"11-15%",IF(J1392&lt;=0.2,"16-20%","21%+"))))</x:f>
        <x:v>16-20%</x:v>
      </x:c>
      <x:c r="P1392" s="9" t="n">
        <x:f>IF(K1392=0,0,L1392/K1392)</x:f>
        <x:v>0.1268248996179501</x:v>
      </x:c>
      <x:c r="Q1392" s="3" t="str">
        <x:f>IF(L1392&lt;0,"Yes","No")</x:f>
        <x:v>No</x:v>
      </x:c>
    </x:row>
    <x:row r="1393" ht="21" customHeight="1">
      <x:c r="A1393" s="3" t="str">
        <x:v>ORD-101107</x:v>
      </x:c>
      <x:c r="B1393" s="5" t="n">
        <x:v>45654</x:v>
      </x:c>
      <x:c r="C1393" s="3" t="str">
        <x:v>CUST-00156</x:v>
      </x:c>
      <x:c r="D1393" s="3" t="str">
        <x:v>North</x:v>
      </x:c>
      <x:c r="E1393" s="3" t="str">
        <x:v>Electronics</x:v>
      </x:c>
      <x:c r="F1393" s="3" t="str">
        <x:v>Mobile</x:v>
      </x:c>
      <x:c r="G1393" s="3" t="str">
        <x:v>Galaxy Nova X5</x:v>
      </x:c>
      <x:c r="H1393" s="3" t="n">
        <x:v>1</x:v>
      </x:c>
      <x:c r="I1393" s="7" t="n">
        <x:v>24441.96</x:v>
      </x:c>
      <x:c r="J1393" s="9" t="n">
        <x:v>0.1</x:v>
      </x:c>
      <x:c r="K1393" s="7" t="n">
        <x:v>21997.76</x:v>
      </x:c>
      <x:c r="L1393" s="7" t="n">
        <x:v>1306.32</x:v>
      </x:c>
      <x:c r="M1393" s="3" t="str">
        <x:v>Credit Card</x:v>
      </x:c>
      <x:c r="N1393" s="3" t="str">
        <x:f>TEXT(B1393,"yyyy-mm")</x:f>
        <x:v>2024-12</x:v>
      </x:c>
      <x:c r="O1393" s="3" t="str">
        <x:f>IF(J1393=0,"No discount",IF(J1393&lt;=0.1,"1-10%",IF(J1393&lt;=0.15,"11-15%",IF(J1393&lt;=0.2,"16-20%","21%+"))))</x:f>
        <x:v>1-10%</x:v>
      </x:c>
      <x:c r="P1393" s="9" t="n">
        <x:f>IF(K1393=0,0,L1393/K1393)</x:f>
        <x:v>0.05938422821232708</x:v>
      </x:c>
      <x:c r="Q1393" s="3" t="str">
        <x:f>IF(L1393&lt;0,"Yes","No")</x:f>
        <x:v>No</x:v>
      </x:c>
    </x:row>
    <x:row r="1394" ht="21" customHeight="1">
      <x:c r="A1394" s="3" t="str">
        <x:v>ORD-101436</x:v>
      </x:c>
      <x:c r="B1394" s="5" t="n">
        <x:v>45654</x:v>
      </x:c>
      <x:c r="C1394" s="3" t="str">
        <x:v>CUST-00567</x:v>
      </x:c>
      <x:c r="D1394" s="3" t="str">
        <x:v>North</x:v>
      </x:c>
      <x:c r="E1394" s="3" t="str">
        <x:v>Electronics</x:v>
      </x:c>
      <x:c r="F1394" s="3" t="str">
        <x:v>Audio</x:v>
      </x:c>
      <x:c r="G1394" s="3" t="str">
        <x:v>SoundPods Pro</x:v>
      </x:c>
      <x:c r="H1394" s="3" t="n">
        <x:v>3</x:v>
      </x:c>
      <x:c r="I1394" s="7" t="n">
        <x:v>4768.33</x:v>
      </x:c>
      <x:c r="J1394" s="9" t="n">
        <x:v>0</x:v>
      </x:c>
      <x:c r="K1394" s="7" t="n">
        <x:v>14304.99</x:v>
      </x:c>
      <x:c r="L1394" s="7" t="n">
        <x:v>2018.9</x:v>
      </x:c>
      <x:c r="M1394" s="3" t="str">
        <x:v>UPI</x:v>
      </x:c>
      <x:c r="N1394" s="3" t="str">
        <x:f>TEXT(B1394,"yyyy-mm")</x:f>
        <x:v>2024-12</x:v>
      </x:c>
      <x:c r="O1394" s="3" t="str">
        <x:f>IF(J1394=0,"No discount",IF(J1394&lt;=0.1,"1-10%",IF(J1394&lt;=0.15,"11-15%",IF(J1394&lt;=0.2,"16-20%","21%+"))))</x:f>
        <x:v>No discount</x:v>
      </x:c>
      <x:c r="P1394" s="9" t="n">
        <x:f>IF(K1394=0,0,L1394/K1394)</x:f>
        <x:v>0.1411325698235371</x:v>
      </x:c>
      <x:c r="Q1394" s="3" t="str">
        <x:f>IF(L1394&lt;0,"Yes","No")</x:f>
        <x:v>No</x:v>
      </x:c>
    </x:row>
    <x:row r="1395" ht="21" customHeight="1">
      <x:c r="A1395" s="3" t="str">
        <x:v>ORD-101508</x:v>
      </x:c>
      <x:c r="B1395" s="5" t="n">
        <x:v>45654</x:v>
      </x:c>
      <x:c r="C1395" s="3" t="str">
        <x:v>CUST-00097</x:v>
      </x:c>
      <x:c r="D1395" s="3" t="str">
        <x:v>South</x:v>
      </x:c>
      <x:c r="E1395" s="3" t="str">
        <x:v>Electronics</x:v>
      </x:c>
      <x:c r="F1395" s="3" t="str">
        <x:v>Audio</x:v>
      </x:c>
      <x:c r="G1395" s="3" t="str">
        <x:v>SoundPods Pro</x:v>
      </x:c>
      <x:c r="H1395" s="3" t="n">
        <x:v>2</x:v>
      </x:c>
      <x:c r="I1395" s="7" t="n">
        <x:v>5096.95</x:v>
      </x:c>
      <x:c r="J1395" s="9" t="n">
        <x:v>0.05</x:v>
      </x:c>
      <x:c r="K1395" s="7" t="n">
        <x:v>9684.2</x:v>
      </x:c>
      <x:c r="L1395" s="7" t="n">
        <x:v>1435.76</x:v>
      </x:c>
      <x:c r="M1395" s="3" t="str">
        <x:v>Debit Card</x:v>
      </x:c>
      <x:c r="N1395" s="3" t="str">
        <x:f>TEXT(B1395,"yyyy-mm")</x:f>
        <x:v>2024-12</x:v>
      </x:c>
      <x:c r="O1395" s="3" t="str">
        <x:f>IF(J1395=0,"No discount",IF(J1395&lt;=0.1,"1-10%",IF(J1395&lt;=0.15,"11-15%",IF(J1395&lt;=0.2,"16-20%","21%+"))))</x:f>
        <x:v>1-10%</x:v>
      </x:c>
      <x:c r="P1395" s="9" t="n">
        <x:f>IF(K1395=0,0,L1395/K1395)</x:f>
        <x:v>0.14825798723694264</x:v>
      </x:c>
      <x:c r="Q1395" s="3" t="str">
        <x:f>IF(L1395&lt;0,"Yes","No")</x:f>
        <x:v>No</x:v>
      </x:c>
    </x:row>
    <x:row r="1396" ht="21" customHeight="1">
      <x:c r="A1396" s="3" t="str">
        <x:v>ORD-100952</x:v>
      </x:c>
      <x:c r="B1396" s="5" t="n">
        <x:v>45655</x:v>
      </x:c>
      <x:c r="C1396" s="3" t="str">
        <x:v>CUST-00591</x:v>
      </x:c>
      <x:c r="D1396" s="3" t="str">
        <x:v>East</x:v>
      </x:c>
      <x:c r="E1396" s="3" t="str">
        <x:v>Electronics</x:v>
      </x:c>
      <x:c r="F1396" s="3" t="str">
        <x:v>Mobile</x:v>
      </x:c>
      <x:c r="G1396" s="3" t="str">
        <x:v>Galaxy Nova X5</x:v>
      </x:c>
      <x:c r="H1396" s="3" t="n">
        <x:v>1</x:v>
      </x:c>
      <x:c r="I1396" s="7" t="n">
        <x:v>25887.9</x:v>
      </x:c>
      <x:c r="J1396" s="9" t="n">
        <x:v>0</x:v>
      </x:c>
      <x:c r="K1396" s="7" t="n">
        <x:v>25887.9</x:v>
      </x:c>
      <x:c r="L1396" s="7" t="n">
        <x:v>4834.57</x:v>
      </x:c>
      <x:c r="M1396" s="3" t="str">
        <x:v>Credit Card</x:v>
      </x:c>
      <x:c r="N1396" s="3" t="str">
        <x:f>TEXT(B1396,"yyyy-mm")</x:f>
        <x:v>2024-12</x:v>
      </x:c>
      <x:c r="O1396" s="3" t="str">
        <x:f>IF(J1396=0,"No discount",IF(J1396&lt;=0.1,"1-10%",IF(J1396&lt;=0.15,"11-15%",IF(J1396&lt;=0.2,"16-20%","21%+"))))</x:f>
        <x:v>No discount</x:v>
      </x:c>
      <x:c r="P1396" s="9" t="n">
        <x:f>IF(K1396=0,0,L1396/K1396)</x:f>
        <x:v>0.18675018058629705</x:v>
      </x:c>
      <x:c r="Q1396" s="3" t="str">
        <x:f>IF(L1396&lt;0,"Yes","No")</x:f>
        <x:v>No</x:v>
      </x:c>
    </x:row>
    <x:row r="1397" ht="21" customHeight="1">
      <x:c r="A1397" s="3" t="str">
        <x:v>ORD-101207</x:v>
      </x:c>
      <x:c r="B1397" s="5" t="n">
        <x:v>45655</x:v>
      </x:c>
      <x:c r="C1397" s="3" t="str">
        <x:v>CUST-00539</x:v>
      </x:c>
      <x:c r="D1397" s="3" t="str">
        <x:v>West</x:v>
      </x:c>
      <x:c r="E1397" s="3" t="str">
        <x:v>Home &amp; Kitchen</x:v>
      </x:c>
      <x:c r="F1397" s="3" t="str">
        <x:v>Furniture</x:v>
      </x:c>
      <x:c r="G1397" s="3" t="str">
        <x:v>ErgoComfort Chair</x:v>
      </x:c>
      <x:c r="H1397" s="3" t="n">
        <x:v>2</x:v>
      </x:c>
      <x:c r="I1397" s="7" t="n">
        <x:v>9316.63</x:v>
      </x:c>
      <x:c r="J1397" s="9" t="n">
        <x:v>0</x:v>
      </x:c>
      <x:c r="K1397" s="7" t="n">
        <x:v>18633.26</x:v>
      </x:c>
      <x:c r="L1397" s="7" t="n">
        <x:v>5759.64</x:v>
      </x:c>
      <x:c r="M1397" s="3" t="str">
        <x:v>UPI</x:v>
      </x:c>
      <x:c r="N1397" s="3" t="str">
        <x:f>TEXT(B1397,"yyyy-mm")</x:f>
        <x:v>2024-12</x:v>
      </x:c>
      <x:c r="O1397" s="3" t="str">
        <x:f>IF(J1397=0,"No discount",IF(J1397&lt;=0.1,"1-10%",IF(J1397&lt;=0.15,"11-15%",IF(J1397&lt;=0.2,"16-20%","21%+"))))</x:f>
        <x:v>No discount</x:v>
      </x:c>
      <x:c r="P1397" s="9" t="n">
        <x:f>IF(K1397=0,0,L1397/K1397)</x:f>
        <x:v>0.3091053310048806</x:v>
      </x:c>
      <x:c r="Q1397" s="3" t="str">
        <x:f>IF(L1397&lt;0,"Yes","No")</x:f>
        <x:v>No</x:v>
      </x:c>
    </x:row>
    <x:row r="1398" ht="21" customHeight="1">
      <x:c r="A1398" s="3" t="str">
        <x:v>ORD-101610</x:v>
      </x:c>
      <x:c r="B1398" s="5" t="n">
        <x:v>45655</x:v>
      </x:c>
      <x:c r="C1398" s="3" t="str">
        <x:v>CUST-00053</x:v>
      </x:c>
      <x:c r="D1398" s="3" t="str">
        <x:v>West</x:v>
      </x:c>
      <x:c r="E1398" s="3" t="str">
        <x:v>Electronics</x:v>
      </x:c>
      <x:c r="F1398" s="3" t="str">
        <x:v>Audio</x:v>
      </x:c>
      <x:c r="G1398" s="3" t="str">
        <x:v>BassBoom Speaker</x:v>
      </x:c>
      <x:c r="H1398" s="3" t="n">
        <x:v>2</x:v>
      </x:c>
      <x:c r="I1398" s="7" t="n">
        <x:v>8590.07</x:v>
      </x:c>
      <x:c r="J1398" s="9" t="n">
        <x:v>0.1</x:v>
      </x:c>
      <x:c r="K1398" s="7" t="n">
        <x:v>15462.13</x:v>
      </x:c>
      <x:c r="L1398" s="7" t="n">
        <x:v>1313.31</x:v>
      </x:c>
      <x:c r="M1398" s="3" t="str">
        <x:v>Debit Card</x:v>
      </x:c>
      <x:c r="N1398" s="3" t="str">
        <x:f>TEXT(B1398,"yyyy-mm")</x:f>
        <x:v>2024-12</x:v>
      </x:c>
      <x:c r="O1398" s="3" t="str">
        <x:f>IF(J1398=0,"No discount",IF(J1398&lt;=0.1,"1-10%",IF(J1398&lt;=0.15,"11-15%",IF(J1398&lt;=0.2,"16-20%","21%+"))))</x:f>
        <x:v>1-10%</x:v>
      </x:c>
      <x:c r="P1398" s="9" t="n">
        <x:f>IF(K1398=0,0,L1398/K1398)</x:f>
        <x:v>0.08493719817386092</x:v>
      </x:c>
      <x:c r="Q1398" s="3" t="str">
        <x:f>IF(L1398&lt;0,"Yes","No")</x:f>
        <x:v>No</x:v>
      </x:c>
    </x:row>
    <x:row r="1399" ht="21" customHeight="1">
      <x:c r="A1399" s="3" t="str">
        <x:v>ORD-101462</x:v>
      </x:c>
      <x:c r="B1399" s="5" t="n">
        <x:v>45656</x:v>
      </x:c>
      <x:c r="C1399" s="3" t="str">
        <x:v>CUST-00118</x:v>
      </x:c>
      <x:c r="D1399" s="3" t="str">
        <x:v>East</x:v>
      </x:c>
      <x:c r="E1399" s="3" t="str">
        <x:v>Electronics</x:v>
      </x:c>
      <x:c r="F1399" s="3" t="str">
        <x:v>Laptop</x:v>
      </x:c>
      <x:c r="G1399" s="3" t="str">
        <x:v>AirBook Slim</x:v>
      </x:c>
      <x:c r="H1399" s="3" t="n">
        <x:v>2</x:v>
      </x:c>
      <x:c r="I1399" s="7" t="n">
        <x:v>78062.87</x:v>
      </x:c>
      <x:c r="J1399" s="9" t="n">
        <x:v>0.2</x:v>
      </x:c>
      <x:c r="K1399" s="7" t="n">
        <x:v>124900.59</x:v>
      </x:c>
      <x:c r="L1399" s="7" t="n">
        <x:v>-10600.68</x:v>
      </x:c>
      <x:c r="M1399" s="3" t="str">
        <x:v>UPI</x:v>
      </x:c>
      <x:c r="N1399" s="3" t="str">
        <x:f>TEXT(B1399,"yyyy-mm")</x:f>
        <x:v>2024-12</x:v>
      </x:c>
      <x:c r="O1399" s="3" t="str">
        <x:f>IF(J1399=0,"No discount",IF(J1399&lt;=0.1,"1-10%",IF(J1399&lt;=0.15,"11-15%",IF(J1399&lt;=0.2,"16-20%","21%+"))))</x:f>
        <x:v>16-20%</x:v>
      </x:c>
      <x:c r="P1399" s="9" t="n">
        <x:f>IF(K1399=0,0,L1399/K1399)</x:f>
        <x:v>-0.08487293774993378</x:v>
      </x:c>
      <x:c r="Q1399" s="3" t="str">
        <x:f>IF(L1399&lt;0,"Yes","No")</x:f>
        <x:v>Yes</x:v>
      </x:c>
    </x:row>
    <x:row r="1400" ht="21" customHeight="1">
      <x:c r="A1400" s="3" t="str">
        <x:v>ORD-101563</x:v>
      </x:c>
      <x:c r="B1400" s="5" t="n">
        <x:v>45656</x:v>
      </x:c>
      <x:c r="C1400" s="3" t="str">
        <x:v>CUST-00138</x:v>
      </x:c>
      <x:c r="D1400" s="3" t="str">
        <x:v>North</x:v>
      </x:c>
      <x:c r="E1400" s="3" t="str">
        <x:v>Electronics</x:v>
      </x:c>
      <x:c r="F1400" s="3" t="str">
        <x:v>Mobile</x:v>
      </x:c>
      <x:c r="G1400" s="3" t="str">
        <x:v>iPhone Zeta</x:v>
      </x:c>
      <x:c r="H1400" s="3" t="n">
        <x:v>1</x:v>
      </x:c>
      <x:c r="I1400" s="7" t="n">
        <x:v>68350.58</x:v>
      </x:c>
      <x:c r="J1400" s="9" t="n">
        <x:v>0</x:v>
      </x:c>
      <x:c r="K1400" s="7" t="n">
        <x:v>68350.58</x:v>
      </x:c>
      <x:c r="L1400" s="7" t="n">
        <x:v>10481.47</x:v>
      </x:c>
      <x:c r="M1400" s="3" t="str">
        <x:v>UPI</x:v>
      </x:c>
      <x:c r="N1400" s="3" t="str">
        <x:f>TEXT(B1400,"yyyy-mm")</x:f>
        <x:v>2024-12</x:v>
      </x:c>
      <x:c r="O1400" s="3" t="str">
        <x:f>IF(J1400=0,"No discount",IF(J1400&lt;=0.1,"1-10%",IF(J1400&lt;=0.15,"11-15%",IF(J1400&lt;=0.2,"16-20%","21%+"))))</x:f>
        <x:v>No discount</x:v>
      </x:c>
      <x:c r="P1400" s="9" t="n">
        <x:f>IF(K1400=0,0,L1400/K1400)</x:f>
        <x:v>0.15334866214741702</x:v>
      </x:c>
      <x:c r="Q1400" s="3" t="str">
        <x:f>IF(L1400&lt;0,"Yes","No")</x:f>
        <x:v>No</x:v>
      </x:c>
    </x:row>
    <x:row r="1401" ht="21" customHeight="1">
      <x:c r="A1401" s="3" t="str">
        <x:v>ORD-101603</x:v>
      </x:c>
      <x:c r="B1401" s="5" t="n">
        <x:v>45656</x:v>
      </x:c>
      <x:c r="C1401" s="3" t="str">
        <x:v>CUST-00263</x:v>
      </x:c>
      <x:c r="D1401" s="3" t="str">
        <x:v>West</x:v>
      </x:c>
      <x:c r="E1401" s="3" t="str">
        <x:v>Sports</x:v>
      </x:c>
      <x:c r="F1401" s="3" t="str">
        <x:v>Outdoor</x:v>
      </x:c>
      <x:c r="G1401" s="3" t="str">
        <x:v>TrailHike Backpack 60L</x:v>
      </x:c>
      <x:c r="H1401" s="3" t="n">
        <x:v>4</x:v>
      </x:c>
      <x:c r="I1401" s="7" t="n">
        <x:v>3441.71</x:v>
      </x:c>
      <x:c r="J1401" s="9" t="n">
        <x:v>0</x:v>
      </x:c>
      <x:c r="K1401" s="7" t="n">
        <x:v>13766.84</x:v>
      </x:c>
      <x:c r="L1401" s="7" t="n">
        <x:v>5382.5</x:v>
      </x:c>
      <x:c r="M1401" s="3" t="str">
        <x:v>Credit Card</x:v>
      </x:c>
      <x:c r="N1401" s="3" t="str">
        <x:f>TEXT(B1401,"yyyy-mm")</x:f>
        <x:v>2024-12</x:v>
      </x:c>
      <x:c r="O1401" s="3" t="str">
        <x:f>IF(J1401=0,"No discount",IF(J1401&lt;=0.1,"1-10%",IF(J1401&lt;=0.15,"11-15%",IF(J1401&lt;=0.2,"16-20%","21%+"))))</x:f>
        <x:v>No discount</x:v>
      </x:c>
      <x:c r="P1401" s="9" t="n">
        <x:f>IF(K1401=0,0,L1401/K1401)</x:f>
        <x:v>0.3909757068434005</x:v>
      </x:c>
      <x:c r="Q1401" s="3" t="str">
        <x:f>IF(L1401&lt;0,"Yes","No")</x:f>
        <x:v>No</x:v>
      </x:c>
    </x:row>
    <x:row r="1402" ht="21" customHeight="1">
      <x:c r="A1402" s="3" t="str">
        <x:v>ORD-101771</x:v>
      </x:c>
      <x:c r="B1402" s="5" t="n">
        <x:v>45656</x:v>
      </x:c>
      <x:c r="C1402" s="3" t="str">
        <x:v>CUST-00461</x:v>
      </x:c>
      <x:c r="D1402" s="3" t="str">
        <x:v>North</x:v>
      </x:c>
      <x:c r="E1402" s="3" t="str">
        <x:v>Electronics</x:v>
      </x:c>
      <x:c r="F1402" s="3" t="str">
        <x:v>Audio</x:v>
      </x:c>
      <x:c r="G1402" s="3" t="str">
        <x:v>SoundPods Pro</x:v>
      </x:c>
      <x:c r="H1402" s="3" t="n">
        <x:v>2</x:v>
      </x:c>
      <x:c r="I1402" s="7" t="n">
        <x:v>4790.88</x:v>
      </x:c>
      <x:c r="J1402" s="9" t="n">
        <x:v>0</x:v>
      </x:c>
      <x:c r="K1402" s="7" t="n">
        <x:v>9581.76</x:v>
      </x:c>
      <x:c r="L1402" s="7" t="n">
        <x:v>1648.66</x:v>
      </x:c>
      <x:c r="M1402" s="3" t="str">
        <x:v>UPI</x:v>
      </x:c>
      <x:c r="N1402" s="3" t="str">
        <x:f>TEXT(B1402,"yyyy-mm")</x:f>
        <x:v>2024-12</x:v>
      </x:c>
      <x:c r="O1402" s="3" t="str">
        <x:f>IF(J1402=0,"No discount",IF(J1402&lt;=0.1,"1-10%",IF(J1402&lt;=0.15,"11-15%",IF(J1402&lt;=0.2,"16-20%","21%+"))))</x:f>
        <x:v>No discount</x:v>
      </x:c>
      <x:c r="P1402" s="9" t="n">
        <x:f>IF(K1402=0,0,L1402/K1402)</x:f>
        <x:v>0.17206233510336305</x:v>
      </x:c>
      <x:c r="Q1402" s="3" t="str">
        <x:f>IF(L1402&lt;0,"Yes","No")</x:f>
        <x:v>No</x:v>
      </x:c>
    </x:row>
    <x:row r="1403" ht="21" customHeight="1">
      <x:c r="A1403" s="3" t="str">
        <x:v>ORD-101941</x:v>
      </x:c>
      <x:c r="B1403" s="5" t="n">
        <x:v>45656</x:v>
      </x:c>
      <x:c r="C1403" s="3" t="str">
        <x:v>CUST-00107</x:v>
      </x:c>
      <x:c r="D1403" s="3" t="str">
        <x:v>West</x:v>
      </x:c>
      <x:c r="E1403" s="3" t="str">
        <x:v>Fashion</x:v>
      </x:c>
      <x:c r="F1403" s="3" t="str">
        <x:v>Men</x:v>
      </x:c>
      <x:c r="G1403" s="3" t="str">
        <x:v>SlimFit Denim Jeans</x:v>
      </x:c>
      <x:c r="H1403" s="3" t="n">
        <x:v>2</x:v>
      </x:c>
      <x:c r="I1403" s="7" t="n">
        <x:v>1983.45</x:v>
      </x:c>
      <x:c r="J1403" s="9" t="n">
        <x:v>0</x:v>
      </x:c>
      <x:c r="K1403" s="7" t="n">
        <x:v>3966.9</x:v>
      </x:c>
      <x:c r="L1403" s="7" t="n">
        <x:v>1581.3</x:v>
      </x:c>
      <x:c r="M1403" s="3" t="str">
        <x:v>Debit Card</x:v>
      </x:c>
      <x:c r="N1403" s="3" t="str">
        <x:f>TEXT(B1403,"yyyy-mm")</x:f>
        <x:v>2024-12</x:v>
      </x:c>
      <x:c r="O1403" s="3" t="str">
        <x:f>IF(J1403=0,"No discount",IF(J1403&lt;=0.1,"1-10%",IF(J1403&lt;=0.15,"11-15%",IF(J1403&lt;=0.2,"16-20%","21%+"))))</x:f>
        <x:v>No discount</x:v>
      </x:c>
      <x:c r="P1403" s="9" t="n">
        <x:f>IF(K1403=0,0,L1403/K1403)</x:f>
        <x:v>0.39862361037586025</x:v>
      </x:c>
      <x:c r="Q1403" s="3" t="str">
        <x:f>IF(L1403&lt;0,"Yes","No")</x:f>
        <x:v>No</x:v>
      </x:c>
    </x:row>
    <x:row r="1404" ht="21" customHeight="1">
      <x:c r="A1404" s="3" t="str">
        <x:v>ORD-101028</x:v>
      </x:c>
      <x:c r="B1404" s="5" t="n">
        <x:v>45657</x:v>
      </x:c>
      <x:c r="C1404" s="3" t="str">
        <x:v>CUST-00155</x:v>
      </x:c>
      <x:c r="D1404" s="3" t="str">
        <x:v>North</x:v>
      </x:c>
      <x:c r="E1404" s="3" t="str">
        <x:v>Electronics</x:v>
      </x:c>
      <x:c r="F1404" s="3" t="str">
        <x:v>Audio</x:v>
      </x:c>
      <x:c r="G1404" s="3" t="str">
        <x:v>SoundPods Pro</x:v>
      </x:c>
      <x:c r="H1404" s="3" t="n">
        <x:v>3</x:v>
      </x:c>
      <x:c r="I1404" s="7" t="n">
        <x:v>4753.38</x:v>
      </x:c>
      <x:c r="J1404" s="9" t="n">
        <x:v>0</x:v>
      </x:c>
      <x:c r="K1404" s="7" t="n">
        <x:v>14260.14</x:v>
      </x:c>
      <x:c r="L1404" s="7" t="n">
        <x:v>2980.08</x:v>
      </x:c>
      <x:c r="M1404" s="3" t="str">
        <x:v>Net Banking</x:v>
      </x:c>
      <x:c r="N1404" s="3" t="str">
        <x:f>TEXT(B1404,"yyyy-mm")</x:f>
        <x:v>2024-12</x:v>
      </x:c>
      <x:c r="O1404" s="3" t="str">
        <x:f>IF(J1404=0,"No discount",IF(J1404&lt;=0.1,"1-10%",IF(J1404&lt;=0.15,"11-15%",IF(J1404&lt;=0.2,"16-20%","21%+"))))</x:f>
        <x:v>No discount</x:v>
      </x:c>
      <x:c r="P1404" s="9" t="n">
        <x:f>IF(K1404=0,0,L1404/K1404)</x:f>
        <x:v>0.20897971548666422</x:v>
      </x:c>
      <x:c r="Q1404" s="3" t="str">
        <x:f>IF(L1404&lt;0,"Yes","No")</x:f>
        <x:v>No</x:v>
      </x:c>
    </x:row>
    <x:row r="1405" ht="21" customHeight="1">
      <x:c r="A1405" s="3" t="str">
        <x:v>ORD-101139</x:v>
      </x:c>
      <x:c r="B1405" s="5" t="n">
        <x:v>45657</x:v>
      </x:c>
      <x:c r="C1405" s="3" t="str">
        <x:v>CUST-00090</x:v>
      </x:c>
      <x:c r="D1405" s="3" t="str">
        <x:v>West</x:v>
      </x:c>
      <x:c r="E1405" s="3" t="str">
        <x:v>Sports</x:v>
      </x:c>
      <x:c r="F1405" s="3" t="str">
        <x:v>Fitness</x:v>
      </x:c>
      <x:c r="G1405" s="3" t="str">
        <x:v>ProYoga Mat</x:v>
      </x:c>
      <x:c r="H1405" s="3" t="n">
        <x:v>5</x:v>
      </x:c>
      <x:c r="I1405" s="7" t="n">
        <x:v>1257.12</x:v>
      </x:c>
      <x:c r="J1405" s="9" t="n">
        <x:v>0</x:v>
      </x:c>
      <x:c r="K1405" s="7" t="n">
        <x:v>6285.6</x:v>
      </x:c>
      <x:c r="L1405" s="7" t="n">
        <x:v>2204.23</x:v>
      </x:c>
      <x:c r="M1405" s="3" t="str">
        <x:v>UPI</x:v>
      </x:c>
      <x:c r="N1405" s="3" t="str">
        <x:f>TEXT(B1405,"yyyy-mm")</x:f>
        <x:v>2024-12</x:v>
      </x:c>
      <x:c r="O1405" s="3" t="str">
        <x:f>IF(J1405=0,"No discount",IF(J1405&lt;=0.1,"1-10%",IF(J1405&lt;=0.15,"11-15%",IF(J1405&lt;=0.2,"16-20%","21%+"))))</x:f>
        <x:v>No discount</x:v>
      </x:c>
      <x:c r="P1405" s="9" t="n">
        <x:f>IF(K1405=0,0,L1405/K1405)</x:f>
        <x:v>0.35067933053328243</x:v>
      </x:c>
      <x:c r="Q1405" s="3" t="str">
        <x:f>IF(L1405&lt;0,"Yes","No")</x:f>
        <x:v>No</x:v>
      </x:c>
    </x:row>
    <x:row r="1406" ht="21" customHeight="1">
      <x:c r="A1406" s="3" t="str">
        <x:v>ORD-101179</x:v>
      </x:c>
      <x:c r="B1406" s="5" t="n">
        <x:v>45657</x:v>
      </x:c>
      <x:c r="C1406" s="3" t="str">
        <x:v>CUST-00484</x:v>
      </x:c>
      <x:c r="D1406" s="3" t="str">
        <x:v>West</x:v>
      </x:c>
      <x:c r="E1406" s="3" t="str">
        <x:v>Sports</x:v>
      </x:c>
      <x:c r="F1406" s="3" t="str">
        <x:v>Fitness</x:v>
      </x:c>
      <x:c r="G1406" s="3" t="str">
        <x:v>ProYoga Mat</x:v>
      </x:c>
      <x:c r="H1406" s="3" t="n">
        <x:v>1</x:v>
      </x:c>
      <x:c r="I1406" s="7" t="n">
        <x:v>1333.31</x:v>
      </x:c>
      <x:c r="J1406" s="9" t="n">
        <x:v>0.05</x:v>
      </x:c>
      <x:c r="K1406" s="7" t="n">
        <x:v>1266.64</x:v>
      </x:c>
      <x:c r="L1406" s="7" t="n">
        <x:v>383.28</x:v>
      </x:c>
      <x:c r="M1406" s="3" t="str">
        <x:v>Credit Card</x:v>
      </x:c>
      <x:c r="N1406" s="3" t="str">
        <x:f>TEXT(B1406,"yyyy-mm")</x:f>
        <x:v>2024-12</x:v>
      </x:c>
      <x:c r="O1406" s="3" t="str">
        <x:f>IF(J1406=0,"No discount",IF(J1406&lt;=0.1,"1-10%",IF(J1406&lt;=0.15,"11-15%",IF(J1406&lt;=0.2,"16-20%","21%+"))))</x:f>
        <x:v>1-10%</x:v>
      </x:c>
      <x:c r="P1406" s="9" t="n">
        <x:f>IF(K1406=0,0,L1406/K1406)</x:f>
        <x:v>0.30259584412303414</x:v>
      </x:c>
      <x:c r="Q1406" s="3" t="str">
        <x:f>IF(L1406&lt;0,"Yes","No")</x:f>
        <x:v>No</x:v>
      </x:c>
    </x:row>
    <x:row r="1407" ht="21" customHeight="1">
      <x:c r="A1407" s="3" t="str">
        <x:v>ORD-101429</x:v>
      </x:c>
      <x:c r="B1407" s="5" t="n">
        <x:v>45657</x:v>
      </x:c>
      <x:c r="C1407" s="3" t="str">
        <x:v>CUST-00450</x:v>
      </x:c>
      <x:c r="D1407" s="3" t="str">
        <x:v>South</x:v>
      </x:c>
      <x:c r="E1407" s="3" t="str">
        <x:v>Sports</x:v>
      </x:c>
      <x:c r="F1407" s="3" t="str">
        <x:v>Outdoor</x:v>
      </x:c>
      <x:c r="G1407" s="3" t="str">
        <x:v>TrailHike Backpack 60L</x:v>
      </x:c>
      <x:c r="H1407" s="3" t="n">
        <x:v>2</x:v>
      </x:c>
      <x:c r="I1407" s="7" t="n">
        <x:v>3437.39</x:v>
      </x:c>
      <x:c r="J1407" s="9" t="n">
        <x:v>0.05</x:v>
      </x:c>
      <x:c r="K1407" s="7" t="n">
        <x:v>6531.04</x:v>
      </x:c>
      <x:c r="L1407" s="7" t="n">
        <x:v>1943.4</x:v>
      </x:c>
      <x:c r="M1407" s="3" t="str">
        <x:v>UPI</x:v>
      </x:c>
      <x:c r="N1407" s="3" t="str">
        <x:f>TEXT(B1407,"yyyy-mm")</x:f>
        <x:v>2024-12</x:v>
      </x:c>
      <x:c r="O1407" s="3" t="str">
        <x:f>IF(J1407=0,"No discount",IF(J1407&lt;=0.1,"1-10%",IF(J1407&lt;=0.15,"11-15%",IF(J1407&lt;=0.2,"16-20%","21%+"))))</x:f>
        <x:v>1-10%</x:v>
      </x:c>
      <x:c r="P1407" s="9" t="n">
        <x:f>IF(K1407=0,0,L1407/K1407)</x:f>
        <x:v>0.2975636345819349</x:v>
      </x:c>
      <x:c r="Q1407" s="3" t="str">
        <x:f>IF(L1407&lt;0,"Yes","No")</x:f>
        <x:v>No</x:v>
      </x:c>
    </x:row>
    <x:row r="1408" ht="21" customHeight="1">
      <x:c r="A1408" s="3" t="str">
        <x:v>ORD-101617</x:v>
      </x:c>
      <x:c r="B1408" s="5" t="n">
        <x:v>45657</x:v>
      </x:c>
      <x:c r="C1408" s="3" t="str">
        <x:v>CUST-00122</x:v>
      </x:c>
      <x:c r="D1408" s="3" t="str">
        <x:v>West</x:v>
      </x:c>
      <x:c r="E1408" s="3" t="str">
        <x:v>Sports</x:v>
      </x:c>
      <x:c r="F1408" s="3" t="str">
        <x:v>Outdoor</x:v>
      </x:c>
      <x:c r="G1408" s="3" t="str">
        <x:v>AllWeather Tent 4P</x:v>
      </x:c>
      <x:c r="H1408" s="3" t="n">
        <x:v>3</x:v>
      </x:c>
      <x:c r="I1408" s="7" t="n">
        <x:v>12198.64</x:v>
      </x:c>
      <x:c r="J1408" s="9" t="n">
        <x:v>0</x:v>
      </x:c>
      <x:c r="K1408" s="7" t="n">
        <x:v>36595.92</x:v>
      </x:c>
      <x:c r="L1408" s="7" t="n">
        <x:v>12500.94</x:v>
      </x:c>
      <x:c r="M1408" s="3" t="str">
        <x:v>Credit Card</x:v>
      </x:c>
      <x:c r="N1408" s="3" t="str">
        <x:f>TEXT(B1408,"yyyy-mm")</x:f>
        <x:v>2024-12</x:v>
      </x:c>
      <x:c r="O1408" s="3" t="str">
        <x:f>IF(J1408=0,"No discount",IF(J1408&lt;=0.1,"1-10%",IF(J1408&lt;=0.15,"11-15%",IF(J1408&lt;=0.2,"16-20%","21%+"))))</x:f>
        <x:v>No discount</x:v>
      </x:c>
      <x:c r="P1408" s="9" t="n">
        <x:f>IF(K1408=0,0,L1408/K1408)</x:f>
        <x:v>0.3415938170156674</x:v>
      </x:c>
      <x:c r="Q1408" s="3" t="str">
        <x:f>IF(L1408&lt;0,"Yes","No")</x:f>
        <x:v>No</x:v>
      </x:c>
    </x:row>
    <x:row r="1409" ht="21" customHeight="1">
      <x:c r="A1409" s="3" t="str">
        <x:v>ORD-100755</x:v>
      </x:c>
      <x:c r="B1409" s="5" t="n">
        <x:v>45658</x:v>
      </x:c>
      <x:c r="C1409" s="3" t="str">
        <x:v>CUST-00228</x:v>
      </x:c>
      <x:c r="D1409" s="3" t="str">
        <x:v>South</x:v>
      </x:c>
      <x:c r="E1409" s="3" t="str">
        <x:v>Sports</x:v>
      </x:c>
      <x:c r="F1409" s="3" t="str">
        <x:v>Fitness</x:v>
      </x:c>
      <x:c r="G1409" s="3" t="str">
        <x:v>ProYoga Mat</x:v>
      </x:c>
      <x:c r="H1409" s="3" t="n">
        <x:v>1</x:v>
      </x:c>
      <x:c r="I1409" s="7" t="n">
        <x:v>1353.64</x:v>
      </x:c>
      <x:c r="J1409" s="9" t="n">
        <x:v>0.15</x:v>
      </x:c>
      <x:c r="K1409" s="7" t="n">
        <x:v>1150.59</x:v>
      </x:c>
      <x:c r="L1409" s="7" t="n">
        <x:v>199.97</x:v>
      </x:c>
      <x:c r="M1409" s="3" t="str">
        <x:v>Debit Card</x:v>
      </x:c>
      <x:c r="N1409" s="3" t="str">
        <x:f>TEXT(B1409,"yyyy-mm")</x:f>
        <x:v>2025-01</x:v>
      </x:c>
      <x:c r="O1409" s="3" t="str">
        <x:f>IF(J1409=0,"No discount",IF(J1409&lt;=0.1,"1-10%",IF(J1409&lt;=0.15,"11-15%",IF(J1409&lt;=0.2,"16-20%","21%+"))))</x:f>
        <x:v>11-15%</x:v>
      </x:c>
      <x:c r="P1409" s="9" t="n">
        <x:f>IF(K1409=0,0,L1409/K1409)</x:f>
        <x:v>0.17379779069868503</x:v>
      </x:c>
      <x:c r="Q1409" s="3" t="str">
        <x:f>IF(L1409&lt;0,"Yes","No")</x:f>
        <x:v>No</x:v>
      </x:c>
    </x:row>
    <x:row r="1410" ht="21" customHeight="1">
      <x:c r="A1410" s="3" t="str">
        <x:v>ORD-100795</x:v>
      </x:c>
      <x:c r="B1410" s="5" t="n">
        <x:v>45658</x:v>
      </x:c>
      <x:c r="C1410" s="3" t="str">
        <x:v>CUST-00438</x:v>
      </x:c>
      <x:c r="D1410" s="3" t="str">
        <x:v>East</x:v>
      </x:c>
      <x:c r="E1410" s="3" t="str">
        <x:v>Sports</x:v>
      </x:c>
      <x:c r="F1410" s="3" t="str">
        <x:v>Fitness</x:v>
      </x:c>
      <x:c r="G1410" s="3" t="str">
        <x:v>Adjustable Dumbbell 24kg</x:v>
      </x:c>
      <x:c r="H1410" s="3" t="n">
        <x:v>3</x:v>
      </x:c>
      <x:c r="I1410" s="7" t="n">
        <x:v>9595.08</x:v>
      </x:c>
      <x:c r="J1410" s="9" t="n">
        <x:v>0.2</x:v>
      </x:c>
      <x:c r="K1410" s="7" t="n">
        <x:v>23028.19</x:v>
      </x:c>
      <x:c r="L1410" s="7" t="n">
        <x:v>3503.18</x:v>
      </x:c>
      <x:c r="M1410" s="3" t="str">
        <x:v>Credit Card</x:v>
      </x:c>
      <x:c r="N1410" s="3" t="str">
        <x:f>TEXT(B1410,"yyyy-mm")</x:f>
        <x:v>2025-01</x:v>
      </x:c>
      <x:c r="O1410" s="3" t="str">
        <x:f>IF(J1410=0,"No discount",IF(J1410&lt;=0.1,"1-10%",IF(J1410&lt;=0.15,"11-15%",IF(J1410&lt;=0.2,"16-20%","21%+"))))</x:f>
        <x:v>16-20%</x:v>
      </x:c>
      <x:c r="P1410" s="9" t="n">
        <x:f>IF(K1410=0,0,L1410/K1410)</x:f>
        <x:v>0.1521257206927683</x:v>
      </x:c>
      <x:c r="Q1410" s="3" t="str">
        <x:f>IF(L1410&lt;0,"Yes","No")</x:f>
        <x:v>No</x:v>
      </x:c>
    </x:row>
    <x:row r="1411" ht="21" customHeight="1">
      <x:c r="A1411" s="3" t="str">
        <x:v>ORD-101518</x:v>
      </x:c>
      <x:c r="B1411" s="5" t="n">
        <x:v>45658</x:v>
      </x:c>
      <x:c r="C1411" s="3" t="str">
        <x:v>CUST-00100</x:v>
      </x:c>
      <x:c r="D1411" s="3" t="str">
        <x:v>East</x:v>
      </x:c>
      <x:c r="E1411" s="3" t="str">
        <x:v>Home &amp; Kitchen</x:v>
      </x:c>
      <x:c r="F1411" s="3" t="str">
        <x:v>Appliances</x:v>
      </x:c>
      <x:c r="G1411" s="3" t="str">
        <x:v>ColdBrew Coffee Maker</x:v>
      </x:c>
      <x:c r="H1411" s="3" t="n">
        <x:v>2</x:v>
      </x:c>
      <x:c r="I1411" s="7" t="n">
        <x:v>6558.9</x:v>
      </x:c>
      <x:c r="J1411" s="9" t="n">
        <x:v>0.05</x:v>
      </x:c>
      <x:c r="K1411" s="7" t="n">
        <x:v>12461.91</x:v>
      </x:c>
      <x:c r="L1411" s="7" t="n">
        <x:v>3764.18</x:v>
      </x:c>
      <x:c r="M1411" s="3" t="str">
        <x:v>Credit Card</x:v>
      </x:c>
      <x:c r="N1411" s="3" t="str">
        <x:f>TEXT(B1411,"yyyy-mm")</x:f>
        <x:v>2025-01</x:v>
      </x:c>
      <x:c r="O1411" s="3" t="str">
        <x:f>IF(J1411=0,"No discount",IF(J1411&lt;=0.1,"1-10%",IF(J1411&lt;=0.15,"11-15%",IF(J1411&lt;=0.2,"16-20%","21%+"))))</x:f>
        <x:v>1-10%</x:v>
      </x:c>
      <x:c r="P1411" s="9" t="n">
        <x:f>IF(K1411=0,0,L1411/K1411)</x:f>
        <x:v>0.3020548214519283</x:v>
      </x:c>
      <x:c r="Q1411" s="3" t="str">
        <x:f>IF(L1411&lt;0,"Yes","No")</x:f>
        <x:v>No</x:v>
      </x:c>
    </x:row>
    <x:row r="1412" ht="21" customHeight="1">
      <x:c r="A1412" s="3" t="str">
        <x:v>ORD-101883</x:v>
      </x:c>
      <x:c r="B1412" s="5" t="n">
        <x:v>45658</x:v>
      </x:c>
      <x:c r="C1412" s="3" t="str">
        <x:v>CUST-00155</x:v>
      </x:c>
      <x:c r="D1412" s="3" t="str">
        <x:v>South</x:v>
      </x:c>
      <x:c r="E1412" s="3" t="str">
        <x:v>Home &amp; Kitchen</x:v>
      </x:c>
      <x:c r="F1412" s="3" t="str">
        <x:v>Furniture</x:v>
      </x:c>
      <x:c r="G1412" s="3" t="str">
        <x:v>Oakwood Study Desk</x:v>
      </x:c>
      <x:c r="H1412" s="3" t="n">
        <x:v>1</x:v>
      </x:c>
      <x:c r="I1412" s="7" t="n">
        <x:v>12552.99</x:v>
      </x:c>
      <x:c r="J1412" s="9" t="n">
        <x:v>0</x:v>
      </x:c>
      <x:c r="K1412" s="7" t="n">
        <x:v>12552.99</x:v>
      </x:c>
      <x:c r="L1412" s="7" t="n">
        <x:v>3685.72</x:v>
      </x:c>
      <x:c r="M1412" s="3" t="str">
        <x:v>Cash on Delivery</x:v>
      </x:c>
      <x:c r="N1412" s="3" t="str">
        <x:f>TEXT(B1412,"yyyy-mm")</x:f>
        <x:v>2025-01</x:v>
      </x:c>
      <x:c r="O1412" s="3" t="str">
        <x:f>IF(J1412=0,"No discount",IF(J1412&lt;=0.1,"1-10%",IF(J1412&lt;=0.15,"11-15%",IF(J1412&lt;=0.2,"16-20%","21%+"))))</x:f>
        <x:v>No discount</x:v>
      </x:c>
      <x:c r="P1412" s="9" t="n">
        <x:f>IF(K1412=0,0,L1412/K1412)</x:f>
        <x:v>0.2936129161259588</x:v>
      </x:c>
      <x:c r="Q1412" s="3" t="str">
        <x:f>IF(L1412&lt;0,"Yes","No")</x:f>
        <x:v>No</x:v>
      </x:c>
    </x:row>
    <x:row r="1413" ht="21" customHeight="1">
      <x:c r="A1413" s="3" t="str">
        <x:v>ORD-101930</x:v>
      </x:c>
      <x:c r="B1413" s="5" t="n">
        <x:v>45658</x:v>
      </x:c>
      <x:c r="C1413" s="3" t="str">
        <x:v>CUST-00092</x:v>
      </x:c>
      <x:c r="D1413" s="3" t="str">
        <x:v>South</x:v>
      </x:c>
      <x:c r="E1413" s="3" t="str">
        <x:v>Home &amp; Kitchen</x:v>
      </x:c>
      <x:c r="F1413" s="3" t="str">
        <x:v>Appliances</x:v>
      </x:c>
      <x:c r="G1413" s="3" t="str">
        <x:v>ColdBrew Coffee Maker</x:v>
      </x:c>
      <x:c r="H1413" s="3" t="n">
        <x:v>3</x:v>
      </x:c>
      <x:c r="I1413" s="7" t="n">
        <x:v>6306.18</x:v>
      </x:c>
      <x:c r="J1413" s="9" t="n">
        <x:v>0.25</x:v>
      </x:c>
      <x:c r="K1413" s="7" t="n">
        <x:v>14188.91</x:v>
      </x:c>
      <x:c r="L1413" s="7" t="n">
        <x:v>397.17</x:v>
      </x:c>
      <x:c r="M1413" s="3" t="str">
        <x:v>Debit Card</x:v>
      </x:c>
      <x:c r="N1413" s="3" t="str">
        <x:f>TEXT(B1413,"yyyy-mm")</x:f>
        <x:v>2025-01</x:v>
      </x:c>
      <x:c r="O1413" s="3" t="str">
        <x:f>IF(J1413=0,"No discount",IF(J1413&lt;=0.1,"1-10%",IF(J1413&lt;=0.15,"11-15%",IF(J1413&lt;=0.2,"16-20%","21%+"))))</x:f>
        <x:v>21%+</x:v>
      </x:c>
      <x:c r="P1413" s="9" t="n">
        <x:f>IF(K1413=0,0,L1413/K1413)</x:f>
        <x:v>0.027991579339075378</x:v>
      </x:c>
      <x:c r="Q1413" s="3" t="str">
        <x:f>IF(L1413&lt;0,"Yes","No")</x:f>
        <x:v>No</x:v>
      </x:c>
    </x:row>
    <x:row r="1414" ht="21" customHeight="1">
      <x:c r="A1414" s="3" t="str">
        <x:v>ORD-101966</x:v>
      </x:c>
      <x:c r="B1414" s="5" t="n">
        <x:v>45658</x:v>
      </x:c>
      <x:c r="C1414" s="3" t="str">
        <x:v>CUST-00226</x:v>
      </x:c>
      <x:c r="D1414" s="3" t="str">
        <x:v>West</x:v>
      </x:c>
      <x:c r="E1414" s="3" t="str">
        <x:v>Electronics</x:v>
      </x:c>
      <x:c r="F1414" s="3" t="str">
        <x:v>Audio</x:v>
      </x:c>
      <x:c r="G1414" s="3" t="str">
        <x:v>SoundPods Pro</x:v>
      </x:c>
      <x:c r="H1414" s="3" t="n">
        <x:v>2</x:v>
      </x:c>
      <x:c r="I1414" s="7" t="n">
        <x:v>4788.24</x:v>
      </x:c>
      <x:c r="J1414" s="9" t="n">
        <x:v>0.05</x:v>
      </x:c>
      <x:c r="K1414" s="7" t="n">
        <x:v>9097.66</x:v>
      </x:c>
      <x:c r="L1414" s="7" t="n">
        <x:v>1234.96</x:v>
      </x:c>
      <x:c r="M1414" s="3" t="str">
        <x:v>UPI</x:v>
      </x:c>
      <x:c r="N1414" s="3" t="str">
        <x:f>TEXT(B1414,"yyyy-mm")</x:f>
        <x:v>2025-01</x:v>
      </x:c>
      <x:c r="O1414" s="3" t="str">
        <x:f>IF(J1414=0,"No discount",IF(J1414&lt;=0.1,"1-10%",IF(J1414&lt;=0.15,"11-15%",IF(J1414&lt;=0.2,"16-20%","21%+"))))</x:f>
        <x:v>1-10%</x:v>
      </x:c>
      <x:c r="P1414" s="9" t="n">
        <x:f>IF(K1414=0,0,L1414/K1414)</x:f>
        <x:v>0.13574479591455385</x:v>
      </x:c>
      <x:c r="Q1414" s="3" t="str">
        <x:f>IF(L1414&lt;0,"Yes","No")</x:f>
        <x:v>No</x:v>
      </x:c>
    </x:row>
    <x:row r="1415" ht="21" customHeight="1">
      <x:c r="A1415" s="3" t="str">
        <x:v>ORD-100081</x:v>
      </x:c>
      <x:c r="B1415" s="5" t="n">
        <x:v>45659</x:v>
      </x:c>
      <x:c r="C1415" s="3" t="str">
        <x:v>CUST-00283</x:v>
      </x:c>
      <x:c r="D1415" s="3" t="str">
        <x:v>West</x:v>
      </x:c>
      <x:c r="E1415" s="3" t="str">
        <x:v>Electronics</x:v>
      </x:c>
      <x:c r="F1415" s="3" t="str">
        <x:v>Audio</x:v>
      </x:c>
      <x:c r="G1415" s="3" t="str">
        <x:v>BassBoom Speaker</x:v>
      </x:c>
      <x:c r="H1415" s="3" t="n">
        <x:v>1</x:v>
      </x:c>
      <x:c r="I1415" s="7" t="n">
        <x:v>8761.53</x:v>
      </x:c>
      <x:c r="J1415" s="9" t="n">
        <x:v>0.05</x:v>
      </x:c>
      <x:c r="K1415" s="7" t="n">
        <x:v>8323.45</x:v>
      </x:c>
      <x:c r="L1415" s="7" t="n">
        <x:v>928.19</x:v>
      </x:c>
      <x:c r="M1415" s="3" t="str">
        <x:v>UPI</x:v>
      </x:c>
      <x:c r="N1415" s="3" t="str">
        <x:f>TEXT(B1415,"yyyy-mm")</x:f>
        <x:v>2025-01</x:v>
      </x:c>
      <x:c r="O1415" s="3" t="str">
        <x:f>IF(J1415=0,"No discount",IF(J1415&lt;=0.1,"1-10%",IF(J1415&lt;=0.15,"11-15%",IF(J1415&lt;=0.2,"16-20%","21%+"))))</x:f>
        <x:v>1-10%</x:v>
      </x:c>
      <x:c r="P1415" s="9" t="n">
        <x:f>IF(K1415=0,0,L1415/K1415)</x:f>
        <x:v>0.11151505685743292</x:v>
      </x:c>
      <x:c r="Q1415" s="3" t="str">
        <x:f>IF(L1415&lt;0,"Yes","No")</x:f>
        <x:v>No</x:v>
      </x:c>
    </x:row>
    <x:row r="1416" ht="21" customHeight="1">
      <x:c r="A1416" s="3" t="str">
        <x:v>ORD-100430</x:v>
      </x:c>
      <x:c r="B1416" s="5" t="n">
        <x:v>45659</x:v>
      </x:c>
      <x:c r="C1416" s="3" t="str">
        <x:v>CUST-00289</x:v>
      </x:c>
      <x:c r="D1416" s="3" t="str">
        <x:v>West</x:v>
      </x:c>
      <x:c r="E1416" s="3" t="str">
        <x:v>Electronics</x:v>
      </x:c>
      <x:c r="F1416" s="3" t="str">
        <x:v>Audio</x:v>
      </x:c>
      <x:c r="G1416" s="3" t="str">
        <x:v>BassBoom Speaker</x:v>
      </x:c>
      <x:c r="H1416" s="3" t="n">
        <x:v>3</x:v>
      </x:c>
      <x:c r="I1416" s="7" t="n">
        <x:v>8605.21</x:v>
      </x:c>
      <x:c r="J1416" s="9" t="n">
        <x:v>0.2</x:v>
      </x:c>
      <x:c r="K1416" s="7" t="n">
        <x:v>20652.5</x:v>
      </x:c>
      <x:c r="L1416" s="7" t="n">
        <x:v>-369.97</x:v>
      </x:c>
      <x:c r="M1416" s="3" t="str">
        <x:v>UPI</x:v>
      </x:c>
      <x:c r="N1416" s="3" t="str">
        <x:f>TEXT(B1416,"yyyy-mm")</x:f>
        <x:v>2025-01</x:v>
      </x:c>
      <x:c r="O1416" s="3" t="str">
        <x:f>IF(J1416=0,"No discount",IF(J1416&lt;=0.1,"1-10%",IF(J1416&lt;=0.15,"11-15%",IF(J1416&lt;=0.2,"16-20%","21%+"))))</x:f>
        <x:v>16-20%</x:v>
      </x:c>
      <x:c r="P1416" s="9" t="n">
        <x:f>IF(K1416=0,0,L1416/K1416)</x:f>
        <x:v>-0.017914053988621233</x:v>
      </x:c>
      <x:c r="Q1416" s="3" t="str">
        <x:f>IF(L1416&lt;0,"Yes","No")</x:f>
        <x:v>Yes</x:v>
      </x:c>
    </x:row>
    <x:row r="1417" ht="21" customHeight="1">
      <x:c r="A1417" s="3" t="str">
        <x:v>ORD-101388</x:v>
      </x:c>
      <x:c r="B1417" s="5" t="n">
        <x:v>45659</x:v>
      </x:c>
      <x:c r="C1417" s="3" t="str">
        <x:v>CUST-00250</x:v>
      </x:c>
      <x:c r="D1417" s="3" t="str">
        <x:v>West</x:v>
      </x:c>
      <x:c r="E1417" s="3" t="str">
        <x:v>Home &amp; Kitchen</x:v>
      </x:c>
      <x:c r="F1417" s="3" t="str">
        <x:v>Appliances</x:v>
      </x:c>
      <x:c r="G1417" s="3" t="str">
        <x:v>AirFryer Deluxe</x:v>
      </x:c>
      <x:c r="H1417" s="3" t="n">
        <x:v>4</x:v>
      </x:c>
      <x:c r="I1417" s="7" t="n">
        <x:v>7868.46</x:v>
      </x:c>
      <x:c r="J1417" s="9" t="n">
        <x:v>0.4</x:v>
      </x:c>
      <x:c r="K1417" s="7" t="n">
        <x:v>18884.3</x:v>
      </x:c>
      <x:c r="L1417" s="7" t="n">
        <x:v>-2280.66</x:v>
      </x:c>
      <x:c r="M1417" s="3" t="str">
        <x:v>Cash on Delivery</x:v>
      </x:c>
      <x:c r="N1417" s="3" t="str">
        <x:f>TEXT(B1417,"yyyy-mm")</x:f>
        <x:v>2025-01</x:v>
      </x:c>
      <x:c r="O1417" s="3" t="str">
        <x:f>IF(J1417=0,"No discount",IF(J1417&lt;=0.1,"1-10%",IF(J1417&lt;=0.15,"11-15%",IF(J1417&lt;=0.2,"16-20%","21%+"))))</x:f>
        <x:v>21%+</x:v>
      </x:c>
      <x:c r="P1417" s="9" t="n">
        <x:f>IF(K1417=0,0,L1417/K1417)</x:f>
        <x:v>-0.12077016357503323</x:v>
      </x:c>
      <x:c r="Q1417" s="3" t="str">
        <x:f>IF(L1417&lt;0,"Yes","No")</x:f>
        <x:v>Yes</x:v>
      </x:c>
    </x:row>
    <x:row r="1418" ht="21" customHeight="1">
      <x:c r="A1418" s="3" t="str">
        <x:v>ORD-101858</x:v>
      </x:c>
      <x:c r="B1418" s="5" t="n">
        <x:v>45659</x:v>
      </x:c>
      <x:c r="C1418" s="3" t="str">
        <x:v>CUST-00290</x:v>
      </x:c>
      <x:c r="D1418" s="3" t="str">
        <x:v>North</x:v>
      </x:c>
      <x:c r="E1418" s="3" t="str">
        <x:v>Home &amp; Kitchen</x:v>
      </x:c>
      <x:c r="F1418" s="3" t="str">
        <x:v>Decor</x:v>
      </x:c>
      <x:c r="G1418" s="3" t="str">
        <x:v>Ceramic Vase Set</x:v>
      </x:c>
      <x:c r="H1418" s="3" t="n">
        <x:v>4</x:v>
      </x:c>
      <x:c r="I1418" s="7" t="n">
        <x:v>1505.42</x:v>
      </x:c>
      <x:c r="J1418" s="9" t="n">
        <x:v>0.05</x:v>
      </x:c>
      <x:c r="K1418" s="7" t="n">
        <x:v>5720.6</x:v>
      </x:c>
      <x:c r="L1418" s="7" t="n">
        <x:v>1652.58</x:v>
      </x:c>
      <x:c r="M1418" s="3" t="str">
        <x:v>Credit Card</x:v>
      </x:c>
      <x:c r="N1418" s="3" t="str">
        <x:f>TEXT(B1418,"yyyy-mm")</x:f>
        <x:v>2025-01</x:v>
      </x:c>
      <x:c r="O1418" s="3" t="str">
        <x:f>IF(J1418=0,"No discount",IF(J1418&lt;=0.1,"1-10%",IF(J1418&lt;=0.15,"11-15%",IF(J1418&lt;=0.2,"16-20%","21%+"))))</x:f>
        <x:v>1-10%</x:v>
      </x:c>
      <x:c r="P1418" s="9" t="n">
        <x:f>IF(K1418=0,0,L1418/K1418)</x:f>
        <x:v>0.2888822850749921</x:v>
      </x:c>
      <x:c r="Q1418" s="3" t="str">
        <x:f>IF(L1418&lt;0,"Yes","No")</x:f>
        <x:v>No</x:v>
      </x:c>
    </x:row>
    <x:row r="1419" ht="21" customHeight="1">
      <x:c r="A1419" s="3" t="str">
        <x:v>ORD-100220</x:v>
      </x:c>
      <x:c r="B1419" s="5" t="n">
        <x:v>45660</x:v>
      </x:c>
      <x:c r="C1419" s="3" t="str">
        <x:v>CUST-00581</x:v>
      </x:c>
      <x:c r="D1419" s="3" t="str">
        <x:v>North</x:v>
      </x:c>
      <x:c r="E1419" s="3" t="str">
        <x:v>Electronics</x:v>
      </x:c>
      <x:c r="F1419" s="3" t="str">
        <x:v>Laptop</x:v>
      </x:c>
      <x:c r="G1419" s="3" t="str">
        <x:v>AirBook Slim</x:v>
      </x:c>
      <x:c r="H1419" s="3" t="n">
        <x:v>1</x:v>
      </x:c>
      <x:c r="I1419" s="7" t="n">
        <x:v>80676.33</x:v>
      </x:c>
      <x:c r="J1419" s="9" t="n">
        <x:v>0</x:v>
      </x:c>
      <x:c r="K1419" s="7" t="n">
        <x:v>80676.33</x:v>
      </x:c>
      <x:c r="L1419" s="7" t="n">
        <x:v>15016.46</x:v>
      </x:c>
      <x:c r="M1419" s="3" t="str">
        <x:v>Credit Card</x:v>
      </x:c>
      <x:c r="N1419" s="3" t="str">
        <x:f>TEXT(B1419,"yyyy-mm")</x:f>
        <x:v>2025-01</x:v>
      </x:c>
      <x:c r="O1419" s="3" t="str">
        <x:f>IF(J1419=0,"No discount",IF(J1419&lt;=0.1,"1-10%",IF(J1419&lt;=0.15,"11-15%",IF(J1419&lt;=0.2,"16-20%","21%+"))))</x:f>
        <x:v>No discount</x:v>
      </x:c>
      <x:c r="P1419" s="9" t="n">
        <x:f>IF(K1419=0,0,L1419/K1419)</x:f>
        <x:v>0.18613216540712746</x:v>
      </x:c>
      <x:c r="Q1419" s="3" t="str">
        <x:f>IF(L1419&lt;0,"Yes","No")</x:f>
        <x:v>No</x:v>
      </x:c>
    </x:row>
    <x:row r="1420" ht="21" customHeight="1">
      <x:c r="A1420" s="3" t="str">
        <x:v>ORD-100491</x:v>
      </x:c>
      <x:c r="B1420" s="5" t="n">
        <x:v>45661</x:v>
      </x:c>
      <x:c r="C1420" s="3" t="str">
        <x:v>CUST-00365</x:v>
      </x:c>
      <x:c r="D1420" s="3" t="str">
        <x:v>South</x:v>
      </x:c>
      <x:c r="E1420" s="3" t="str">
        <x:v>Electronics</x:v>
      </x:c>
      <x:c r="F1420" s="3" t="str">
        <x:v>Laptop</x:v>
      </x:c>
      <x:c r="G1420" s="3" t="str">
        <x:v>ThinkPro 14</x:v>
      </x:c>
      <x:c r="H1420" s="3" t="n">
        <x:v>2</x:v>
      </x:c>
      <x:c r="I1420" s="7" t="n">
        <x:v>54784.75</x:v>
      </x:c>
      <x:c r="J1420" s="9" t="n">
        <x:v>0</x:v>
      </x:c>
      <x:c r="K1420" s="7" t="n">
        <x:v>109569.5</x:v>
      </x:c>
      <x:c r="L1420" s="7" t="n">
        <x:v>21416.74</x:v>
      </x:c>
      <x:c r="M1420" s="3" t="str">
        <x:v>UPI</x:v>
      </x:c>
      <x:c r="N1420" s="3" t="str">
        <x:f>TEXT(B1420,"yyyy-mm")</x:f>
        <x:v>2025-01</x:v>
      </x:c>
      <x:c r="O1420" s="3" t="str">
        <x:f>IF(J1420=0,"No discount",IF(J1420&lt;=0.1,"1-10%",IF(J1420&lt;=0.15,"11-15%",IF(J1420&lt;=0.2,"16-20%","21%+"))))</x:f>
        <x:v>No discount</x:v>
      </x:c>
      <x:c r="P1420" s="9" t="n">
        <x:f>IF(K1420=0,0,L1420/K1420)</x:f>
        <x:v>0.1954626059259192</x:v>
      </x:c>
      <x:c r="Q1420" s="3" t="str">
        <x:f>IF(L1420&lt;0,"Yes","No")</x:f>
        <x:v>No</x:v>
      </x:c>
    </x:row>
    <x:row r="1421" ht="21" customHeight="1">
      <x:c r="A1421" s="3" t="str">
        <x:v>ORD-101363</x:v>
      </x:c>
      <x:c r="B1421" s="5" t="n">
        <x:v>45661</x:v>
      </x:c>
      <x:c r="C1421" s="3" t="str">
        <x:v>CUST-00322</x:v>
      </x:c>
      <x:c r="D1421" s="3" t="str">
        <x:v>West</x:v>
      </x:c>
      <x:c r="E1421" s="3" t="str">
        <x:v>Fashion</x:v>
      </x:c>
      <x:c r="F1421" s="3" t="str">
        <x:v>Women</x:v>
      </x:c>
      <x:c r="G1421" s="3" t="str">
        <x:v>Knit Winter Sweater</x:v>
      </x:c>
      <x:c r="H1421" s="3" t="n">
        <x:v>1</x:v>
      </x:c>
      <x:c r="I1421" s="7" t="n">
        <x:v>2203.83</x:v>
      </x:c>
      <x:c r="J1421" s="9" t="n">
        <x:v>0.3</x:v>
      </x:c>
      <x:c r="K1421" s="7" t="n">
        <x:v>1542.68</x:v>
      </x:c>
      <x:c r="L1421" s="7" t="n">
        <x:v>122.99</x:v>
      </x:c>
      <x:c r="M1421" s="3" t="str">
        <x:v>UPI</x:v>
      </x:c>
      <x:c r="N1421" s="3" t="str">
        <x:f>TEXT(B1421,"yyyy-mm")</x:f>
        <x:v>2025-01</x:v>
      </x:c>
      <x:c r="O1421" s="3" t="str">
        <x:f>IF(J1421=0,"No discount",IF(J1421&lt;=0.1,"1-10%",IF(J1421&lt;=0.15,"11-15%",IF(J1421&lt;=0.2,"16-20%","21%+"))))</x:f>
        <x:v>21%+</x:v>
      </x:c>
      <x:c r="P1421" s="9" t="n">
        <x:f>IF(K1421=0,0,L1421/K1421)</x:f>
        <x:v>0.07972489433972048</x:v>
      </x:c>
      <x:c r="Q1421" s="3" t="str">
        <x:f>IF(L1421&lt;0,"Yes","No")</x:f>
        <x:v>No</x:v>
      </x:c>
    </x:row>
    <x:row r="1422" ht="21" customHeight="1">
      <x:c r="A1422" s="3" t="str">
        <x:v>ORD-101412</x:v>
      </x:c>
      <x:c r="B1422" s="5" t="n">
        <x:v>45662</x:v>
      </x:c>
      <x:c r="C1422" s="3" t="str">
        <x:v>CUST-00311</x:v>
      </x:c>
      <x:c r="D1422" s="3" t="str">
        <x:v>South</x:v>
      </x:c>
      <x:c r="E1422" s="3" t="str">
        <x:v>Sports</x:v>
      </x:c>
      <x:c r="F1422" s="3" t="str">
        <x:v>Outdoor</x:v>
      </x:c>
      <x:c r="G1422" s="3" t="str">
        <x:v>AllWeather Tent 4P</x:v>
      </x:c>
      <x:c r="H1422" s="3" t="n">
        <x:v>4</x:v>
      </x:c>
      <x:c r="I1422" s="7" t="n">
        <x:v>11447.74</x:v>
      </x:c>
      <x:c r="J1422" s="9" t="n">
        <x:v>0.2</x:v>
      </x:c>
      <x:c r="K1422" s="7" t="n">
        <x:v>36632.77</x:v>
      </x:c>
      <x:c r="L1422" s="7" t="n">
        <x:v>4714.98</x:v>
      </x:c>
      <x:c r="M1422" s="3" t="str">
        <x:v>UPI</x:v>
      </x:c>
      <x:c r="N1422" s="3" t="str">
        <x:f>TEXT(B1422,"yyyy-mm")</x:f>
        <x:v>2025-01</x:v>
      </x:c>
      <x:c r="O1422" s="3" t="str">
        <x:f>IF(J1422=0,"No discount",IF(J1422&lt;=0.1,"1-10%",IF(J1422&lt;=0.15,"11-15%",IF(J1422&lt;=0.2,"16-20%","21%+"))))</x:f>
        <x:v>16-20%</x:v>
      </x:c>
      <x:c r="P1422" s="9" t="n">
        <x:f>IF(K1422=0,0,L1422/K1422)</x:f>
        <x:v>0.12870934957962502</x:v>
      </x:c>
      <x:c r="Q1422" s="3" t="str">
        <x:f>IF(L1422&lt;0,"Yes","No")</x:f>
        <x:v>No</x:v>
      </x:c>
    </x:row>
    <x:row r="1423" ht="21" customHeight="1">
      <x:c r="A1423" s="3" t="str">
        <x:v>ORD-101601</x:v>
      </x:c>
      <x:c r="B1423" s="5" t="n">
        <x:v>45662</x:v>
      </x:c>
      <x:c r="C1423" s="3" t="str">
        <x:v>CUST-00423</x:v>
      </x:c>
      <x:c r="D1423" s="3" t="str">
        <x:v>East</x:v>
      </x:c>
      <x:c r="E1423" s="3" t="str">
        <x:v>Beauty</x:v>
      </x:c>
      <x:c r="F1423" s="3" t="str">
        <x:v>Makeup</x:v>
      </x:c>
      <x:c r="G1423" s="3" t="str">
        <x:v>HD Foundation Kit</x:v>
      </x:c>
      <x:c r="H1423" s="3" t="n">
        <x:v>3</x:v>
      </x:c>
      <x:c r="I1423" s="7" t="n">
        <x:v>1552.4</x:v>
      </x:c>
      <x:c r="J1423" s="9" t="n">
        <x:v>0.05</x:v>
      </x:c>
      <x:c r="K1423" s="7" t="n">
        <x:v>4424.34</x:v>
      </x:c>
      <x:c r="L1423" s="7" t="n">
        <x:v>2097.42</x:v>
      </x:c>
      <x:c r="M1423" s="3" t="str">
        <x:v>Credit Card</x:v>
      </x:c>
      <x:c r="N1423" s="3" t="str">
        <x:f>TEXT(B1423,"yyyy-mm")</x:f>
        <x:v>2025-01</x:v>
      </x:c>
      <x:c r="O1423" s="3" t="str">
        <x:f>IF(J1423=0,"No discount",IF(J1423&lt;=0.1,"1-10%",IF(J1423&lt;=0.15,"11-15%",IF(J1423&lt;=0.2,"16-20%","21%+"))))</x:f>
        <x:v>1-10%</x:v>
      </x:c>
      <x:c r="P1423" s="9" t="n">
        <x:f>IF(K1423=0,0,L1423/K1423)</x:f>
        <x:v>0.47406392817911824</x:v>
      </x:c>
      <x:c r="Q1423" s="3" t="str">
        <x:f>IF(L1423&lt;0,"Yes","No")</x:f>
        <x:v>No</x:v>
      </x:c>
    </x:row>
    <x:row r="1424" ht="21" customHeight="1">
      <x:c r="A1424" s="3" t="str">
        <x:v>ORD-101860</x:v>
      </x:c>
      <x:c r="B1424" s="5" t="n">
        <x:v>45662</x:v>
      </x:c>
      <x:c r="C1424" s="3" t="str">
        <x:v>CUST-00027</x:v>
      </x:c>
      <x:c r="D1424" s="3" t="str">
        <x:v>North</x:v>
      </x:c>
      <x:c r="E1424" s="3" t="str">
        <x:v>Beauty</x:v>
      </x:c>
      <x:c r="F1424" s="3" t="str">
        <x:v>Makeup</x:v>
      </x:c>
      <x:c r="G1424" s="3" t="str">
        <x:v>Matte Lipstick Set</x:v>
      </x:c>
      <x:c r="H1424" s="3" t="n">
        <x:v>3</x:v>
      </x:c>
      <x:c r="I1424" s="7" t="n">
        <x:v>1012.8</x:v>
      </x:c>
      <x:c r="J1424" s="9" t="n">
        <x:v>0</x:v>
      </x:c>
      <x:c r="K1424" s="7" t="n">
        <x:v>3038.4</x:v>
      </x:c>
      <x:c r="L1424" s="7" t="n">
        <x:v>1570.59</x:v>
      </x:c>
      <x:c r="M1424" s="3" t="str">
        <x:v>UPI</x:v>
      </x:c>
      <x:c r="N1424" s="3" t="str">
        <x:f>TEXT(B1424,"yyyy-mm")</x:f>
        <x:v>2025-01</x:v>
      </x:c>
      <x:c r="O1424" s="3" t="str">
        <x:f>IF(J1424=0,"No discount",IF(J1424&lt;=0.1,"1-10%",IF(J1424&lt;=0.15,"11-15%",IF(J1424&lt;=0.2,"16-20%","21%+"))))</x:f>
        <x:v>No discount</x:v>
      </x:c>
      <x:c r="P1424" s="9" t="n">
        <x:f>IF(K1424=0,0,L1424/K1424)</x:f>
        <x:v>0.5169135071090047</x:v>
      </x:c>
      <x:c r="Q1424" s="3" t="str">
        <x:f>IF(L1424&lt;0,"Yes","No")</x:f>
        <x:v>No</x:v>
      </x:c>
    </x:row>
    <x:row r="1425" ht="21" customHeight="1">
      <x:c r="A1425" s="3" t="str">
        <x:v>ORD-100462</x:v>
      </x:c>
      <x:c r="B1425" s="5" t="n">
        <x:v>45664</x:v>
      </x:c>
      <x:c r="C1425" s="3" t="str">
        <x:v>CUST-00446</x:v>
      </x:c>
      <x:c r="D1425" s="3" t="str">
        <x:v>West</x:v>
      </x:c>
      <x:c r="E1425" s="3" t="str">
        <x:v>Electronics</x:v>
      </x:c>
      <x:c r="F1425" s="3" t="str">
        <x:v>Mobile</x:v>
      </x:c>
      <x:c r="G1425" s="3" t="str">
        <x:v>iPhone Zeta</x:v>
      </x:c>
      <x:c r="H1425" s="3" t="n">
        <x:v>3</x:v>
      </x:c>
      <x:c r="I1425" s="7" t="n">
        <x:v>69981.6</x:v>
      </x:c>
      <x:c r="J1425" s="9" t="n">
        <x:v>0.25</x:v>
      </x:c>
      <x:c r="K1425" s="7" t="n">
        <x:v>157458.6</x:v>
      </x:c>
      <x:c r="L1425" s="7" t="n">
        <x:v>-21212.7</x:v>
      </x:c>
      <x:c r="M1425" s="3" t="str">
        <x:v>UPI</x:v>
      </x:c>
      <x:c r="N1425" s="3" t="str">
        <x:f>TEXT(B1425,"yyyy-mm")</x:f>
        <x:v>2025-01</x:v>
      </x:c>
      <x:c r="O1425" s="3" t="str">
        <x:f>IF(J1425=0,"No discount",IF(J1425&lt;=0.1,"1-10%",IF(J1425&lt;=0.15,"11-15%",IF(J1425&lt;=0.2,"16-20%","21%+"))))</x:f>
        <x:v>21%+</x:v>
      </x:c>
      <x:c r="P1425" s="9" t="n">
        <x:f>IF(K1425=0,0,L1425/K1425)</x:f>
        <x:v>-0.13471922143344345</x:v>
      </x:c>
      <x:c r="Q1425" s="3" t="str">
        <x:f>IF(L1425&lt;0,"Yes","No")</x:f>
        <x:v>Yes</x:v>
      </x:c>
    </x:row>
    <x:row r="1426" ht="21" customHeight="1">
      <x:c r="A1426" s="3" t="str">
        <x:v>ORD-100561</x:v>
      </x:c>
      <x:c r="B1426" s="5" t="n">
        <x:v>45664</x:v>
      </x:c>
      <x:c r="C1426" s="3" t="str">
        <x:v>CUST-00142</x:v>
      </x:c>
      <x:c r="D1426" s="3" t="str">
        <x:v>East</x:v>
      </x:c>
      <x:c r="E1426" s="3" t="str">
        <x:v>Electronics</x:v>
      </x:c>
      <x:c r="F1426" s="3" t="str">
        <x:v>Mobile</x:v>
      </x:c>
      <x:c r="G1426" s="3" t="str">
        <x:v>Pixel Aura 12</x:v>
      </x:c>
      <x:c r="H1426" s="3" t="n">
        <x:v>1</x:v>
      </x:c>
      <x:c r="I1426" s="7" t="n">
        <x:v>32806.01</x:v>
      </x:c>
      <x:c r="J1426" s="9" t="n">
        <x:v>0</x:v>
      </x:c>
      <x:c r="K1426" s="7" t="n">
        <x:v>32806.01</x:v>
      </x:c>
      <x:c r="L1426" s="7" t="n">
        <x:v>5920.56</x:v>
      </x:c>
      <x:c r="M1426" s="3" t="str">
        <x:v>UPI</x:v>
      </x:c>
      <x:c r="N1426" s="3" t="str">
        <x:f>TEXT(B1426,"yyyy-mm")</x:f>
        <x:v>2025-01</x:v>
      </x:c>
      <x:c r="O1426" s="3" t="str">
        <x:f>IF(J1426=0,"No discount",IF(J1426&lt;=0.1,"1-10%",IF(J1426&lt;=0.15,"11-15%",IF(J1426&lt;=0.2,"16-20%","21%+"))))</x:f>
        <x:v>No discount</x:v>
      </x:c>
      <x:c r="P1426" s="9" t="n">
        <x:f>IF(K1426=0,0,L1426/K1426)</x:f>
        <x:v>0.18047180989093156</x:v>
      </x:c>
      <x:c r="Q1426" s="3" t="str">
        <x:f>IF(L1426&lt;0,"Yes","No")</x:f>
        <x:v>No</x:v>
      </x:c>
    </x:row>
    <x:row r="1427" ht="21" customHeight="1">
      <x:c r="A1427" s="3" t="str">
        <x:v>ORD-101989</x:v>
      </x:c>
      <x:c r="B1427" s="5" t="n">
        <x:v>45664</x:v>
      </x:c>
      <x:c r="C1427" s="3" t="str">
        <x:v>CUST-00484</x:v>
      </x:c>
      <x:c r="D1427" s="3" t="str">
        <x:v>East</x:v>
      </x:c>
      <x:c r="E1427" s="3" t="str">
        <x:v>Home &amp; Kitchen</x:v>
      </x:c>
      <x:c r="F1427" s="3" t="str">
        <x:v>Furniture</x:v>
      </x:c>
      <x:c r="G1427" s="3" t="str">
        <x:v>Oakwood Study Desk</x:v>
      </x:c>
      <x:c r="H1427" s="3" t="n">
        <x:v>3</x:v>
      </x:c>
      <x:c r="I1427" s="7" t="n">
        <x:v>12453.7</x:v>
      </x:c>
      <x:c r="J1427" s="9" t="n">
        <x:v>0.1</x:v>
      </x:c>
      <x:c r="K1427" s="7" t="n">
        <x:v>33624.99</x:v>
      </x:c>
      <x:c r="L1427" s="7" t="n">
        <x:v>6596.77</x:v>
      </x:c>
      <x:c r="M1427" s="3" t="str">
        <x:v>UPI</x:v>
      </x:c>
      <x:c r="N1427" s="3" t="str">
        <x:f>TEXT(B1427,"yyyy-mm")</x:f>
        <x:v>2025-01</x:v>
      </x:c>
      <x:c r="O1427" s="3" t="str">
        <x:f>IF(J1427=0,"No discount",IF(J1427&lt;=0.1,"1-10%",IF(J1427&lt;=0.15,"11-15%",IF(J1427&lt;=0.2,"16-20%","21%+"))))</x:f>
        <x:v>1-10%</x:v>
      </x:c>
      <x:c r="P1427" s="9" t="n">
        <x:f>IF(K1427=0,0,L1427/K1427)</x:f>
        <x:v>0.19618652674692247</x:v>
      </x:c>
      <x:c r="Q1427" s="3" t="str">
        <x:f>IF(L1427&lt;0,"Yes","No")</x:f>
        <x:v>No</x:v>
      </x:c>
    </x:row>
    <x:row r="1428" ht="21" customHeight="1">
      <x:c r="A1428" s="3" t="str">
        <x:v>ORD-101417</x:v>
      </x:c>
      <x:c r="B1428" s="5" t="n">
        <x:v>45665</x:v>
      </x:c>
      <x:c r="C1428" s="3" t="str">
        <x:v>CUST-00231</x:v>
      </x:c>
      <x:c r="D1428" s="3" t="str">
        <x:v>South</x:v>
      </x:c>
      <x:c r="E1428" s="3" t="str">
        <x:v>Beauty</x:v>
      </x:c>
      <x:c r="F1428" s="3" t="str">
        <x:v>Makeup</x:v>
      </x:c>
      <x:c r="G1428" s="3" t="str">
        <x:v>Matte Lipstick Set</x:v>
      </x:c>
      <x:c r="H1428" s="3" t="n">
        <x:v>3</x:v>
      </x:c>
      <x:c r="I1428" s="7" t="n">
        <x:v>1045.19</x:v>
      </x:c>
      <x:c r="J1428" s="9" t="n">
        <x:v>0.15</x:v>
      </x:c>
      <x:c r="K1428" s="7" t="n">
        <x:v>2665.23</x:v>
      </x:c>
      <x:c r="L1428" s="7" t="n">
        <x:v>959.59</x:v>
      </x:c>
      <x:c r="M1428" s="3" t="str">
        <x:v>Cash on Delivery</x:v>
      </x:c>
      <x:c r="N1428" s="3" t="str">
        <x:f>TEXT(B1428,"yyyy-mm")</x:f>
        <x:v>2025-01</x:v>
      </x:c>
      <x:c r="O1428" s="3" t="str">
        <x:f>IF(J1428=0,"No discount",IF(J1428&lt;=0.1,"1-10%",IF(J1428&lt;=0.15,"11-15%",IF(J1428&lt;=0.2,"16-20%","21%+"))))</x:f>
        <x:v>11-15%</x:v>
      </x:c>
      <x:c r="P1428" s="9" t="n">
        <x:f>IF(K1428=0,0,L1428/K1428)</x:f>
        <x:v>0.3600402216694244</x:v>
      </x:c>
      <x:c r="Q1428" s="3" t="str">
        <x:f>IF(L1428&lt;0,"Yes","No")</x:f>
        <x:v>No</x:v>
      </x:c>
    </x:row>
    <x:row r="1429" ht="21" customHeight="1">
      <x:c r="A1429" s="3" t="str">
        <x:v>ORD-101716</x:v>
      </x:c>
      <x:c r="B1429" s="5" t="n">
        <x:v>45665</x:v>
      </x:c>
      <x:c r="C1429" s="3" t="str">
        <x:v>CUST-00003</x:v>
      </x:c>
      <x:c r="D1429" s="3" t="str">
        <x:v>North</x:v>
      </x:c>
      <x:c r="E1429" s="3" t="str">
        <x:v>Fashion</x:v>
      </x:c>
      <x:c r="F1429" s="3" t="str">
        <x:v>Footwear</x:v>
      </x:c>
      <x:c r="G1429" s="3" t="str">
        <x:v>RunFlex Sneakers</x:v>
      </x:c>
      <x:c r="H1429" s="3" t="n">
        <x:v>2</x:v>
      </x:c>
      <x:c r="I1429" s="7" t="n">
        <x:v>2969.7</x:v>
      </x:c>
      <x:c r="J1429" s="9" t="n">
        <x:v>0.2</x:v>
      </x:c>
      <x:c r="K1429" s="7" t="n">
        <x:v>4751.52</x:v>
      </x:c>
      <x:c r="L1429" s="7" t="n">
        <x:v>762.79</x:v>
      </x:c>
      <x:c r="M1429" s="3" t="str">
        <x:v>Credit Card</x:v>
      </x:c>
      <x:c r="N1429" s="3" t="str">
        <x:f>TEXT(B1429,"yyyy-mm")</x:f>
        <x:v>2025-01</x:v>
      </x:c>
      <x:c r="O1429" s="3" t="str">
        <x:f>IF(J1429=0,"No discount",IF(J1429&lt;=0.1,"1-10%",IF(J1429&lt;=0.15,"11-15%",IF(J1429&lt;=0.2,"16-20%","21%+"))))</x:f>
        <x:v>16-20%</x:v>
      </x:c>
      <x:c r="P1429" s="9" t="n">
        <x:f>IF(K1429=0,0,L1429/K1429)</x:f>
        <x:v>0.16053599690204395</x:v>
      </x:c>
      <x:c r="Q1429" s="3" t="str">
        <x:f>IF(L1429&lt;0,"Yes","No")</x:f>
        <x:v>No</x:v>
      </x:c>
    </x:row>
    <x:row r="1430" ht="21" customHeight="1">
      <x:c r="A1430" s="3" t="str">
        <x:v>ORD-101926</x:v>
      </x:c>
      <x:c r="B1430" s="5" t="n">
        <x:v>45665</x:v>
      </x:c>
      <x:c r="C1430" s="3" t="str">
        <x:v>CUST-00470</x:v>
      </x:c>
      <x:c r="D1430" s="3" t="str">
        <x:v>West</x:v>
      </x:c>
      <x:c r="E1430" s="3" t="str">
        <x:v>Fashion</x:v>
      </x:c>
      <x:c r="F1430" s="3" t="str">
        <x:v>Women</x:v>
      </x:c>
      <x:c r="G1430" s="3" t="str">
        <x:v>Knit Winter Sweater</x:v>
      </x:c>
      <x:c r="H1430" s="3" t="n">
        <x:v>1</x:v>
      </x:c>
      <x:c r="I1430" s="7" t="n">
        <x:v>2169.68</x:v>
      </x:c>
      <x:c r="J1430" s="9" t="n">
        <x:v>0.1</x:v>
      </x:c>
      <x:c r="K1430" s="7" t="n">
        <x:v>1952.71</x:v>
      </x:c>
      <x:c r="L1430" s="7" t="n">
        <x:v>542.69</x:v>
      </x:c>
      <x:c r="M1430" s="3" t="str">
        <x:v>UPI</x:v>
      </x:c>
      <x:c r="N1430" s="3" t="str">
        <x:f>TEXT(B1430,"yyyy-mm")</x:f>
        <x:v>2025-01</x:v>
      </x:c>
      <x:c r="O1430" s="3" t="str">
        <x:f>IF(J1430=0,"No discount",IF(J1430&lt;=0.1,"1-10%",IF(J1430&lt;=0.15,"11-15%",IF(J1430&lt;=0.2,"16-20%","21%+"))))</x:f>
        <x:v>1-10%</x:v>
      </x:c>
      <x:c r="P1430" s="9" t="n">
        <x:f>IF(K1430=0,0,L1430/K1430)</x:f>
        <x:v>0.2779163316621516</x:v>
      </x:c>
      <x:c r="Q1430" s="3" t="str">
        <x:f>IF(L1430&lt;0,"Yes","No")</x:f>
        <x:v>No</x:v>
      </x:c>
    </x:row>
    <x:row r="1431" ht="21" customHeight="1">
      <x:c r="A1431" s="3" t="str">
        <x:v>ORD-100077</x:v>
      </x:c>
      <x:c r="B1431" s="5" t="n">
        <x:v>45666</x:v>
      </x:c>
      <x:c r="C1431" s="3" t="str">
        <x:v>CUST-00405</x:v>
      </x:c>
      <x:c r="D1431" s="3" t="str">
        <x:v>North</x:v>
      </x:c>
      <x:c r="E1431" s="3" t="str">
        <x:v>Home &amp; Kitchen</x:v>
      </x:c>
      <x:c r="F1431" s="3" t="str">
        <x:v>Appliances</x:v>
      </x:c>
      <x:c r="G1431" s="3" t="str">
        <x:v>ColdBrew Coffee Maker</x:v>
      </x:c>
      <x:c r="H1431" s="3" t="n">
        <x:v>3</x:v>
      </x:c>
      <x:c r="I1431" s="7" t="n">
        <x:v>6222.99</x:v>
      </x:c>
      <x:c r="J1431" s="9" t="n">
        <x:v>0.05</x:v>
      </x:c>
      <x:c r="K1431" s="7" t="n">
        <x:v>17735.52</x:v>
      </x:c>
      <x:c r="L1431" s="7" t="n">
        <x:v>5193.53</x:v>
      </x:c>
      <x:c r="M1431" s="3" t="str">
        <x:v>Credit Card</x:v>
      </x:c>
      <x:c r="N1431" s="3" t="str">
        <x:f>TEXT(B1431,"yyyy-mm")</x:f>
        <x:v>2025-01</x:v>
      </x:c>
      <x:c r="O1431" s="3" t="str">
        <x:f>IF(J1431=0,"No discount",IF(J1431&lt;=0.1,"1-10%",IF(J1431&lt;=0.15,"11-15%",IF(J1431&lt;=0.2,"16-20%","21%+"))))</x:f>
        <x:v>1-10%</x:v>
      </x:c>
      <x:c r="P1431" s="9" t="n">
        <x:f>IF(K1431=0,0,L1431/K1431)</x:f>
        <x:v>0.292832124459841</x:v>
      </x:c>
      <x:c r="Q1431" s="3" t="str">
        <x:f>IF(L1431&lt;0,"Yes","No")</x:f>
        <x:v>No</x:v>
      </x:c>
    </x:row>
    <x:row r="1432" ht="21" customHeight="1">
      <x:c r="A1432" s="3" t="str">
        <x:v>ORD-101198</x:v>
      </x:c>
      <x:c r="B1432" s="5" t="n">
        <x:v>45666</x:v>
      </x:c>
      <x:c r="C1432" s="3" t="str">
        <x:v>CUST-00175</x:v>
      </x:c>
      <x:c r="D1432" s="3" t="str">
        <x:v>North</x:v>
      </x:c>
      <x:c r="E1432" s="3" t="str">
        <x:v>Electronics</x:v>
      </x:c>
      <x:c r="F1432" s="3" t="str">
        <x:v>Laptop</x:v>
      </x:c>
      <x:c r="G1432" s="3" t="str">
        <x:v>AirBook Slim</x:v>
      </x:c>
      <x:c r="H1432" s="3" t="n">
        <x:v>1</x:v>
      </x:c>
      <x:c r="I1432" s="7" t="n">
        <x:v>79496.71</x:v>
      </x:c>
      <x:c r="J1432" s="9" t="n">
        <x:v>0.05</x:v>
      </x:c>
      <x:c r="K1432" s="7" t="n">
        <x:v>75521.87</x:v>
      </x:c>
      <x:c r="L1432" s="7" t="n">
        <x:v>7655.21</x:v>
      </x:c>
      <x:c r="M1432" s="3" t="str">
        <x:v>UPI</x:v>
      </x:c>
      <x:c r="N1432" s="3" t="str">
        <x:f>TEXT(B1432,"yyyy-mm")</x:f>
        <x:v>2025-01</x:v>
      </x:c>
      <x:c r="O1432" s="3" t="str">
        <x:f>IF(J1432=0,"No discount",IF(J1432&lt;=0.1,"1-10%",IF(J1432&lt;=0.15,"11-15%",IF(J1432&lt;=0.2,"16-20%","21%+"))))</x:f>
        <x:v>1-10%</x:v>
      </x:c>
      <x:c r="P1432" s="9" t="n">
        <x:f>IF(K1432=0,0,L1432/K1432)</x:f>
        <x:v>0.10136414789517262</x:v>
      </x:c>
      <x:c r="Q1432" s="3" t="str">
        <x:f>IF(L1432&lt;0,"Yes","No")</x:f>
        <x:v>No</x:v>
      </x:c>
    </x:row>
    <x:row r="1433" ht="21" customHeight="1">
      <x:c r="A1433" s="3" t="str">
        <x:v>ORD-101246</x:v>
      </x:c>
      <x:c r="B1433" s="5" t="n">
        <x:v>45666</x:v>
      </x:c>
      <x:c r="C1433" s="3" t="str">
        <x:v>CUST-00344</x:v>
      </x:c>
      <x:c r="D1433" s="3" t="str">
        <x:v>East</x:v>
      </x:c>
      <x:c r="E1433" s="3" t="str">
        <x:v>Sports</x:v>
      </x:c>
      <x:c r="F1433" s="3" t="str">
        <x:v>Fitness</x:v>
      </x:c>
      <x:c r="G1433" s="3" t="str">
        <x:v>ProYoga Mat</x:v>
      </x:c>
      <x:c r="H1433" s="3" t="n">
        <x:v>2</x:v>
      </x:c>
      <x:c r="I1433" s="7" t="n">
        <x:v>1263.14</x:v>
      </x:c>
      <x:c r="J1433" s="9" t="n">
        <x:v>0</x:v>
      </x:c>
      <x:c r="K1433" s="7" t="n">
        <x:v>2526.28</x:v>
      </x:c>
      <x:c r="L1433" s="7" t="n">
        <x:v>929.53</x:v>
      </x:c>
      <x:c r="M1433" s="3" t="str">
        <x:v>UPI</x:v>
      </x:c>
      <x:c r="N1433" s="3" t="str">
        <x:f>TEXT(B1433,"yyyy-mm")</x:f>
        <x:v>2025-01</x:v>
      </x:c>
      <x:c r="O1433" s="3" t="str">
        <x:f>IF(J1433=0,"No discount",IF(J1433&lt;=0.1,"1-10%",IF(J1433&lt;=0.15,"11-15%",IF(J1433&lt;=0.2,"16-20%","21%+"))))</x:f>
        <x:v>No discount</x:v>
      </x:c>
      <x:c r="P1433" s="9" t="n">
        <x:f>IF(K1433=0,0,L1433/K1433)</x:f>
        <x:v>0.36794417087575404</x:v>
      </x:c>
      <x:c r="Q1433" s="3" t="str">
        <x:f>IF(L1433&lt;0,"Yes","No")</x:f>
        <x:v>No</x:v>
      </x:c>
    </x:row>
    <x:row r="1434" ht="21" customHeight="1">
      <x:c r="A1434" s="3" t="str">
        <x:v>ORD-100883</x:v>
      </x:c>
      <x:c r="B1434" s="5" t="n">
        <x:v>45667</x:v>
      </x:c>
      <x:c r="C1434" s="3" t="str">
        <x:v>CUST-00413</x:v>
      </x:c>
      <x:c r="D1434" s="3" t="str">
        <x:v>North</x:v>
      </x:c>
      <x:c r="E1434" s="3" t="str">
        <x:v>Home &amp; Kitchen</x:v>
      </x:c>
      <x:c r="F1434" s="3" t="str">
        <x:v>Furniture</x:v>
      </x:c>
      <x:c r="G1434" s="3" t="str">
        <x:v>Oakwood Study Desk</x:v>
      </x:c>
      <x:c r="H1434" s="3" t="n">
        <x:v>1</x:v>
      </x:c>
      <x:c r="I1434" s="7" t="n">
        <x:v>13518.53</x:v>
      </x:c>
      <x:c r="J1434" s="9" t="n">
        <x:v>0.1</x:v>
      </x:c>
      <x:c r="K1434" s="7" t="n">
        <x:v>12166.68</x:v>
      </x:c>
      <x:c r="L1434" s="7" t="n">
        <x:v>3002.97</x:v>
      </x:c>
      <x:c r="M1434" s="3" t="str">
        <x:v>Cash on Delivery</x:v>
      </x:c>
      <x:c r="N1434" s="3" t="str">
        <x:f>TEXT(B1434,"yyyy-mm")</x:f>
        <x:v>2025-01</x:v>
      </x:c>
      <x:c r="O1434" s="3" t="str">
        <x:f>IF(J1434=0,"No discount",IF(J1434&lt;=0.1,"1-10%",IF(J1434&lt;=0.15,"11-15%",IF(J1434&lt;=0.2,"16-20%","21%+"))))</x:f>
        <x:v>1-10%</x:v>
      </x:c>
      <x:c r="P1434" s="9" t="n">
        <x:f>IF(K1434=0,0,L1434/K1434)</x:f>
        <x:v>0.24681918156802019</x:v>
      </x:c>
      <x:c r="Q1434" s="3" t="str">
        <x:f>IF(L1434&lt;0,"Yes","No")</x:f>
        <x:v>No</x:v>
      </x:c>
    </x:row>
    <x:row r="1435" ht="21" customHeight="1">
      <x:c r="A1435" s="3" t="str">
        <x:v>ORD-101411</x:v>
      </x:c>
      <x:c r="B1435" s="5" t="n">
        <x:v>45667</x:v>
      </x:c>
      <x:c r="C1435" s="3" t="str">
        <x:v>CUST-00378</x:v>
      </x:c>
      <x:c r="D1435" s="3" t="str">
        <x:v>South</x:v>
      </x:c>
      <x:c r="E1435" s="3" t="str">
        <x:v>Sports</x:v>
      </x:c>
      <x:c r="F1435" s="3" t="str">
        <x:v>Fitness</x:v>
      </x:c>
      <x:c r="G1435" s="3" t="str">
        <x:v>ProYoga Mat</x:v>
      </x:c>
      <x:c r="H1435" s="3" t="n">
        <x:v>2</x:v>
      </x:c>
      <x:c r="I1435" s="7" t="n">
        <x:v>1260.42</x:v>
      </x:c>
      <x:c r="J1435" s="9" t="n">
        <x:v>0.15</x:v>
      </x:c>
      <x:c r="K1435" s="7" t="n">
        <x:v>2142.71</x:v>
      </x:c>
      <x:c r="L1435" s="7" t="n">
        <x:v>379.22</x:v>
      </x:c>
      <x:c r="M1435" s="3" t="str">
        <x:v>Credit Card</x:v>
      </x:c>
      <x:c r="N1435" s="3" t="str">
        <x:f>TEXT(B1435,"yyyy-mm")</x:f>
        <x:v>2025-01</x:v>
      </x:c>
      <x:c r="O1435" s="3" t="str">
        <x:f>IF(J1435=0,"No discount",IF(J1435&lt;=0.1,"1-10%",IF(J1435&lt;=0.15,"11-15%",IF(J1435&lt;=0.2,"16-20%","21%+"))))</x:f>
        <x:v>11-15%</x:v>
      </x:c>
      <x:c r="P1435" s="9" t="n">
        <x:f>IF(K1435=0,0,L1435/K1435)</x:f>
        <x:v>0.17698148606204295</x:v>
      </x:c>
      <x:c r="Q1435" s="3" t="str">
        <x:f>IF(L1435&lt;0,"Yes","No")</x:f>
        <x:v>No</x:v>
      </x:c>
    </x:row>
    <x:row r="1436" ht="21" customHeight="1">
      <x:c r="A1436" s="3" t="str">
        <x:v>ORD-100090</x:v>
      </x:c>
      <x:c r="B1436" s="5" t="n">
        <x:v>45668</x:v>
      </x:c>
      <x:c r="C1436" s="3" t="str">
        <x:v>CUST-00286</x:v>
      </x:c>
      <x:c r="D1436" s="3" t="str">
        <x:v>North</x:v>
      </x:c>
      <x:c r="E1436" s="3" t="str">
        <x:v>Electronics</x:v>
      </x:c>
      <x:c r="F1436" s="3" t="str">
        <x:v>Laptop</x:v>
      </x:c>
      <x:c r="G1436" s="3" t="str">
        <x:v>AirBook Slim</x:v>
      </x:c>
      <x:c r="H1436" s="3" t="n">
        <x:v>1</x:v>
      </x:c>
      <x:c r="I1436" s="7" t="n">
        <x:v>76729.67</x:v>
      </x:c>
      <x:c r="J1436" s="9" t="n">
        <x:v>0.1</x:v>
      </x:c>
      <x:c r="K1436" s="7" t="n">
        <x:v>69056.7</x:v>
      </x:c>
      <x:c r="L1436" s="7" t="n">
        <x:v>5354.58</x:v>
      </x:c>
      <x:c r="M1436" s="3" t="str">
        <x:v>UPI</x:v>
      </x:c>
      <x:c r="N1436" s="3" t="str">
        <x:f>TEXT(B1436,"yyyy-mm")</x:f>
        <x:v>2025-01</x:v>
      </x:c>
      <x:c r="O1436" s="3" t="str">
        <x:f>IF(J1436=0,"No discount",IF(J1436&lt;=0.1,"1-10%",IF(J1436&lt;=0.15,"11-15%",IF(J1436&lt;=0.2,"16-20%","21%+"))))</x:f>
        <x:v>1-10%</x:v>
      </x:c>
      <x:c r="P1436" s="9" t="n">
        <x:f>IF(K1436=0,0,L1436/K1436)</x:f>
        <x:v>0.07753889195400301</x:v>
      </x:c>
      <x:c r="Q1436" s="3" t="str">
        <x:f>IF(L1436&lt;0,"Yes","No")</x:f>
        <x:v>No</x:v>
      </x:c>
    </x:row>
    <x:row r="1437" ht="21" customHeight="1">
      <x:c r="A1437" s="3" t="str">
        <x:v>ORD-100502</x:v>
      </x:c>
      <x:c r="B1437" s="5" t="n">
        <x:v>45668</x:v>
      </x:c>
      <x:c r="C1437" s="3" t="str">
        <x:v>CUST-00504</x:v>
      </x:c>
      <x:c r="D1437" s="3" t="str">
        <x:v>West</x:v>
      </x:c>
      <x:c r="E1437" s="3" t="str">
        <x:v>Sports</x:v>
      </x:c>
      <x:c r="F1437" s="3" t="str">
        <x:v>Fitness</x:v>
      </x:c>
      <x:c r="G1437" s="3" t="str">
        <x:v>Adjustable Dumbbell 24kg</x:v>
      </x:c>
      <x:c r="H1437" s="3" t="n">
        <x:v>1</x:v>
      </x:c>
      <x:c r="I1437" s="7" t="n">
        <x:v>9687.82</x:v>
      </x:c>
      <x:c r="J1437" s="9" t="n">
        <x:v>0.2</x:v>
      </x:c>
      <x:c r="K1437" s="7" t="n">
        <x:v>7750.26</x:v>
      </x:c>
      <x:c r="L1437" s="7" t="n">
        <x:v>895.69</x:v>
      </x:c>
      <x:c r="M1437" s="3" t="str">
        <x:v>Credit Card</x:v>
      </x:c>
      <x:c r="N1437" s="3" t="str">
        <x:f>TEXT(B1437,"yyyy-mm")</x:f>
        <x:v>2025-01</x:v>
      </x:c>
      <x:c r="O1437" s="3" t="str">
        <x:f>IF(J1437=0,"No discount",IF(J1437&lt;=0.1,"1-10%",IF(J1437&lt;=0.15,"11-15%",IF(J1437&lt;=0.2,"16-20%","21%+"))))</x:f>
        <x:v>16-20%</x:v>
      </x:c>
      <x:c r="P1437" s="9" t="n">
        <x:f>IF(K1437=0,0,L1437/K1437)</x:f>
        <x:v>0.11556902607138342</x:v>
      </x:c>
      <x:c r="Q1437" s="3" t="str">
        <x:f>IF(L1437&lt;0,"Yes","No")</x:f>
        <x:v>No</x:v>
      </x:c>
    </x:row>
    <x:row r="1438" ht="21" customHeight="1">
      <x:c r="A1438" s="3" t="str">
        <x:v>ORD-101204</x:v>
      </x:c>
      <x:c r="B1438" s="5" t="n">
        <x:v>45669</x:v>
      </x:c>
      <x:c r="C1438" s="3" t="str">
        <x:v>CUST-00192</x:v>
      </x:c>
      <x:c r="D1438" s="3" t="str">
        <x:v>West</x:v>
      </x:c>
      <x:c r="E1438" s="3" t="str">
        <x:v>Sports</x:v>
      </x:c>
      <x:c r="F1438" s="3" t="str">
        <x:v>Outdoor</x:v>
      </x:c>
      <x:c r="G1438" s="3" t="str">
        <x:v>AllWeather Tent 4P</x:v>
      </x:c>
      <x:c r="H1438" s="3" t="n">
        <x:v>1</x:v>
      </x:c>
      <x:c r="I1438" s="7" t="n">
        <x:v>11847.41</x:v>
      </x:c>
      <x:c r="J1438" s="9" t="n">
        <x:v>0.25</x:v>
      </x:c>
      <x:c r="K1438" s="7" t="n">
        <x:v>8885.56</x:v>
      </x:c>
      <x:c r="L1438" s="7" t="n">
        <x:v>673.07</x:v>
      </x:c>
      <x:c r="M1438" s="3" t="str">
        <x:v>UPI</x:v>
      </x:c>
      <x:c r="N1438" s="3" t="str">
        <x:f>TEXT(B1438,"yyyy-mm")</x:f>
        <x:v>2025-01</x:v>
      </x:c>
      <x:c r="O1438" s="3" t="str">
        <x:f>IF(J1438=0,"No discount",IF(J1438&lt;=0.1,"1-10%",IF(J1438&lt;=0.15,"11-15%",IF(J1438&lt;=0.2,"16-20%","21%+"))))</x:f>
        <x:v>21%+</x:v>
      </x:c>
      <x:c r="P1438" s="9" t="n">
        <x:f>IF(K1438=0,0,L1438/K1438)</x:f>
        <x:v>0.07574874290421764</x:v>
      </x:c>
      <x:c r="Q1438" s="3" t="str">
        <x:f>IF(L1438&lt;0,"Yes","No")</x:f>
        <x:v>No</x:v>
      </x:c>
    </x:row>
    <x:row r="1439" ht="21" customHeight="1">
      <x:c r="A1439" s="3" t="str">
        <x:v>ORD-101270</x:v>
      </x:c>
      <x:c r="B1439" s="5" t="n">
        <x:v>45669</x:v>
      </x:c>
      <x:c r="C1439" s="3" t="str">
        <x:v>CUST-00072</x:v>
      </x:c>
      <x:c r="D1439" s="3" t="str">
        <x:v>East</x:v>
      </x:c>
      <x:c r="E1439" s="3" t="str">
        <x:v>Home &amp; Kitchen</x:v>
      </x:c>
      <x:c r="F1439" s="3" t="str">
        <x:v>Appliances</x:v>
      </x:c>
      <x:c r="G1439" s="3" t="str">
        <x:v>ColdBrew Coffee Maker</x:v>
      </x:c>
      <x:c r="H1439" s="3" t="n">
        <x:v>1</x:v>
      </x:c>
      <x:c r="I1439" s="7" t="n">
        <x:v>6412.1</x:v>
      </x:c>
      <x:c r="J1439" s="9" t="n">
        <x:v>0</x:v>
      </x:c>
      <x:c r="K1439" s="7" t="n">
        <x:v>6412.1</x:v>
      </x:c>
      <x:c r="L1439" s="7" t="n">
        <x:v>2123.85</x:v>
      </x:c>
      <x:c r="M1439" s="3" t="str">
        <x:v>UPI</x:v>
      </x:c>
      <x:c r="N1439" s="3" t="str">
        <x:f>TEXT(B1439,"yyyy-mm")</x:f>
        <x:v>2025-01</x:v>
      </x:c>
      <x:c r="O1439" s="3" t="str">
        <x:f>IF(J1439=0,"No discount",IF(J1439&lt;=0.1,"1-10%",IF(J1439&lt;=0.15,"11-15%",IF(J1439&lt;=0.2,"16-20%","21%+"))))</x:f>
        <x:v>No discount</x:v>
      </x:c>
      <x:c r="P1439" s="9" t="n">
        <x:f>IF(K1439=0,0,L1439/K1439)</x:f>
        <x:v>0.3312253395923332</x:v>
      </x:c>
      <x:c r="Q1439" s="3" t="str">
        <x:f>IF(L1439&lt;0,"Yes","No")</x:f>
        <x:v>No</x:v>
      </x:c>
    </x:row>
    <x:row r="1440" ht="21" customHeight="1">
      <x:c r="A1440" s="3" t="str">
        <x:v>ORD-101854</x:v>
      </x:c>
      <x:c r="B1440" s="5" t="n">
        <x:v>45669</x:v>
      </x:c>
      <x:c r="C1440" s="3" t="str">
        <x:v>CUST-00302</x:v>
      </x:c>
      <x:c r="D1440" s="3" t="str">
        <x:v>North</x:v>
      </x:c>
      <x:c r="E1440" s="3" t="str">
        <x:v>Home &amp; Kitchen</x:v>
      </x:c>
      <x:c r="F1440" s="3" t="str">
        <x:v>Furniture</x:v>
      </x:c>
      <x:c r="G1440" s="3" t="str">
        <x:v>Oakwood Study Desk</x:v>
      </x:c>
      <x:c r="H1440" s="3" t="n">
        <x:v>1</x:v>
      </x:c>
      <x:c r="I1440" s="7" t="n">
        <x:v>13455.37</x:v>
      </x:c>
      <x:c r="J1440" s="9" t="n">
        <x:v>0.1</x:v>
      </x:c>
      <x:c r="K1440" s="7" t="n">
        <x:v>12109.83</x:v>
      </x:c>
      <x:c r="L1440" s="7" t="n">
        <x:v>2408.96</x:v>
      </x:c>
      <x:c r="M1440" s="3" t="str">
        <x:v>Credit Card</x:v>
      </x:c>
      <x:c r="N1440" s="3" t="str">
        <x:f>TEXT(B1440,"yyyy-mm")</x:f>
        <x:v>2025-01</x:v>
      </x:c>
      <x:c r="O1440" s="3" t="str">
        <x:f>IF(J1440=0,"No discount",IF(J1440&lt;=0.1,"1-10%",IF(J1440&lt;=0.15,"11-15%",IF(J1440&lt;=0.2,"16-20%","21%+"))))</x:f>
        <x:v>1-10%</x:v>
      </x:c>
      <x:c r="P1440" s="9" t="n">
        <x:f>IF(K1440=0,0,L1440/K1440)</x:f>
        <x:v>0.19892599648384826</x:v>
      </x:c>
      <x:c r="Q1440" s="3" t="str">
        <x:f>IF(L1440&lt;0,"Yes","No")</x:f>
        <x:v>No</x:v>
      </x:c>
    </x:row>
    <x:row r="1441" ht="21" customHeight="1">
      <x:c r="A1441" s="3" t="str">
        <x:v>ORD-100021</x:v>
      </x:c>
      <x:c r="B1441" s="5" t="n">
        <x:v>45670</x:v>
      </x:c>
      <x:c r="C1441" s="3" t="str">
        <x:v>CUST-00449</x:v>
      </x:c>
      <x:c r="D1441" s="3" t="str">
        <x:v>South</x:v>
      </x:c>
      <x:c r="E1441" s="3" t="str">
        <x:v>Sports</x:v>
      </x:c>
      <x:c r="F1441" s="3" t="str">
        <x:v>Outdoor</x:v>
      </x:c>
      <x:c r="G1441" s="3" t="str">
        <x:v>TrailHike Backpack 60L</x:v>
      </x:c>
      <x:c r="H1441" s="3" t="n">
        <x:v>1</x:v>
      </x:c>
      <x:c r="I1441" s="7" t="n">
        <x:v>3521.04</x:v>
      </x:c>
      <x:c r="J1441" s="9" t="n">
        <x:v>0.1</x:v>
      </x:c>
      <x:c r="K1441" s="7" t="n">
        <x:v>3168.94</x:v>
      </x:c>
      <x:c r="L1441" s="7" t="n">
        <x:v>738.36</x:v>
      </x:c>
      <x:c r="M1441" s="3" t="str">
        <x:v>Credit Card</x:v>
      </x:c>
      <x:c r="N1441" s="3" t="str">
        <x:f>TEXT(B1441,"yyyy-mm")</x:f>
        <x:v>2025-01</x:v>
      </x:c>
      <x:c r="O1441" s="3" t="str">
        <x:f>IF(J1441=0,"No discount",IF(J1441&lt;=0.1,"1-10%",IF(J1441&lt;=0.15,"11-15%",IF(J1441&lt;=0.2,"16-20%","21%+"))))</x:f>
        <x:v>1-10%</x:v>
      </x:c>
      <x:c r="P1441" s="9" t="n">
        <x:f>IF(K1441=0,0,L1441/K1441)</x:f>
        <x:v>0.2329990469999432</x:v>
      </x:c>
      <x:c r="Q1441" s="3" t="str">
        <x:f>IF(L1441&lt;0,"Yes","No")</x:f>
        <x:v>No</x:v>
      </x:c>
    </x:row>
    <x:row r="1442" ht="21" customHeight="1">
      <x:c r="A1442" s="3" t="str">
        <x:v>ORD-101032</x:v>
      </x:c>
      <x:c r="B1442" s="5" t="n">
        <x:v>45670</x:v>
      </x:c>
      <x:c r="C1442" s="3" t="str">
        <x:v>CUST-00139</x:v>
      </x:c>
      <x:c r="D1442" s="3" t="str">
        <x:v>West</x:v>
      </x:c>
      <x:c r="E1442" s="3" t="str">
        <x:v>Sports</x:v>
      </x:c>
      <x:c r="F1442" s="3" t="str">
        <x:v>Fitness</x:v>
      </x:c>
      <x:c r="G1442" s="3" t="str">
        <x:v>Adjustable Dumbbell 24kg</x:v>
      </x:c>
      <x:c r="H1442" s="3" t="n">
        <x:v>4</x:v>
      </x:c>
      <x:c r="I1442" s="7" t="n">
        <x:v>10445.56</x:v>
      </x:c>
      <x:c r="J1442" s="9" t="n">
        <x:v>0.3</x:v>
      </x:c>
      <x:c r="K1442" s="7" t="n">
        <x:v>29247.57</x:v>
      </x:c>
      <x:c r="L1442" s="7" t="n">
        <x:v>1179.92</x:v>
      </x:c>
      <x:c r="M1442" s="3" t="str">
        <x:v>Cash on Delivery</x:v>
      </x:c>
      <x:c r="N1442" s="3" t="str">
        <x:f>TEXT(B1442,"yyyy-mm")</x:f>
        <x:v>2025-01</x:v>
      </x:c>
      <x:c r="O1442" s="3" t="str">
        <x:f>IF(J1442=0,"No discount",IF(J1442&lt;=0.1,"1-10%",IF(J1442&lt;=0.15,"11-15%",IF(J1442&lt;=0.2,"16-20%","21%+"))))</x:f>
        <x:v>21%+</x:v>
      </x:c>
      <x:c r="P1442" s="9" t="n">
        <x:f>IF(K1442=0,0,L1442/K1442)</x:f>
        <x:v>0.04034249682965115</x:v>
      </x:c>
      <x:c r="Q1442" s="3" t="str">
        <x:f>IF(L1442&lt;0,"Yes","No")</x:f>
        <x:v>No</x:v>
      </x:c>
    </x:row>
    <x:row r="1443" ht="21" customHeight="1">
      <x:c r="A1443" s="3" t="str">
        <x:v>ORD-101334</x:v>
      </x:c>
      <x:c r="B1443" s="5" t="n">
        <x:v>45670</x:v>
      </x:c>
      <x:c r="C1443" s="3" t="str">
        <x:v>CUST-00415</x:v>
      </x:c>
      <x:c r="D1443" s="3" t="str">
        <x:v>East</x:v>
      </x:c>
      <x:c r="E1443" s="3" t="str">
        <x:v>Beauty</x:v>
      </x:c>
      <x:c r="F1443" s="3" t="str">
        <x:v>Makeup</x:v>
      </x:c>
      <x:c r="G1443" s="3" t="str">
        <x:v>HD Foundation Kit</x:v>
      </x:c>
      <x:c r="H1443" s="3" t="n">
        <x:v>2</x:v>
      </x:c>
      <x:c r="I1443" s="7" t="n">
        <x:v>1452.87</x:v>
      </x:c>
      <x:c r="J1443" s="9" t="n">
        <x:v>0.3</x:v>
      </x:c>
      <x:c r="K1443" s="7" t="n">
        <x:v>2034.02</x:v>
      </x:c>
      <x:c r="L1443" s="7" t="n">
        <x:v>418.02</x:v>
      </x:c>
      <x:c r="M1443" s="3" t="str">
        <x:v>Credit Card</x:v>
      </x:c>
      <x:c r="N1443" s="3" t="str">
        <x:f>TEXT(B1443,"yyyy-mm")</x:f>
        <x:v>2025-01</x:v>
      </x:c>
      <x:c r="O1443" s="3" t="str">
        <x:f>IF(J1443=0,"No discount",IF(J1443&lt;=0.1,"1-10%",IF(J1443&lt;=0.15,"11-15%",IF(J1443&lt;=0.2,"16-20%","21%+"))))</x:f>
        <x:v>21%+</x:v>
      </x:c>
      <x:c r="P1443" s="9" t="n">
        <x:f>IF(K1443=0,0,L1443/K1443)</x:f>
        <x:v>0.20551420340016321</x:v>
      </x:c>
      <x:c r="Q1443" s="3" t="str">
        <x:f>IF(L1443&lt;0,"Yes","No")</x:f>
        <x:v>No</x:v>
      </x:c>
    </x:row>
    <x:row r="1444" ht="21" customHeight="1">
      <x:c r="A1444" s="3" t="str">
        <x:v>ORD-101916</x:v>
      </x:c>
      <x:c r="B1444" s="5" t="n">
        <x:v>45670</x:v>
      </x:c>
      <x:c r="C1444" s="3" t="str">
        <x:v>CUST-00246</x:v>
      </x:c>
      <x:c r="D1444" s="3" t="str">
        <x:v>South</x:v>
      </x:c>
      <x:c r="E1444" s="3" t="str">
        <x:v>Fashion</x:v>
      </x:c>
      <x:c r="F1444" s="3" t="str">
        <x:v>Women</x:v>
      </x:c>
      <x:c r="G1444" s="3" t="str">
        <x:v>Floral Summer Dress</x:v>
      </x:c>
      <x:c r="H1444" s="3" t="n">
        <x:v>1</x:v>
      </x:c>
      <x:c r="I1444" s="7" t="n">
        <x:v>1721.1</x:v>
      </x:c>
      <x:c r="J1444" s="9" t="n">
        <x:v>0.1</x:v>
      </x:c>
      <x:c r="K1444" s="7" t="n">
        <x:v>1548.99</x:v>
      </x:c>
      <x:c r="L1444" s="7" t="n">
        <x:v>453.58</x:v>
      </x:c>
      <x:c r="M1444" s="3" t="str">
        <x:v>Debit Card</x:v>
      </x:c>
      <x:c r="N1444" s="3" t="str">
        <x:f>TEXT(B1444,"yyyy-mm")</x:f>
        <x:v>2025-01</x:v>
      </x:c>
      <x:c r="O1444" s="3" t="str">
        <x:f>IF(J1444=0,"No discount",IF(J1444&lt;=0.1,"1-10%",IF(J1444&lt;=0.15,"11-15%",IF(J1444&lt;=0.2,"16-20%","21%+"))))</x:f>
        <x:v>1-10%</x:v>
      </x:c>
      <x:c r="P1444" s="9" t="n">
        <x:f>IF(K1444=0,0,L1444/K1444)</x:f>
        <x:v>0.29282306535226177</x:v>
      </x:c>
      <x:c r="Q1444" s="3" t="str">
        <x:f>IF(L1444&lt;0,"Yes","No")</x:f>
        <x:v>No</x:v>
      </x:c>
    </x:row>
    <x:row r="1445" ht="21" customHeight="1">
      <x:c r="A1445" s="3" t="str">
        <x:v>ORD-100134</x:v>
      </x:c>
      <x:c r="B1445" s="5" t="n">
        <x:v>45671</x:v>
      </x:c>
      <x:c r="C1445" s="3" t="str">
        <x:v>CUST-00109</x:v>
      </x:c>
      <x:c r="D1445" s="3" t="str">
        <x:v>West</x:v>
      </x:c>
      <x:c r="E1445" s="3" t="str">
        <x:v>Fashion</x:v>
      </x:c>
      <x:c r="F1445" s="3" t="str">
        <x:v>Women</x:v>
      </x:c>
      <x:c r="G1445" s="3" t="str">
        <x:v>Floral Summer Dress</x:v>
      </x:c>
      <x:c r="H1445" s="3" t="n">
        <x:v>1</x:v>
      </x:c>
      <x:c r="I1445" s="7" t="n">
        <x:v>1841.13</x:v>
      </x:c>
      <x:c r="J1445" s="9" t="n">
        <x:v>0.15</x:v>
      </x:c>
      <x:c r="K1445" s="7" t="n">
        <x:v>1564.96</x:v>
      </x:c>
      <x:c r="L1445" s="7" t="n">
        <x:v>432.5</x:v>
      </x:c>
      <x:c r="M1445" s="3" t="str">
        <x:v>UPI</x:v>
      </x:c>
      <x:c r="N1445" s="3" t="str">
        <x:f>TEXT(B1445,"yyyy-mm")</x:f>
        <x:v>2025-01</x:v>
      </x:c>
      <x:c r="O1445" s="3" t="str">
        <x:f>IF(J1445=0,"No discount",IF(J1445&lt;=0.1,"1-10%",IF(J1445&lt;=0.15,"11-15%",IF(J1445&lt;=0.2,"16-20%","21%+"))))</x:f>
        <x:v>11-15%</x:v>
      </x:c>
      <x:c r="P1445" s="9" t="n">
        <x:f>IF(K1445=0,0,L1445/K1445)</x:f>
        <x:v>0.2763648911154279</x:v>
      </x:c>
      <x:c r="Q1445" s="3" t="str">
        <x:f>IF(L1445&lt;0,"Yes","No")</x:f>
        <x:v>No</x:v>
      </x:c>
    </x:row>
    <x:row r="1446" ht="21" customHeight="1">
      <x:c r="A1446" s="3" t="str">
        <x:v>ORD-100920</x:v>
      </x:c>
      <x:c r="B1446" s="5" t="n">
        <x:v>45671</x:v>
      </x:c>
      <x:c r="C1446" s="3" t="str">
        <x:v>CUST-00399</x:v>
      </x:c>
      <x:c r="D1446" s="3" t="str">
        <x:v>South</x:v>
      </x:c>
      <x:c r="E1446" s="3" t="str">
        <x:v>Electronics</x:v>
      </x:c>
      <x:c r="F1446" s="3" t="str">
        <x:v>Audio</x:v>
      </x:c>
      <x:c r="G1446" s="3" t="str">
        <x:v>BassBoom Speaker</x:v>
      </x:c>
      <x:c r="H1446" s="3" t="n">
        <x:v>4</x:v>
      </x:c>
      <x:c r="I1446" s="7" t="n">
        <x:v>8773.97</x:v>
      </x:c>
      <x:c r="J1446" s="9" t="n">
        <x:v>0.05</x:v>
      </x:c>
      <x:c r="K1446" s="7" t="n">
        <x:v>33341.09</x:v>
      </x:c>
      <x:c r="L1446" s="7" t="n">
        <x:v>4269.14</x:v>
      </x:c>
      <x:c r="M1446" s="3" t="str">
        <x:v>UPI</x:v>
      </x:c>
      <x:c r="N1446" s="3" t="str">
        <x:f>TEXT(B1446,"yyyy-mm")</x:f>
        <x:v>2025-01</x:v>
      </x:c>
      <x:c r="O1446" s="3" t="str">
        <x:f>IF(J1446=0,"No discount",IF(J1446&lt;=0.1,"1-10%",IF(J1446&lt;=0.15,"11-15%",IF(J1446&lt;=0.2,"16-20%","21%+"))))</x:f>
        <x:v>1-10%</x:v>
      </x:c>
      <x:c r="P1446" s="9" t="n">
        <x:f>IF(K1446=0,0,L1446/K1446)</x:f>
        <x:v>0.1280444040671736</x:v>
      </x:c>
      <x:c r="Q1446" s="3" t="str">
        <x:f>IF(L1446&lt;0,"Yes","No")</x:f>
        <x:v>No</x:v>
      </x:c>
    </x:row>
    <x:row r="1447" ht="21" customHeight="1">
      <x:c r="A1447" s="3" t="str">
        <x:v>ORD-101742</x:v>
      </x:c>
      <x:c r="B1447" s="5" t="n">
        <x:v>45671</x:v>
      </x:c>
      <x:c r="C1447" s="3" t="str">
        <x:v>CUST-00506</x:v>
      </x:c>
      <x:c r="D1447" s="3" t="str">
        <x:v>South</x:v>
      </x:c>
      <x:c r="E1447" s="3" t="str">
        <x:v>Beauty</x:v>
      </x:c>
      <x:c r="F1447" s="3" t="str">
        <x:v>Skincare</x:v>
      </x:c>
      <x:c r="G1447" s="3" t="str">
        <x:v>HydraBoost Moisturizer</x:v>
      </x:c>
      <x:c r="H1447" s="3" t="n">
        <x:v>3</x:v>
      </x:c>
      <x:c r="I1447" s="7" t="n">
        <x:v>1230.42</x:v>
      </x:c>
      <x:c r="J1447" s="9" t="n">
        <x:v>0.2</x:v>
      </x:c>
      <x:c r="K1447" s="7" t="n">
        <x:v>2953.01</x:v>
      </x:c>
      <x:c r="L1447" s="7" t="n">
        <x:v>920.9</x:v>
      </x:c>
      <x:c r="M1447" s="3" t="str">
        <x:v>Net Banking</x:v>
      </x:c>
      <x:c r="N1447" s="3" t="str">
        <x:f>TEXT(B1447,"yyyy-mm")</x:f>
        <x:v>2025-01</x:v>
      </x:c>
      <x:c r="O1447" s="3" t="str">
        <x:f>IF(J1447=0,"No discount",IF(J1447&lt;=0.1,"1-10%",IF(J1447&lt;=0.15,"11-15%",IF(J1447&lt;=0.2,"16-20%","21%+"))))</x:f>
        <x:v>16-20%</x:v>
      </x:c>
      <x:c r="P1447" s="9" t="n">
        <x:f>IF(K1447=0,0,L1447/K1447)</x:f>
        <x:v>0.31185129748968</x:v>
      </x:c>
      <x:c r="Q1447" s="3" t="str">
        <x:f>IF(L1447&lt;0,"Yes","No")</x:f>
        <x:v>No</x:v>
      </x:c>
    </x:row>
    <x:row r="1448" ht="21" customHeight="1">
      <x:c r="A1448" s="3" t="str">
        <x:v>ORD-101973</x:v>
      </x:c>
      <x:c r="B1448" s="5" t="n">
        <x:v>45671</x:v>
      </x:c>
      <x:c r="C1448" s="3" t="str">
        <x:v>CUST-00478</x:v>
      </x:c>
      <x:c r="D1448" s="3" t="str">
        <x:v>North</x:v>
      </x:c>
      <x:c r="E1448" s="3" t="str">
        <x:v>Electronics</x:v>
      </x:c>
      <x:c r="F1448" s="3" t="str">
        <x:v>Audio</x:v>
      </x:c>
      <x:c r="G1448" s="3" t="str">
        <x:v>SoundPods Pro</x:v>
      </x:c>
      <x:c r="H1448" s="3" t="n">
        <x:v>2</x:v>
      </x:c>
      <x:c r="I1448" s="7" t="n">
        <x:v>4867.8</x:v>
      </x:c>
      <x:c r="J1448" s="9" t="n">
        <x:v>0.15</x:v>
      </x:c>
      <x:c r="K1448" s="7" t="n">
        <x:v>8275.26</x:v>
      </x:c>
      <x:c r="L1448" s="7" t="n">
        <x:v>-105.88</x:v>
      </x:c>
      <x:c r="M1448" s="3" t="str">
        <x:v>UPI</x:v>
      </x:c>
      <x:c r="N1448" s="3" t="str">
        <x:f>TEXT(B1448,"yyyy-mm")</x:f>
        <x:v>2025-01</x:v>
      </x:c>
      <x:c r="O1448" s="3" t="str">
        <x:f>IF(J1448=0,"No discount",IF(J1448&lt;=0.1,"1-10%",IF(J1448&lt;=0.15,"11-15%",IF(J1448&lt;=0.2,"16-20%","21%+"))))</x:f>
        <x:v>11-15%</x:v>
      </x:c>
      <x:c r="P1448" s="9" t="n">
        <x:f>IF(K1448=0,0,L1448/K1448)</x:f>
        <x:v>-0.012794764152425421</x:v>
      </x:c>
      <x:c r="Q1448" s="3" t="str">
        <x:f>IF(L1448&lt;0,"Yes","No")</x:f>
        <x:v>Yes</x:v>
      </x:c>
    </x:row>
    <x:row r="1449" ht="21" customHeight="1">
      <x:c r="A1449" s="3" t="str">
        <x:v>ORD-100869</x:v>
      </x:c>
      <x:c r="B1449" s="5" t="n">
        <x:v>45672</x:v>
      </x:c>
      <x:c r="C1449" s="3" t="str">
        <x:v>CUST-00170</x:v>
      </x:c>
      <x:c r="D1449" s="3" t="str">
        <x:v>East</x:v>
      </x:c>
      <x:c r="E1449" s="3" t="str">
        <x:v>Sports</x:v>
      </x:c>
      <x:c r="F1449" s="3" t="str">
        <x:v>Outdoor</x:v>
      </x:c>
      <x:c r="G1449" s="3" t="str">
        <x:v>TrailHike Backpack 60L</x:v>
      </x:c>
      <x:c r="H1449" s="3" t="n">
        <x:v>1</x:v>
      </x:c>
      <x:c r="I1449" s="7" t="n">
        <x:v>3427</x:v>
      </x:c>
      <x:c r="J1449" s="9" t="n">
        <x:v>0.05</x:v>
      </x:c>
      <x:c r="K1449" s="7" t="n">
        <x:v>3255.65</x:v>
      </x:c>
      <x:c r="L1449" s="7" t="n">
        <x:v>1159.85</x:v>
      </x:c>
      <x:c r="M1449" s="3" t="str">
        <x:v>Credit Card</x:v>
      </x:c>
      <x:c r="N1449" s="3" t="str">
        <x:f>TEXT(B1449,"yyyy-mm")</x:f>
        <x:v>2025-01</x:v>
      </x:c>
      <x:c r="O1449" s="3" t="str">
        <x:f>IF(J1449=0,"No discount",IF(J1449&lt;=0.1,"1-10%",IF(J1449&lt;=0.15,"11-15%",IF(J1449&lt;=0.2,"16-20%","21%+"))))</x:f>
        <x:v>1-10%</x:v>
      </x:c>
      <x:c r="P1449" s="9" t="n">
        <x:f>IF(K1449=0,0,L1449/K1449)</x:f>
        <x:v>0.35625758297114246</x:v>
      </x:c>
      <x:c r="Q1449" s="3" t="str">
        <x:f>IF(L1449&lt;0,"Yes","No")</x:f>
        <x:v>No</x:v>
      </x:c>
    </x:row>
    <x:row r="1450" ht="21" customHeight="1">
      <x:c r="A1450" s="3" t="str">
        <x:v>ORD-100256</x:v>
      </x:c>
      <x:c r="B1450" s="5" t="n">
        <x:v>45673</x:v>
      </x:c>
      <x:c r="C1450" s="3" t="str">
        <x:v>CUST-00311</x:v>
      </x:c>
      <x:c r="D1450" s="3" t="str">
        <x:v>East</x:v>
      </x:c>
      <x:c r="E1450" s="3" t="str">
        <x:v>Sports</x:v>
      </x:c>
      <x:c r="F1450" s="3" t="str">
        <x:v>Fitness</x:v>
      </x:c>
      <x:c r="G1450" s="3" t="str">
        <x:v>Adjustable Dumbbell 24kg</x:v>
      </x:c>
      <x:c r="H1450" s="3" t="n">
        <x:v>1</x:v>
      </x:c>
      <x:c r="I1450" s="7" t="n">
        <x:v>9830.51</x:v>
      </x:c>
      <x:c r="J1450" s="9" t="n">
        <x:v>0.2</x:v>
      </x:c>
      <x:c r="K1450" s="7" t="n">
        <x:v>7864.41</x:v>
      </x:c>
      <x:c r="L1450" s="7" t="n">
        <x:v>1014.56</x:v>
      </x:c>
      <x:c r="M1450" s="3" t="str">
        <x:v>Net Banking</x:v>
      </x:c>
      <x:c r="N1450" s="3" t="str">
        <x:f>TEXT(B1450,"yyyy-mm")</x:f>
        <x:v>2025-01</x:v>
      </x:c>
      <x:c r="O1450" s="3" t="str">
        <x:f>IF(J1450=0,"No discount",IF(J1450&lt;=0.1,"1-10%",IF(J1450&lt;=0.15,"11-15%",IF(J1450&lt;=0.2,"16-20%","21%+"))))</x:f>
        <x:v>16-20%</x:v>
      </x:c>
      <x:c r="P1450" s="9" t="n">
        <x:f>IF(K1450=0,0,L1450/K1450)</x:f>
        <x:v>0.12900649889820087</x:v>
      </x:c>
      <x:c r="Q1450" s="3" t="str">
        <x:f>IF(L1450&lt;0,"Yes","No")</x:f>
        <x:v>No</x:v>
      </x:c>
    </x:row>
    <x:row r="1451" ht="21" customHeight="1">
      <x:c r="A1451" s="3" t="str">
        <x:v>ORD-100260</x:v>
      </x:c>
      <x:c r="B1451" s="5" t="n">
        <x:v>45673</x:v>
      </x:c>
      <x:c r="C1451" s="3" t="str">
        <x:v>CUST-00457</x:v>
      </x:c>
      <x:c r="D1451" s="3" t="str">
        <x:v>North</x:v>
      </x:c>
      <x:c r="E1451" s="3" t="str">
        <x:v>Electronics</x:v>
      </x:c>
      <x:c r="F1451" s="3" t="str">
        <x:v>Laptop</x:v>
      </x:c>
      <x:c r="G1451" s="3" t="str">
        <x:v>ThinkPro 14</x:v>
      </x:c>
      <x:c r="H1451" s="3" t="n">
        <x:v>1</x:v>
      </x:c>
      <x:c r="I1451" s="7" t="n">
        <x:v>55027.19</x:v>
      </x:c>
      <x:c r="J1451" s="9" t="n">
        <x:v>0.2</x:v>
      </x:c>
      <x:c r="K1451" s="7" t="n">
        <x:v>44021.75</x:v>
      </x:c>
      <x:c r="L1451" s="7" t="n">
        <x:v>-1724.21</x:v>
      </x:c>
      <x:c r="M1451" s="3" t="str">
        <x:v>UPI</x:v>
      </x:c>
      <x:c r="N1451" s="3" t="str">
        <x:f>TEXT(B1451,"yyyy-mm")</x:f>
        <x:v>2025-01</x:v>
      </x:c>
      <x:c r="O1451" s="3" t="str">
        <x:f>IF(J1451=0,"No discount",IF(J1451&lt;=0.1,"1-10%",IF(J1451&lt;=0.15,"11-15%",IF(J1451&lt;=0.2,"16-20%","21%+"))))</x:f>
        <x:v>16-20%</x:v>
      </x:c>
      <x:c r="P1451" s="9" t="n">
        <x:f>IF(K1451=0,0,L1451/K1451)</x:f>
        <x:v>-0.03916722983525189</x:v>
      </x:c>
      <x:c r="Q1451" s="3" t="str">
        <x:f>IF(L1451&lt;0,"Yes","No")</x:f>
        <x:v>Yes</x:v>
      </x:c>
    </x:row>
    <x:row r="1452" ht="21" customHeight="1">
      <x:c r="A1452" s="3" t="str">
        <x:v>ORD-101366</x:v>
      </x:c>
      <x:c r="B1452" s="5" t="n">
        <x:v>45673</x:v>
      </x:c>
      <x:c r="C1452" s="3" t="str">
        <x:v>CUST-00047</x:v>
      </x:c>
      <x:c r="D1452" s="3" t="str">
        <x:v>South</x:v>
      </x:c>
      <x:c r="E1452" s="3" t="str">
        <x:v>Sports</x:v>
      </x:c>
      <x:c r="F1452" s="3" t="str">
        <x:v>Fitness</x:v>
      </x:c>
      <x:c r="G1452" s="3" t="str">
        <x:v>Adjustable Dumbbell 24kg</x:v>
      </x:c>
      <x:c r="H1452" s="3" t="n">
        <x:v>2</x:v>
      </x:c>
      <x:c r="I1452" s="7" t="n">
        <x:v>10415.21</x:v>
      </x:c>
      <x:c r="J1452" s="9" t="n">
        <x:v>0.05</x:v>
      </x:c>
      <x:c r="K1452" s="7" t="n">
        <x:v>19788.9</x:v>
      </x:c>
      <x:c r="L1452" s="7" t="n">
        <x:v>5756.96</x:v>
      </x:c>
      <x:c r="M1452" s="3" t="str">
        <x:v>Credit Card</x:v>
      </x:c>
      <x:c r="N1452" s="3" t="str">
        <x:f>TEXT(B1452,"yyyy-mm")</x:f>
        <x:v>2025-01</x:v>
      </x:c>
      <x:c r="O1452" s="3" t="str">
        <x:f>IF(J1452=0,"No discount",IF(J1452&lt;=0.1,"1-10%",IF(J1452&lt;=0.15,"11-15%",IF(J1452&lt;=0.2,"16-20%","21%+"))))</x:f>
        <x:v>1-10%</x:v>
      </x:c>
      <x:c r="P1452" s="9" t="n">
        <x:f>IF(K1452=0,0,L1452/K1452)</x:f>
        <x:v>0.29091864631182124</x:v>
      </x:c>
      <x:c r="Q1452" s="3" t="str">
        <x:f>IF(L1452&lt;0,"Yes","No")</x:f>
        <x:v>No</x:v>
      </x:c>
    </x:row>
    <x:row r="1453" ht="21" customHeight="1">
      <x:c r="A1453" s="3" t="str">
        <x:v>ORD-100395</x:v>
      </x:c>
      <x:c r="B1453" s="5" t="n">
        <x:v>45674</x:v>
      </x:c>
      <x:c r="C1453" s="3" t="str">
        <x:v>CUST-00397</x:v>
      </x:c>
      <x:c r="D1453" s="3" t="str">
        <x:v>East</x:v>
      </x:c>
      <x:c r="E1453" s="3" t="str">
        <x:v>Beauty</x:v>
      </x:c>
      <x:c r="F1453" s="3" t="str">
        <x:v>Makeup</x:v>
      </x:c>
      <x:c r="G1453" s="3" t="str">
        <x:v>Matte Lipstick Set</x:v>
      </x:c>
      <x:c r="H1453" s="3" t="n">
        <x:v>2</x:v>
      </x:c>
      <x:c r="I1453" s="7" t="n">
        <x:v>951.66</x:v>
      </x:c>
      <x:c r="J1453" s="9" t="n">
        <x:v>0</x:v>
      </x:c>
      <x:c r="K1453" s="7" t="n">
        <x:v>1903.32</x:v>
      </x:c>
      <x:c r="L1453" s="7" t="n">
        <x:v>982.79</x:v>
      </x:c>
      <x:c r="M1453" s="3" t="str">
        <x:v>UPI</x:v>
      </x:c>
      <x:c r="N1453" s="3" t="str">
        <x:f>TEXT(B1453,"yyyy-mm")</x:f>
        <x:v>2025-01</x:v>
      </x:c>
      <x:c r="O1453" s="3" t="str">
        <x:f>IF(J1453=0,"No discount",IF(J1453&lt;=0.1,"1-10%",IF(J1453&lt;=0.15,"11-15%",IF(J1453&lt;=0.2,"16-20%","21%+"))))</x:f>
        <x:v>No discount</x:v>
      </x:c>
      <x:c r="P1453" s="9" t="n">
        <x:f>IF(K1453=0,0,L1453/K1453)</x:f>
        <x:v>0.5163556312128281</x:v>
      </x:c>
      <x:c r="Q1453" s="3" t="str">
        <x:f>IF(L1453&lt;0,"Yes","No")</x:f>
        <x:v>No</x:v>
      </x:c>
    </x:row>
    <x:row r="1454" ht="21" customHeight="1">
      <x:c r="A1454" s="3" t="str">
        <x:v>ORD-100948</x:v>
      </x:c>
      <x:c r="B1454" s="5" t="n">
        <x:v>45674</x:v>
      </x:c>
      <x:c r="C1454" s="3" t="str">
        <x:v>CUST-00448</x:v>
      </x:c>
      <x:c r="D1454" s="3" t="str">
        <x:v>North</x:v>
      </x:c>
      <x:c r="E1454" s="3" t="str">
        <x:v>Fashion</x:v>
      </x:c>
      <x:c r="F1454" s="3" t="str">
        <x:v>Men</x:v>
      </x:c>
      <x:c r="G1454" s="3" t="str">
        <x:v>Oxford Casual Shirt</x:v>
      </x:c>
      <x:c r="H1454" s="3" t="n">
        <x:v>1</x:v>
      </x:c>
      <x:c r="I1454" s="7" t="n">
        <x:v>1337.72</x:v>
      </x:c>
      <x:c r="J1454" s="9" t="n">
        <x:v>0.15</x:v>
      </x:c>
      <x:c r="K1454" s="7" t="n">
        <x:v>1137.06</x:v>
      </x:c>
      <x:c r="L1454" s="7" t="n">
        <x:v>311.59</x:v>
      </x:c>
      <x:c r="M1454" s="3" t="str">
        <x:v>Cash on Delivery</x:v>
      </x:c>
      <x:c r="N1454" s="3" t="str">
        <x:f>TEXT(B1454,"yyyy-mm")</x:f>
        <x:v>2025-01</x:v>
      </x:c>
      <x:c r="O1454" s="3" t="str">
        <x:f>IF(J1454=0,"No discount",IF(J1454&lt;=0.1,"1-10%",IF(J1454&lt;=0.15,"11-15%",IF(J1454&lt;=0.2,"16-20%","21%+"))))</x:f>
        <x:v>11-15%</x:v>
      </x:c>
      <x:c r="P1454" s="9" t="n">
        <x:f>IF(K1454=0,0,L1454/K1454)</x:f>
        <x:v>0.27403127363551616</x:v>
      </x:c>
      <x:c r="Q1454" s="3" t="str">
        <x:f>IF(L1454&lt;0,"Yes","No")</x:f>
        <x:v>No</x:v>
      </x:c>
    </x:row>
    <x:row r="1455" ht="21" customHeight="1">
      <x:c r="A1455" s="3" t="str">
        <x:v>ORD-101092</x:v>
      </x:c>
      <x:c r="B1455" s="5" t="n">
        <x:v>45674</x:v>
      </x:c>
      <x:c r="C1455" s="3" t="str">
        <x:v>CUST-00490</x:v>
      </x:c>
      <x:c r="D1455" s="3" t="str">
        <x:v>East</x:v>
      </x:c>
      <x:c r="E1455" s="3" t="str">
        <x:v>Sports</x:v>
      </x:c>
      <x:c r="F1455" s="3" t="str">
        <x:v>Outdoor</x:v>
      </x:c>
      <x:c r="G1455" s="3" t="str">
        <x:v>TrailHike Backpack 60L</x:v>
      </x:c>
      <x:c r="H1455" s="3" t="n">
        <x:v>4</x:v>
      </x:c>
      <x:c r="I1455" s="7" t="n">
        <x:v>3366.39</x:v>
      </x:c>
      <x:c r="J1455" s="9" t="n">
        <x:v>0.2</x:v>
      </x:c>
      <x:c r="K1455" s="7" t="n">
        <x:v>10772.45</x:v>
      </x:c>
      <x:c r="L1455" s="7" t="n">
        <x:v>1324.58</x:v>
      </x:c>
      <x:c r="M1455" s="3" t="str">
        <x:v>Credit Card</x:v>
      </x:c>
      <x:c r="N1455" s="3" t="str">
        <x:f>TEXT(B1455,"yyyy-mm")</x:f>
        <x:v>2025-01</x:v>
      </x:c>
      <x:c r="O1455" s="3" t="str">
        <x:f>IF(J1455=0,"No discount",IF(J1455&lt;=0.1,"1-10%",IF(J1455&lt;=0.15,"11-15%",IF(J1455&lt;=0.2,"16-20%","21%+"))))</x:f>
        <x:v>16-20%</x:v>
      </x:c>
      <x:c r="P1455" s="9" t="n">
        <x:f>IF(K1455=0,0,L1455/K1455)</x:f>
        <x:v>0.12295995804111412</x:v>
      </x:c>
      <x:c r="Q1455" s="3" t="str">
        <x:f>IF(L1455&lt;0,"Yes","No")</x:f>
        <x:v>No</x:v>
      </x:c>
    </x:row>
    <x:row r="1456" ht="21" customHeight="1">
      <x:c r="A1456" s="3" t="str">
        <x:v>ORD-101475</x:v>
      </x:c>
      <x:c r="B1456" s="5" t="n">
        <x:v>45674</x:v>
      </x:c>
      <x:c r="C1456" s="3" t="str">
        <x:v>CUST-00424</x:v>
      </x:c>
      <x:c r="D1456" s="3" t="str">
        <x:v>North</x:v>
      </x:c>
      <x:c r="E1456" s="3" t="str">
        <x:v>Sports</x:v>
      </x:c>
      <x:c r="F1456" s="3" t="str">
        <x:v>Fitness</x:v>
      </x:c>
      <x:c r="G1456" s="3" t="str">
        <x:v>ProYoga Mat</x:v>
      </x:c>
      <x:c r="H1456" s="3" t="n">
        <x:v>1</x:v>
      </x:c>
      <x:c r="I1456" s="7" t="n">
        <x:v>1358.44</x:v>
      </x:c>
      <x:c r="J1456" s="9" t="n">
        <x:v>0.15</x:v>
      </x:c>
      <x:c r="K1456" s="7" t="n">
        <x:v>1154.67</x:v>
      </x:c>
      <x:c r="L1456" s="7" t="n">
        <x:v>254.55</x:v>
      </x:c>
      <x:c r="M1456" s="3" t="str">
        <x:v>UPI</x:v>
      </x:c>
      <x:c r="N1456" s="3" t="str">
        <x:f>TEXT(B1456,"yyyy-mm")</x:f>
        <x:v>2025-01</x:v>
      </x:c>
      <x:c r="O1456" s="3" t="str">
        <x:f>IF(J1456=0,"No discount",IF(J1456&lt;=0.1,"1-10%",IF(J1456&lt;=0.15,"11-15%",IF(J1456&lt;=0.2,"16-20%","21%+"))))</x:f>
        <x:v>11-15%</x:v>
      </x:c>
      <x:c r="P1456" s="9" t="n">
        <x:f>IF(K1456=0,0,L1456/K1456)</x:f>
        <x:v>0.22045259684585206</x:v>
      </x:c>
      <x:c r="Q1456" s="3" t="str">
        <x:f>IF(L1456&lt;0,"Yes","No")</x:f>
        <x:v>No</x:v>
      </x:c>
    </x:row>
    <x:row r="1457" ht="21" customHeight="1">
      <x:c r="A1457" s="3" t="str">
        <x:v>ORD-101566</x:v>
      </x:c>
      <x:c r="B1457" s="5" t="n">
        <x:v>45674</x:v>
      </x:c>
      <x:c r="C1457" s="3" t="str">
        <x:v>CUST-00508</x:v>
      </x:c>
      <x:c r="D1457" s="3" t="str">
        <x:v>South</x:v>
      </x:c>
      <x:c r="E1457" s="3" t="str">
        <x:v>Electronics</x:v>
      </x:c>
      <x:c r="F1457" s="3" t="str">
        <x:v>Audio</x:v>
      </x:c>
      <x:c r="G1457" s="3" t="str">
        <x:v>BassBoom Speaker</x:v>
      </x:c>
      <x:c r="H1457" s="3" t="n">
        <x:v>1</x:v>
      </x:c>
      <x:c r="I1457" s="7" t="n">
        <x:v>8779.21</x:v>
      </x:c>
      <x:c r="J1457" s="9" t="n">
        <x:v>0.05</x:v>
      </x:c>
      <x:c r="K1457" s="7" t="n">
        <x:v>8340.25</x:v>
      </x:c>
      <x:c r="L1457" s="7" t="n">
        <x:v>1310.79</x:v>
      </x:c>
      <x:c r="M1457" s="3" t="str">
        <x:v>UPI</x:v>
      </x:c>
      <x:c r="N1457" s="3" t="str">
        <x:f>TEXT(B1457,"yyyy-mm")</x:f>
        <x:v>2025-01</x:v>
      </x:c>
      <x:c r="O1457" s="3" t="str">
        <x:f>IF(J1457=0,"No discount",IF(J1457&lt;=0.1,"1-10%",IF(J1457&lt;=0.15,"11-15%",IF(J1457&lt;=0.2,"16-20%","21%+"))))</x:f>
        <x:v>1-10%</x:v>
      </x:c>
      <x:c r="P1457" s="9" t="n">
        <x:f>IF(K1457=0,0,L1457/K1457)</x:f>
        <x:v>0.15716435358652317</x:v>
      </x:c>
      <x:c r="Q1457" s="3" t="str">
        <x:f>IF(L1457&lt;0,"Yes","No")</x:f>
        <x:v>No</x:v>
      </x:c>
    </x:row>
    <x:row r="1458" ht="21" customHeight="1">
      <x:c r="A1458" s="3" t="str">
        <x:v>ORD-101820</x:v>
      </x:c>
      <x:c r="B1458" s="5" t="n">
        <x:v>45674</x:v>
      </x:c>
      <x:c r="C1458" s="3" t="str">
        <x:v>CUST-00062</x:v>
      </x:c>
      <x:c r="D1458" s="3" t="str">
        <x:v>South</x:v>
      </x:c>
      <x:c r="E1458" s="3" t="str">
        <x:v>Electronics</x:v>
      </x:c>
      <x:c r="F1458" s="3" t="str">
        <x:v>Laptop</x:v>
      </x:c>
      <x:c r="G1458" s="3" t="str">
        <x:v>ThinkPro 14</x:v>
      </x:c>
      <x:c r="H1458" s="3" t="n">
        <x:v>2</x:v>
      </x:c>
      <x:c r="I1458" s="7" t="n">
        <x:v>54673.47</x:v>
      </x:c>
      <x:c r="J1458" s="9" t="n">
        <x:v>0</x:v>
      </x:c>
      <x:c r="K1458" s="7" t="n">
        <x:v>109346.94</x:v>
      </x:c>
      <x:c r="L1458" s="7" t="n">
        <x:v>21000.14</x:v>
      </x:c>
      <x:c r="M1458" s="3" t="str">
        <x:v>Credit Card</x:v>
      </x:c>
      <x:c r="N1458" s="3" t="str">
        <x:f>TEXT(B1458,"yyyy-mm")</x:f>
        <x:v>2025-01</x:v>
      </x:c>
      <x:c r="O1458" s="3" t="str">
        <x:f>IF(J1458=0,"No discount",IF(J1458&lt;=0.1,"1-10%",IF(J1458&lt;=0.15,"11-15%",IF(J1458&lt;=0.2,"16-20%","21%+"))))</x:f>
        <x:v>No discount</x:v>
      </x:c>
      <x:c r="P1458" s="9" t="n">
        <x:f>IF(K1458=0,0,L1458/K1458)</x:f>
        <x:v>0.19205055029432008</x:v>
      </x:c>
      <x:c r="Q1458" s="3" t="str">
        <x:f>IF(L1458&lt;0,"Yes","No")</x:f>
        <x:v>No</x:v>
      </x:c>
    </x:row>
    <x:row r="1459" ht="21" customHeight="1">
      <x:c r="A1459" s="3" t="str">
        <x:v>ORD-100613</x:v>
      </x:c>
      <x:c r="B1459" s="5" t="n">
        <x:v>45675</x:v>
      </x:c>
      <x:c r="C1459" s="3" t="str">
        <x:v>CUST-00087</x:v>
      </x:c>
      <x:c r="D1459" s="3" t="str">
        <x:v>South</x:v>
      </x:c>
      <x:c r="E1459" s="3" t="str">
        <x:v>Beauty</x:v>
      </x:c>
      <x:c r="F1459" s="3" t="str">
        <x:v>Skincare</x:v>
      </x:c>
      <x:c r="G1459" s="3" t="str">
        <x:v>Vitamin C Serum</x:v>
      </x:c>
      <x:c r="H1459" s="3" t="n">
        <x:v>1</x:v>
      </x:c>
      <x:c r="I1459" s="7" t="n">
        <x:v>931.65</x:v>
      </x:c>
      <x:c r="J1459" s="9" t="n">
        <x:v>0</x:v>
      </x:c>
      <x:c r="K1459" s="7" t="n">
        <x:v>931.65</x:v>
      </x:c>
      <x:c r="L1459" s="7" t="n">
        <x:v>504.65</x:v>
      </x:c>
      <x:c r="M1459" s="3" t="str">
        <x:v>Net Banking</x:v>
      </x:c>
      <x:c r="N1459" s="3" t="str">
        <x:f>TEXT(B1459,"yyyy-mm")</x:f>
        <x:v>2025-01</x:v>
      </x:c>
      <x:c r="O1459" s="3" t="str">
        <x:f>IF(J1459=0,"No discount",IF(J1459&lt;=0.1,"1-10%",IF(J1459&lt;=0.15,"11-15%",IF(J1459&lt;=0.2,"16-20%","21%+"))))</x:f>
        <x:v>No discount</x:v>
      </x:c>
      <x:c r="P1459" s="9" t="n">
        <x:f>IF(K1459=0,0,L1459/K1459)</x:f>
        <x:v>0.5416733751945473</x:v>
      </x:c>
      <x:c r="Q1459" s="3" t="str">
        <x:f>IF(L1459&lt;0,"Yes","No")</x:f>
        <x:v>No</x:v>
      </x:c>
    </x:row>
    <x:row r="1460" ht="21" customHeight="1">
      <x:c r="A1460" s="3" t="str">
        <x:v>ORD-100646</x:v>
      </x:c>
      <x:c r="B1460" s="5" t="n">
        <x:v>45675</x:v>
      </x:c>
      <x:c r="C1460" s="3" t="str">
        <x:v>CUST-00426</x:v>
      </x:c>
      <x:c r="D1460" s="3" t="str">
        <x:v>West</x:v>
      </x:c>
      <x:c r="E1460" s="3" t="str">
        <x:v>Electronics</x:v>
      </x:c>
      <x:c r="F1460" s="3" t="str">
        <x:v>Laptop</x:v>
      </x:c>
      <x:c r="G1460" s="3" t="str">
        <x:v>ThinkPro 14</x:v>
      </x:c>
      <x:c r="H1460" s="3" t="n">
        <x:v>2</x:v>
      </x:c>
      <x:c r="I1460" s="7" t="n">
        <x:v>57287.68</x:v>
      </x:c>
      <x:c r="J1460" s="9" t="n">
        <x:v>0</x:v>
      </x:c>
      <x:c r="K1460" s="7" t="n">
        <x:v>114575.36</x:v>
      </x:c>
      <x:c r="L1460" s="7" t="n">
        <x:v>16078.87</x:v>
      </x:c>
      <x:c r="M1460" s="3" t="str">
        <x:v>Debit Card</x:v>
      </x:c>
      <x:c r="N1460" s="3" t="str">
        <x:f>TEXT(B1460,"yyyy-mm")</x:f>
        <x:v>2025-01</x:v>
      </x:c>
      <x:c r="O1460" s="3" t="str">
        <x:f>IF(J1460=0,"No discount",IF(J1460&lt;=0.1,"1-10%",IF(J1460&lt;=0.15,"11-15%",IF(J1460&lt;=0.2,"16-20%","21%+"))))</x:f>
        <x:v>No discount</x:v>
      </x:c>
      <x:c r="P1460" s="9" t="n">
        <x:f>IF(K1460=0,0,L1460/K1460)</x:f>
        <x:v>0.14033444887277685</x:v>
      </x:c>
      <x:c r="Q1460" s="3" t="str">
        <x:f>IF(L1460&lt;0,"Yes","No")</x:f>
        <x:v>No</x:v>
      </x:c>
    </x:row>
    <x:row r="1461" ht="21" customHeight="1">
      <x:c r="A1461" s="3" t="str">
        <x:v>ORD-100833</x:v>
      </x:c>
      <x:c r="B1461" s="5" t="n">
        <x:v>45675</x:v>
      </x:c>
      <x:c r="C1461" s="3" t="str">
        <x:v>CUST-00302</x:v>
      </x:c>
      <x:c r="D1461" s="3" t="str">
        <x:v>East</x:v>
      </x:c>
      <x:c r="E1461" s="3" t="str">
        <x:v>Beauty</x:v>
      </x:c>
      <x:c r="F1461" s="3" t="str">
        <x:v>Makeup</x:v>
      </x:c>
      <x:c r="G1461" s="3" t="str">
        <x:v>HD Foundation Kit</x:v>
      </x:c>
      <x:c r="H1461" s="3" t="n">
        <x:v>1</x:v>
      </x:c>
      <x:c r="I1461" s="7" t="n">
        <x:v>1466.48</x:v>
      </x:c>
      <x:c r="J1461" s="9" t="n">
        <x:v>0.05</x:v>
      </x:c>
      <x:c r="K1461" s="7" t="n">
        <x:v>1393.16</x:v>
      </x:c>
      <x:c r="L1461" s="7" t="n">
        <x:v>633.16</x:v>
      </x:c>
      <x:c r="M1461" s="3" t="str">
        <x:v>UPI</x:v>
      </x:c>
      <x:c r="N1461" s="3" t="str">
        <x:f>TEXT(B1461,"yyyy-mm")</x:f>
        <x:v>2025-01</x:v>
      </x:c>
      <x:c r="O1461" s="3" t="str">
        <x:f>IF(J1461=0,"No discount",IF(J1461&lt;=0.1,"1-10%",IF(J1461&lt;=0.15,"11-15%",IF(J1461&lt;=0.2,"16-20%","21%+"))))</x:f>
        <x:v>1-10%</x:v>
      </x:c>
      <x:c r="P1461" s="9" t="n">
        <x:f>IF(K1461=0,0,L1461/K1461)</x:f>
        <x:v>0.4544775905136524</x:v>
      </x:c>
      <x:c r="Q1461" s="3" t="str">
        <x:f>IF(L1461&lt;0,"Yes","No")</x:f>
        <x:v>No</x:v>
      </x:c>
    </x:row>
    <x:row r="1462" ht="21" customHeight="1">
      <x:c r="A1462" s="3" t="str">
        <x:v>ORD-100886</x:v>
      </x:c>
      <x:c r="B1462" s="5" t="n">
        <x:v>45675</x:v>
      </x:c>
      <x:c r="C1462" s="3" t="str">
        <x:v>CUST-00253</x:v>
      </x:c>
      <x:c r="D1462" s="3" t="str">
        <x:v>East</x:v>
      </x:c>
      <x:c r="E1462" s="3" t="str">
        <x:v>Fashion</x:v>
      </x:c>
      <x:c r="F1462" s="3" t="str">
        <x:v>Footwear</x:v>
      </x:c>
      <x:c r="G1462" s="3" t="str">
        <x:v>RunFlex Sneakers</x:v>
      </x:c>
      <x:c r="H1462" s="3" t="n">
        <x:v>1</x:v>
      </x:c>
      <x:c r="I1462" s="7" t="n">
        <x:v>3138.68</x:v>
      </x:c>
      <x:c r="J1462" s="9" t="n">
        <x:v>0.1</x:v>
      </x:c>
      <x:c r="K1462" s="7" t="n">
        <x:v>2824.81</x:v>
      </x:c>
      <x:c r="L1462" s="7" t="n">
        <x:v>921.84</x:v>
      </x:c>
      <x:c r="M1462" s="3" t="str">
        <x:v>UPI</x:v>
      </x:c>
      <x:c r="N1462" s="3" t="str">
        <x:f>TEXT(B1462,"yyyy-mm")</x:f>
        <x:v>2025-01</x:v>
      </x:c>
      <x:c r="O1462" s="3" t="str">
        <x:f>IF(J1462=0,"No discount",IF(J1462&lt;=0.1,"1-10%",IF(J1462&lt;=0.15,"11-15%",IF(J1462&lt;=0.2,"16-20%","21%+"))))</x:f>
        <x:v>1-10%</x:v>
      </x:c>
      <x:c r="P1462" s="9" t="n">
        <x:f>IF(K1462=0,0,L1462/K1462)</x:f>
        <x:v>0.3263369925764919</x:v>
      </x:c>
      <x:c r="Q1462" s="3" t="str">
        <x:f>IF(L1462&lt;0,"Yes","No")</x:f>
        <x:v>No</x:v>
      </x:c>
    </x:row>
    <x:row r="1463" ht="21" customHeight="1">
      <x:c r="A1463" s="3" t="str">
        <x:v>ORD-100896</x:v>
      </x:c>
      <x:c r="B1463" s="5" t="n">
        <x:v>45675</x:v>
      </x:c>
      <x:c r="C1463" s="3" t="str">
        <x:v>CUST-00164</x:v>
      </x:c>
      <x:c r="D1463" s="3" t="str">
        <x:v>North</x:v>
      </x:c>
      <x:c r="E1463" s="3" t="str">
        <x:v>Fashion</x:v>
      </x:c>
      <x:c r="F1463" s="3" t="str">
        <x:v>Men</x:v>
      </x:c>
      <x:c r="G1463" s="3" t="str">
        <x:v>SlimFit Denim Jeans</x:v>
      </x:c>
      <x:c r="H1463" s="3" t="n">
        <x:v>1</x:v>
      </x:c>
      <x:c r="I1463" s="7" t="n">
        <x:v>1946.26</x:v>
      </x:c>
      <x:c r="J1463" s="9" t="n">
        <x:v>0</x:v>
      </x:c>
      <x:c r="K1463" s="7" t="n">
        <x:v>1946.26</x:v>
      </x:c>
      <x:c r="L1463" s="7" t="n">
        <x:v>771.24</x:v>
      </x:c>
      <x:c r="M1463" s="3" t="str">
        <x:v>UPI</x:v>
      </x:c>
      <x:c r="N1463" s="3" t="str">
        <x:f>TEXT(B1463,"yyyy-mm")</x:f>
        <x:v>2025-01</x:v>
      </x:c>
      <x:c r="O1463" s="3" t="str">
        <x:f>IF(J1463=0,"No discount",IF(J1463&lt;=0.1,"1-10%",IF(J1463&lt;=0.15,"11-15%",IF(J1463&lt;=0.2,"16-20%","21%+"))))</x:f>
        <x:v>No discount</x:v>
      </x:c>
      <x:c r="P1463" s="9" t="n">
        <x:f>IF(K1463=0,0,L1463/K1463)</x:f>
        <x:v>0.39626771346068873</x:v>
      </x:c>
      <x:c r="Q1463" s="3" t="str">
        <x:f>IF(L1463&lt;0,"Yes","No")</x:f>
        <x:v>No</x:v>
      </x:c>
    </x:row>
    <x:row r="1464" ht="21" customHeight="1">
      <x:c r="A1464" s="3" t="str">
        <x:v>ORD-101994</x:v>
      </x:c>
      <x:c r="B1464" s="5" t="n">
        <x:v>45675</x:v>
      </x:c>
      <x:c r="C1464" s="3" t="str">
        <x:v>CUST-00524</x:v>
      </x:c>
      <x:c r="D1464" s="3" t="str">
        <x:v>North</x:v>
      </x:c>
      <x:c r="E1464" s="3" t="str">
        <x:v>Electronics</x:v>
      </x:c>
      <x:c r="F1464" s="3" t="str">
        <x:v>Laptop</x:v>
      </x:c>
      <x:c r="G1464" s="3" t="str">
        <x:v>ThinkPro 14</x:v>
      </x:c>
      <x:c r="H1464" s="3" t="n">
        <x:v>1</x:v>
      </x:c>
      <x:c r="I1464" s="7" t="n">
        <x:v>56534.22</x:v>
      </x:c>
      <x:c r="J1464" s="9" t="n">
        <x:v>0.05</x:v>
      </x:c>
      <x:c r="K1464" s="7" t="n">
        <x:v>53707.51</x:v>
      </x:c>
      <x:c r="L1464" s="7" t="n">
        <x:v>7370.59</x:v>
      </x:c>
      <x:c r="M1464" s="3" t="str">
        <x:v>Credit Card</x:v>
      </x:c>
      <x:c r="N1464" s="3" t="str">
        <x:f>TEXT(B1464,"yyyy-mm")</x:f>
        <x:v>2025-01</x:v>
      </x:c>
      <x:c r="O1464" s="3" t="str">
        <x:f>IF(J1464=0,"No discount",IF(J1464&lt;=0.1,"1-10%",IF(J1464&lt;=0.15,"11-15%",IF(J1464&lt;=0.2,"16-20%","21%+"))))</x:f>
        <x:v>1-10%</x:v>
      </x:c>
      <x:c r="P1464" s="9" t="n">
        <x:f>IF(K1464=0,0,L1464/K1464)</x:f>
        <x:v>0.1372357422639776</x:v>
      </x:c>
      <x:c r="Q1464" s="3" t="str">
        <x:f>IF(L1464&lt;0,"Yes","No")</x:f>
        <x:v>No</x:v>
      </x:c>
    </x:row>
    <x:row r="1465" ht="21" customHeight="1">
      <x:c r="A1465" s="3" t="str">
        <x:v>ORD-100645</x:v>
      </x:c>
      <x:c r="B1465" s="5" t="n">
        <x:v>45676</x:v>
      </x:c>
      <x:c r="C1465" s="3" t="str">
        <x:v>CUST-00493</x:v>
      </x:c>
      <x:c r="D1465" s="3" t="str">
        <x:v>South</x:v>
      </x:c>
      <x:c r="E1465" s="3" t="str">
        <x:v>Sports</x:v>
      </x:c>
      <x:c r="F1465" s="3" t="str">
        <x:v>Fitness</x:v>
      </x:c>
      <x:c r="G1465" s="3" t="str">
        <x:v>Adjustable Dumbbell 24kg</x:v>
      </x:c>
      <x:c r="H1465" s="3" t="n">
        <x:v>2</x:v>
      </x:c>
      <x:c r="I1465" s="7" t="n">
        <x:v>10225.63</x:v>
      </x:c>
      <x:c r="J1465" s="9" t="n">
        <x:v>0</x:v>
      </x:c>
      <x:c r="K1465" s="7" t="n">
        <x:v>20451.26</x:v>
      </x:c>
      <x:c r="L1465" s="7" t="n">
        <x:v>7374.38</x:v>
      </x:c>
      <x:c r="M1465" s="3" t="str">
        <x:v>Credit Card</x:v>
      </x:c>
      <x:c r="N1465" s="3" t="str">
        <x:f>TEXT(B1465,"yyyy-mm")</x:f>
        <x:v>2025-01</x:v>
      </x:c>
      <x:c r="O1465" s="3" t="str">
        <x:f>IF(J1465=0,"No discount",IF(J1465&lt;=0.1,"1-10%",IF(J1465&lt;=0.15,"11-15%",IF(J1465&lt;=0.2,"16-20%","21%+"))))</x:f>
        <x:v>No discount</x:v>
      </x:c>
      <x:c r="P1465" s="9" t="n">
        <x:f>IF(K1465=0,0,L1465/K1465)</x:f>
        <x:v>0.36058316211323904</x:v>
      </x:c>
      <x:c r="Q1465" s="3" t="str">
        <x:f>IF(L1465&lt;0,"Yes","No")</x:f>
        <x:v>No</x:v>
      </x:c>
    </x:row>
    <x:row r="1466" ht="21" customHeight="1">
      <x:c r="A1466" s="3" t="str">
        <x:v>ORD-101036</x:v>
      </x:c>
      <x:c r="B1466" s="5" t="n">
        <x:v>45676</x:v>
      </x:c>
      <x:c r="C1466" s="3" t="str">
        <x:v>CUST-00525</x:v>
      </x:c>
      <x:c r="D1466" s="3" t="str">
        <x:v>East</x:v>
      </x:c>
      <x:c r="E1466" s="3" t="str">
        <x:v>Beauty</x:v>
      </x:c>
      <x:c r="F1466" s="3" t="str">
        <x:v>Skincare</x:v>
      </x:c>
      <x:c r="G1466" s="3" t="str">
        <x:v>Vitamin C Serum</x:v>
      </x:c>
      <x:c r="H1466" s="3" t="n">
        <x:v>1</x:v>
      </x:c>
      <x:c r="I1466" s="7" t="n">
        <x:v>896.31</x:v>
      </x:c>
      <x:c r="J1466" s="9" t="n">
        <x:v>0</x:v>
      </x:c>
      <x:c r="K1466" s="7" t="n">
        <x:v>896.31</x:v>
      </x:c>
      <x:c r="L1466" s="7" t="n">
        <x:v>484.97</x:v>
      </x:c>
      <x:c r="M1466" s="3" t="str">
        <x:v>UPI</x:v>
      </x:c>
      <x:c r="N1466" s="3" t="str">
        <x:f>TEXT(B1466,"yyyy-mm")</x:f>
        <x:v>2025-01</x:v>
      </x:c>
      <x:c r="O1466" s="3" t="str">
        <x:f>IF(J1466=0,"No discount",IF(J1466&lt;=0.1,"1-10%",IF(J1466&lt;=0.15,"11-15%",IF(J1466&lt;=0.2,"16-20%","21%+"))))</x:f>
        <x:v>No discount</x:v>
      </x:c>
      <x:c r="P1466" s="9" t="n">
        <x:f>IF(K1466=0,0,L1466/K1466)</x:f>
        <x:v>0.5410739587865806</x:v>
      </x:c>
      <x:c r="Q1466" s="3" t="str">
        <x:f>IF(L1466&lt;0,"Yes","No")</x:f>
        <x:v>No</x:v>
      </x:c>
    </x:row>
    <x:row r="1467" ht="21" customHeight="1">
      <x:c r="A1467" s="3" t="str">
        <x:v>ORD-101239</x:v>
      </x:c>
      <x:c r="B1467" s="5" t="n">
        <x:v>45677</x:v>
      </x:c>
      <x:c r="C1467" s="3" t="str">
        <x:v>CUST-00224</x:v>
      </x:c>
      <x:c r="D1467" s="3" t="str">
        <x:v>South</x:v>
      </x:c>
      <x:c r="E1467" s="3" t="str">
        <x:v>Fashion</x:v>
      </x:c>
      <x:c r="F1467" s="3" t="str">
        <x:v>Women</x:v>
      </x:c>
      <x:c r="G1467" s="3" t="str">
        <x:v>Floral Summer Dress</x:v>
      </x:c>
      <x:c r="H1467" s="3" t="n">
        <x:v>3</x:v>
      </x:c>
      <x:c r="I1467" s="7" t="n">
        <x:v>1766.21</x:v>
      </x:c>
      <x:c r="J1467" s="9" t="n">
        <x:v>0.3</x:v>
      </x:c>
      <x:c r="K1467" s="7" t="n">
        <x:v>3709.04</x:v>
      </x:c>
      <x:c r="L1467" s="7" t="n">
        <x:v>268.6</x:v>
      </x:c>
      <x:c r="M1467" s="3" t="str">
        <x:v>Cash on Delivery</x:v>
      </x:c>
      <x:c r="N1467" s="3" t="str">
        <x:f>TEXT(B1467,"yyyy-mm")</x:f>
        <x:v>2025-01</x:v>
      </x:c>
      <x:c r="O1467" s="3" t="str">
        <x:f>IF(J1467=0,"No discount",IF(J1467&lt;=0.1,"1-10%",IF(J1467&lt;=0.15,"11-15%",IF(J1467&lt;=0.2,"16-20%","21%+"))))</x:f>
        <x:v>21%+</x:v>
      </x:c>
      <x:c r="P1467" s="9" t="n">
        <x:f>IF(K1467=0,0,L1467/K1467)</x:f>
        <x:v>0.07241766063455773</x:v>
      </x:c>
      <x:c r="Q1467" s="3" t="str">
        <x:f>IF(L1467&lt;0,"Yes","No")</x:f>
        <x:v>No</x:v>
      </x:c>
    </x:row>
    <x:row r="1468" ht="21" customHeight="1">
      <x:c r="A1468" s="3" t="str">
        <x:v>ORD-100512</x:v>
      </x:c>
      <x:c r="B1468" s="5" t="n">
        <x:v>45678</x:v>
      </x:c>
      <x:c r="C1468" s="3" t="str">
        <x:v>CUST-00331</x:v>
      </x:c>
      <x:c r="D1468" s="3" t="str">
        <x:v>North</x:v>
      </x:c>
      <x:c r="E1468" s="3" t="str">
        <x:v>Beauty</x:v>
      </x:c>
      <x:c r="F1468" s="3" t="str">
        <x:v>Makeup</x:v>
      </x:c>
      <x:c r="G1468" s="3" t="str">
        <x:v>Matte Lipstick Set</x:v>
      </x:c>
      <x:c r="H1468" s="3" t="n">
        <x:v>1</x:v>
      </x:c>
      <x:c r="I1468" s="7" t="n">
        <x:v>1005.8</x:v>
      </x:c>
      <x:c r="J1468" s="9" t="n">
        <x:v>0.2</x:v>
      </x:c>
      <x:c r="K1468" s="7" t="n">
        <x:v>804.64</x:v>
      </x:c>
      <x:c r="L1468" s="7" t="n">
        <x:v>283.32</x:v>
      </x:c>
      <x:c r="M1468" s="3" t="str">
        <x:v>Credit Card</x:v>
      </x:c>
      <x:c r="N1468" s="3" t="str">
        <x:f>TEXT(B1468,"yyyy-mm")</x:f>
        <x:v>2025-01</x:v>
      </x:c>
      <x:c r="O1468" s="3" t="str">
        <x:f>IF(J1468=0,"No discount",IF(J1468&lt;=0.1,"1-10%",IF(J1468&lt;=0.15,"11-15%",IF(J1468&lt;=0.2,"16-20%","21%+"))))</x:f>
        <x:v>16-20%</x:v>
      </x:c>
      <x:c r="P1468" s="9" t="n">
        <x:f>IF(K1468=0,0,L1468/K1468)</x:f>
        <x:v>0.35210777490554784</x:v>
      </x:c>
      <x:c r="Q1468" s="3" t="str">
        <x:f>IF(L1468&lt;0,"Yes","No")</x:f>
        <x:v>No</x:v>
      </x:c>
    </x:row>
    <x:row r="1469" ht="21" customHeight="1">
      <x:c r="A1469" s="3" t="str">
        <x:v>ORD-101005</x:v>
      </x:c>
      <x:c r="B1469" s="5" t="n">
        <x:v>45678</x:v>
      </x:c>
      <x:c r="C1469" s="3" t="str">
        <x:v>CUST-00025</x:v>
      </x:c>
      <x:c r="D1469" s="3" t="str">
        <x:v>East</x:v>
      </x:c>
      <x:c r="E1469" s="3" t="str">
        <x:v>Beauty</x:v>
      </x:c>
      <x:c r="F1469" s="3" t="str">
        <x:v>Makeup</x:v>
      </x:c>
      <x:c r="G1469" s="3" t="str">
        <x:v>Matte Lipstick Set</x:v>
      </x:c>
      <x:c r="H1469" s="3" t="n">
        <x:v>1</x:v>
      </x:c>
      <x:c r="I1469" s="7" t="n">
        <x:v>1025.33</x:v>
      </x:c>
      <x:c r="J1469" s="9" t="n">
        <x:v>0</x:v>
      </x:c>
      <x:c r="K1469" s="7" t="n">
        <x:v>1025.33</x:v>
      </x:c>
      <x:c r="L1469" s="7" t="n">
        <x:v>546.95</x:v>
      </x:c>
      <x:c r="M1469" s="3" t="str">
        <x:v>UPI</x:v>
      </x:c>
      <x:c r="N1469" s="3" t="str">
        <x:f>TEXT(B1469,"yyyy-mm")</x:f>
        <x:v>2025-01</x:v>
      </x:c>
      <x:c r="O1469" s="3" t="str">
        <x:f>IF(J1469=0,"No discount",IF(J1469&lt;=0.1,"1-10%",IF(J1469&lt;=0.15,"11-15%",IF(J1469&lt;=0.2,"16-20%","21%+"))))</x:f>
        <x:v>No discount</x:v>
      </x:c>
      <x:c r="P1469" s="9" t="n">
        <x:f>IF(K1469=0,0,L1469/K1469)</x:f>
        <x:v>0.5334380150780725</x:v>
      </x:c>
      <x:c r="Q1469" s="3" t="str">
        <x:f>IF(L1469&lt;0,"Yes","No")</x:f>
        <x:v>No</x:v>
      </x:c>
    </x:row>
    <x:row r="1470" ht="21" customHeight="1">
      <x:c r="A1470" s="3" t="str">
        <x:v>ORD-101925</x:v>
      </x:c>
      <x:c r="B1470" s="5" t="n">
        <x:v>45678</x:v>
      </x:c>
      <x:c r="C1470" s="3" t="str">
        <x:v>CUST-00241</x:v>
      </x:c>
      <x:c r="D1470" s="3" t="str">
        <x:v>East</x:v>
      </x:c>
      <x:c r="E1470" s="3" t="str">
        <x:v>Beauty</x:v>
      </x:c>
      <x:c r="F1470" s="3" t="str">
        <x:v>Makeup</x:v>
      </x:c>
      <x:c r="G1470" s="3" t="str">
        <x:v>HD Foundation Kit</x:v>
      </x:c>
      <x:c r="H1470" s="3" t="n">
        <x:v>3</x:v>
      </x:c>
      <x:c r="I1470" s="7" t="n">
        <x:v>1492.29</x:v>
      </x:c>
      <x:c r="J1470" s="9" t="n">
        <x:v>0.05</x:v>
      </x:c>
      <x:c r="K1470" s="7" t="n">
        <x:v>4253.03</x:v>
      </x:c>
      <x:c r="L1470" s="7" t="n">
        <x:v>2025.21</x:v>
      </x:c>
      <x:c r="M1470" s="3" t="str">
        <x:v>Debit Card</x:v>
      </x:c>
      <x:c r="N1470" s="3" t="str">
        <x:f>TEXT(B1470,"yyyy-mm")</x:f>
        <x:v>2025-01</x:v>
      </x:c>
      <x:c r="O1470" s="3" t="str">
        <x:f>IF(J1470=0,"No discount",IF(J1470&lt;=0.1,"1-10%",IF(J1470&lt;=0.15,"11-15%",IF(J1470&lt;=0.2,"16-20%","21%+"))))</x:f>
        <x:v>1-10%</x:v>
      </x:c>
      <x:c r="P1470" s="9" t="n">
        <x:f>IF(K1470=0,0,L1470/K1470)</x:f>
        <x:v>0.47618051130605715</x:v>
      </x:c>
      <x:c r="Q1470" s="3" t="str">
        <x:f>IF(L1470&lt;0,"Yes","No")</x:f>
        <x:v>No</x:v>
      </x:c>
    </x:row>
    <x:row r="1471" ht="21" customHeight="1">
      <x:c r="A1471" s="3" t="str">
        <x:v>ORD-100002</x:v>
      </x:c>
      <x:c r="B1471" s="5" t="n">
        <x:v>45679</x:v>
      </x:c>
      <x:c r="C1471" s="3" t="str">
        <x:v>CUST-00301</x:v>
      </x:c>
      <x:c r="D1471" s="3" t="str">
        <x:v>West</x:v>
      </x:c>
      <x:c r="E1471" s="3" t="str">
        <x:v>Home &amp; Kitchen</x:v>
      </x:c>
      <x:c r="F1471" s="3" t="str">
        <x:v>Furniture</x:v>
      </x:c>
      <x:c r="G1471" s="3" t="str">
        <x:v>Oakwood Study Desk</x:v>
      </x:c>
      <x:c r="H1471" s="3" t="n">
        <x:v>4</x:v>
      </x:c>
      <x:c r="I1471" s="7" t="n">
        <x:v>12469.61</x:v>
      </x:c>
      <x:c r="J1471" s="9" t="n">
        <x:v>0.05</x:v>
      </x:c>
      <x:c r="K1471" s="7" t="n">
        <x:v>47384.52</x:v>
      </x:c>
      <x:c r="L1471" s="7" t="n">
        <x:v>11383.53</x:v>
      </x:c>
      <x:c r="M1471" s="3" t="str">
        <x:v>Credit Card</x:v>
      </x:c>
      <x:c r="N1471" s="3" t="str">
        <x:f>TEXT(B1471,"yyyy-mm")</x:f>
        <x:v>2025-01</x:v>
      </x:c>
      <x:c r="O1471" s="3" t="str">
        <x:f>IF(J1471=0,"No discount",IF(J1471&lt;=0.1,"1-10%",IF(J1471&lt;=0.15,"11-15%",IF(J1471&lt;=0.2,"16-20%","21%+"))))</x:f>
        <x:v>1-10%</x:v>
      </x:c>
      <x:c r="P1471" s="9" t="n">
        <x:f>IF(K1471=0,0,L1471/K1471)</x:f>
        <x:v>0.24023731801018564</x:v>
      </x:c>
      <x:c r="Q1471" s="3" t="str">
        <x:f>IF(L1471&lt;0,"Yes","No")</x:f>
        <x:v>No</x:v>
      </x:c>
    </x:row>
    <x:row r="1472" ht="21" customHeight="1">
      <x:c r="A1472" s="3" t="str">
        <x:v>ORD-100684</x:v>
      </x:c>
      <x:c r="B1472" s="5" t="n">
        <x:v>45679</x:v>
      </x:c>
      <x:c r="C1472" s="3" t="str">
        <x:v>CUST-00274</x:v>
      </x:c>
      <x:c r="D1472" s="3" t="str">
        <x:v>North</x:v>
      </x:c>
      <x:c r="E1472" s="3" t="str">
        <x:v>Fashion</x:v>
      </x:c>
      <x:c r="F1472" s="3" t="str">
        <x:v>Women</x:v>
      </x:c>
      <x:c r="G1472" s="3" t="str">
        <x:v>Knit Winter Sweater</x:v>
      </x:c>
      <x:c r="H1472" s="3" t="n">
        <x:v>1</x:v>
      </x:c>
      <x:c r="I1472" s="7" t="n">
        <x:v>2091.14</x:v>
      </x:c>
      <x:c r="J1472" s="9" t="n">
        <x:v>0</x:v>
      </x:c>
      <x:c r="K1472" s="7" t="n">
        <x:v>2091.14</x:v>
      </x:c>
      <x:c r="L1472" s="7" t="n">
        <x:v>880.55</x:v>
      </x:c>
      <x:c r="M1472" s="3" t="str">
        <x:v>UPI</x:v>
      </x:c>
      <x:c r="N1472" s="3" t="str">
        <x:f>TEXT(B1472,"yyyy-mm")</x:f>
        <x:v>2025-01</x:v>
      </x:c>
      <x:c r="O1472" s="3" t="str">
        <x:f>IF(J1472=0,"No discount",IF(J1472&lt;=0.1,"1-10%",IF(J1472&lt;=0.15,"11-15%",IF(J1472&lt;=0.2,"16-20%","21%+"))))</x:f>
        <x:v>No discount</x:v>
      </x:c>
      <x:c r="P1472" s="9" t="n">
        <x:f>IF(K1472=0,0,L1472/K1472)</x:f>
        <x:v>0.42108610614306075</x:v>
      </x:c>
      <x:c r="Q1472" s="3" t="str">
        <x:f>IF(L1472&lt;0,"Yes","No")</x:f>
        <x:v>No</x:v>
      </x:c>
    </x:row>
    <x:row r="1473" ht="21" customHeight="1">
      <x:c r="A1473" s="3" t="str">
        <x:v>ORD-100857</x:v>
      </x:c>
      <x:c r="B1473" s="5" t="n">
        <x:v>45680</x:v>
      </x:c>
      <x:c r="C1473" s="3" t="str">
        <x:v>CUST-00342</x:v>
      </x:c>
      <x:c r="D1473" s="3" t="str">
        <x:v>North</x:v>
      </x:c>
      <x:c r="E1473" s="3" t="str">
        <x:v>Beauty</x:v>
      </x:c>
      <x:c r="F1473" s="3" t="str">
        <x:v>Skincare</x:v>
      </x:c>
      <x:c r="G1473" s="3" t="str">
        <x:v>Vitamin C Serum</x:v>
      </x:c>
      <x:c r="H1473" s="3" t="n">
        <x:v>4</x:v>
      </x:c>
      <x:c r="I1473" s="7" t="n">
        <x:v>883.69</x:v>
      </x:c>
      <x:c r="J1473" s="9" t="n">
        <x:v>0.1</x:v>
      </x:c>
      <x:c r="K1473" s="7" t="n">
        <x:v>3181.28</x:v>
      </x:c>
      <x:c r="L1473" s="7" t="n">
        <x:v>1410.57</x:v>
      </x:c>
      <x:c r="M1473" s="3" t="str">
        <x:v>Debit Card</x:v>
      </x:c>
      <x:c r="N1473" s="3" t="str">
        <x:f>TEXT(B1473,"yyyy-mm")</x:f>
        <x:v>2025-01</x:v>
      </x:c>
      <x:c r="O1473" s="3" t="str">
        <x:f>IF(J1473=0,"No discount",IF(J1473&lt;=0.1,"1-10%",IF(J1473&lt;=0.15,"11-15%",IF(J1473&lt;=0.2,"16-20%","21%+"))))</x:f>
        <x:v>1-10%</x:v>
      </x:c>
      <x:c r="P1473" s="9" t="n">
        <x:f>IF(K1473=0,0,L1473/K1473)</x:f>
        <x:v>0.44339699743499467</x:v>
      </x:c>
      <x:c r="Q1473" s="3" t="str">
        <x:f>IF(L1473&lt;0,"Yes","No")</x:f>
        <x:v>No</x:v>
      </x:c>
    </x:row>
    <x:row r="1474" ht="21" customHeight="1">
      <x:c r="A1474" s="3" t="str">
        <x:v>ORD-101354</x:v>
      </x:c>
      <x:c r="B1474" s="5" t="n">
        <x:v>45680</x:v>
      </x:c>
      <x:c r="C1474" s="3" t="str">
        <x:v>CUST-00031</x:v>
      </x:c>
      <x:c r="D1474" s="3" t="str">
        <x:v>South</x:v>
      </x:c>
      <x:c r="E1474" s="3" t="str">
        <x:v>Electronics</x:v>
      </x:c>
      <x:c r="F1474" s="3" t="str">
        <x:v>Mobile</x:v>
      </x:c>
      <x:c r="G1474" s="3" t="str">
        <x:v>Galaxy Nova X5</x:v>
      </x:c>
      <x:c r="H1474" s="3" t="n">
        <x:v>1</x:v>
      </x:c>
      <x:c r="I1474" s="7" t="n">
        <x:v>23754.33</x:v>
      </x:c>
      <x:c r="J1474" s="9" t="n">
        <x:v>0</x:v>
      </x:c>
      <x:c r="K1474" s="7" t="n">
        <x:v>23754.33</x:v>
      </x:c>
      <x:c r="L1474" s="7" t="n">
        <x:v>3445.39</x:v>
      </x:c>
      <x:c r="M1474" s="3" t="str">
        <x:v>Credit Card</x:v>
      </x:c>
      <x:c r="N1474" s="3" t="str">
        <x:f>TEXT(B1474,"yyyy-mm")</x:f>
        <x:v>2025-01</x:v>
      </x:c>
      <x:c r="O1474" s="3" t="str">
        <x:f>IF(J1474=0,"No discount",IF(J1474&lt;=0.1,"1-10%",IF(J1474&lt;=0.15,"11-15%",IF(J1474&lt;=0.2,"16-20%","21%+"))))</x:f>
        <x:v>No discount</x:v>
      </x:c>
      <x:c r="P1474" s="9" t="n">
        <x:f>IF(K1474=0,0,L1474/K1474)</x:f>
        <x:v>0.14504260907379832</x:v>
      </x:c>
      <x:c r="Q1474" s="3" t="str">
        <x:f>IF(L1474&lt;0,"Yes","No")</x:f>
        <x:v>No</x:v>
      </x:c>
    </x:row>
    <x:row r="1475" ht="21" customHeight="1">
      <x:c r="A1475" s="3" t="str">
        <x:v>ORD-101357</x:v>
      </x:c>
      <x:c r="B1475" s="5" t="n">
        <x:v>45680</x:v>
      </x:c>
      <x:c r="C1475" s="3" t="str">
        <x:v>CUST-00077</x:v>
      </x:c>
      <x:c r="D1475" s="3" t="str">
        <x:v>West</x:v>
      </x:c>
      <x:c r="E1475" s="3" t="str">
        <x:v>Electronics</x:v>
      </x:c>
      <x:c r="F1475" s="3" t="str">
        <x:v>Mobile</x:v>
      </x:c>
      <x:c r="G1475" s="3" t="str">
        <x:v>Galaxy Nova X5</x:v>
      </x:c>
      <x:c r="H1475" s="3" t="n">
        <x:v>2</x:v>
      </x:c>
      <x:c r="I1475" s="7" t="n">
        <x:v>24891.61</x:v>
      </x:c>
      <x:c r="J1475" s="9" t="n">
        <x:v>0.4</x:v>
      </x:c>
      <x:c r="K1475" s="7" t="n">
        <x:v>29869.93</x:v>
      </x:c>
      <x:c r="L1475" s="7" t="n">
        <x:v>-7762.37</x:v>
      </x:c>
      <x:c r="M1475" s="3" t="str">
        <x:v>UPI</x:v>
      </x:c>
      <x:c r="N1475" s="3" t="str">
        <x:f>TEXT(B1475,"yyyy-mm")</x:f>
        <x:v>2025-01</x:v>
      </x:c>
      <x:c r="O1475" s="3" t="str">
        <x:f>IF(J1475=0,"No discount",IF(J1475&lt;=0.1,"1-10%",IF(J1475&lt;=0.15,"11-15%",IF(J1475&lt;=0.2,"16-20%","21%+"))))</x:f>
        <x:v>21%+</x:v>
      </x:c>
      <x:c r="P1475" s="9" t="n">
        <x:f>IF(K1475=0,0,L1475/K1475)</x:f>
        <x:v>-0.259872386711318</x:v>
      </x:c>
      <x:c r="Q1475" s="3" t="str">
        <x:f>IF(L1475&lt;0,"Yes","No")</x:f>
        <x:v>Yes</x:v>
      </x:c>
    </x:row>
    <x:row r="1476" ht="21" customHeight="1">
      <x:c r="A1476" s="3" t="str">
        <x:v>ORD-101855</x:v>
      </x:c>
      <x:c r="B1476" s="5" t="n">
        <x:v>45680</x:v>
      </x:c>
      <x:c r="C1476" s="3" t="str">
        <x:v>CUST-00592</x:v>
      </x:c>
      <x:c r="D1476" s="3" t="str">
        <x:v>South</x:v>
      </x:c>
      <x:c r="E1476" s="3" t="str">
        <x:v>Sports</x:v>
      </x:c>
      <x:c r="F1476" s="3" t="str">
        <x:v>Fitness</x:v>
      </x:c>
      <x:c r="G1476" s="3" t="str">
        <x:v>ProYoga Mat</x:v>
      </x:c>
      <x:c r="H1476" s="3" t="n">
        <x:v>1</x:v>
      </x:c>
      <x:c r="I1476" s="7" t="n">
        <x:v>1244.4</x:v>
      </x:c>
      <x:c r="J1476" s="9" t="n">
        <x:v>0.15</x:v>
      </x:c>
      <x:c r="K1476" s="7" t="n">
        <x:v>1057.74</x:v>
      </x:c>
      <x:c r="L1476" s="7" t="n">
        <x:v>254.85</x:v>
      </x:c>
      <x:c r="M1476" s="3" t="str">
        <x:v>Credit Card</x:v>
      </x:c>
      <x:c r="N1476" s="3" t="str">
        <x:f>TEXT(B1476,"yyyy-mm")</x:f>
        <x:v>2025-01</x:v>
      </x:c>
      <x:c r="O1476" s="3" t="str">
        <x:f>IF(J1476=0,"No discount",IF(J1476&lt;=0.1,"1-10%",IF(J1476&lt;=0.15,"11-15%",IF(J1476&lt;=0.2,"16-20%","21%+"))))</x:f>
        <x:v>11-15%</x:v>
      </x:c>
      <x:c r="P1476" s="9" t="n">
        <x:f>IF(K1476=0,0,L1476/K1476)</x:f>
        <x:v>0.2409382267854104</x:v>
      </x:c>
      <x:c r="Q1476" s="3" t="str">
        <x:f>IF(L1476&lt;0,"Yes","No")</x:f>
        <x:v>No</x:v>
      </x:c>
    </x:row>
    <x:row r="1477" ht="21" customHeight="1">
      <x:c r="A1477" s="3" t="str">
        <x:v>ORD-100038</x:v>
      </x:c>
      <x:c r="B1477" s="5" t="n">
        <x:v>45681</x:v>
      </x:c>
      <x:c r="C1477" s="3" t="str">
        <x:v>CUST-00361</x:v>
      </x:c>
      <x:c r="D1477" s="3" t="str">
        <x:v>East</x:v>
      </x:c>
      <x:c r="E1477" s="3" t="str">
        <x:v>Home &amp; Kitchen</x:v>
      </x:c>
      <x:c r="F1477" s="3" t="str">
        <x:v>Appliances</x:v>
      </x:c>
      <x:c r="G1477" s="3" t="str">
        <x:v>ColdBrew Coffee Maker</x:v>
      </x:c>
      <x:c r="H1477" s="3" t="n">
        <x:v>1</x:v>
      </x:c>
      <x:c r="I1477" s="7" t="n">
        <x:v>6447.1</x:v>
      </x:c>
      <x:c r="J1477" s="9" t="n">
        <x:v>0</x:v>
      </x:c>
      <x:c r="K1477" s="7" t="n">
        <x:v>6447.1</x:v>
      </x:c>
      <x:c r="L1477" s="7" t="n">
        <x:v>2336.35</x:v>
      </x:c>
      <x:c r="M1477" s="3" t="str">
        <x:v>Credit Card</x:v>
      </x:c>
      <x:c r="N1477" s="3" t="str">
        <x:f>TEXT(B1477,"yyyy-mm")</x:f>
        <x:v>2025-01</x:v>
      </x:c>
      <x:c r="O1477" s="3" t="str">
        <x:f>IF(J1477=0,"No discount",IF(J1477&lt;=0.1,"1-10%",IF(J1477&lt;=0.15,"11-15%",IF(J1477&lt;=0.2,"16-20%","21%+"))))</x:f>
        <x:v>No discount</x:v>
      </x:c>
      <x:c r="P1477" s="9" t="n">
        <x:f>IF(K1477=0,0,L1477/K1477)</x:f>
        <x:v>0.3623877402242869</x:v>
      </x:c>
      <x:c r="Q1477" s="3" t="str">
        <x:f>IF(L1477&lt;0,"Yes","No")</x:f>
        <x:v>No</x:v>
      </x:c>
    </x:row>
    <x:row r="1478" ht="21" customHeight="1">
      <x:c r="A1478" s="3" t="str">
        <x:v>ORD-101110</x:v>
      </x:c>
      <x:c r="B1478" s="5" t="n">
        <x:v>45681</x:v>
      </x:c>
      <x:c r="C1478" s="3" t="str">
        <x:v>CUST-00279</x:v>
      </x:c>
      <x:c r="D1478" s="3" t="str">
        <x:v>South</x:v>
      </x:c>
      <x:c r="E1478" s="3" t="str">
        <x:v>Home &amp; Kitchen</x:v>
      </x:c>
      <x:c r="F1478" s="3" t="str">
        <x:v>Decor</x:v>
      </x:c>
      <x:c r="G1478" s="3" t="str">
        <x:v>LED Wall Lamp</x:v>
      </x:c>
      <x:c r="H1478" s="3" t="n">
        <x:v>1</x:v>
      </x:c>
      <x:c r="I1478" s="7" t="n">
        <x:v>1033.69</x:v>
      </x:c>
      <x:c r="J1478" s="9" t="n">
        <x:v>0</x:v>
      </x:c>
      <x:c r="K1478" s="7" t="n">
        <x:v>1033.69</x:v>
      </x:c>
      <x:c r="L1478" s="7" t="n">
        <x:v>333.55</x:v>
      </x:c>
      <x:c r="M1478" s="3" t="str">
        <x:v>UPI</x:v>
      </x:c>
      <x:c r="N1478" s="3" t="str">
        <x:f>TEXT(B1478,"yyyy-mm")</x:f>
        <x:v>2025-01</x:v>
      </x:c>
      <x:c r="O1478" s="3" t="str">
        <x:f>IF(J1478=0,"No discount",IF(J1478&lt;=0.1,"1-10%",IF(J1478&lt;=0.15,"11-15%",IF(J1478&lt;=0.2,"16-20%","21%+"))))</x:f>
        <x:v>No discount</x:v>
      </x:c>
      <x:c r="P1478" s="9" t="n">
        <x:f>IF(K1478=0,0,L1478/K1478)</x:f>
        <x:v>0.3226789462991806</x:v>
      </x:c>
      <x:c r="Q1478" s="3" t="str">
        <x:f>IF(L1478&lt;0,"Yes","No")</x:f>
        <x:v>No</x:v>
      </x:c>
    </x:row>
    <x:row r="1479" ht="21" customHeight="1">
      <x:c r="A1479" s="3" t="str">
        <x:v>ORD-101315</x:v>
      </x:c>
      <x:c r="B1479" s="5" t="n">
        <x:v>45681</x:v>
      </x:c>
      <x:c r="C1479" s="3" t="str">
        <x:v>CUST-00307</x:v>
      </x:c>
      <x:c r="D1479" s="3" t="str">
        <x:v>South</x:v>
      </x:c>
      <x:c r="E1479" s="3" t="str">
        <x:v>Beauty</x:v>
      </x:c>
      <x:c r="F1479" s="3" t="str">
        <x:v>Skincare</x:v>
      </x:c>
      <x:c r="G1479" s="3" t="str">
        <x:v>Vitamin C Serum</x:v>
      </x:c>
      <x:c r="H1479" s="3" t="n">
        <x:v>3</x:v>
      </x:c>
      <x:c r="I1479" s="7" t="n">
        <x:v>858.26</x:v>
      </x:c>
      <x:c r="J1479" s="9" t="n">
        <x:v>0</x:v>
      </x:c>
      <x:c r="K1479" s="7" t="n">
        <x:v>2574.78</x:v>
      </x:c>
      <x:c r="L1479" s="7" t="n">
        <x:v>1410.84</x:v>
      </x:c>
      <x:c r="M1479" s="3" t="str">
        <x:v>UPI</x:v>
      </x:c>
      <x:c r="N1479" s="3" t="str">
        <x:f>TEXT(B1479,"yyyy-mm")</x:f>
        <x:v>2025-01</x:v>
      </x:c>
      <x:c r="O1479" s="3" t="str">
        <x:f>IF(J1479=0,"No discount",IF(J1479&lt;=0.1,"1-10%",IF(J1479&lt;=0.15,"11-15%",IF(J1479&lt;=0.2,"16-20%","21%+"))))</x:f>
        <x:v>No discount</x:v>
      </x:c>
      <x:c r="P1479" s="9" t="n">
        <x:f>IF(K1479=0,0,L1479/K1479)</x:f>
        <x:v>0.5479458439167617</x:v>
      </x:c>
      <x:c r="Q1479" s="3" t="str">
        <x:f>IF(L1479&lt;0,"Yes","No")</x:f>
        <x:v>No</x:v>
      </x:c>
    </x:row>
    <x:row r="1480" ht="21" customHeight="1">
      <x:c r="A1480" s="3" t="str">
        <x:v>ORD-101416</x:v>
      </x:c>
      <x:c r="B1480" s="5" t="n">
        <x:v>45681</x:v>
      </x:c>
      <x:c r="C1480" s="3" t="str">
        <x:v>CUST-00206</x:v>
      </x:c>
      <x:c r="D1480" s="3" t="str">
        <x:v>South</x:v>
      </x:c>
      <x:c r="E1480" s="3" t="str">
        <x:v>Beauty</x:v>
      </x:c>
      <x:c r="F1480" s="3" t="str">
        <x:v>Makeup</x:v>
      </x:c>
      <x:c r="G1480" s="3" t="str">
        <x:v>Matte Lipstick Set</x:v>
      </x:c>
      <x:c r="H1480" s="3" t="n">
        <x:v>2</x:v>
      </x:c>
      <x:c r="I1480" s="7" t="n">
        <x:v>963.79</x:v>
      </x:c>
      <x:c r="J1480" s="9" t="n">
        <x:v>0.25</x:v>
      </x:c>
      <x:c r="K1480" s="7" t="n">
        <x:v>1445.68</x:v>
      </x:c>
      <x:c r="L1480" s="7" t="n">
        <x:v>349.43</x:v>
      </x:c>
      <x:c r="M1480" s="3" t="str">
        <x:v>Debit Card</x:v>
      </x:c>
      <x:c r="N1480" s="3" t="str">
        <x:f>TEXT(B1480,"yyyy-mm")</x:f>
        <x:v>2025-01</x:v>
      </x:c>
      <x:c r="O1480" s="3" t="str">
        <x:f>IF(J1480=0,"No discount",IF(J1480&lt;=0.1,"1-10%",IF(J1480&lt;=0.15,"11-15%",IF(J1480&lt;=0.2,"16-20%","21%+"))))</x:f>
        <x:v>21%+</x:v>
      </x:c>
      <x:c r="P1480" s="9" t="n">
        <x:f>IF(K1480=0,0,L1480/K1480)</x:f>
        <x:v>0.24170632505118697</x:v>
      </x:c>
      <x:c r="Q1480" s="3" t="str">
        <x:f>IF(L1480&lt;0,"Yes","No")</x:f>
        <x:v>No</x:v>
      </x:c>
    </x:row>
    <x:row r="1481" ht="21" customHeight="1">
      <x:c r="A1481" s="3" t="str">
        <x:v>ORD-101571</x:v>
      </x:c>
      <x:c r="B1481" s="5" t="n">
        <x:v>45681</x:v>
      </x:c>
      <x:c r="C1481" s="3" t="str">
        <x:v>CUST-00522</x:v>
      </x:c>
      <x:c r="D1481" s="3" t="str">
        <x:v>North</x:v>
      </x:c>
      <x:c r="E1481" s="3" t="str">
        <x:v>Fashion</x:v>
      </x:c>
      <x:c r="F1481" s="3" t="str">
        <x:v>Footwear</x:v>
      </x:c>
      <x:c r="G1481" s="3" t="str">
        <x:v>UrbanLoafers</x:v>
      </x:c>
      <x:c r="H1481" s="3" t="n">
        <x:v>1</x:v>
      </x:c>
      <x:c r="I1481" s="7" t="n">
        <x:v>3336.16</x:v>
      </x:c>
      <x:c r="J1481" s="9" t="n">
        <x:v>0.15</x:v>
      </x:c>
      <x:c r="K1481" s="7" t="n">
        <x:v>2835.74</x:v>
      </x:c>
      <x:c r="L1481" s="7" t="n">
        <x:v>690.84</x:v>
      </x:c>
      <x:c r="M1481" s="3" t="str">
        <x:v>UPI</x:v>
      </x:c>
      <x:c r="N1481" s="3" t="str">
        <x:f>TEXT(B1481,"yyyy-mm")</x:f>
        <x:v>2025-01</x:v>
      </x:c>
      <x:c r="O1481" s="3" t="str">
        <x:f>IF(J1481=0,"No discount",IF(J1481&lt;=0.1,"1-10%",IF(J1481&lt;=0.15,"11-15%",IF(J1481&lt;=0.2,"16-20%","21%+"))))</x:f>
        <x:v>11-15%</x:v>
      </x:c>
      <x:c r="P1481" s="9" t="n">
        <x:f>IF(K1481=0,0,L1481/K1481)</x:f>
        <x:v>0.24361894955108723</x:v>
      </x:c>
      <x:c r="Q1481" s="3" t="str">
        <x:f>IF(L1481&lt;0,"Yes","No")</x:f>
        <x:v>No</x:v>
      </x:c>
    </x:row>
    <x:row r="1482" ht="21" customHeight="1">
      <x:c r="A1482" s="3" t="str">
        <x:v>ORD-101535</x:v>
      </x:c>
      <x:c r="B1482" s="5" t="n">
        <x:v>45682</x:v>
      </x:c>
      <x:c r="C1482" s="3" t="str">
        <x:v>CUST-00491</x:v>
      </x:c>
      <x:c r="D1482" s="3" t="str">
        <x:v>North</x:v>
      </x:c>
      <x:c r="E1482" s="3" t="str">
        <x:v>Beauty</x:v>
      </x:c>
      <x:c r="F1482" s="3" t="str">
        <x:v>Skincare</x:v>
      </x:c>
      <x:c r="G1482" s="3" t="str">
        <x:v>Vitamin C Serum</x:v>
      </x:c>
      <x:c r="H1482" s="3" t="n">
        <x:v>1</x:v>
      </x:c>
      <x:c r="I1482" s="7" t="n">
        <x:v>886.08</x:v>
      </x:c>
      <x:c r="J1482" s="9" t="n">
        <x:v>0.2</x:v>
      </x:c>
      <x:c r="K1482" s="7" t="n">
        <x:v>708.86</x:v>
      </x:c>
      <x:c r="L1482" s="7" t="n">
        <x:v>237.36</x:v>
      </x:c>
      <x:c r="M1482" s="3" t="str">
        <x:v>UPI</x:v>
      </x:c>
      <x:c r="N1482" s="3" t="str">
        <x:f>TEXT(B1482,"yyyy-mm")</x:f>
        <x:v>2025-01</x:v>
      </x:c>
      <x:c r="O1482" s="3" t="str">
        <x:f>IF(J1482=0,"No discount",IF(J1482&lt;=0.1,"1-10%",IF(J1482&lt;=0.15,"11-15%",IF(J1482&lt;=0.2,"16-20%","21%+"))))</x:f>
        <x:v>16-20%</x:v>
      </x:c>
      <x:c r="P1482" s="9" t="n">
        <x:f>IF(K1482=0,0,L1482/K1482)</x:f>
        <x:v>0.3348475016223232</x:v>
      </x:c>
      <x:c r="Q1482" s="3" t="str">
        <x:f>IF(L1482&lt;0,"Yes","No")</x:f>
        <x:v>No</x:v>
      </x:c>
    </x:row>
    <x:row r="1483" ht="21" customHeight="1">
      <x:c r="A1483" s="3" t="str">
        <x:v>ORD-101906</x:v>
      </x:c>
      <x:c r="B1483" s="5" t="n">
        <x:v>45682</x:v>
      </x:c>
      <x:c r="C1483" s="3" t="str">
        <x:v>CUST-00522</x:v>
      </x:c>
      <x:c r="D1483" s="3" t="str">
        <x:v>North</x:v>
      </x:c>
      <x:c r="E1483" s="3" t="str">
        <x:v>Fashion</x:v>
      </x:c>
      <x:c r="F1483" s="3" t="str">
        <x:v>Women</x:v>
      </x:c>
      <x:c r="G1483" s="3" t="str">
        <x:v>Knit Winter Sweater</x:v>
      </x:c>
      <x:c r="H1483" s="3" t="n">
        <x:v>3</x:v>
      </x:c>
      <x:c r="I1483" s="7" t="n">
        <x:v>2133.81</x:v>
      </x:c>
      <x:c r="J1483" s="9" t="n">
        <x:v>0.2</x:v>
      </x:c>
      <x:c r="K1483" s="7" t="n">
        <x:v>5121.14</x:v>
      </x:c>
      <x:c r="L1483" s="7" t="n">
        <x:v>1174.93</x:v>
      </x:c>
      <x:c r="M1483" s="3" t="str">
        <x:v>Debit Card</x:v>
      </x:c>
      <x:c r="N1483" s="3" t="str">
        <x:f>TEXT(B1483,"yyyy-mm")</x:f>
        <x:v>2025-01</x:v>
      </x:c>
      <x:c r="O1483" s="3" t="str">
        <x:f>IF(J1483=0,"No discount",IF(J1483&lt;=0.1,"1-10%",IF(J1483&lt;=0.15,"11-15%",IF(J1483&lt;=0.2,"16-20%","21%+"))))</x:f>
        <x:v>16-20%</x:v>
      </x:c>
      <x:c r="P1483" s="9" t="n">
        <x:f>IF(K1483=0,0,L1483/K1483)</x:f>
        <x:v>0.22942743217330516</x:v>
      </x:c>
      <x:c r="Q1483" s="3" t="str">
        <x:f>IF(L1483&lt;0,"Yes","No")</x:f>
        <x:v>No</x:v>
      </x:c>
    </x:row>
    <x:row r="1484" ht="21" customHeight="1">
      <x:c r="A1484" s="3" t="str">
        <x:v>ORD-101912</x:v>
      </x:c>
      <x:c r="B1484" s="5" t="n">
        <x:v>45682</x:v>
      </x:c>
      <x:c r="C1484" s="3" t="str">
        <x:v>CUST-00113</x:v>
      </x:c>
      <x:c r="D1484" s="3" t="str">
        <x:v>North</x:v>
      </x:c>
      <x:c r="E1484" s="3" t="str">
        <x:v>Home &amp; Kitchen</x:v>
      </x:c>
      <x:c r="F1484" s="3" t="str">
        <x:v>Appliances</x:v>
      </x:c>
      <x:c r="G1484" s="3" t="str">
        <x:v>AirFryer Deluxe</x:v>
      </x:c>
      <x:c r="H1484" s="3" t="n">
        <x:v>1</x:v>
      </x:c>
      <x:c r="I1484" s="7" t="n">
        <x:v>7880.83</x:v>
      </x:c>
      <x:c r="J1484" s="9" t="n">
        <x:v>0.05</x:v>
      </x:c>
      <x:c r="K1484" s="7" t="n">
        <x:v>7486.79</x:v>
      </x:c>
      <x:c r="L1484" s="7" t="n">
        <x:v>1770.59</x:v>
      </x:c>
      <x:c r="M1484" s="3" t="str">
        <x:v>Credit Card</x:v>
      </x:c>
      <x:c r="N1484" s="3" t="str">
        <x:f>TEXT(B1484,"yyyy-mm")</x:f>
        <x:v>2025-01</x:v>
      </x:c>
      <x:c r="O1484" s="3" t="str">
        <x:f>IF(J1484=0,"No discount",IF(J1484&lt;=0.1,"1-10%",IF(J1484&lt;=0.15,"11-15%",IF(J1484&lt;=0.2,"16-20%","21%+"))))</x:f>
        <x:v>1-10%</x:v>
      </x:c>
      <x:c r="P1484" s="9" t="n">
        <x:f>IF(K1484=0,0,L1484/K1484)</x:f>
        <x:v>0.2364952135695004</x:v>
      </x:c>
      <x:c r="Q1484" s="3" t="str">
        <x:f>IF(L1484&lt;0,"Yes","No")</x:f>
        <x:v>No</x:v>
      </x:c>
    </x:row>
    <x:row r="1485" ht="21" customHeight="1">
      <x:c r="A1485" s="3" t="str">
        <x:v>ORD-100379</x:v>
      </x:c>
      <x:c r="B1485" s="5" t="n">
        <x:v>45683</x:v>
      </x:c>
      <x:c r="C1485" s="3" t="str">
        <x:v>CUST-00537</x:v>
      </x:c>
      <x:c r="D1485" s="3" t="str">
        <x:v>West</x:v>
      </x:c>
      <x:c r="E1485" s="3" t="str">
        <x:v>Electronics</x:v>
      </x:c>
      <x:c r="F1485" s="3" t="str">
        <x:v>Audio</x:v>
      </x:c>
      <x:c r="G1485" s="3" t="str">
        <x:v>BassBoom Speaker</x:v>
      </x:c>
      <x:c r="H1485" s="3" t="n">
        <x:v>1</x:v>
      </x:c>
      <x:c r="I1485" s="7" t="n">
        <x:v>9242.78</x:v>
      </x:c>
      <x:c r="J1485" s="9" t="n">
        <x:v>0</x:v>
      </x:c>
      <x:c r="K1485" s="7" t="n">
        <x:v>9242.78</x:v>
      </x:c>
      <x:c r="L1485" s="7" t="n">
        <x:v>1551.26</x:v>
      </x:c>
      <x:c r="M1485" s="3" t="str">
        <x:v>UPI</x:v>
      </x:c>
      <x:c r="N1485" s="3" t="str">
        <x:f>TEXT(B1485,"yyyy-mm")</x:f>
        <x:v>2025-01</x:v>
      </x:c>
      <x:c r="O1485" s="3" t="str">
        <x:f>IF(J1485=0,"No discount",IF(J1485&lt;=0.1,"1-10%",IF(J1485&lt;=0.15,"11-15%",IF(J1485&lt;=0.2,"16-20%","21%+"))))</x:f>
        <x:v>No discount</x:v>
      </x:c>
      <x:c r="P1485" s="9" t="n">
        <x:f>IF(K1485=0,0,L1485/K1485)</x:f>
        <x:v>0.16783478563808724</x:v>
      </x:c>
      <x:c r="Q1485" s="3" t="str">
        <x:f>IF(L1485&lt;0,"Yes","No")</x:f>
        <x:v>No</x:v>
      </x:c>
    </x:row>
    <x:row r="1486" ht="21" customHeight="1">
      <x:c r="A1486" s="3" t="str">
        <x:v>ORD-100672</x:v>
      </x:c>
      <x:c r="B1486" s="5" t="n">
        <x:v>45683</x:v>
      </x:c>
      <x:c r="C1486" s="3" t="str">
        <x:v>CUST-00456</x:v>
      </x:c>
      <x:c r="D1486" s="3" t="str">
        <x:v>East</x:v>
      </x:c>
      <x:c r="E1486" s="3" t="str">
        <x:v>Fashion</x:v>
      </x:c>
      <x:c r="F1486" s="3" t="str">
        <x:v>Women</x:v>
      </x:c>
      <x:c r="G1486" s="3" t="str">
        <x:v>Knit Winter Sweater</x:v>
      </x:c>
      <x:c r="H1486" s="3" t="n">
        <x:v>1</x:v>
      </x:c>
      <x:c r="I1486" s="7" t="n">
        <x:v>2126.98</x:v>
      </x:c>
      <x:c r="J1486" s="9" t="n">
        <x:v>0.1</x:v>
      </x:c>
      <x:c r="K1486" s="7" t="n">
        <x:v>1914.28</x:v>
      </x:c>
      <x:c r="L1486" s="7" t="n">
        <x:v>621.41</x:v>
      </x:c>
      <x:c r="M1486" s="3" t="str">
        <x:v>Cash on Delivery</x:v>
      </x:c>
      <x:c r="N1486" s="3" t="str">
        <x:f>TEXT(B1486,"yyyy-mm")</x:f>
        <x:v>2025-01</x:v>
      </x:c>
      <x:c r="O1486" s="3" t="str">
        <x:f>IF(J1486=0,"No discount",IF(J1486&lt;=0.1,"1-10%",IF(J1486&lt;=0.15,"11-15%",IF(J1486&lt;=0.2,"16-20%","21%+"))))</x:f>
        <x:v>1-10%</x:v>
      </x:c>
      <x:c r="P1486" s="9" t="n">
        <x:f>IF(K1486=0,0,L1486/K1486)</x:f>
        <x:v>0.3246181331884573</x:v>
      </x:c>
      <x:c r="Q1486" s="3" t="str">
        <x:f>IF(L1486&lt;0,"Yes","No")</x:f>
        <x:v>No</x:v>
      </x:c>
    </x:row>
    <x:row r="1487" ht="21" customHeight="1">
      <x:c r="A1487" s="3" t="str">
        <x:v>ORD-100824</x:v>
      </x:c>
      <x:c r="B1487" s="5" t="n">
        <x:v>45683</x:v>
      </x:c>
      <x:c r="C1487" s="3" t="str">
        <x:v>CUST-00046</x:v>
      </x:c>
      <x:c r="D1487" s="3" t="str">
        <x:v>South</x:v>
      </x:c>
      <x:c r="E1487" s="3" t="str">
        <x:v>Home &amp; Kitchen</x:v>
      </x:c>
      <x:c r="F1487" s="3" t="str">
        <x:v>Decor</x:v>
      </x:c>
      <x:c r="G1487" s="3" t="str">
        <x:v>LED Wall Lamp</x:v>
      </x:c>
      <x:c r="H1487" s="3" t="n">
        <x:v>1</x:v>
      </x:c>
      <x:c r="I1487" s="7" t="n">
        <x:v>955.02</x:v>
      </x:c>
      <x:c r="J1487" s="9" t="n">
        <x:v>0.3</x:v>
      </x:c>
      <x:c r="K1487" s="7" t="n">
        <x:v>668.51</x:v>
      </x:c>
      <x:c r="L1487" s="7" t="n">
        <x:v>8.94</x:v>
      </x:c>
      <x:c r="M1487" s="3" t="str">
        <x:v>UPI</x:v>
      </x:c>
      <x:c r="N1487" s="3" t="str">
        <x:f>TEXT(B1487,"yyyy-mm")</x:f>
        <x:v>2025-01</x:v>
      </x:c>
      <x:c r="O1487" s="3" t="str">
        <x:f>IF(J1487=0,"No discount",IF(J1487&lt;=0.1,"1-10%",IF(J1487&lt;=0.15,"11-15%",IF(J1487&lt;=0.2,"16-20%","21%+"))))</x:f>
        <x:v>21%+</x:v>
      </x:c>
      <x:c r="P1487" s="9" t="n">
        <x:f>IF(K1487=0,0,L1487/K1487)</x:f>
        <x:v>0.013373023589774274</x:v>
      </x:c>
      <x:c r="Q1487" s="3" t="str">
        <x:f>IF(L1487&lt;0,"Yes","No")</x:f>
        <x:v>No</x:v>
      </x:c>
    </x:row>
    <x:row r="1488" ht="21" customHeight="1">
      <x:c r="A1488" s="3" t="str">
        <x:v>ORD-100033</x:v>
      </x:c>
      <x:c r="B1488" s="5" t="n">
        <x:v>45685</x:v>
      </x:c>
      <x:c r="C1488" s="3" t="str">
        <x:v>CUST-00250</x:v>
      </x:c>
      <x:c r="D1488" s="3" t="str">
        <x:v>East</x:v>
      </x:c>
      <x:c r="E1488" s="3" t="str">
        <x:v>Home &amp; Kitchen</x:v>
      </x:c>
      <x:c r="F1488" s="3" t="str">
        <x:v>Furniture</x:v>
      </x:c>
      <x:c r="G1488" s="3" t="str">
        <x:v>Oakwood Study Desk</x:v>
      </x:c>
      <x:c r="H1488" s="3" t="n">
        <x:v>1</x:v>
      </x:c>
      <x:c r="I1488" s="7" t="n">
        <x:v>13628.07</x:v>
      </x:c>
      <x:c r="J1488" s="9" t="n">
        <x:v>0</x:v>
      </x:c>
      <x:c r="K1488" s="7" t="n">
        <x:v>13628.07</x:v>
      </x:c>
      <x:c r="L1488" s="7" t="n">
        <x:v>4618.58</x:v>
      </x:c>
      <x:c r="M1488" s="3" t="str">
        <x:v>Credit Card</x:v>
      </x:c>
      <x:c r="N1488" s="3" t="str">
        <x:f>TEXT(B1488,"yyyy-mm")</x:f>
        <x:v>2025-01</x:v>
      </x:c>
      <x:c r="O1488" s="3" t="str">
        <x:f>IF(J1488=0,"No discount",IF(J1488&lt;=0.1,"1-10%",IF(J1488&lt;=0.15,"11-15%",IF(J1488&lt;=0.2,"16-20%","21%+"))))</x:f>
        <x:v>No discount</x:v>
      </x:c>
      <x:c r="P1488" s="9" t="n">
        <x:f>IF(K1488=0,0,L1488/K1488)</x:f>
        <x:v>0.33890198685507195</x:v>
      </x:c>
      <x:c r="Q1488" s="3" t="str">
        <x:f>IF(L1488&lt;0,"Yes","No")</x:f>
        <x:v>No</x:v>
      </x:c>
    </x:row>
    <x:row r="1489" ht="21" customHeight="1">
      <x:c r="A1489" s="3" t="str">
        <x:v>ORD-100524</x:v>
      </x:c>
      <x:c r="B1489" s="5" t="n">
        <x:v>45685</x:v>
      </x:c>
      <x:c r="C1489" s="3" t="str">
        <x:v>CUST-00372</x:v>
      </x:c>
      <x:c r="D1489" s="3" t="str">
        <x:v>East</x:v>
      </x:c>
      <x:c r="E1489" s="3" t="str">
        <x:v>Home &amp; Kitchen</x:v>
      </x:c>
      <x:c r="F1489" s="3" t="str">
        <x:v>Furniture</x:v>
      </x:c>
      <x:c r="G1489" s="3" t="str">
        <x:v>Oakwood Study Desk</x:v>
      </x:c>
      <x:c r="H1489" s="3" t="n">
        <x:v>3</x:v>
      </x:c>
      <x:c r="I1489" s="7" t="n">
        <x:v>13572.06</x:v>
      </x:c>
      <x:c r="J1489" s="9" t="n">
        <x:v>0.1</x:v>
      </x:c>
      <x:c r="K1489" s="7" t="n">
        <x:v>36644.56</x:v>
      </x:c>
      <x:c r="L1489" s="7" t="n">
        <x:v>8437.58</x:v>
      </x:c>
      <x:c r="M1489" s="3" t="str">
        <x:v>UPI</x:v>
      </x:c>
      <x:c r="N1489" s="3" t="str">
        <x:f>TEXT(B1489,"yyyy-mm")</x:f>
        <x:v>2025-01</x:v>
      </x:c>
      <x:c r="O1489" s="3" t="str">
        <x:f>IF(J1489=0,"No discount",IF(J1489&lt;=0.1,"1-10%",IF(J1489&lt;=0.15,"11-15%",IF(J1489&lt;=0.2,"16-20%","21%+"))))</x:f>
        <x:v>1-10%</x:v>
      </x:c>
      <x:c r="P1489" s="9" t="n">
        <x:f>IF(K1489=0,0,L1489/K1489)</x:f>
        <x:v>0.2302546407979793</x:v>
      </x:c>
      <x:c r="Q1489" s="3" t="str">
        <x:f>IF(L1489&lt;0,"Yes","No")</x:f>
        <x:v>No</x:v>
      </x:c>
    </x:row>
    <x:row r="1490" ht="21" customHeight="1">
      <x:c r="A1490" s="3" t="str">
        <x:v>ORD-100928</x:v>
      </x:c>
      <x:c r="B1490" s="5" t="n">
        <x:v>45685</x:v>
      </x:c>
      <x:c r="C1490" s="3" t="str">
        <x:v>CUST-00234</x:v>
      </x:c>
      <x:c r="D1490" s="3" t="str">
        <x:v>North</x:v>
      </x:c>
      <x:c r="E1490" s="3" t="str">
        <x:v>Beauty</x:v>
      </x:c>
      <x:c r="F1490" s="3" t="str">
        <x:v>Makeup</x:v>
      </x:c>
      <x:c r="G1490" s="3" t="str">
        <x:v>HD Foundation Kit</x:v>
      </x:c>
      <x:c r="H1490" s="3" t="n">
        <x:v>2</x:v>
      </x:c>
      <x:c r="I1490" s="7" t="n">
        <x:v>1447.2</x:v>
      </x:c>
      <x:c r="J1490" s="9" t="n">
        <x:v>0.1</x:v>
      </x:c>
      <x:c r="K1490" s="7" t="n">
        <x:v>2604.96</x:v>
      </x:c>
      <x:c r="L1490" s="7" t="n">
        <x:v>1196.76</x:v>
      </x:c>
      <x:c r="M1490" s="3" t="str">
        <x:v>Credit Card</x:v>
      </x:c>
      <x:c r="N1490" s="3" t="str">
        <x:f>TEXT(B1490,"yyyy-mm")</x:f>
        <x:v>2025-01</x:v>
      </x:c>
      <x:c r="O1490" s="3" t="str">
        <x:f>IF(J1490=0,"No discount",IF(J1490&lt;=0.1,"1-10%",IF(J1490&lt;=0.15,"11-15%",IF(J1490&lt;=0.2,"16-20%","21%+"))))</x:f>
        <x:v>1-10%</x:v>
      </x:c>
      <x:c r="P1490" s="9" t="n">
        <x:f>IF(K1490=0,0,L1490/K1490)</x:f>
        <x:v>0.45941588354523677</x:v>
      </x:c>
      <x:c r="Q1490" s="3" t="str">
        <x:f>IF(L1490&lt;0,"Yes","No")</x:f>
        <x:v>No</x:v>
      </x:c>
    </x:row>
    <x:row r="1491" ht="21" customHeight="1">
      <x:c r="A1491" s="3" t="str">
        <x:v>ORD-100007</x:v>
      </x:c>
      <x:c r="B1491" s="5" t="n">
        <x:v>45686</x:v>
      </x:c>
      <x:c r="C1491" s="3" t="str">
        <x:v>CUST-00480</x:v>
      </x:c>
      <x:c r="D1491" s="3" t="str">
        <x:v>East</x:v>
      </x:c>
      <x:c r="E1491" s="3" t="str">
        <x:v>Beauty</x:v>
      </x:c>
      <x:c r="F1491" s="3" t="str">
        <x:v>Makeup</x:v>
      </x:c>
      <x:c r="G1491" s="3" t="str">
        <x:v>Matte Lipstick Set</x:v>
      </x:c>
      <x:c r="H1491" s="3" t="n">
        <x:v>2</x:v>
      </x:c>
      <x:c r="I1491" s="7" t="n">
        <x:v>964.32</x:v>
      </x:c>
      <x:c r="J1491" s="9" t="n">
        <x:v>0.2</x:v>
      </x:c>
      <x:c r="K1491" s="7" t="n">
        <x:v>1542.91</x:v>
      </x:c>
      <x:c r="L1491" s="7" t="n">
        <x:v>451.76</x:v>
      </x:c>
      <x:c r="M1491" s="3" t="str">
        <x:v>Credit Card</x:v>
      </x:c>
      <x:c r="N1491" s="3" t="str">
        <x:f>TEXT(B1491,"yyyy-mm")</x:f>
        <x:v>2025-01</x:v>
      </x:c>
      <x:c r="O1491" s="3" t="str">
        <x:f>IF(J1491=0,"No discount",IF(J1491&lt;=0.1,"1-10%",IF(J1491&lt;=0.15,"11-15%",IF(J1491&lt;=0.2,"16-20%","21%+"))))</x:f>
        <x:v>16-20%</x:v>
      </x:c>
      <x:c r="P1491" s="9" t="n">
        <x:f>IF(K1491=0,0,L1491/K1491)</x:f>
        <x:v>0.29279737638617936</x:v>
      </x:c>
      <x:c r="Q1491" s="3" t="str">
        <x:f>IF(L1491&lt;0,"Yes","No")</x:f>
        <x:v>No</x:v>
      </x:c>
    </x:row>
    <x:row r="1492" ht="21" customHeight="1">
      <x:c r="A1492" s="3" t="str">
        <x:v>ORD-101505</x:v>
      </x:c>
      <x:c r="B1492" s="5" t="n">
        <x:v>45686</x:v>
      </x:c>
      <x:c r="C1492" s="3" t="str">
        <x:v>CUST-00045</x:v>
      </x:c>
      <x:c r="D1492" s="3" t="str">
        <x:v>West</x:v>
      </x:c>
      <x:c r="E1492" s="3" t="str">
        <x:v>Beauty</x:v>
      </x:c>
      <x:c r="F1492" s="3" t="str">
        <x:v>Makeup</x:v>
      </x:c>
      <x:c r="G1492" s="3" t="str">
        <x:v>HD Foundation Kit</x:v>
      </x:c>
      <x:c r="H1492" s="3" t="n">
        <x:v>2</x:v>
      </x:c>
      <x:c r="I1492" s="7" t="n">
        <x:v>1565.1</x:v>
      </x:c>
      <x:c r="J1492" s="9" t="n">
        <x:v>0.15</x:v>
      </x:c>
      <x:c r="K1492" s="7" t="n">
        <x:v>2660.67</x:v>
      </x:c>
      <x:c r="L1492" s="7" t="n">
        <x:v>902.19</x:v>
      </x:c>
      <x:c r="M1492" s="3" t="str">
        <x:v>Credit Card</x:v>
      </x:c>
      <x:c r="N1492" s="3" t="str">
        <x:f>TEXT(B1492,"yyyy-mm")</x:f>
        <x:v>2025-01</x:v>
      </x:c>
      <x:c r="O1492" s="3" t="str">
        <x:f>IF(J1492=0,"No discount",IF(J1492&lt;=0.1,"1-10%",IF(J1492&lt;=0.15,"11-15%",IF(J1492&lt;=0.2,"16-20%","21%+"))))</x:f>
        <x:v>11-15%</x:v>
      </x:c>
      <x:c r="P1492" s="9" t="n">
        <x:f>IF(K1492=0,0,L1492/K1492)</x:f>
        <x:v>0.3390837646156795</x:v>
      </x:c>
      <x:c r="Q1492" s="3" t="str">
        <x:f>IF(L1492&lt;0,"Yes","No")</x:f>
        <x:v>No</x:v>
      </x:c>
    </x:row>
    <x:row r="1493" ht="21" customHeight="1">
      <x:c r="A1493" s="3" t="str">
        <x:v>ORD-101967</x:v>
      </x:c>
      <x:c r="B1493" s="5" t="n">
        <x:v>45686</x:v>
      </x:c>
      <x:c r="C1493" s="3" t="str">
        <x:v>CUST-00144</x:v>
      </x:c>
      <x:c r="D1493" s="3" t="str">
        <x:v>North</x:v>
      </x:c>
      <x:c r="E1493" s="3" t="str">
        <x:v>Sports</x:v>
      </x:c>
      <x:c r="F1493" s="3" t="str">
        <x:v>Fitness</x:v>
      </x:c>
      <x:c r="G1493" s="3" t="str">
        <x:v>Adjustable Dumbbell 24kg</x:v>
      </x:c>
      <x:c r="H1493" s="3" t="n">
        <x:v>1</x:v>
      </x:c>
      <x:c r="I1493" s="7" t="n">
        <x:v>10344.17</x:v>
      </x:c>
      <x:c r="J1493" s="9" t="n">
        <x:v>0</x:v>
      </x:c>
      <x:c r="K1493" s="7" t="n">
        <x:v>10344.17</x:v>
      </x:c>
      <x:c r="L1493" s="7" t="n">
        <x:v>3861.05</x:v>
      </x:c>
      <x:c r="M1493" s="3" t="str">
        <x:v>Credit Card</x:v>
      </x:c>
      <x:c r="N1493" s="3" t="str">
        <x:f>TEXT(B1493,"yyyy-mm")</x:f>
        <x:v>2025-01</x:v>
      </x:c>
      <x:c r="O1493" s="3" t="str">
        <x:f>IF(J1493=0,"No discount",IF(J1493&lt;=0.1,"1-10%",IF(J1493&lt;=0.15,"11-15%",IF(J1493&lt;=0.2,"16-20%","21%+"))))</x:f>
        <x:v>No discount</x:v>
      </x:c>
      <x:c r="P1493" s="9" t="n">
        <x:f>IF(K1493=0,0,L1493/K1493)</x:f>
        <x:v>0.373258560135806</x:v>
      </x:c>
      <x:c r="Q1493" s="3" t="str">
        <x:f>IF(L1493&lt;0,"Yes","No")</x:f>
        <x:v>No</x:v>
      </x:c>
    </x:row>
    <x:row r="1494" ht="21" customHeight="1">
      <x:c r="A1494" s="3" t="str">
        <x:v>ORD-100120</x:v>
      </x:c>
      <x:c r="B1494" s="5" t="n">
        <x:v>45687</x:v>
      </x:c>
      <x:c r="C1494" s="3" t="str">
        <x:v>CUST-00192</x:v>
      </x:c>
      <x:c r="D1494" s="3" t="str">
        <x:v>West</x:v>
      </x:c>
      <x:c r="E1494" s="3" t="str">
        <x:v>Home &amp; Kitchen</x:v>
      </x:c>
      <x:c r="F1494" s="3" t="str">
        <x:v>Decor</x:v>
      </x:c>
      <x:c r="G1494" s="3" t="str">
        <x:v>Ceramic Vase Set</x:v>
      </x:c>
      <x:c r="H1494" s="3" t="n">
        <x:v>3</x:v>
      </x:c>
      <x:c r="I1494" s="7" t="n">
        <x:v>1442.71</x:v>
      </x:c>
      <x:c r="J1494" s="9" t="n">
        <x:v>0.05</x:v>
      </x:c>
      <x:c r="K1494" s="7" t="n">
        <x:v>4111.72</x:v>
      </x:c>
      <x:c r="L1494" s="7" t="n">
        <x:v>1077.03</x:v>
      </x:c>
      <x:c r="M1494" s="3" t="str">
        <x:v>Debit Card</x:v>
      </x:c>
      <x:c r="N1494" s="3" t="str">
        <x:f>TEXT(B1494,"yyyy-mm")</x:f>
        <x:v>2025-01</x:v>
      </x:c>
      <x:c r="O1494" s="3" t="str">
        <x:f>IF(J1494=0,"No discount",IF(J1494&lt;=0.1,"1-10%",IF(J1494&lt;=0.15,"11-15%",IF(J1494&lt;=0.2,"16-20%","21%+"))))</x:f>
        <x:v>1-10%</x:v>
      </x:c>
      <x:c r="P1494" s="9" t="n">
        <x:f>IF(K1494=0,0,L1494/K1494)</x:f>
        <x:v>0.2619414746140301</x:v>
      </x:c>
      <x:c r="Q1494" s="3" t="str">
        <x:f>IF(L1494&lt;0,"Yes","No")</x:f>
        <x:v>No</x:v>
      </x:c>
    </x:row>
    <x:row r="1495" ht="21" customHeight="1">
      <x:c r="A1495" s="3" t="str">
        <x:v>ORD-100735</x:v>
      </x:c>
      <x:c r="B1495" s="5" t="n">
        <x:v>45688</x:v>
      </x:c>
      <x:c r="C1495" s="3" t="str">
        <x:v>CUST-00077</x:v>
      </x:c>
      <x:c r="D1495" s="3" t="str">
        <x:v>West</x:v>
      </x:c>
      <x:c r="E1495" s="3" t="str">
        <x:v>Home &amp; Kitchen</x:v>
      </x:c>
      <x:c r="F1495" s="3" t="str">
        <x:v>Decor</x:v>
      </x:c>
      <x:c r="G1495" s="3" t="str">
        <x:v>Ceramic Vase Set</x:v>
      </x:c>
      <x:c r="H1495" s="3" t="n">
        <x:v>1</x:v>
      </x:c>
      <x:c r="I1495" s="7" t="n">
        <x:v>1552.36</x:v>
      </x:c>
      <x:c r="J1495" s="9" t="n">
        <x:v>0.05</x:v>
      </x:c>
      <x:c r="K1495" s="7" t="n">
        <x:v>1474.74</x:v>
      </x:c>
      <x:c r="L1495" s="7" t="n">
        <x:v>393.71</x:v>
      </x:c>
      <x:c r="M1495" s="3" t="str">
        <x:v>Debit Card</x:v>
      </x:c>
      <x:c r="N1495" s="3" t="str">
        <x:f>TEXT(B1495,"yyyy-mm")</x:f>
        <x:v>2025-01</x:v>
      </x:c>
      <x:c r="O1495" s="3" t="str">
        <x:f>IF(J1495=0,"No discount",IF(J1495&lt;=0.1,"1-10%",IF(J1495&lt;=0.15,"11-15%",IF(J1495&lt;=0.2,"16-20%","21%+"))))</x:f>
        <x:v>1-10%</x:v>
      </x:c>
      <x:c r="P1495" s="9" t="n">
        <x:f>IF(K1495=0,0,L1495/K1495)</x:f>
        <x:v>0.26696909285704595</x:v>
      </x:c>
      <x:c r="Q1495" s="3" t="str">
        <x:f>IF(L1495&lt;0,"Yes","No")</x:f>
        <x:v>No</x:v>
      </x:c>
    </x:row>
    <x:row r="1496" ht="21" customHeight="1">
      <x:c r="A1496" s="3" t="str">
        <x:v>ORD-100296</x:v>
      </x:c>
      <x:c r="B1496" s="5" t="n">
        <x:v>45690</x:v>
      </x:c>
      <x:c r="C1496" s="3" t="str">
        <x:v>CUST-00295</x:v>
      </x:c>
      <x:c r="D1496" s="3" t="str">
        <x:v>East</x:v>
      </x:c>
      <x:c r="E1496" s="3" t="str">
        <x:v>Electronics</x:v>
      </x:c>
      <x:c r="F1496" s="3" t="str">
        <x:v>Audio</x:v>
      </x:c>
      <x:c r="G1496" s="3" t="str">
        <x:v>BassBoom Speaker</x:v>
      </x:c>
      <x:c r="H1496" s="3" t="n">
        <x:v>1</x:v>
      </x:c>
      <x:c r="I1496" s="7" t="n">
        <x:v>8871.83</x:v>
      </x:c>
      <x:c r="J1496" s="9" t="n">
        <x:v>0.1</x:v>
      </x:c>
      <x:c r="K1496" s="7" t="n">
        <x:v>7984.65</x:v>
      </x:c>
      <x:c r="L1496" s="7" t="n">
        <x:v>488.72</x:v>
      </x:c>
      <x:c r="M1496" s="3" t="str">
        <x:v>Credit Card</x:v>
      </x:c>
      <x:c r="N1496" s="3" t="str">
        <x:f>TEXT(B1496,"yyyy-mm")</x:f>
        <x:v>2025-02</x:v>
      </x:c>
      <x:c r="O1496" s="3" t="str">
        <x:f>IF(J1496=0,"No discount",IF(J1496&lt;=0.1,"1-10%",IF(J1496&lt;=0.15,"11-15%",IF(J1496&lt;=0.2,"16-20%","21%+"))))</x:f>
        <x:v>1-10%</x:v>
      </x:c>
      <x:c r="P1496" s="9" t="n">
        <x:f>IF(K1496=0,0,L1496/K1496)</x:f>
        <x:v>0.061207441778913296</x:v>
      </x:c>
      <x:c r="Q1496" s="3" t="str">
        <x:f>IF(L1496&lt;0,"Yes","No")</x:f>
        <x:v>No</x:v>
      </x:c>
    </x:row>
    <x:row r="1497" ht="21" customHeight="1">
      <x:c r="A1497" s="3" t="str">
        <x:v>ORD-100696</x:v>
      </x:c>
      <x:c r="B1497" s="5" t="n">
        <x:v>45690</x:v>
      </x:c>
      <x:c r="C1497" s="3" t="str">
        <x:v>CUST-00111</x:v>
      </x:c>
      <x:c r="D1497" s="3" t="str">
        <x:v>West</x:v>
      </x:c>
      <x:c r="E1497" s="3" t="str">
        <x:v>Beauty</x:v>
      </x:c>
      <x:c r="F1497" s="3" t="str">
        <x:v>Makeup</x:v>
      </x:c>
      <x:c r="G1497" s="3" t="str">
        <x:v>Matte Lipstick Set</x:v>
      </x:c>
      <x:c r="H1497" s="3" t="n">
        <x:v>1</x:v>
      </x:c>
      <x:c r="I1497" s="7" t="n">
        <x:v>1037.14</x:v>
      </x:c>
      <x:c r="J1497" s="9" t="n">
        <x:v>0.15</x:v>
      </x:c>
      <x:c r="K1497" s="7" t="n">
        <x:v>881.57</x:v>
      </x:c>
      <x:c r="L1497" s="7" t="n">
        <x:v>332.92</x:v>
      </x:c>
      <x:c r="M1497" s="3" t="str">
        <x:v>Debit Card</x:v>
      </x:c>
      <x:c r="N1497" s="3" t="str">
        <x:f>TEXT(B1497,"yyyy-mm")</x:f>
        <x:v>2025-02</x:v>
      </x:c>
      <x:c r="O1497" s="3" t="str">
        <x:f>IF(J1497=0,"No discount",IF(J1497&lt;=0.1,"1-10%",IF(J1497&lt;=0.15,"11-15%",IF(J1497&lt;=0.2,"16-20%","21%+"))))</x:f>
        <x:v>11-15%</x:v>
      </x:c>
      <x:c r="P1497" s="9" t="n">
        <x:f>IF(K1497=0,0,L1497/K1497)</x:f>
        <x:v>0.3776444298240639</x:v>
      </x:c>
      <x:c r="Q1497" s="3" t="str">
        <x:f>IF(L1497&lt;0,"Yes","No")</x:f>
        <x:v>No</x:v>
      </x:c>
    </x:row>
    <x:row r="1498" ht="21" customHeight="1">
      <x:c r="A1498" s="3" t="str">
        <x:v>ORD-101210</x:v>
      </x:c>
      <x:c r="B1498" s="5" t="n">
        <x:v>45690</x:v>
      </x:c>
      <x:c r="C1498" s="3" t="str">
        <x:v>CUST-00513</x:v>
      </x:c>
      <x:c r="D1498" s="3" t="str">
        <x:v>East</x:v>
      </x:c>
      <x:c r="E1498" s="3" t="str">
        <x:v>Electronics</x:v>
      </x:c>
      <x:c r="F1498" s="3" t="str">
        <x:v>Audio</x:v>
      </x:c>
      <x:c r="G1498" s="3" t="str">
        <x:v>SoundPods Pro</x:v>
      </x:c>
      <x:c r="H1498" s="3" t="n">
        <x:v>4</x:v>
      </x:c>
      <x:c r="I1498" s="7" t="n">
        <x:v>5054.93</x:v>
      </x:c>
      <x:c r="J1498" s="9" t="n">
        <x:v>0.25</x:v>
      </x:c>
      <x:c r="K1498" s="7" t="n">
        <x:v>15164.79</x:v>
      </x:c>
      <x:c r="L1498" s="7" t="n">
        <x:v>-1624.29</x:v>
      </x:c>
      <x:c r="M1498" s="3" t="str">
        <x:v>UPI</x:v>
      </x:c>
      <x:c r="N1498" s="3" t="str">
        <x:f>TEXT(B1498,"yyyy-mm")</x:f>
        <x:v>2025-02</x:v>
      </x:c>
      <x:c r="O1498" s="3" t="str">
        <x:f>IF(J1498=0,"No discount",IF(J1498&lt;=0.1,"1-10%",IF(J1498&lt;=0.15,"11-15%",IF(J1498&lt;=0.2,"16-20%","21%+"))))</x:f>
        <x:v>21%+</x:v>
      </x:c>
      <x:c r="P1498" s="9" t="n">
        <x:f>IF(K1498=0,0,L1498/K1498)</x:f>
        <x:v>-0.10710929726029836</x:v>
      </x:c>
      <x:c r="Q1498" s="3" t="str">
        <x:f>IF(L1498&lt;0,"Yes","No")</x:f>
        <x:v>Yes</x:v>
      </x:c>
    </x:row>
    <x:row r="1499" ht="21" customHeight="1">
      <x:c r="A1499" s="3" t="str">
        <x:v>ORD-101741</x:v>
      </x:c>
      <x:c r="B1499" s="5" t="n">
        <x:v>45690</x:v>
      </x:c>
      <x:c r="C1499" s="3" t="str">
        <x:v>CUST-00359</x:v>
      </x:c>
      <x:c r="D1499" s="3" t="str">
        <x:v>East</x:v>
      </x:c>
      <x:c r="E1499" s="3" t="str">
        <x:v>Beauty</x:v>
      </x:c>
      <x:c r="F1499" s="3" t="str">
        <x:v>Makeup</x:v>
      </x:c>
      <x:c r="G1499" s="3" t="str">
        <x:v>HD Foundation Kit</x:v>
      </x:c>
      <x:c r="H1499" s="3" t="n">
        <x:v>4</x:v>
      </x:c>
      <x:c r="I1499" s="7" t="n">
        <x:v>1437.63</x:v>
      </x:c>
      <x:c r="J1499" s="9" t="n">
        <x:v>0</x:v>
      </x:c>
      <x:c r="K1499" s="7" t="n">
        <x:v>5750.52</x:v>
      </x:c>
      <x:c r="L1499" s="7" t="n">
        <x:v>3189.21</x:v>
      </x:c>
      <x:c r="M1499" s="3" t="str">
        <x:v>UPI</x:v>
      </x:c>
      <x:c r="N1499" s="3" t="str">
        <x:f>TEXT(B1499,"yyyy-mm")</x:f>
        <x:v>2025-02</x:v>
      </x:c>
      <x:c r="O1499" s="3" t="str">
        <x:f>IF(J1499=0,"No discount",IF(J1499&lt;=0.1,"1-10%",IF(J1499&lt;=0.15,"11-15%",IF(J1499&lt;=0.2,"16-20%","21%+"))))</x:f>
        <x:v>No discount</x:v>
      </x:c>
      <x:c r="P1499" s="9" t="n">
        <x:f>IF(K1499=0,0,L1499/K1499)</x:f>
        <x:v>0.5545950627073725</x:v>
      </x:c>
      <x:c r="Q1499" s="3" t="str">
        <x:f>IF(L1499&lt;0,"Yes","No")</x:f>
        <x:v>No</x:v>
      </x:c>
    </x:row>
    <x:row r="1500" ht="21" customHeight="1">
      <x:c r="A1500" s="3" t="str">
        <x:v>ORD-101845</x:v>
      </x:c>
      <x:c r="B1500" s="5" t="n">
        <x:v>45690</x:v>
      </x:c>
      <x:c r="C1500" s="3" t="str">
        <x:v>CUST-00359</x:v>
      </x:c>
      <x:c r="D1500" s="3" t="str">
        <x:v>North</x:v>
      </x:c>
      <x:c r="E1500" s="3" t="str">
        <x:v>Sports</x:v>
      </x:c>
      <x:c r="F1500" s="3" t="str">
        <x:v>Fitness</x:v>
      </x:c>
      <x:c r="G1500" s="3" t="str">
        <x:v>Adjustable Dumbbell 24kg</x:v>
      </x:c>
      <x:c r="H1500" s="3" t="n">
        <x:v>2</x:v>
      </x:c>
      <x:c r="I1500" s="7" t="n">
        <x:v>9717.48</x:v>
      </x:c>
      <x:c r="J1500" s="9" t="n">
        <x:v>0.1</x:v>
      </x:c>
      <x:c r="K1500" s="7" t="n">
        <x:v>17491.46</x:v>
      </x:c>
      <x:c r="L1500" s="7" t="n">
        <x:v>4244.37</x:v>
      </x:c>
      <x:c r="M1500" s="3" t="str">
        <x:v>UPI</x:v>
      </x:c>
      <x:c r="N1500" s="3" t="str">
        <x:f>TEXT(B1500,"yyyy-mm")</x:f>
        <x:v>2025-02</x:v>
      </x:c>
      <x:c r="O1500" s="3" t="str">
        <x:f>IF(J1500=0,"No discount",IF(J1500&lt;=0.1,"1-10%",IF(J1500&lt;=0.15,"11-15%",IF(J1500&lt;=0.2,"16-20%","21%+"))))</x:f>
        <x:v>1-10%</x:v>
      </x:c>
      <x:c r="P1500" s="9" t="n">
        <x:f>IF(K1500=0,0,L1500/K1500)</x:f>
        <x:v>0.2426538436471284</x:v>
      </x:c>
      <x:c r="Q1500" s="3" t="str">
        <x:f>IF(L1500&lt;0,"Yes","No")</x:f>
        <x:v>No</x:v>
      </x:c>
    </x:row>
    <x:row r="1501" ht="21" customHeight="1">
      <x:c r="A1501" s="3" t="str">
        <x:v>ORD-100017</x:v>
      </x:c>
      <x:c r="B1501" s="5" t="n">
        <x:v>45691</x:v>
      </x:c>
      <x:c r="C1501" s="3" t="str">
        <x:v>CUST-00466</x:v>
      </x:c>
      <x:c r="D1501" s="3" t="str">
        <x:v>North</x:v>
      </x:c>
      <x:c r="E1501" s="3" t="str">
        <x:v>Electronics</x:v>
      </x:c>
      <x:c r="F1501" s="3" t="str">
        <x:v>Mobile</x:v>
      </x:c>
      <x:c r="G1501" s="3" t="str">
        <x:v>Galaxy Nova X5</x:v>
      </x:c>
      <x:c r="H1501" s="3" t="n">
        <x:v>1</x:v>
      </x:c>
      <x:c r="I1501" s="7" t="n">
        <x:v>24283.4</x:v>
      </x:c>
      <x:c r="J1501" s="9" t="n">
        <x:v>0.05</x:v>
      </x:c>
      <x:c r="K1501" s="7" t="n">
        <x:v>23069.23</x:v>
      </x:c>
      <x:c r="L1501" s="7" t="n">
        <x:v>2643.35</x:v>
      </x:c>
      <x:c r="M1501" s="3" t="str">
        <x:v>UPI</x:v>
      </x:c>
      <x:c r="N1501" s="3" t="str">
        <x:f>TEXT(B1501,"yyyy-mm")</x:f>
        <x:v>2025-02</x:v>
      </x:c>
      <x:c r="O1501" s="3" t="str">
        <x:f>IF(J1501=0,"No discount",IF(J1501&lt;=0.1,"1-10%",IF(J1501&lt;=0.15,"11-15%",IF(J1501&lt;=0.2,"16-20%","21%+"))))</x:f>
        <x:v>1-10%</x:v>
      </x:c>
      <x:c r="P1501" s="9" t="n">
        <x:f>IF(K1501=0,0,L1501/K1501)</x:f>
        <x:v>0.11458336494109253</x:v>
      </x:c>
      <x:c r="Q1501" s="3" t="str">
        <x:f>IF(L1501&lt;0,"Yes","No")</x:f>
        <x:v>No</x:v>
      </x:c>
    </x:row>
    <x:row r="1502" ht="21" customHeight="1">
      <x:c r="A1502" s="3" t="str">
        <x:v>ORD-101175</x:v>
      </x:c>
      <x:c r="B1502" s="5" t="n">
        <x:v>45691</x:v>
      </x:c>
      <x:c r="C1502" s="3" t="str">
        <x:v>CUST-00492</x:v>
      </x:c>
      <x:c r="D1502" s="3" t="str">
        <x:v>East</x:v>
      </x:c>
      <x:c r="E1502" s="3" t="str">
        <x:v>Sports</x:v>
      </x:c>
      <x:c r="F1502" s="3" t="str">
        <x:v>Fitness</x:v>
      </x:c>
      <x:c r="G1502" s="3" t="str">
        <x:v>Adjustable Dumbbell 24kg</x:v>
      </x:c>
      <x:c r="H1502" s="3" t="n">
        <x:v>3</x:v>
      </x:c>
      <x:c r="I1502" s="7" t="n">
        <x:v>10085.48</x:v>
      </x:c>
      <x:c r="J1502" s="9" t="n">
        <x:v>0.1</x:v>
      </x:c>
      <x:c r="K1502" s="7" t="n">
        <x:v>27230.8</x:v>
      </x:c>
      <x:c r="L1502" s="7" t="n">
        <x:v>6884.69</x:v>
      </x:c>
      <x:c r="M1502" s="3" t="str">
        <x:v>Credit Card</x:v>
      </x:c>
      <x:c r="N1502" s="3" t="str">
        <x:f>TEXT(B1502,"yyyy-mm")</x:f>
        <x:v>2025-02</x:v>
      </x:c>
      <x:c r="O1502" s="3" t="str">
        <x:f>IF(J1502=0,"No discount",IF(J1502&lt;=0.1,"1-10%",IF(J1502&lt;=0.15,"11-15%",IF(J1502&lt;=0.2,"16-20%","21%+"))))</x:f>
        <x:v>1-10%</x:v>
      </x:c>
      <x:c r="P1502" s="9" t="n">
        <x:f>IF(K1502=0,0,L1502/K1502)</x:f>
        <x:v>0.2528273131894766</x:v>
      </x:c>
      <x:c r="Q1502" s="3" t="str">
        <x:f>IF(L1502&lt;0,"Yes","No")</x:f>
        <x:v>No</x:v>
      </x:c>
    </x:row>
    <x:row r="1503" ht="21" customHeight="1">
      <x:c r="A1503" s="3" t="str">
        <x:v>ORD-101250</x:v>
      </x:c>
      <x:c r="B1503" s="5" t="n">
        <x:v>45691</x:v>
      </x:c>
      <x:c r="C1503" s="3" t="str">
        <x:v>CUST-00553</x:v>
      </x:c>
      <x:c r="D1503" s="3" t="str">
        <x:v>West</x:v>
      </x:c>
      <x:c r="E1503" s="3" t="str">
        <x:v>Beauty</x:v>
      </x:c>
      <x:c r="F1503" s="3" t="str">
        <x:v>Makeup</x:v>
      </x:c>
      <x:c r="G1503" s="3" t="str">
        <x:v>Matte Lipstick Set</x:v>
      </x:c>
      <x:c r="H1503" s="3" t="n">
        <x:v>2</x:v>
      </x:c>
      <x:c r="I1503" s="7" t="n">
        <x:v>984.71</x:v>
      </x:c>
      <x:c r="J1503" s="9" t="n">
        <x:v>0.05</x:v>
      </x:c>
      <x:c r="K1503" s="7" t="n">
        <x:v>1870.95</x:v>
      </x:c>
      <x:c r="L1503" s="7" t="n">
        <x:v>873.4</x:v>
      </x:c>
      <x:c r="M1503" s="3" t="str">
        <x:v>UPI</x:v>
      </x:c>
      <x:c r="N1503" s="3" t="str">
        <x:f>TEXT(B1503,"yyyy-mm")</x:f>
        <x:v>2025-02</x:v>
      </x:c>
      <x:c r="O1503" s="3" t="str">
        <x:f>IF(J1503=0,"No discount",IF(J1503&lt;=0.1,"1-10%",IF(J1503&lt;=0.15,"11-15%",IF(J1503&lt;=0.2,"16-20%","21%+"))))</x:f>
        <x:v>1-10%</x:v>
      </x:c>
      <x:c r="P1503" s="9" t="n">
        <x:f>IF(K1503=0,0,L1503/K1503)</x:f>
        <x:v>0.46682166813650816</x:v>
      </x:c>
      <x:c r="Q1503" s="3" t="str">
        <x:f>IF(L1503&lt;0,"Yes","No")</x:f>
        <x:v>No</x:v>
      </x:c>
    </x:row>
    <x:row r="1504" ht="21" customHeight="1">
      <x:c r="A1504" s="3" t="str">
        <x:v>ORD-101253</x:v>
      </x:c>
      <x:c r="B1504" s="5" t="n">
        <x:v>45691</x:v>
      </x:c>
      <x:c r="C1504" s="3" t="str">
        <x:v>CUST-00340</x:v>
      </x:c>
      <x:c r="D1504" s="3" t="str">
        <x:v>West</x:v>
      </x:c>
      <x:c r="E1504" s="3" t="str">
        <x:v>Electronics</x:v>
      </x:c>
      <x:c r="F1504" s="3" t="str">
        <x:v>Laptop</x:v>
      </x:c>
      <x:c r="G1504" s="3" t="str">
        <x:v>ThinkPro 14</x:v>
      </x:c>
      <x:c r="H1504" s="3" t="n">
        <x:v>2</x:v>
      </x:c>
      <x:c r="I1504" s="7" t="n">
        <x:v>54276.76</x:v>
      </x:c>
      <x:c r="J1504" s="9" t="n">
        <x:v>0.15</x:v>
      </x:c>
      <x:c r="K1504" s="7" t="n">
        <x:v>92270.49</x:v>
      </x:c>
      <x:c r="L1504" s="7" t="n">
        <x:v>2135.15</x:v>
      </x:c>
      <x:c r="M1504" s="3" t="str">
        <x:v>Credit Card</x:v>
      </x:c>
      <x:c r="N1504" s="3" t="str">
        <x:f>TEXT(B1504,"yyyy-mm")</x:f>
        <x:v>2025-02</x:v>
      </x:c>
      <x:c r="O1504" s="3" t="str">
        <x:f>IF(J1504=0,"No discount",IF(J1504&lt;=0.1,"1-10%",IF(J1504&lt;=0.15,"11-15%",IF(J1504&lt;=0.2,"16-20%","21%+"))))</x:f>
        <x:v>11-15%</x:v>
      </x:c>
      <x:c r="P1504" s="9" t="n">
        <x:f>IF(K1504=0,0,L1504/K1504)</x:f>
        <x:v>0.02314011771260779</x:v>
      </x:c>
      <x:c r="Q1504" s="3" t="str">
        <x:f>IF(L1504&lt;0,"Yes","No")</x:f>
        <x:v>No</x:v>
      </x:c>
    </x:row>
    <x:row r="1505" ht="21" customHeight="1">
      <x:c r="A1505" s="3" t="str">
        <x:v>ORD-100191</x:v>
      </x:c>
      <x:c r="B1505" s="5" t="n">
        <x:v>45692</x:v>
      </x:c>
      <x:c r="C1505" s="3" t="str">
        <x:v>CUST-00513</x:v>
      </x:c>
      <x:c r="D1505" s="3" t="str">
        <x:v>East</x:v>
      </x:c>
      <x:c r="E1505" s="3" t="str">
        <x:v>Electronics</x:v>
      </x:c>
      <x:c r="F1505" s="3" t="str">
        <x:v>Mobile</x:v>
      </x:c>
      <x:c r="G1505" s="3" t="str">
        <x:v>Galaxy Nova X5</x:v>
      </x:c>
      <x:c r="H1505" s="3" t="n">
        <x:v>1</x:v>
      </x:c>
      <x:c r="I1505" s="7" t="n">
        <x:v>25045.99</x:v>
      </x:c>
      <x:c r="J1505" s="9" t="n">
        <x:v>0.05</x:v>
      </x:c>
      <x:c r="K1505" s="7" t="n">
        <x:v>23793.69</x:v>
      </x:c>
      <x:c r="L1505" s="7" t="n">
        <x:v>3067.99</x:v>
      </x:c>
      <x:c r="M1505" s="3" t="str">
        <x:v>Credit Card</x:v>
      </x:c>
      <x:c r="N1505" s="3" t="str">
        <x:f>TEXT(B1505,"yyyy-mm")</x:f>
        <x:v>2025-02</x:v>
      </x:c>
      <x:c r="O1505" s="3" t="str">
        <x:f>IF(J1505=0,"No discount",IF(J1505&lt;=0.1,"1-10%",IF(J1505&lt;=0.15,"11-15%",IF(J1505&lt;=0.2,"16-20%","21%+"))))</x:f>
        <x:v>1-10%</x:v>
      </x:c>
      <x:c r="P1505" s="9" t="n">
        <x:f>IF(K1505=0,0,L1505/K1505)</x:f>
        <x:v>0.12894132856232052</x:v>
      </x:c>
      <x:c r="Q1505" s="3" t="str">
        <x:f>IF(L1505&lt;0,"Yes","No")</x:f>
        <x:v>No</x:v>
      </x:c>
    </x:row>
    <x:row r="1506" ht="21" customHeight="1">
      <x:c r="A1506" s="3" t="str">
        <x:v>ORD-100509</x:v>
      </x:c>
      <x:c r="B1506" s="5" t="n">
        <x:v>45692</x:v>
      </x:c>
      <x:c r="C1506" s="3" t="str">
        <x:v>CUST-00387</x:v>
      </x:c>
      <x:c r="D1506" s="3" t="str">
        <x:v>West</x:v>
      </x:c>
      <x:c r="E1506" s="3" t="str">
        <x:v>Sports</x:v>
      </x:c>
      <x:c r="F1506" s="3" t="str">
        <x:v>Fitness</x:v>
      </x:c>
      <x:c r="G1506" s="3" t="str">
        <x:v>Adjustable Dumbbell 24kg</x:v>
      </x:c>
      <x:c r="H1506" s="3" t="n">
        <x:v>2</x:v>
      </x:c>
      <x:c r="I1506" s="7" t="n">
        <x:v>10071.2</x:v>
      </x:c>
      <x:c r="J1506" s="9" t="n">
        <x:v>0.1</x:v>
      </x:c>
      <x:c r="K1506" s="7" t="n">
        <x:v>18128.16</x:v>
      </x:c>
      <x:c r="L1506" s="7" t="n">
        <x:v>4769.03</x:v>
      </x:c>
      <x:c r="M1506" s="3" t="str">
        <x:v>Credit Card</x:v>
      </x:c>
      <x:c r="N1506" s="3" t="str">
        <x:f>TEXT(B1506,"yyyy-mm")</x:f>
        <x:v>2025-02</x:v>
      </x:c>
      <x:c r="O1506" s="3" t="str">
        <x:f>IF(J1506=0,"No discount",IF(J1506&lt;=0.1,"1-10%",IF(J1506&lt;=0.15,"11-15%",IF(J1506&lt;=0.2,"16-20%","21%+"))))</x:f>
        <x:v>1-10%</x:v>
      </x:c>
      <x:c r="P1506" s="9" t="n">
        <x:f>IF(K1506=0,0,L1506/K1506)</x:f>
        <x:v>0.2630730311294693</x:v>
      </x:c>
      <x:c r="Q1506" s="3" t="str">
        <x:f>IF(L1506&lt;0,"Yes","No")</x:f>
        <x:v>No</x:v>
      </x:c>
    </x:row>
    <x:row r="1507" ht="21" customHeight="1">
      <x:c r="A1507" s="3" t="str">
        <x:v>ORD-100621</x:v>
      </x:c>
      <x:c r="B1507" s="5" t="n">
        <x:v>45692</x:v>
      </x:c>
      <x:c r="C1507" s="3" t="str">
        <x:v>CUST-00396</x:v>
      </x:c>
      <x:c r="D1507" s="3" t="str">
        <x:v>South</x:v>
      </x:c>
      <x:c r="E1507" s="3" t="str">
        <x:v>Fashion</x:v>
      </x:c>
      <x:c r="F1507" s="3" t="str">
        <x:v>Men</x:v>
      </x:c>
      <x:c r="G1507" s="3" t="str">
        <x:v>Oxford Casual Shirt</x:v>
      </x:c>
      <x:c r="H1507" s="3" t="n">
        <x:v>2</x:v>
      </x:c>
      <x:c r="I1507" s="7" t="n">
        <x:v>1352.75</x:v>
      </x:c>
      <x:c r="J1507" s="9" t="n">
        <x:v>0.15</x:v>
      </x:c>
      <x:c r="K1507" s="7" t="n">
        <x:v>2299.67</x:v>
      </x:c>
      <x:c r="L1507" s="7" t="n">
        <x:v>582.76</x:v>
      </x:c>
      <x:c r="M1507" s="3" t="str">
        <x:v>UPI</x:v>
      </x:c>
      <x:c r="N1507" s="3" t="str">
        <x:f>TEXT(B1507,"yyyy-mm")</x:f>
        <x:v>2025-02</x:v>
      </x:c>
      <x:c r="O1507" s="3" t="str">
        <x:f>IF(J1507=0,"No discount",IF(J1507&lt;=0.1,"1-10%",IF(J1507&lt;=0.15,"11-15%",IF(J1507&lt;=0.2,"16-20%","21%+"))))</x:f>
        <x:v>11-15%</x:v>
      </x:c>
      <x:c r="P1507" s="9" t="n">
        <x:f>IF(K1507=0,0,L1507/K1507)</x:f>
        <x:v>0.2534102719085782</x:v>
      </x:c>
      <x:c r="Q1507" s="3" t="str">
        <x:f>IF(L1507&lt;0,"Yes","No")</x:f>
        <x:v>No</x:v>
      </x:c>
    </x:row>
    <x:row r="1508" ht="21" customHeight="1">
      <x:c r="A1508" s="3" t="str">
        <x:v>ORD-101093</x:v>
      </x:c>
      <x:c r="B1508" s="5" t="n">
        <x:v>45692</x:v>
      </x:c>
      <x:c r="C1508" s="3" t="str">
        <x:v>CUST-00062</x:v>
      </x:c>
      <x:c r="D1508" s="3" t="str">
        <x:v>South</x:v>
      </x:c>
      <x:c r="E1508" s="3" t="str">
        <x:v>Electronics</x:v>
      </x:c>
      <x:c r="F1508" s="3" t="str">
        <x:v>Audio</x:v>
      </x:c>
      <x:c r="G1508" s="3" t="str">
        <x:v>SoundPods Pro</x:v>
      </x:c>
      <x:c r="H1508" s="3" t="n">
        <x:v>2</x:v>
      </x:c>
      <x:c r="I1508" s="7" t="n">
        <x:v>4768.92</x:v>
      </x:c>
      <x:c r="J1508" s="9" t="n">
        <x:v>0</x:v>
      </x:c>
      <x:c r="K1508" s="7" t="n">
        <x:v>9537.84</x:v>
      </x:c>
      <x:c r="L1508" s="7" t="n">
        <x:v>1489.77</x:v>
      </x:c>
      <x:c r="M1508" s="3" t="str">
        <x:v>Debit Card</x:v>
      </x:c>
      <x:c r="N1508" s="3" t="str">
        <x:f>TEXT(B1508,"yyyy-mm")</x:f>
        <x:v>2025-02</x:v>
      </x:c>
      <x:c r="O1508" s="3" t="str">
        <x:f>IF(J1508=0,"No discount",IF(J1508&lt;=0.1,"1-10%",IF(J1508&lt;=0.15,"11-15%",IF(J1508&lt;=0.2,"16-20%","21%+"))))</x:f>
        <x:v>No discount</x:v>
      </x:c>
      <x:c r="P1508" s="9" t="n">
        <x:f>IF(K1508=0,0,L1508/K1508)</x:f>
        <x:v>0.15619574243224882</x:v>
      </x:c>
      <x:c r="Q1508" s="3" t="str">
        <x:f>IF(L1508&lt;0,"Yes","No")</x:f>
        <x:v>No</x:v>
      </x:c>
    </x:row>
    <x:row r="1509" ht="21" customHeight="1">
      <x:c r="A1509" s="3" t="str">
        <x:v>ORD-100667</x:v>
      </x:c>
      <x:c r="B1509" s="5" t="n">
        <x:v>45693</x:v>
      </x:c>
      <x:c r="C1509" s="3" t="str">
        <x:v>CUST-00164</x:v>
      </x:c>
      <x:c r="D1509" s="3" t="str">
        <x:v>North</x:v>
      </x:c>
      <x:c r="E1509" s="3" t="str">
        <x:v>Home &amp; Kitchen</x:v>
      </x:c>
      <x:c r="F1509" s="3" t="str">
        <x:v>Appliances</x:v>
      </x:c>
      <x:c r="G1509" s="3" t="str">
        <x:v>ColdBrew Coffee Maker</x:v>
      </x:c>
      <x:c r="H1509" s="3" t="n">
        <x:v>2</x:v>
      </x:c>
      <x:c r="I1509" s="7" t="n">
        <x:v>6363.49</x:v>
      </x:c>
      <x:c r="J1509" s="9" t="n">
        <x:v>0</x:v>
      </x:c>
      <x:c r="K1509" s="7" t="n">
        <x:v>12726.98</x:v>
      </x:c>
      <x:c r="L1509" s="7" t="n">
        <x:v>4674.87</x:v>
      </x:c>
      <x:c r="M1509" s="3" t="str">
        <x:v>Debit Card</x:v>
      </x:c>
      <x:c r="N1509" s="3" t="str">
        <x:f>TEXT(B1509,"yyyy-mm")</x:f>
        <x:v>2025-02</x:v>
      </x:c>
      <x:c r="O1509" s="3" t="str">
        <x:f>IF(J1509=0,"No discount",IF(J1509&lt;=0.1,"1-10%",IF(J1509&lt;=0.15,"11-15%",IF(J1509&lt;=0.2,"16-20%","21%+"))))</x:f>
        <x:v>No discount</x:v>
      </x:c>
      <x:c r="P1509" s="9" t="n">
        <x:f>IF(K1509=0,0,L1509/K1509)</x:f>
        <x:v>0.36731966263795496</x:v>
      </x:c>
      <x:c r="Q1509" s="3" t="str">
        <x:f>IF(L1509&lt;0,"Yes","No")</x:f>
        <x:v>No</x:v>
      </x:c>
    </x:row>
    <x:row r="1510" ht="21" customHeight="1">
      <x:c r="A1510" s="3" t="str">
        <x:v>ORD-101274</x:v>
      </x:c>
      <x:c r="B1510" s="5" t="n">
        <x:v>45693</x:v>
      </x:c>
      <x:c r="C1510" s="3" t="str">
        <x:v>CUST-00187</x:v>
      </x:c>
      <x:c r="D1510" s="3" t="str">
        <x:v>East</x:v>
      </x:c>
      <x:c r="E1510" s="3" t="str">
        <x:v>Beauty</x:v>
      </x:c>
      <x:c r="F1510" s="3" t="str">
        <x:v>Skincare</x:v>
      </x:c>
      <x:c r="G1510" s="3" t="str">
        <x:v>HydraBoost Moisturizer</x:v>
      </x:c>
      <x:c r="H1510" s="3" t="n">
        <x:v>1</x:v>
      </x:c>
      <x:c r="I1510" s="7" t="n">
        <x:v>1236.97</x:v>
      </x:c>
      <x:c r="J1510" s="9" t="n">
        <x:v>0</x:v>
      </x:c>
      <x:c r="K1510" s="7" t="n">
        <x:v>1236.97</x:v>
      </x:c>
      <x:c r="L1510" s="7" t="n">
        <x:v>715.45</x:v>
      </x:c>
      <x:c r="M1510" s="3" t="str">
        <x:v>UPI</x:v>
      </x:c>
      <x:c r="N1510" s="3" t="str">
        <x:f>TEXT(B1510,"yyyy-mm")</x:f>
        <x:v>2025-02</x:v>
      </x:c>
      <x:c r="O1510" s="3" t="str">
        <x:f>IF(J1510=0,"No discount",IF(J1510&lt;=0.1,"1-10%",IF(J1510&lt;=0.15,"11-15%",IF(J1510&lt;=0.2,"16-20%","21%+"))))</x:f>
        <x:v>No discount</x:v>
      </x:c>
      <x:c r="P1510" s="9" t="n">
        <x:f>IF(K1510=0,0,L1510/K1510)</x:f>
        <x:v>0.5783891282731191</x:v>
      </x:c>
      <x:c r="Q1510" s="3" t="str">
        <x:f>IF(L1510&lt;0,"Yes","No")</x:f>
        <x:v>No</x:v>
      </x:c>
    </x:row>
    <x:row r="1511" ht="21" customHeight="1">
      <x:c r="A1511" s="3" t="str">
        <x:v>ORD-101662</x:v>
      </x:c>
      <x:c r="B1511" s="5" t="n">
        <x:v>45693</x:v>
      </x:c>
      <x:c r="C1511" s="3" t="str">
        <x:v>CUST-00163</x:v>
      </x:c>
      <x:c r="D1511" s="3" t="str">
        <x:v>East</x:v>
      </x:c>
      <x:c r="E1511" s="3" t="str">
        <x:v>Beauty</x:v>
      </x:c>
      <x:c r="F1511" s="3" t="str">
        <x:v>Skincare</x:v>
      </x:c>
      <x:c r="G1511" s="3" t="str">
        <x:v>HydraBoost Moisturizer</x:v>
      </x:c>
      <x:c r="H1511" s="3" t="n">
        <x:v>1</x:v>
      </x:c>
      <x:c r="I1511" s="7" t="n">
        <x:v>1232.59</x:v>
      </x:c>
      <x:c r="J1511" s="9" t="n">
        <x:v>0</x:v>
      </x:c>
      <x:c r="K1511" s="7" t="n">
        <x:v>1232.59</x:v>
      </x:c>
      <x:c r="L1511" s="7" t="n">
        <x:v>714.89</x:v>
      </x:c>
      <x:c r="M1511" s="3" t="str">
        <x:v>UPI</x:v>
      </x:c>
      <x:c r="N1511" s="3" t="str">
        <x:f>TEXT(B1511,"yyyy-mm")</x:f>
        <x:v>2025-02</x:v>
      </x:c>
      <x:c r="O1511" s="3" t="str">
        <x:f>IF(J1511=0,"No discount",IF(J1511&lt;=0.1,"1-10%",IF(J1511&lt;=0.15,"11-15%",IF(J1511&lt;=0.2,"16-20%","21%+"))))</x:f>
        <x:v>No discount</x:v>
      </x:c>
      <x:c r="P1511" s="9" t="n">
        <x:f>IF(K1511=0,0,L1511/K1511)</x:f>
        <x:v>0.5799901021426428</x:v>
      </x:c>
      <x:c r="Q1511" s="3" t="str">
        <x:f>IF(L1511&lt;0,"Yes","No")</x:f>
        <x:v>No</x:v>
      </x:c>
    </x:row>
    <x:row r="1512" ht="21" customHeight="1">
      <x:c r="A1512" s="3" t="str">
        <x:v>ORD-100187</x:v>
      </x:c>
      <x:c r="B1512" s="5" t="n">
        <x:v>45694</x:v>
      </x:c>
      <x:c r="C1512" s="3" t="str">
        <x:v>CUST-00578</x:v>
      </x:c>
      <x:c r="D1512" s="3" t="str">
        <x:v>South</x:v>
      </x:c>
      <x:c r="E1512" s="3" t="str">
        <x:v>Sports</x:v>
      </x:c>
      <x:c r="F1512" s="3" t="str">
        <x:v>Outdoor</x:v>
      </x:c>
      <x:c r="G1512" s="3" t="str">
        <x:v>AllWeather Tent 4P</x:v>
      </x:c>
      <x:c r="H1512" s="3" t="n">
        <x:v>2</x:v>
      </x:c>
      <x:c r="I1512" s="7" t="n">
        <x:v>12560.27</x:v>
      </x:c>
      <x:c r="J1512" s="9" t="n">
        <x:v>0.1</x:v>
      </x:c>
      <x:c r="K1512" s="7" t="n">
        <x:v>22608.49</x:v>
      </x:c>
      <x:c r="L1512" s="7" t="n">
        <x:v>6501.25</x:v>
      </x:c>
      <x:c r="M1512" s="3" t="str">
        <x:v>UPI</x:v>
      </x:c>
      <x:c r="N1512" s="3" t="str">
        <x:f>TEXT(B1512,"yyyy-mm")</x:f>
        <x:v>2025-02</x:v>
      </x:c>
      <x:c r="O1512" s="3" t="str">
        <x:f>IF(J1512=0,"No discount",IF(J1512&lt;=0.1,"1-10%",IF(J1512&lt;=0.15,"11-15%",IF(J1512&lt;=0.2,"16-20%","21%+"))))</x:f>
        <x:v>1-10%</x:v>
      </x:c>
      <x:c r="P1512" s="9" t="n">
        <x:f>IF(K1512=0,0,L1512/K1512)</x:f>
        <x:v>0.2875579041324741</x:v>
      </x:c>
      <x:c r="Q1512" s="3" t="str">
        <x:f>IF(L1512&lt;0,"Yes","No")</x:f>
        <x:v>No</x:v>
      </x:c>
    </x:row>
    <x:row r="1513" ht="21" customHeight="1">
      <x:c r="A1513" s="3" t="str">
        <x:v>ORD-100289</x:v>
      </x:c>
      <x:c r="B1513" s="5" t="n">
        <x:v>45694</x:v>
      </x:c>
      <x:c r="C1513" s="3" t="str">
        <x:v>CUST-00196</x:v>
      </x:c>
      <x:c r="D1513" s="3" t="str">
        <x:v>North</x:v>
      </x:c>
      <x:c r="E1513" s="3" t="str">
        <x:v>Electronics</x:v>
      </x:c>
      <x:c r="F1513" s="3" t="str">
        <x:v>Mobile</x:v>
      </x:c>
      <x:c r="G1513" s="3" t="str">
        <x:v>Galaxy Nova X5</x:v>
      </x:c>
      <x:c r="H1513" s="3" t="n">
        <x:v>1</x:v>
      </x:c>
      <x:c r="I1513" s="7" t="n">
        <x:v>25605.25</x:v>
      </x:c>
      <x:c r="J1513" s="9" t="n">
        <x:v>0.2</x:v>
      </x:c>
      <x:c r="K1513" s="7" t="n">
        <x:v>20484.2</x:v>
      </x:c>
      <x:c r="L1513" s="7" t="n">
        <x:v>-1172.99</x:v>
      </x:c>
      <x:c r="M1513" s="3" t="str">
        <x:v>UPI</x:v>
      </x:c>
      <x:c r="N1513" s="3" t="str">
        <x:f>TEXT(B1513,"yyyy-mm")</x:f>
        <x:v>2025-02</x:v>
      </x:c>
      <x:c r="O1513" s="3" t="str">
        <x:f>IF(J1513=0,"No discount",IF(J1513&lt;=0.1,"1-10%",IF(J1513&lt;=0.15,"11-15%",IF(J1513&lt;=0.2,"16-20%","21%+"))))</x:f>
        <x:v>16-20%</x:v>
      </x:c>
      <x:c r="P1513" s="9" t="n">
        <x:f>IF(K1513=0,0,L1513/K1513)</x:f>
        <x:v>-0.057263158922486596</x:v>
      </x:c>
      <x:c r="Q1513" s="3" t="str">
        <x:f>IF(L1513&lt;0,"Yes","No")</x:f>
        <x:v>Yes</x:v>
      </x:c>
    </x:row>
    <x:row r="1514" ht="21" customHeight="1">
      <x:c r="A1514" s="3" t="str">
        <x:v>ORD-100548</x:v>
      </x:c>
      <x:c r="B1514" s="5" t="n">
        <x:v>45694</x:v>
      </x:c>
      <x:c r="C1514" s="3" t="str">
        <x:v>CUST-00427</x:v>
      </x:c>
      <x:c r="D1514" s="3" t="str">
        <x:v>South</x:v>
      </x:c>
      <x:c r="E1514" s="3" t="str">
        <x:v>Home &amp; Kitchen</x:v>
      </x:c>
      <x:c r="F1514" s="3" t="str">
        <x:v>Decor</x:v>
      </x:c>
      <x:c r="G1514" s="3" t="str">
        <x:v>LED Wall Lamp</x:v>
      </x:c>
      <x:c r="H1514" s="3" t="n">
        <x:v>2</x:v>
      </x:c>
      <x:c r="I1514" s="7" t="n">
        <x:v>950.68</x:v>
      </x:c>
      <x:c r="J1514" s="9" t="n">
        <x:v>0.15</x:v>
      </x:c>
      <x:c r="K1514" s="7" t="n">
        <x:v>1616.16</x:v>
      </x:c>
      <x:c r="L1514" s="7" t="n">
        <x:v>285.64</x:v>
      </x:c>
      <x:c r="M1514" s="3" t="str">
        <x:v>Debit Card</x:v>
      </x:c>
      <x:c r="N1514" s="3" t="str">
        <x:f>TEXT(B1514,"yyyy-mm")</x:f>
        <x:v>2025-02</x:v>
      </x:c>
      <x:c r="O1514" s="3" t="str">
        <x:f>IF(J1514=0,"No discount",IF(J1514&lt;=0.1,"1-10%",IF(J1514&lt;=0.15,"11-15%",IF(J1514&lt;=0.2,"16-20%","21%+"))))</x:f>
        <x:v>11-15%</x:v>
      </x:c>
      <x:c r="P1514" s="9" t="n">
        <x:f>IF(K1514=0,0,L1514/K1514)</x:f>
        <x:v>0.17673992673992672</x:v>
      </x:c>
      <x:c r="Q1514" s="3" t="str">
        <x:f>IF(L1514&lt;0,"Yes","No")</x:f>
        <x:v>No</x:v>
      </x:c>
    </x:row>
    <x:row r="1515" ht="21" customHeight="1">
      <x:c r="A1515" s="3" t="str">
        <x:v>ORD-100589</x:v>
      </x:c>
      <x:c r="B1515" s="5" t="n">
        <x:v>45694</x:v>
      </x:c>
      <x:c r="C1515" s="3" t="str">
        <x:v>CUST-00080</x:v>
      </x:c>
      <x:c r="D1515" s="3" t="str">
        <x:v>East</x:v>
      </x:c>
      <x:c r="E1515" s="3" t="str">
        <x:v>Electronics</x:v>
      </x:c>
      <x:c r="F1515" s="3" t="str">
        <x:v>Audio</x:v>
      </x:c>
      <x:c r="G1515" s="3" t="str">
        <x:v>BassBoom Speaker</x:v>
      </x:c>
      <x:c r="H1515" s="3" t="n">
        <x:v>1</x:v>
      </x:c>
      <x:c r="I1515" s="7" t="n">
        <x:v>8705.22</x:v>
      </x:c>
      <x:c r="J1515" s="9" t="n">
        <x:v>0</x:v>
      </x:c>
      <x:c r="K1515" s="7" t="n">
        <x:v>8705.22</x:v>
      </x:c>
      <x:c r="L1515" s="7" t="n">
        <x:v>1605.79</x:v>
      </x:c>
      <x:c r="M1515" s="3" t="str">
        <x:v>Credit Card</x:v>
      </x:c>
      <x:c r="N1515" s="3" t="str">
        <x:f>TEXT(B1515,"yyyy-mm")</x:f>
        <x:v>2025-02</x:v>
      </x:c>
      <x:c r="O1515" s="3" t="str">
        <x:f>IF(J1515=0,"No discount",IF(J1515&lt;=0.1,"1-10%",IF(J1515&lt;=0.15,"11-15%",IF(J1515&lt;=0.2,"16-20%","21%+"))))</x:f>
        <x:v>No discount</x:v>
      </x:c>
      <x:c r="P1515" s="9" t="n">
        <x:f>IF(K1515=0,0,L1515/K1515)</x:f>
        <x:v>0.18446288548709855</x:v>
      </x:c>
      <x:c r="Q1515" s="3" t="str">
        <x:f>IF(L1515&lt;0,"Yes","No")</x:f>
        <x:v>No</x:v>
      </x:c>
    </x:row>
    <x:row r="1516" ht="21" customHeight="1">
      <x:c r="A1516" s="3" t="str">
        <x:v>ORD-101420</x:v>
      </x:c>
      <x:c r="B1516" s="5" t="n">
        <x:v>45694</x:v>
      </x:c>
      <x:c r="C1516" s="3" t="str">
        <x:v>CUST-00515</x:v>
      </x:c>
      <x:c r="D1516" s="3" t="str">
        <x:v>South</x:v>
      </x:c>
      <x:c r="E1516" s="3" t="str">
        <x:v>Beauty</x:v>
      </x:c>
      <x:c r="F1516" s="3" t="str">
        <x:v>Makeup</x:v>
      </x:c>
      <x:c r="G1516" s="3" t="str">
        <x:v>HD Foundation Kit</x:v>
      </x:c>
      <x:c r="H1516" s="3" t="n">
        <x:v>4</x:v>
      </x:c>
      <x:c r="I1516" s="7" t="n">
        <x:v>1460.02</x:v>
      </x:c>
      <x:c r="J1516" s="9" t="n">
        <x:v>0.05</x:v>
      </x:c>
      <x:c r="K1516" s="7" t="n">
        <x:v>5548.08</x:v>
      </x:c>
      <x:c r="L1516" s="7" t="n">
        <x:v>2675.05</x:v>
      </x:c>
      <x:c r="M1516" s="3" t="str">
        <x:v>Net Banking</x:v>
      </x:c>
      <x:c r="N1516" s="3" t="str">
        <x:f>TEXT(B1516,"yyyy-mm")</x:f>
        <x:v>2025-02</x:v>
      </x:c>
      <x:c r="O1516" s="3" t="str">
        <x:f>IF(J1516=0,"No discount",IF(J1516&lt;=0.1,"1-10%",IF(J1516&lt;=0.15,"11-15%",IF(J1516&lt;=0.2,"16-20%","21%+"))))</x:f>
        <x:v>1-10%</x:v>
      </x:c>
      <x:c r="P1516" s="9" t="n">
        <x:f>IF(K1516=0,0,L1516/K1516)</x:f>
        <x:v>0.4821577915242751</x:v>
      </x:c>
      <x:c r="Q1516" s="3" t="str">
        <x:f>IF(L1516&lt;0,"Yes","No")</x:f>
        <x:v>No</x:v>
      </x:c>
    </x:row>
    <x:row r="1517" ht="21" customHeight="1">
      <x:c r="A1517" s="3" t="str">
        <x:v>ORD-100484</x:v>
      </x:c>
      <x:c r="B1517" s="5" t="n">
        <x:v>45695</x:v>
      </x:c>
      <x:c r="C1517" s="3" t="str">
        <x:v>CUST-00326</x:v>
      </x:c>
      <x:c r="D1517" s="3" t="str">
        <x:v>West</x:v>
      </x:c>
      <x:c r="E1517" s="3" t="str">
        <x:v>Beauty</x:v>
      </x:c>
      <x:c r="F1517" s="3" t="str">
        <x:v>Skincare</x:v>
      </x:c>
      <x:c r="G1517" s="3" t="str">
        <x:v>HydraBoost Moisturizer</x:v>
      </x:c>
      <x:c r="H1517" s="3" t="n">
        <x:v>1</x:v>
      </x:c>
      <x:c r="I1517" s="7" t="n">
        <x:v>1240.9</x:v>
      </x:c>
      <x:c r="J1517" s="9" t="n">
        <x:v>0</x:v>
      </x:c>
      <x:c r="K1517" s="7" t="n">
        <x:v>1240.9</x:v>
      </x:c>
      <x:c r="L1517" s="7" t="n">
        <x:v>700.07</x:v>
      </x:c>
      <x:c r="M1517" s="3" t="str">
        <x:v>Cash on Delivery</x:v>
      </x:c>
      <x:c r="N1517" s="3" t="str">
        <x:f>TEXT(B1517,"yyyy-mm")</x:f>
        <x:v>2025-02</x:v>
      </x:c>
      <x:c r="O1517" s="3" t="str">
        <x:f>IF(J1517=0,"No discount",IF(J1517&lt;=0.1,"1-10%",IF(J1517&lt;=0.15,"11-15%",IF(J1517&lt;=0.2,"16-20%","21%+"))))</x:f>
        <x:v>No discount</x:v>
      </x:c>
      <x:c r="P1517" s="9" t="n">
        <x:f>IF(K1517=0,0,L1517/K1517)</x:f>
        <x:v>0.5641631074220324</x:v>
      </x:c>
      <x:c r="Q1517" s="3" t="str">
        <x:f>IF(L1517&lt;0,"Yes","No")</x:f>
        <x:v>No</x:v>
      </x:c>
    </x:row>
    <x:row r="1518" ht="21" customHeight="1">
      <x:c r="A1518" s="3" t="str">
        <x:v>ORD-101012</x:v>
      </x:c>
      <x:c r="B1518" s="5" t="n">
        <x:v>45696</x:v>
      </x:c>
      <x:c r="C1518" s="3" t="str">
        <x:v>CUST-00460</x:v>
      </x:c>
      <x:c r="D1518" s="3" t="str">
        <x:v>East</x:v>
      </x:c>
      <x:c r="E1518" s="3" t="str">
        <x:v>Sports</x:v>
      </x:c>
      <x:c r="F1518" s="3" t="str">
        <x:v>Outdoor</x:v>
      </x:c>
      <x:c r="G1518" s="3" t="str">
        <x:v>AllWeather Tent 4P</x:v>
      </x:c>
      <x:c r="H1518" s="3" t="n">
        <x:v>1</x:v>
      </x:c>
      <x:c r="I1518" s="7" t="n">
        <x:v>12379.04</x:v>
      </x:c>
      <x:c r="J1518" s="9" t="n">
        <x:v>0.25</x:v>
      </x:c>
      <x:c r="K1518" s="7" t="n">
        <x:v>9284.28</x:v>
      </x:c>
      <x:c r="L1518" s="7" t="n">
        <x:v>850.04</x:v>
      </x:c>
      <x:c r="M1518" s="3" t="str">
        <x:v>Credit Card</x:v>
      </x:c>
      <x:c r="N1518" s="3" t="str">
        <x:f>TEXT(B1518,"yyyy-mm")</x:f>
        <x:v>2025-02</x:v>
      </x:c>
      <x:c r="O1518" s="3" t="str">
        <x:f>IF(J1518=0,"No discount",IF(J1518&lt;=0.1,"1-10%",IF(J1518&lt;=0.15,"11-15%",IF(J1518&lt;=0.2,"16-20%","21%+"))))</x:f>
        <x:v>21%+</x:v>
      </x:c>
      <x:c r="P1518" s="9" t="n">
        <x:f>IF(K1518=0,0,L1518/K1518)</x:f>
        <x:v>0.09155691125213801</x:v>
      </x:c>
      <x:c r="Q1518" s="3" t="str">
        <x:f>IF(L1518&lt;0,"Yes","No")</x:f>
        <x:v>No</x:v>
      </x:c>
    </x:row>
    <x:row r="1519" ht="21" customHeight="1">
      <x:c r="A1519" s="3" t="str">
        <x:v>ORD-101330</x:v>
      </x:c>
      <x:c r="B1519" s="5" t="n">
        <x:v>45696</x:v>
      </x:c>
      <x:c r="C1519" s="3" t="str">
        <x:v>CUST-00322</x:v>
      </x:c>
      <x:c r="D1519" s="3" t="str">
        <x:v>South</x:v>
      </x:c>
      <x:c r="E1519" s="3" t="str">
        <x:v>Home &amp; Kitchen</x:v>
      </x:c>
      <x:c r="F1519" s="3" t="str">
        <x:v>Furniture</x:v>
      </x:c>
      <x:c r="G1519" s="3" t="str">
        <x:v>ErgoComfort Chair</x:v>
      </x:c>
      <x:c r="H1519" s="3" t="n">
        <x:v>3</x:v>
      </x:c>
      <x:c r="I1519" s="7" t="n">
        <x:v>8651.09</x:v>
      </x:c>
      <x:c r="J1519" s="9" t="n">
        <x:v>0</x:v>
      </x:c>
      <x:c r="K1519" s="7" t="n">
        <x:v>25953.27</x:v>
      </x:c>
      <x:c r="L1519" s="7" t="n">
        <x:v>8511.59</x:v>
      </x:c>
      <x:c r="M1519" s="3" t="str">
        <x:v>Debit Card</x:v>
      </x:c>
      <x:c r="N1519" s="3" t="str">
        <x:f>TEXT(B1519,"yyyy-mm")</x:f>
        <x:v>2025-02</x:v>
      </x:c>
      <x:c r="O1519" s="3" t="str">
        <x:f>IF(J1519=0,"No discount",IF(J1519&lt;=0.1,"1-10%",IF(J1519&lt;=0.15,"11-15%",IF(J1519&lt;=0.2,"16-20%","21%+"))))</x:f>
        <x:v>No discount</x:v>
      </x:c>
      <x:c r="P1519" s="9" t="n">
        <x:f>IF(K1519=0,0,L1519/K1519)</x:f>
        <x:v>0.3279582881078184</x:v>
      </x:c>
      <x:c r="Q1519" s="3" t="str">
        <x:f>IF(L1519&lt;0,"Yes","No")</x:f>
        <x:v>No</x:v>
      </x:c>
    </x:row>
    <x:row r="1520" ht="21" customHeight="1">
      <x:c r="A1520" s="3" t="str">
        <x:v>ORD-100592</x:v>
      </x:c>
      <x:c r="B1520" s="5" t="n">
        <x:v>45697</x:v>
      </x:c>
      <x:c r="C1520" s="3" t="str">
        <x:v>CUST-00285</x:v>
      </x:c>
      <x:c r="D1520" s="3" t="str">
        <x:v>North</x:v>
      </x:c>
      <x:c r="E1520" s="3" t="str">
        <x:v>Fashion</x:v>
      </x:c>
      <x:c r="F1520" s="3" t="str">
        <x:v>Women</x:v>
      </x:c>
      <x:c r="G1520" s="3" t="str">
        <x:v>Knit Winter Sweater</x:v>
      </x:c>
      <x:c r="H1520" s="3" t="n">
        <x:v>1</x:v>
      </x:c>
      <x:c r="I1520" s="7" t="n">
        <x:v>2243.87</x:v>
      </x:c>
      <x:c r="J1520" s="9" t="n">
        <x:v>0.05</x:v>
      </x:c>
      <x:c r="K1520" s="7" t="n">
        <x:v>2131.68</x:v>
      </x:c>
      <x:c r="L1520" s="7" t="n">
        <x:v>790.82</x:v>
      </x:c>
      <x:c r="M1520" s="3" t="str">
        <x:v>Cash on Delivery</x:v>
      </x:c>
      <x:c r="N1520" s="3" t="str">
        <x:f>TEXT(B1520,"yyyy-mm")</x:f>
        <x:v>2025-02</x:v>
      </x:c>
      <x:c r="O1520" s="3" t="str">
        <x:f>IF(J1520=0,"No discount",IF(J1520&lt;=0.1,"1-10%",IF(J1520&lt;=0.15,"11-15%",IF(J1520&lt;=0.2,"16-20%","21%+"))))</x:f>
        <x:v>1-10%</x:v>
      </x:c>
      <x:c r="P1520" s="9" t="n">
        <x:f>IF(K1520=0,0,L1520/K1520)</x:f>
        <x:v>0.37098438790062305</x:v>
      </x:c>
      <x:c r="Q1520" s="3" t="str">
        <x:f>IF(L1520&lt;0,"Yes","No")</x:f>
        <x:v>No</x:v>
      </x:c>
    </x:row>
    <x:row r="1521" ht="21" customHeight="1">
      <x:c r="A1521" s="3" t="str">
        <x:v>ORD-100751</x:v>
      </x:c>
      <x:c r="B1521" s="5" t="n">
        <x:v>45697</x:v>
      </x:c>
      <x:c r="C1521" s="3" t="str">
        <x:v>CUST-00384</x:v>
      </x:c>
      <x:c r="D1521" s="3" t="str">
        <x:v>West</x:v>
      </x:c>
      <x:c r="E1521" s="3" t="str">
        <x:v>Beauty</x:v>
      </x:c>
      <x:c r="F1521" s="3" t="str">
        <x:v>Makeup</x:v>
      </x:c>
      <x:c r="G1521" s="3" t="str">
        <x:v>Matte Lipstick Set</x:v>
      </x:c>
      <x:c r="H1521" s="3" t="n">
        <x:v>1</x:v>
      </x:c>
      <x:c r="I1521" s="7" t="n">
        <x:v>961.48</x:v>
      </x:c>
      <x:c r="J1521" s="9" t="n">
        <x:v>0.05</x:v>
      </x:c>
      <x:c r="K1521" s="7" t="n">
        <x:v>913.41</x:v>
      </x:c>
      <x:c r="L1521" s="7" t="n">
        <x:v>484.02</x:v>
      </x:c>
      <x:c r="M1521" s="3" t="str">
        <x:v>UPI</x:v>
      </x:c>
      <x:c r="N1521" s="3" t="str">
        <x:f>TEXT(B1521,"yyyy-mm")</x:f>
        <x:v>2025-02</x:v>
      </x:c>
      <x:c r="O1521" s="3" t="str">
        <x:f>IF(J1521=0,"No discount",IF(J1521&lt;=0.1,"1-10%",IF(J1521&lt;=0.15,"11-15%",IF(J1521&lt;=0.2,"16-20%","21%+"))))</x:f>
        <x:v>1-10%</x:v>
      </x:c>
      <x:c r="P1521" s="9" t="n">
        <x:f>IF(K1521=0,0,L1521/K1521)</x:f>
        <x:v>0.5299044240811903</x:v>
      </x:c>
      <x:c r="Q1521" s="3" t="str">
        <x:f>IF(L1521&lt;0,"Yes","No")</x:f>
        <x:v>No</x:v>
      </x:c>
    </x:row>
    <x:row r="1522" ht="21" customHeight="1">
      <x:c r="A1522" s="3" t="str">
        <x:v>ORD-100895</x:v>
      </x:c>
      <x:c r="B1522" s="5" t="n">
        <x:v>45697</x:v>
      </x:c>
      <x:c r="C1522" s="3" t="str">
        <x:v>CUST-00001</x:v>
      </x:c>
      <x:c r="D1522" s="3" t="str">
        <x:v>North</x:v>
      </x:c>
      <x:c r="E1522" s="3" t="str">
        <x:v>Fashion</x:v>
      </x:c>
      <x:c r="F1522" s="3" t="str">
        <x:v>Men</x:v>
      </x:c>
      <x:c r="G1522" s="3" t="str">
        <x:v>Oxford Casual Shirt</x:v>
      </x:c>
      <x:c r="H1522" s="3" t="n">
        <x:v>3</x:v>
      </x:c>
      <x:c r="I1522" s="7" t="n">
        <x:v>1245.79</x:v>
      </x:c>
      <x:c r="J1522" s="9" t="n">
        <x:v>0</x:v>
      </x:c>
      <x:c r="K1522" s="7" t="n">
        <x:v>3737.37</x:v>
      </x:c>
      <x:c r="L1522" s="7" t="n">
        <x:v>1657.26</x:v>
      </x:c>
      <x:c r="M1522" s="3" t="str">
        <x:v>UPI</x:v>
      </x:c>
      <x:c r="N1522" s="3" t="str">
        <x:f>TEXT(B1522,"yyyy-mm")</x:f>
        <x:v>2025-02</x:v>
      </x:c>
      <x:c r="O1522" s="3" t="str">
        <x:f>IF(J1522=0,"No discount",IF(J1522&lt;=0.1,"1-10%",IF(J1522&lt;=0.15,"11-15%",IF(J1522&lt;=0.2,"16-20%","21%+"))))</x:f>
        <x:v>No discount</x:v>
      </x:c>
      <x:c r="P1522" s="9" t="n">
        <x:f>IF(K1522=0,0,L1522/K1522)</x:f>
        <x:v>0.4434294704564975</x:v>
      </x:c>
      <x:c r="Q1522" s="3" t="str">
        <x:f>IF(L1522&lt;0,"Yes","No")</x:f>
        <x:v>No</x:v>
      </x:c>
    </x:row>
    <x:row r="1523" ht="21" customHeight="1">
      <x:c r="A1523" s="3" t="str">
        <x:v>ORD-101240</x:v>
      </x:c>
      <x:c r="B1523" s="5" t="n">
        <x:v>45697</x:v>
      </x:c>
      <x:c r="C1523" s="3" t="str">
        <x:v>CUST-00045</x:v>
      </x:c>
      <x:c r="D1523" s="3" t="str">
        <x:v>East</x:v>
      </x:c>
      <x:c r="E1523" s="3" t="str">
        <x:v>Sports</x:v>
      </x:c>
      <x:c r="F1523" s="3" t="str">
        <x:v>Fitness</x:v>
      </x:c>
      <x:c r="G1523" s="3" t="str">
        <x:v>Adjustable Dumbbell 24kg</x:v>
      </x:c>
      <x:c r="H1523" s="3" t="n">
        <x:v>1</x:v>
      </x:c>
      <x:c r="I1523" s="7" t="n">
        <x:v>10224.96</x:v>
      </x:c>
      <x:c r="J1523" s="9" t="n">
        <x:v>0.1</x:v>
      </x:c>
      <x:c r="K1523" s="7" t="n">
        <x:v>9202.46</x:v>
      </x:c>
      <x:c r="L1523" s="7" t="n">
        <x:v>2194.75</x:v>
      </x:c>
      <x:c r="M1523" s="3" t="str">
        <x:v>UPI</x:v>
      </x:c>
      <x:c r="N1523" s="3" t="str">
        <x:f>TEXT(B1523,"yyyy-mm")</x:f>
        <x:v>2025-02</x:v>
      </x:c>
      <x:c r="O1523" s="3" t="str">
        <x:f>IF(J1523=0,"No discount",IF(J1523&lt;=0.1,"1-10%",IF(J1523&lt;=0.15,"11-15%",IF(J1523&lt;=0.2,"16-20%","21%+"))))</x:f>
        <x:v>1-10%</x:v>
      </x:c>
      <x:c r="P1523" s="9" t="n">
        <x:f>IF(K1523=0,0,L1523/K1523)</x:f>
        <x:v>0.23849601084927294</x:v>
      </x:c>
      <x:c r="Q1523" s="3" t="str">
        <x:f>IF(L1523&lt;0,"Yes","No")</x:f>
        <x:v>No</x:v>
      </x:c>
    </x:row>
    <x:row r="1524" ht="21" customHeight="1">
      <x:c r="A1524" s="3" t="str">
        <x:v>ORD-101347</x:v>
      </x:c>
      <x:c r="B1524" s="5" t="n">
        <x:v>45697</x:v>
      </x:c>
      <x:c r="C1524" s="3" t="str">
        <x:v>CUST-00518</x:v>
      </x:c>
      <x:c r="D1524" s="3" t="str">
        <x:v>East</x:v>
      </x:c>
      <x:c r="E1524" s="3" t="str">
        <x:v>Home &amp; Kitchen</x:v>
      </x:c>
      <x:c r="F1524" s="3" t="str">
        <x:v>Furniture</x:v>
      </x:c>
      <x:c r="G1524" s="3" t="str">
        <x:v>ErgoComfort Chair</x:v>
      </x:c>
      <x:c r="H1524" s="3" t="n">
        <x:v>1</x:v>
      </x:c>
      <x:c r="I1524" s="7" t="n">
        <x:v>9325.86</x:v>
      </x:c>
      <x:c r="J1524" s="9" t="n">
        <x:v>0.2</x:v>
      </x:c>
      <x:c r="K1524" s="7" t="n">
        <x:v>7460.69</x:v>
      </x:c>
      <x:c r="L1524" s="7" t="n">
        <x:v>917.87</x:v>
      </x:c>
      <x:c r="M1524" s="3" t="str">
        <x:v>Credit Card</x:v>
      </x:c>
      <x:c r="N1524" s="3" t="str">
        <x:f>TEXT(B1524,"yyyy-mm")</x:f>
        <x:v>2025-02</x:v>
      </x:c>
      <x:c r="O1524" s="3" t="str">
        <x:f>IF(J1524=0,"No discount",IF(J1524&lt;=0.1,"1-10%",IF(J1524&lt;=0.15,"11-15%",IF(J1524&lt;=0.2,"16-20%","21%+"))))</x:f>
        <x:v>16-20%</x:v>
      </x:c>
      <x:c r="P1524" s="9" t="n">
        <x:f>IF(K1524=0,0,L1524/K1524)</x:f>
        <x:v>0.12302749477595236</x:v>
      </x:c>
      <x:c r="Q1524" s="3" t="str">
        <x:f>IF(L1524&lt;0,"Yes","No")</x:f>
        <x:v>No</x:v>
      </x:c>
    </x:row>
    <x:row r="1525" ht="21" customHeight="1">
      <x:c r="A1525" s="3" t="str">
        <x:v>ORD-100206</x:v>
      </x:c>
      <x:c r="B1525" s="5" t="n">
        <x:v>45699</x:v>
      </x:c>
      <x:c r="C1525" s="3" t="str">
        <x:v>CUST-00440</x:v>
      </x:c>
      <x:c r="D1525" s="3" t="str">
        <x:v>East</x:v>
      </x:c>
      <x:c r="E1525" s="3" t="str">
        <x:v>Home &amp; Kitchen</x:v>
      </x:c>
      <x:c r="F1525" s="3" t="str">
        <x:v>Decor</x:v>
      </x:c>
      <x:c r="G1525" s="3" t="str">
        <x:v>LED Wall Lamp</x:v>
      </x:c>
      <x:c r="H1525" s="3" t="n">
        <x:v>1</x:v>
      </x:c>
      <x:c r="I1525" s="7" t="n">
        <x:v>1026.39</x:v>
      </x:c>
      <x:c r="J1525" s="9" t="n">
        <x:v>0</x:v>
      </x:c>
      <x:c r="K1525" s="7" t="n">
        <x:v>1026.39</x:v>
      </x:c>
      <x:c r="L1525" s="7" t="n">
        <x:v>357.82</x:v>
      </x:c>
      <x:c r="M1525" s="3" t="str">
        <x:v>Credit Card</x:v>
      </x:c>
      <x:c r="N1525" s="3" t="str">
        <x:f>TEXT(B1525,"yyyy-mm")</x:f>
        <x:v>2025-02</x:v>
      </x:c>
      <x:c r="O1525" s="3" t="str">
        <x:f>IF(J1525=0,"No discount",IF(J1525&lt;=0.1,"1-10%",IF(J1525&lt;=0.15,"11-15%",IF(J1525&lt;=0.2,"16-20%","21%+"))))</x:f>
        <x:v>No discount</x:v>
      </x:c>
      <x:c r="P1525" s="9" t="n">
        <x:f>IF(K1525=0,0,L1525/K1525)</x:f>
        <x:v>0.34861992030319855</x:v>
      </x:c>
      <x:c r="Q1525" s="3" t="str">
        <x:f>IF(L1525&lt;0,"Yes","No")</x:f>
        <x:v>No</x:v>
      </x:c>
    </x:row>
    <x:row r="1526" ht="21" customHeight="1">
      <x:c r="A1526" s="3" t="str">
        <x:v>ORD-100732</x:v>
      </x:c>
      <x:c r="B1526" s="5" t="n">
        <x:v>45699</x:v>
      </x:c>
      <x:c r="C1526" s="3" t="str">
        <x:v>CUST-00323</x:v>
      </x:c>
      <x:c r="D1526" s="3" t="str">
        <x:v>South</x:v>
      </x:c>
      <x:c r="E1526" s="3" t="str">
        <x:v>Beauty</x:v>
      </x:c>
      <x:c r="F1526" s="3" t="str">
        <x:v>Skincare</x:v>
      </x:c>
      <x:c r="G1526" s="3" t="str">
        <x:v>HydraBoost Moisturizer</x:v>
      </x:c>
      <x:c r="H1526" s="3" t="n">
        <x:v>1</x:v>
      </x:c>
      <x:c r="I1526" s="7" t="n">
        <x:v>1252.18</x:v>
      </x:c>
      <x:c r="J1526" s="9" t="n">
        <x:v>0.05</x:v>
      </x:c>
      <x:c r="K1526" s="7" t="n">
        <x:v>1189.57</x:v>
      </x:c>
      <x:c r="L1526" s="7" t="n">
        <x:v>539.09</x:v>
      </x:c>
      <x:c r="M1526" s="3" t="str">
        <x:v>UPI</x:v>
      </x:c>
      <x:c r="N1526" s="3" t="str">
        <x:f>TEXT(B1526,"yyyy-mm")</x:f>
        <x:v>2025-02</x:v>
      </x:c>
      <x:c r="O1526" s="3" t="str">
        <x:f>IF(J1526=0,"No discount",IF(J1526&lt;=0.1,"1-10%",IF(J1526&lt;=0.15,"11-15%",IF(J1526&lt;=0.2,"16-20%","21%+"))))</x:f>
        <x:v>1-10%</x:v>
      </x:c>
      <x:c r="P1526" s="9" t="n">
        <x:f>IF(K1526=0,0,L1526/K1526)</x:f>
        <x:v>0.45318056104306603</x:v>
      </x:c>
      <x:c r="Q1526" s="3" t="str">
        <x:f>IF(L1526&lt;0,"Yes","No")</x:f>
        <x:v>No</x:v>
      </x:c>
    </x:row>
    <x:row r="1527" ht="21" customHeight="1">
      <x:c r="A1527" s="3" t="str">
        <x:v>ORD-101013</x:v>
      </x:c>
      <x:c r="B1527" s="5" t="n">
        <x:v>45699</x:v>
      </x:c>
      <x:c r="C1527" s="3" t="str">
        <x:v>CUST-00294</x:v>
      </x:c>
      <x:c r="D1527" s="3" t="str">
        <x:v>North</x:v>
      </x:c>
      <x:c r="E1527" s="3" t="str">
        <x:v>Fashion</x:v>
      </x:c>
      <x:c r="F1527" s="3" t="str">
        <x:v>Footwear</x:v>
      </x:c>
      <x:c r="G1527" s="3" t="str">
        <x:v>RunFlex Sneakers</x:v>
      </x:c>
      <x:c r="H1527" s="3" t="n">
        <x:v>1</x:v>
      </x:c>
      <x:c r="I1527" s="7" t="n">
        <x:v>2896.71</x:v>
      </x:c>
      <x:c r="J1527" s="9" t="n">
        <x:v>0</x:v>
      </x:c>
      <x:c r="K1527" s="7" t="n">
        <x:v>2896.71</x:v>
      </x:c>
      <x:c r="L1527" s="7" t="n">
        <x:v>1284.1</x:v>
      </x:c>
      <x:c r="M1527" s="3" t="str">
        <x:v>Credit Card</x:v>
      </x:c>
      <x:c r="N1527" s="3" t="str">
        <x:f>TEXT(B1527,"yyyy-mm")</x:f>
        <x:v>2025-02</x:v>
      </x:c>
      <x:c r="O1527" s="3" t="str">
        <x:f>IF(J1527=0,"No discount",IF(J1527&lt;=0.1,"1-10%",IF(J1527&lt;=0.15,"11-15%",IF(J1527&lt;=0.2,"16-20%","21%+"))))</x:f>
        <x:v>No discount</x:v>
      </x:c>
      <x:c r="P1527" s="9" t="n">
        <x:f>IF(K1527=0,0,L1527/K1527)</x:f>
        <x:v>0.4432960151344111</x:v>
      </x:c>
      <x:c r="Q1527" s="3" t="str">
        <x:f>IF(L1527&lt;0,"Yes","No")</x:f>
        <x:v>No</x:v>
      </x:c>
    </x:row>
    <x:row r="1528" ht="21" customHeight="1">
      <x:c r="A1528" s="3" t="str">
        <x:v>ORD-101319</x:v>
      </x:c>
      <x:c r="B1528" s="5" t="n">
        <x:v>45699</x:v>
      </x:c>
      <x:c r="C1528" s="3" t="str">
        <x:v>CUST-00047</x:v>
      </x:c>
      <x:c r="D1528" s="3" t="str">
        <x:v>East</x:v>
      </x:c>
      <x:c r="E1528" s="3" t="str">
        <x:v>Beauty</x:v>
      </x:c>
      <x:c r="F1528" s="3" t="str">
        <x:v>Skincare</x:v>
      </x:c>
      <x:c r="G1528" s="3" t="str">
        <x:v>HydraBoost Moisturizer</x:v>
      </x:c>
      <x:c r="H1528" s="3" t="n">
        <x:v>2</x:v>
      </x:c>
      <x:c r="I1528" s="7" t="n">
        <x:v>1232.46</x:v>
      </x:c>
      <x:c r="J1528" s="9" t="n">
        <x:v>0.05</x:v>
      </x:c>
      <x:c r="K1528" s="7" t="n">
        <x:v>2341.67</x:v>
      </x:c>
      <x:c r="L1528" s="7" t="n">
        <x:v>1145.82</x:v>
      </x:c>
      <x:c r="M1528" s="3" t="str">
        <x:v>Debit Card</x:v>
      </x:c>
      <x:c r="N1528" s="3" t="str">
        <x:f>TEXT(B1528,"yyyy-mm")</x:f>
        <x:v>2025-02</x:v>
      </x:c>
      <x:c r="O1528" s="3" t="str">
        <x:f>IF(J1528=0,"No discount",IF(J1528&lt;=0.1,"1-10%",IF(J1528&lt;=0.15,"11-15%",IF(J1528&lt;=0.2,"16-20%","21%+"))))</x:f>
        <x:v>1-10%</x:v>
      </x:c>
      <x:c r="P1528" s="9" t="n">
        <x:f>IF(K1528=0,0,L1528/K1528)</x:f>
        <x:v>0.48931745292889256</x:v>
      </x:c>
      <x:c r="Q1528" s="3" t="str">
        <x:f>IF(L1528&lt;0,"Yes","No")</x:f>
        <x:v>No</x:v>
      </x:c>
    </x:row>
    <x:row r="1529" ht="21" customHeight="1">
      <x:c r="A1529" s="3" t="str">
        <x:v>ORD-100006</x:v>
      </x:c>
      <x:c r="B1529" s="5" t="n">
        <x:v>45700</x:v>
      </x:c>
      <x:c r="C1529" s="3" t="str">
        <x:v>CUST-00142</x:v>
      </x:c>
      <x:c r="D1529" s="3" t="str">
        <x:v>East</x:v>
      </x:c>
      <x:c r="E1529" s="3" t="str">
        <x:v>Sports</x:v>
      </x:c>
      <x:c r="F1529" s="3" t="str">
        <x:v>Outdoor</x:v>
      </x:c>
      <x:c r="G1529" s="3" t="str">
        <x:v>TrailHike Backpack 60L</x:v>
      </x:c>
      <x:c r="H1529" s="3" t="n">
        <x:v>1</x:v>
      </x:c>
      <x:c r="I1529" s="7" t="n">
        <x:v>3520.47</x:v>
      </x:c>
      <x:c r="J1529" s="9" t="n">
        <x:v>0</x:v>
      </x:c>
      <x:c r="K1529" s="7" t="n">
        <x:v>3520.47</x:v>
      </x:c>
      <x:c r="L1529" s="7" t="n">
        <x:v>1270.96</x:v>
      </x:c>
      <x:c r="M1529" s="3" t="str">
        <x:v>Net Banking</x:v>
      </x:c>
      <x:c r="N1529" s="3" t="str">
        <x:f>TEXT(B1529,"yyyy-mm")</x:f>
        <x:v>2025-02</x:v>
      </x:c>
      <x:c r="O1529" s="3" t="str">
        <x:f>IF(J1529=0,"No discount",IF(J1529&lt;=0.1,"1-10%",IF(J1529&lt;=0.15,"11-15%",IF(J1529&lt;=0.2,"16-20%","21%+"))))</x:f>
        <x:v>No discount</x:v>
      </x:c>
      <x:c r="P1529" s="9" t="n">
        <x:f>IF(K1529=0,0,L1529/K1529)</x:f>
        <x:v>0.3610199774461933</x:v>
      </x:c>
      <x:c r="Q1529" s="3" t="str">
        <x:f>IF(L1529&lt;0,"Yes","No")</x:f>
        <x:v>No</x:v>
      </x:c>
    </x:row>
    <x:row r="1530" ht="21" customHeight="1">
      <x:c r="A1530" s="3" t="str">
        <x:v>ORD-101568</x:v>
      </x:c>
      <x:c r="B1530" s="5" t="n">
        <x:v>45700</x:v>
      </x:c>
      <x:c r="C1530" s="3" t="str">
        <x:v>CUST-00174</x:v>
      </x:c>
      <x:c r="D1530" s="3" t="str">
        <x:v>South</x:v>
      </x:c>
      <x:c r="E1530" s="3" t="str">
        <x:v>Electronics</x:v>
      </x:c>
      <x:c r="F1530" s="3" t="str">
        <x:v>Mobile</x:v>
      </x:c>
      <x:c r="G1530" s="3" t="str">
        <x:v>Pixel Aura 12</x:v>
      </x:c>
      <x:c r="H1530" s="3" t="n">
        <x:v>1</x:v>
      </x:c>
      <x:c r="I1530" s="7" t="n">
        <x:v>33617.87</x:v>
      </x:c>
      <x:c r="J1530" s="9" t="n">
        <x:v>0.05</x:v>
      </x:c>
      <x:c r="K1530" s="7" t="n">
        <x:v>31936.98</x:v>
      </x:c>
      <x:c r="L1530" s="7" t="n">
        <x:v>3184.4</x:v>
      </x:c>
      <x:c r="M1530" s="3" t="str">
        <x:v>UPI</x:v>
      </x:c>
      <x:c r="N1530" s="3" t="str">
        <x:f>TEXT(B1530,"yyyy-mm")</x:f>
        <x:v>2025-02</x:v>
      </x:c>
      <x:c r="O1530" s="3" t="str">
        <x:f>IF(J1530=0,"No discount",IF(J1530&lt;=0.1,"1-10%",IF(J1530&lt;=0.15,"11-15%",IF(J1530&lt;=0.2,"16-20%","21%+"))))</x:f>
        <x:v>1-10%</x:v>
      </x:c>
      <x:c r="P1530" s="9" t="n">
        <x:f>IF(K1530=0,0,L1530/K1530)</x:f>
        <x:v>0.09970886414432423</x:v>
      </x:c>
      <x:c r="Q1530" s="3" t="str">
        <x:f>IF(L1530&lt;0,"Yes","No")</x:f>
        <x:v>No</x:v>
      </x:c>
    </x:row>
    <x:row r="1531" ht="21" customHeight="1">
      <x:c r="A1531" s="3" t="str">
        <x:v>ORD-101792</x:v>
      </x:c>
      <x:c r="B1531" s="5" t="n">
        <x:v>45700</x:v>
      </x:c>
      <x:c r="C1531" s="3" t="str">
        <x:v>CUST-00244</x:v>
      </x:c>
      <x:c r="D1531" s="3" t="str">
        <x:v>North</x:v>
      </x:c>
      <x:c r="E1531" s="3" t="str">
        <x:v>Fashion</x:v>
      </x:c>
      <x:c r="F1531" s="3" t="str">
        <x:v>Women</x:v>
      </x:c>
      <x:c r="G1531" s="3" t="str">
        <x:v>Floral Summer Dress</x:v>
      </x:c>
      <x:c r="H1531" s="3" t="n">
        <x:v>1</x:v>
      </x:c>
      <x:c r="I1531" s="7" t="n">
        <x:v>1788.8</x:v>
      </x:c>
      <x:c r="J1531" s="9" t="n">
        <x:v>0.1</x:v>
      </x:c>
      <x:c r="K1531" s="7" t="n">
        <x:v>1609.92</x:v>
      </x:c>
      <x:c r="L1531" s="7" t="n">
        <x:v>453.08</x:v>
      </x:c>
      <x:c r="M1531" s="3" t="str">
        <x:v>UPI</x:v>
      </x:c>
      <x:c r="N1531" s="3" t="str">
        <x:f>TEXT(B1531,"yyyy-mm")</x:f>
        <x:v>2025-02</x:v>
      </x:c>
      <x:c r="O1531" s="3" t="str">
        <x:f>IF(J1531=0,"No discount",IF(J1531&lt;=0.1,"1-10%",IF(J1531&lt;=0.15,"11-15%",IF(J1531&lt;=0.2,"16-20%","21%+"))))</x:f>
        <x:v>1-10%</x:v>
      </x:c>
      <x:c r="P1531" s="9" t="n">
        <x:f>IF(K1531=0,0,L1531/K1531)</x:f>
        <x:v>0.2814301331743192</x:v>
      </x:c>
      <x:c r="Q1531" s="3" t="str">
        <x:f>IF(L1531&lt;0,"Yes","No")</x:f>
        <x:v>No</x:v>
      </x:c>
    </x:row>
    <x:row r="1532" ht="21" customHeight="1">
      <x:c r="A1532" s="3" t="str">
        <x:v>ORD-101817</x:v>
      </x:c>
      <x:c r="B1532" s="5" t="n">
        <x:v>45700</x:v>
      </x:c>
      <x:c r="C1532" s="3" t="str">
        <x:v>CUST-00185</x:v>
      </x:c>
      <x:c r="D1532" s="3" t="str">
        <x:v>North</x:v>
      </x:c>
      <x:c r="E1532" s="3" t="str">
        <x:v>Home &amp; Kitchen</x:v>
      </x:c>
      <x:c r="F1532" s="3" t="str">
        <x:v>Decor</x:v>
      </x:c>
      <x:c r="G1532" s="3" t="str">
        <x:v>Ceramic Vase Set</x:v>
      </x:c>
      <x:c r="H1532" s="3" t="n">
        <x:v>2</x:v>
      </x:c>
      <x:c r="I1532" s="7" t="n">
        <x:v>1548.73</x:v>
      </x:c>
      <x:c r="J1532" s="9" t="n">
        <x:v>0.3</x:v>
      </x:c>
      <x:c r="K1532" s="7" t="n">
        <x:v>2168.22</x:v>
      </x:c>
      <x:c r="L1532" s="7" t="n">
        <x:v>16.36</x:v>
      </x:c>
      <x:c r="M1532" s="3" t="str">
        <x:v>UPI</x:v>
      </x:c>
      <x:c r="N1532" s="3" t="str">
        <x:f>TEXT(B1532,"yyyy-mm")</x:f>
        <x:v>2025-02</x:v>
      </x:c>
      <x:c r="O1532" s="3" t="str">
        <x:f>IF(J1532=0,"No discount",IF(J1532&lt;=0.1,"1-10%",IF(J1532&lt;=0.15,"11-15%",IF(J1532&lt;=0.2,"16-20%","21%+"))))</x:f>
        <x:v>21%+</x:v>
      </x:c>
      <x:c r="P1532" s="9" t="n">
        <x:f>IF(K1532=0,0,L1532/K1532)</x:f>
        <x:v>0.007545359788213374</x:v>
      </x:c>
      <x:c r="Q1532" s="3" t="str">
        <x:f>IF(L1532&lt;0,"Yes","No")</x:f>
        <x:v>No</x:v>
      </x:c>
    </x:row>
    <x:row r="1533" ht="21" customHeight="1">
      <x:c r="A1533" s="3" t="str">
        <x:v>ORD-101142</x:v>
      </x:c>
      <x:c r="B1533" s="5" t="n">
        <x:v>45702</x:v>
      </x:c>
      <x:c r="C1533" s="3" t="str">
        <x:v>CUST-00241</x:v>
      </x:c>
      <x:c r="D1533" s="3" t="str">
        <x:v>South</x:v>
      </x:c>
      <x:c r="E1533" s="3" t="str">
        <x:v>Electronics</x:v>
      </x:c>
      <x:c r="F1533" s="3" t="str">
        <x:v>Laptop</x:v>
      </x:c>
      <x:c r="G1533" s="3" t="str">
        <x:v>AirBook Slim</x:v>
      </x:c>
      <x:c r="H1533" s="3" t="n">
        <x:v>2</x:v>
      </x:c>
      <x:c r="I1533" s="7" t="n">
        <x:v>81450.11</x:v>
      </x:c>
      <x:c r="J1533" s="9" t="n">
        <x:v>0.1</x:v>
      </x:c>
      <x:c r="K1533" s="7" t="n">
        <x:v>146610.2</x:v>
      </x:c>
      <x:c r="L1533" s="7" t="n">
        <x:v>7872.99</x:v>
      </x:c>
      <x:c r="M1533" s="3" t="str">
        <x:v>UPI</x:v>
      </x:c>
      <x:c r="N1533" s="3" t="str">
        <x:f>TEXT(B1533,"yyyy-mm")</x:f>
        <x:v>2025-02</x:v>
      </x:c>
      <x:c r="O1533" s="3" t="str">
        <x:f>IF(J1533=0,"No discount",IF(J1533&lt;=0.1,"1-10%",IF(J1533&lt;=0.15,"11-15%",IF(J1533&lt;=0.2,"16-20%","21%+"))))</x:f>
        <x:v>1-10%</x:v>
      </x:c>
      <x:c r="P1533" s="9" t="n">
        <x:f>IF(K1533=0,0,L1533/K1533)</x:f>
        <x:v>0.05370015183118227</x:v>
      </x:c>
      <x:c r="Q1533" s="3" t="str">
        <x:f>IF(L1533&lt;0,"Yes","No")</x:f>
        <x:v>No</x:v>
      </x:c>
    </x:row>
    <x:row r="1534" ht="21" customHeight="1">
      <x:c r="A1534" s="3" t="str">
        <x:v>ORD-100139</x:v>
      </x:c>
      <x:c r="B1534" s="5" t="n">
        <x:v>45703</x:v>
      </x:c>
      <x:c r="C1534" s="3" t="str">
        <x:v>CUST-00047</x:v>
      </x:c>
      <x:c r="D1534" s="3" t="str">
        <x:v>North</x:v>
      </x:c>
      <x:c r="E1534" s="3" t="str">
        <x:v>Fashion</x:v>
      </x:c>
      <x:c r="F1534" s="3" t="str">
        <x:v>Men</x:v>
      </x:c>
      <x:c r="G1534" s="3" t="str">
        <x:v>Oxford Casual Shirt</x:v>
      </x:c>
      <x:c r="H1534" s="3" t="n">
        <x:v>1</x:v>
      </x:c>
      <x:c r="I1534" s="7" t="n">
        <x:v>1306.51</x:v>
      </x:c>
      <x:c r="J1534" s="9" t="n">
        <x:v>0.4</x:v>
      </x:c>
      <x:c r="K1534" s="7" t="n">
        <x:v>783.91</x:v>
      </x:c>
      <x:c r="L1534" s="7" t="n">
        <x:v>-39.78</x:v>
      </x:c>
      <x:c r="M1534" s="3" t="str">
        <x:v>Credit Card</x:v>
      </x:c>
      <x:c r="N1534" s="3" t="str">
        <x:f>TEXT(B1534,"yyyy-mm")</x:f>
        <x:v>2025-02</x:v>
      </x:c>
      <x:c r="O1534" s="3" t="str">
        <x:f>IF(J1534=0,"No discount",IF(J1534&lt;=0.1,"1-10%",IF(J1534&lt;=0.15,"11-15%",IF(J1534&lt;=0.2,"16-20%","21%+"))))</x:f>
        <x:v>21%+</x:v>
      </x:c>
      <x:c r="P1534" s="9" t="n">
        <x:f>IF(K1534=0,0,L1534/K1534)</x:f>
        <x:v>-0.05074562130856859</x:v>
      </x:c>
      <x:c r="Q1534" s="3" t="str">
        <x:f>IF(L1534&lt;0,"Yes","No")</x:f>
        <x:v>Yes</x:v>
      </x:c>
    </x:row>
    <x:row r="1535" ht="21" customHeight="1">
      <x:c r="A1535" s="3" t="str">
        <x:v>ORD-100456</x:v>
      </x:c>
      <x:c r="B1535" s="5" t="n">
        <x:v>45703</x:v>
      </x:c>
      <x:c r="C1535" s="3" t="str">
        <x:v>CUST-00590</x:v>
      </x:c>
      <x:c r="D1535" s="3" t="str">
        <x:v>South</x:v>
      </x:c>
      <x:c r="E1535" s="3" t="str">
        <x:v>Electronics</x:v>
      </x:c>
      <x:c r="F1535" s="3" t="str">
        <x:v>Mobile</x:v>
      </x:c>
      <x:c r="G1535" s="3" t="str">
        <x:v>Pixel Aura 12</x:v>
      </x:c>
      <x:c r="H1535" s="3" t="n">
        <x:v>2</x:v>
      </x:c>
      <x:c r="I1535" s="7" t="n">
        <x:v>31557.31</x:v>
      </x:c>
      <x:c r="J1535" s="9" t="n">
        <x:v>0.1</x:v>
      </x:c>
      <x:c r="K1535" s="7" t="n">
        <x:v>56803.16</x:v>
      </x:c>
      <x:c r="L1535" s="7" t="n">
        <x:v>2340.93</x:v>
      </x:c>
      <x:c r="M1535" s="3" t="str">
        <x:v>Debit Card</x:v>
      </x:c>
      <x:c r="N1535" s="3" t="str">
        <x:f>TEXT(B1535,"yyyy-mm")</x:f>
        <x:v>2025-02</x:v>
      </x:c>
      <x:c r="O1535" s="3" t="str">
        <x:f>IF(J1535=0,"No discount",IF(J1535&lt;=0.1,"1-10%",IF(J1535&lt;=0.15,"11-15%",IF(J1535&lt;=0.2,"16-20%","21%+"))))</x:f>
        <x:v>1-10%</x:v>
      </x:c>
      <x:c r="P1535" s="9" t="n">
        <x:f>IF(K1535=0,0,L1535/K1535)</x:f>
        <x:v>0.04121126359871528</x:v>
      </x:c>
      <x:c r="Q1535" s="3" t="str">
        <x:f>IF(L1535&lt;0,"Yes","No")</x:f>
        <x:v>No</x:v>
      </x:c>
    </x:row>
    <x:row r="1536" ht="21" customHeight="1">
      <x:c r="A1536" s="3" t="str">
        <x:v>ORD-101010</x:v>
      </x:c>
      <x:c r="B1536" s="5" t="n">
        <x:v>45703</x:v>
      </x:c>
      <x:c r="C1536" s="3" t="str">
        <x:v>CUST-00146</x:v>
      </x:c>
      <x:c r="D1536" s="3" t="str">
        <x:v>West</x:v>
      </x:c>
      <x:c r="E1536" s="3" t="str">
        <x:v>Fashion</x:v>
      </x:c>
      <x:c r="F1536" s="3" t="str">
        <x:v>Footwear</x:v>
      </x:c>
      <x:c r="G1536" s="3" t="str">
        <x:v>RunFlex Sneakers</x:v>
      </x:c>
      <x:c r="H1536" s="3" t="n">
        <x:v>4</x:v>
      </x:c>
      <x:c r="I1536" s="7" t="n">
        <x:v>2921.14</x:v>
      </x:c>
      <x:c r="J1536" s="9" t="n">
        <x:v>0</x:v>
      </x:c>
      <x:c r="K1536" s="7" t="n">
        <x:v>11684.56</x:v>
      </x:c>
      <x:c r="L1536" s="7" t="n">
        <x:v>5200.69</x:v>
      </x:c>
      <x:c r="M1536" s="3" t="str">
        <x:v>Cash on Delivery</x:v>
      </x:c>
      <x:c r="N1536" s="3" t="str">
        <x:f>TEXT(B1536,"yyyy-mm")</x:f>
        <x:v>2025-02</x:v>
      </x:c>
      <x:c r="O1536" s="3" t="str">
        <x:f>IF(J1536=0,"No discount",IF(J1536&lt;=0.1,"1-10%",IF(J1536&lt;=0.15,"11-15%",IF(J1536&lt;=0.2,"16-20%","21%+"))))</x:f>
        <x:v>No discount</x:v>
      </x:c>
      <x:c r="P1536" s="9" t="n">
        <x:f>IF(K1536=0,0,L1536/K1536)</x:f>
        <x:v>0.4450907864737739</x:v>
      </x:c>
      <x:c r="Q1536" s="3" t="str">
        <x:f>IF(L1536&lt;0,"Yes","No")</x:f>
        <x:v>No</x:v>
      </x:c>
    </x:row>
    <x:row r="1537" ht="21" customHeight="1">
      <x:c r="A1537" s="3" t="str">
        <x:v>ORD-101826</x:v>
      </x:c>
      <x:c r="B1537" s="5" t="n">
        <x:v>45703</x:v>
      </x:c>
      <x:c r="C1537" s="3" t="str">
        <x:v>CUST-00256</x:v>
      </x:c>
      <x:c r="D1537" s="3" t="str">
        <x:v>North</x:v>
      </x:c>
      <x:c r="E1537" s="3" t="str">
        <x:v>Sports</x:v>
      </x:c>
      <x:c r="F1537" s="3" t="str">
        <x:v>Fitness</x:v>
      </x:c>
      <x:c r="G1537" s="3" t="str">
        <x:v>ProYoga Mat</x:v>
      </x:c>
      <x:c r="H1537" s="3" t="n">
        <x:v>1</x:v>
      </x:c>
      <x:c r="I1537" s="7" t="n">
        <x:v>1329.99</x:v>
      </x:c>
      <x:c r="J1537" s="9" t="n">
        <x:v>0</x:v>
      </x:c>
      <x:c r="K1537" s="7" t="n">
        <x:v>1329.99</x:v>
      </x:c>
      <x:c r="L1537" s="7" t="n">
        <x:v>512.46</x:v>
      </x:c>
      <x:c r="M1537" s="3" t="str">
        <x:v>Cash on Delivery</x:v>
      </x:c>
      <x:c r="N1537" s="3" t="str">
        <x:f>TEXT(B1537,"yyyy-mm")</x:f>
        <x:v>2025-02</x:v>
      </x:c>
      <x:c r="O1537" s="3" t="str">
        <x:f>IF(J1537=0,"No discount",IF(J1537&lt;=0.1,"1-10%",IF(J1537&lt;=0.15,"11-15%",IF(J1537&lt;=0.2,"16-20%","21%+"))))</x:f>
        <x:v>No discount</x:v>
      </x:c>
      <x:c r="P1537" s="9" t="n">
        <x:f>IF(K1537=0,0,L1537/K1537)</x:f>
        <x:v>0.385311167753141</x:v>
      </x:c>
      <x:c r="Q1537" s="3" t="str">
        <x:f>IF(L1537&lt;0,"Yes","No")</x:f>
        <x:v>No</x:v>
      </x:c>
    </x:row>
    <x:row r="1538" ht="21" customHeight="1">
      <x:c r="A1538" s="3" t="str">
        <x:v>ORD-101859</x:v>
      </x:c>
      <x:c r="B1538" s="5" t="n">
        <x:v>45703</x:v>
      </x:c>
      <x:c r="C1538" s="3" t="str">
        <x:v>CUST-00373</x:v>
      </x:c>
      <x:c r="D1538" s="3" t="str">
        <x:v>South</x:v>
      </x:c>
      <x:c r="E1538" s="3" t="str">
        <x:v>Beauty</x:v>
      </x:c>
      <x:c r="F1538" s="3" t="str">
        <x:v>Skincare</x:v>
      </x:c>
      <x:c r="G1538" s="3" t="str">
        <x:v>Vitamin C Serum</x:v>
      </x:c>
      <x:c r="H1538" s="3" t="n">
        <x:v>1</x:v>
      </x:c>
      <x:c r="I1538" s="7" t="n">
        <x:v>943.09</x:v>
      </x:c>
      <x:c r="J1538" s="9" t="n">
        <x:v>0</x:v>
      </x:c>
      <x:c r="K1538" s="7" t="n">
        <x:v>943.09</x:v>
      </x:c>
      <x:c r="L1538" s="7" t="n">
        <x:v>533.85</x:v>
      </x:c>
      <x:c r="M1538" s="3" t="str">
        <x:v>Credit Card</x:v>
      </x:c>
      <x:c r="N1538" s="3" t="str">
        <x:f>TEXT(B1538,"yyyy-mm")</x:f>
        <x:v>2025-02</x:v>
      </x:c>
      <x:c r="O1538" s="3" t="str">
        <x:f>IF(J1538=0,"No discount",IF(J1538&lt;=0.1,"1-10%",IF(J1538&lt;=0.15,"11-15%",IF(J1538&lt;=0.2,"16-20%","21%+"))))</x:f>
        <x:v>No discount</x:v>
      </x:c>
      <x:c r="P1538" s="9" t="n">
        <x:f>IF(K1538=0,0,L1538/K1538)</x:f>
        <x:v>0.5660647446161023</x:v>
      </x:c>
      <x:c r="Q1538" s="3" t="str">
        <x:f>IF(L1538&lt;0,"Yes","No")</x:f>
        <x:v>No</x:v>
      </x:c>
    </x:row>
    <x:row r="1539" ht="21" customHeight="1">
      <x:c r="A1539" s="3" t="str">
        <x:v>ORD-101376</x:v>
      </x:c>
      <x:c r="B1539" s="5" t="n">
        <x:v>45704</x:v>
      </x:c>
      <x:c r="C1539" s="3" t="str">
        <x:v>CUST-00188</x:v>
      </x:c>
      <x:c r="D1539" s="3" t="str">
        <x:v>North</x:v>
      </x:c>
      <x:c r="E1539" s="3" t="str">
        <x:v>Beauty</x:v>
      </x:c>
      <x:c r="F1539" s="3" t="str">
        <x:v>Skincare</x:v>
      </x:c>
      <x:c r="G1539" s="3" t="str">
        <x:v>Vitamin C Serum</x:v>
      </x:c>
      <x:c r="H1539" s="3" t="n">
        <x:v>4</x:v>
      </x:c>
      <x:c r="I1539" s="7" t="n">
        <x:v>860.41</x:v>
      </x:c>
      <x:c r="J1539" s="9" t="n">
        <x:v>0.15</x:v>
      </x:c>
      <x:c r="K1539" s="7" t="n">
        <x:v>2925.39</x:v>
      </x:c>
      <x:c r="L1539" s="7" t="n">
        <x:v>1047.66</x:v>
      </x:c>
      <x:c r="M1539" s="3" t="str">
        <x:v>UPI</x:v>
      </x:c>
      <x:c r="N1539" s="3" t="str">
        <x:f>TEXT(B1539,"yyyy-mm")</x:f>
        <x:v>2025-02</x:v>
      </x:c>
      <x:c r="O1539" s="3" t="str">
        <x:f>IF(J1539=0,"No discount",IF(J1539&lt;=0.1,"1-10%",IF(J1539&lt;=0.15,"11-15%",IF(J1539&lt;=0.2,"16-20%","21%+"))))</x:f>
        <x:v>11-15%</x:v>
      </x:c>
      <x:c r="P1539" s="9" t="n">
        <x:f>IF(K1539=0,0,L1539/K1539)</x:f>
        <x:v>0.3581266087598577</x:v>
      </x:c>
      <x:c r="Q1539" s="3" t="str">
        <x:f>IF(L1539&lt;0,"Yes","No")</x:f>
        <x:v>No</x:v>
      </x:c>
    </x:row>
    <x:row r="1540" ht="21" customHeight="1">
      <x:c r="A1540" s="3" t="str">
        <x:v>ORD-101583</x:v>
      </x:c>
      <x:c r="B1540" s="5" t="n">
        <x:v>45704</x:v>
      </x:c>
      <x:c r="C1540" s="3" t="str">
        <x:v>CUST-00114</x:v>
      </x:c>
      <x:c r="D1540" s="3" t="str">
        <x:v>North</x:v>
      </x:c>
      <x:c r="E1540" s="3" t="str">
        <x:v>Electronics</x:v>
      </x:c>
      <x:c r="F1540" s="3" t="str">
        <x:v>Laptop</x:v>
      </x:c>
      <x:c r="G1540" s="3" t="str">
        <x:v>AirBook Slim</x:v>
      </x:c>
      <x:c r="H1540" s="3" t="n">
        <x:v>1</x:v>
      </x:c>
      <x:c r="I1540" s="7" t="n">
        <x:v>76769.68</x:v>
      </x:c>
      <x:c r="J1540" s="9" t="n">
        <x:v>0</x:v>
      </x:c>
      <x:c r="K1540" s="7" t="n">
        <x:v>76769.68</x:v>
      </x:c>
      <x:c r="L1540" s="7" t="n">
        <x:v>11122.14</x:v>
      </x:c>
      <x:c r="M1540" s="3" t="str">
        <x:v>Credit Card</x:v>
      </x:c>
      <x:c r="N1540" s="3" t="str">
        <x:f>TEXT(B1540,"yyyy-mm")</x:f>
        <x:v>2025-02</x:v>
      </x:c>
      <x:c r="O1540" s="3" t="str">
        <x:f>IF(J1540=0,"No discount",IF(J1540&lt;=0.1,"1-10%",IF(J1540&lt;=0.15,"11-15%",IF(J1540&lt;=0.2,"16-20%","21%+"))))</x:f>
        <x:v>No discount</x:v>
      </x:c>
      <x:c r="P1540" s="9" t="n">
        <x:f>IF(K1540=0,0,L1540/K1540)</x:f>
        <x:v>0.14487672737466145</x:v>
      </x:c>
      <x:c r="Q1540" s="3" t="str">
        <x:f>IF(L1540&lt;0,"Yes","No")</x:f>
        <x:v>No</x:v>
      </x:c>
    </x:row>
    <x:row r="1541" ht="21" customHeight="1">
      <x:c r="A1541" s="3" t="str">
        <x:v>ORD-100274</x:v>
      </x:c>
      <x:c r="B1541" s="5" t="n">
        <x:v>45705</x:v>
      </x:c>
      <x:c r="C1541" s="3" t="str">
        <x:v>CUST-00230</x:v>
      </x:c>
      <x:c r="D1541" s="3" t="str">
        <x:v>South</x:v>
      </x:c>
      <x:c r="E1541" s="3" t="str">
        <x:v>Beauty</x:v>
      </x:c>
      <x:c r="F1541" s="3" t="str">
        <x:v>Makeup</x:v>
      </x:c>
      <x:c r="G1541" s="3" t="str">
        <x:v>HD Foundation Kit</x:v>
      </x:c>
      <x:c r="H1541" s="3" t="n">
        <x:v>3</x:v>
      </x:c>
      <x:c r="I1541" s="7" t="n">
        <x:v>1475.43</x:v>
      </x:c>
      <x:c r="J1541" s="9" t="n">
        <x:v>0.4</x:v>
      </x:c>
      <x:c r="K1541" s="7" t="n">
        <x:v>2655.77</x:v>
      </x:c>
      <x:c r="L1541" s="7" t="n">
        <x:v>324.3</x:v>
      </x:c>
      <x:c r="M1541" s="3" t="str">
        <x:v>UPI</x:v>
      </x:c>
      <x:c r="N1541" s="3" t="str">
        <x:f>TEXT(B1541,"yyyy-mm")</x:f>
        <x:v>2025-02</x:v>
      </x:c>
      <x:c r="O1541" s="3" t="str">
        <x:f>IF(J1541=0,"No discount",IF(J1541&lt;=0.1,"1-10%",IF(J1541&lt;=0.15,"11-15%",IF(J1541&lt;=0.2,"16-20%","21%+"))))</x:f>
        <x:v>21%+</x:v>
      </x:c>
      <x:c r="P1541" s="9" t="n">
        <x:f>IF(K1541=0,0,L1541/K1541)</x:f>
        <x:v>0.12211147802708819</x:v>
      </x:c>
      <x:c r="Q1541" s="3" t="str">
        <x:f>IF(L1541&lt;0,"Yes","No")</x:f>
        <x:v>No</x:v>
      </x:c>
    </x:row>
    <x:row r="1542" ht="21" customHeight="1">
      <x:c r="A1542" s="3" t="str">
        <x:v>ORD-100671</x:v>
      </x:c>
      <x:c r="B1542" s="5" t="n">
        <x:v>45705</x:v>
      </x:c>
      <x:c r="C1542" s="3" t="str">
        <x:v>CUST-00122</x:v>
      </x:c>
      <x:c r="D1542" s="3" t="str">
        <x:v>South</x:v>
      </x:c>
      <x:c r="E1542" s="3" t="str">
        <x:v>Fashion</x:v>
      </x:c>
      <x:c r="F1542" s="3" t="str">
        <x:v>Men</x:v>
      </x:c>
      <x:c r="G1542" s="3" t="str">
        <x:v>SlimFit Denim Jeans</x:v>
      </x:c>
      <x:c r="H1542" s="3" t="n">
        <x:v>1</x:v>
      </x:c>
      <x:c r="I1542" s="7" t="n">
        <x:v>2087.97</x:v>
      </x:c>
      <x:c r="J1542" s="9" t="n">
        <x:v>0.05</x:v>
      </x:c>
      <x:c r="K1542" s="7" t="n">
        <x:v>1983.57</x:v>
      </x:c>
      <x:c r="L1542" s="7" t="n">
        <x:v>658.32</x:v>
      </x:c>
      <x:c r="M1542" s="3" t="str">
        <x:v>UPI</x:v>
      </x:c>
      <x:c r="N1542" s="3" t="str">
        <x:f>TEXT(B1542,"yyyy-mm")</x:f>
        <x:v>2025-02</x:v>
      </x:c>
      <x:c r="O1542" s="3" t="str">
        <x:f>IF(J1542=0,"No discount",IF(J1542&lt;=0.1,"1-10%",IF(J1542&lt;=0.15,"11-15%",IF(J1542&lt;=0.2,"16-20%","21%+"))))</x:f>
        <x:v>1-10%</x:v>
      </x:c>
      <x:c r="P1542" s="9" t="n">
        <x:f>IF(K1542=0,0,L1542/K1542)</x:f>
        <x:v>0.3318864471634478</x:v>
      </x:c>
      <x:c r="Q1542" s="3" t="str">
        <x:f>IF(L1542&lt;0,"Yes","No")</x:f>
        <x:v>No</x:v>
      </x:c>
    </x:row>
    <x:row r="1543" ht="21" customHeight="1">
      <x:c r="A1543" s="3" t="str">
        <x:v>ORD-100942</x:v>
      </x:c>
      <x:c r="B1543" s="5" t="n">
        <x:v>45705</x:v>
      </x:c>
      <x:c r="C1543" s="3" t="str">
        <x:v>CUST-00419</x:v>
      </x:c>
      <x:c r="D1543" s="3" t="str">
        <x:v>South</x:v>
      </x:c>
      <x:c r="E1543" s="3" t="str">
        <x:v>Sports</x:v>
      </x:c>
      <x:c r="F1543" s="3" t="str">
        <x:v>Outdoor</x:v>
      </x:c>
      <x:c r="G1543" s="3" t="str">
        <x:v>AllWeather Tent 4P</x:v>
      </x:c>
      <x:c r="H1543" s="3" t="n">
        <x:v>1</x:v>
      </x:c>
      <x:c r="I1543" s="7" t="n">
        <x:v>11823.73</x:v>
      </x:c>
      <x:c r="J1543" s="9" t="n">
        <x:v>0.05</x:v>
      </x:c>
      <x:c r="K1543" s="7" t="n">
        <x:v>11232.54</x:v>
      </x:c>
      <x:c r="L1543" s="7" t="n">
        <x:v>3842.84</x:v>
      </x:c>
      <x:c r="M1543" s="3" t="str">
        <x:v>Credit Card</x:v>
      </x:c>
      <x:c r="N1543" s="3" t="str">
        <x:f>TEXT(B1543,"yyyy-mm")</x:f>
        <x:v>2025-02</x:v>
      </x:c>
      <x:c r="O1543" s="3" t="str">
        <x:f>IF(J1543=0,"No discount",IF(J1543&lt;=0.1,"1-10%",IF(J1543&lt;=0.15,"11-15%",IF(J1543&lt;=0.2,"16-20%","21%+"))))</x:f>
        <x:v>1-10%</x:v>
      </x:c>
      <x:c r="P1543" s="9" t="n">
        <x:f>IF(K1543=0,0,L1543/K1543)</x:f>
        <x:v>0.3421167429628561</x:v>
      </x:c>
      <x:c r="Q1543" s="3" t="str">
        <x:f>IF(L1543&lt;0,"Yes","No")</x:f>
        <x:v>No</x:v>
      </x:c>
    </x:row>
    <x:row r="1544" ht="21" customHeight="1">
      <x:c r="A1544" s="3" t="str">
        <x:v>ORD-101446</x:v>
      </x:c>
      <x:c r="B1544" s="5" t="n">
        <x:v>45705</x:v>
      </x:c>
      <x:c r="C1544" s="3" t="str">
        <x:v>CUST-00581</x:v>
      </x:c>
      <x:c r="D1544" s="3" t="str">
        <x:v>East</x:v>
      </x:c>
      <x:c r="E1544" s="3" t="str">
        <x:v>Fashion</x:v>
      </x:c>
      <x:c r="F1544" s="3" t="str">
        <x:v>Footwear</x:v>
      </x:c>
      <x:c r="G1544" s="3" t="str">
        <x:v>RunFlex Sneakers</x:v>
      </x:c>
      <x:c r="H1544" s="3" t="n">
        <x:v>1</x:v>
      </x:c>
      <x:c r="I1544" s="7" t="n">
        <x:v>2997.84</x:v>
      </x:c>
      <x:c r="J1544" s="9" t="n">
        <x:v>0.2</x:v>
      </x:c>
      <x:c r="K1544" s="7" t="n">
        <x:v>2398.27</x:v>
      </x:c>
      <x:c r="L1544" s="7" t="n">
        <x:v>385.83</x:v>
      </x:c>
      <x:c r="M1544" s="3" t="str">
        <x:v>UPI</x:v>
      </x:c>
      <x:c r="N1544" s="3" t="str">
        <x:f>TEXT(B1544,"yyyy-mm")</x:f>
        <x:v>2025-02</x:v>
      </x:c>
      <x:c r="O1544" s="3" t="str">
        <x:f>IF(J1544=0,"No discount",IF(J1544&lt;=0.1,"1-10%",IF(J1544&lt;=0.15,"11-15%",IF(J1544&lt;=0.2,"16-20%","21%+"))))</x:f>
        <x:v>16-20%</x:v>
      </x:c>
      <x:c r="P1544" s="9" t="n">
        <x:f>IF(K1544=0,0,L1544/K1544)</x:f>
        <x:v>0.16087846656131294</x:v>
      </x:c>
      <x:c r="Q1544" s="3" t="str">
        <x:f>IF(L1544&lt;0,"Yes","No")</x:f>
        <x:v>No</x:v>
      </x:c>
    </x:row>
    <x:row r="1545" ht="21" customHeight="1">
      <x:c r="A1545" s="3" t="str">
        <x:v>ORD-101832</x:v>
      </x:c>
      <x:c r="B1545" s="5" t="n">
        <x:v>45705</x:v>
      </x:c>
      <x:c r="C1545" s="3" t="str">
        <x:v>CUST-00341</x:v>
      </x:c>
      <x:c r="D1545" s="3" t="str">
        <x:v>East</x:v>
      </x:c>
      <x:c r="E1545" s="3" t="str">
        <x:v>Home &amp; Kitchen</x:v>
      </x:c>
      <x:c r="F1545" s="3" t="str">
        <x:v>Appliances</x:v>
      </x:c>
      <x:c r="G1545" s="3" t="str">
        <x:v>ColdBrew Coffee Maker</x:v>
      </x:c>
      <x:c r="H1545" s="3" t="n">
        <x:v>1</x:v>
      </x:c>
      <x:c r="I1545" s="7" t="n">
        <x:v>6324.86</x:v>
      </x:c>
      <x:c r="J1545" s="9" t="n">
        <x:v>0.05</x:v>
      </x:c>
      <x:c r="K1545" s="7" t="n">
        <x:v>6008.62</x:v>
      </x:c>
      <x:c r="L1545" s="7" t="n">
        <x:v>1591.57</x:v>
      </x:c>
      <x:c r="M1545" s="3" t="str">
        <x:v>UPI</x:v>
      </x:c>
      <x:c r="N1545" s="3" t="str">
        <x:f>TEXT(B1545,"yyyy-mm")</x:f>
        <x:v>2025-02</x:v>
      </x:c>
      <x:c r="O1545" s="3" t="str">
        <x:f>IF(J1545=0,"No discount",IF(J1545&lt;=0.1,"1-10%",IF(J1545&lt;=0.15,"11-15%",IF(J1545&lt;=0.2,"16-20%","21%+"))))</x:f>
        <x:v>1-10%</x:v>
      </x:c>
      <x:c r="P1545" s="9" t="n">
        <x:f>IF(K1545=0,0,L1545/K1545)</x:f>
        <x:v>0.26488112078979864</x:v>
      </x:c>
      <x:c r="Q1545" s="3" t="str">
        <x:f>IF(L1545&lt;0,"Yes","No")</x:f>
        <x:v>No</x:v>
      </x:c>
    </x:row>
    <x:row r="1546" ht="21" customHeight="1">
      <x:c r="A1546" s="3" t="str">
        <x:v>ORD-101112</x:v>
      </x:c>
      <x:c r="B1546" s="5" t="n">
        <x:v>45706</x:v>
      </x:c>
      <x:c r="C1546" s="3" t="str">
        <x:v>CUST-00298</x:v>
      </x:c>
      <x:c r="D1546" s="3" t="str">
        <x:v>North</x:v>
      </x:c>
      <x:c r="E1546" s="3" t="str">
        <x:v>Fashion</x:v>
      </x:c>
      <x:c r="F1546" s="3" t="str">
        <x:v>Footwear</x:v>
      </x:c>
      <x:c r="G1546" s="3" t="str">
        <x:v>RunFlex Sneakers</x:v>
      </x:c>
      <x:c r="H1546" s="3" t="n">
        <x:v>2</x:v>
      </x:c>
      <x:c r="I1546" s="7" t="n">
        <x:v>2962.31</x:v>
      </x:c>
      <x:c r="J1546" s="9" t="n">
        <x:v>0.1</x:v>
      </x:c>
      <x:c r="K1546" s="7" t="n">
        <x:v>5332.16</x:v>
      </x:c>
      <x:c r="L1546" s="7" t="n">
        <x:v>1749.19</x:v>
      </x:c>
      <x:c r="M1546" s="3" t="str">
        <x:v>UPI</x:v>
      </x:c>
      <x:c r="N1546" s="3" t="str">
        <x:f>TEXT(B1546,"yyyy-mm")</x:f>
        <x:v>2025-02</x:v>
      </x:c>
      <x:c r="O1546" s="3" t="str">
        <x:f>IF(J1546=0,"No discount",IF(J1546&lt;=0.1,"1-10%",IF(J1546&lt;=0.15,"11-15%",IF(J1546&lt;=0.2,"16-20%","21%+"))))</x:f>
        <x:v>1-10%</x:v>
      </x:c>
      <x:c r="P1546" s="9" t="n">
        <x:f>IF(K1546=0,0,L1546/K1546)</x:f>
        <x:v>0.3280452949648923</x:v>
      </x:c>
      <x:c r="Q1546" s="3" t="str">
        <x:f>IF(L1546&lt;0,"Yes","No")</x:f>
        <x:v>No</x:v>
      </x:c>
    </x:row>
    <x:row r="1547" ht="21" customHeight="1">
      <x:c r="A1547" s="3" t="str">
        <x:v>ORD-101360</x:v>
      </x:c>
      <x:c r="B1547" s="5" t="n">
        <x:v>45706</x:v>
      </x:c>
      <x:c r="C1547" s="3" t="str">
        <x:v>CUST-00471</x:v>
      </x:c>
      <x:c r="D1547" s="3" t="str">
        <x:v>South</x:v>
      </x:c>
      <x:c r="E1547" s="3" t="str">
        <x:v>Home &amp; Kitchen</x:v>
      </x:c>
      <x:c r="F1547" s="3" t="str">
        <x:v>Appliances</x:v>
      </x:c>
      <x:c r="G1547" s="3" t="str">
        <x:v>AirFryer Deluxe</x:v>
      </x:c>
      <x:c r="H1547" s="3" t="n">
        <x:v>1</x:v>
      </x:c>
      <x:c r="I1547" s="7" t="n">
        <x:v>7834.38</x:v>
      </x:c>
      <x:c r="J1547" s="9" t="n">
        <x:v>0.1</x:v>
      </x:c>
      <x:c r="K1547" s="7" t="n">
        <x:v>7050.94</x:v>
      </x:c>
      <x:c r="L1547" s="7" t="n">
        <x:v>1313.35</x:v>
      </x:c>
      <x:c r="M1547" s="3" t="str">
        <x:v>Credit Card</x:v>
      </x:c>
      <x:c r="N1547" s="3" t="str">
        <x:f>TEXT(B1547,"yyyy-mm")</x:f>
        <x:v>2025-02</x:v>
      </x:c>
      <x:c r="O1547" s="3" t="str">
        <x:f>IF(J1547=0,"No discount",IF(J1547&lt;=0.1,"1-10%",IF(J1547&lt;=0.15,"11-15%",IF(J1547&lt;=0.2,"16-20%","21%+"))))</x:f>
        <x:v>1-10%</x:v>
      </x:c>
      <x:c r="P1547" s="9" t="n">
        <x:f>IF(K1547=0,0,L1547/K1547)</x:f>
        <x:v>0.18626594468255298</x:v>
      </x:c>
      <x:c r="Q1547" s="3" t="str">
        <x:f>IF(L1547&lt;0,"Yes","No")</x:f>
        <x:v>No</x:v>
      </x:c>
    </x:row>
    <x:row r="1548" ht="21" customHeight="1">
      <x:c r="A1548" s="3" t="str">
        <x:v>ORD-101718</x:v>
      </x:c>
      <x:c r="B1548" s="5" t="n">
        <x:v>45706</x:v>
      </x:c>
      <x:c r="C1548" s="3" t="str">
        <x:v>CUST-00054</x:v>
      </x:c>
      <x:c r="D1548" s="3" t="str">
        <x:v>South</x:v>
      </x:c>
      <x:c r="E1548" s="3" t="str">
        <x:v>Sports</x:v>
      </x:c>
      <x:c r="F1548" s="3" t="str">
        <x:v>Outdoor</x:v>
      </x:c>
      <x:c r="G1548" s="3" t="str">
        <x:v>TrailHike Backpack 60L</x:v>
      </x:c>
      <x:c r="H1548" s="3" t="n">
        <x:v>2</x:v>
      </x:c>
      <x:c r="I1548" s="7" t="n">
        <x:v>3661.48</x:v>
      </x:c>
      <x:c r="J1548" s="9" t="n">
        <x:v>0.05</x:v>
      </x:c>
      <x:c r="K1548" s="7" t="n">
        <x:v>6956.81</x:v>
      </x:c>
      <x:c r="L1548" s="7" t="n">
        <x:v>2330.75</x:v>
      </x:c>
      <x:c r="M1548" s="3" t="str">
        <x:v>Credit Card</x:v>
      </x:c>
      <x:c r="N1548" s="3" t="str">
        <x:f>TEXT(B1548,"yyyy-mm")</x:f>
        <x:v>2025-02</x:v>
      </x:c>
      <x:c r="O1548" s="3" t="str">
        <x:f>IF(J1548=0,"No discount",IF(J1548&lt;=0.1,"1-10%",IF(J1548&lt;=0.15,"11-15%",IF(J1548&lt;=0.2,"16-20%","21%+"))))</x:f>
        <x:v>1-10%</x:v>
      </x:c>
      <x:c r="P1548" s="9" t="n">
        <x:f>IF(K1548=0,0,L1548/K1548)</x:f>
        <x:v>0.3350314296351345</x:v>
      </x:c>
      <x:c r="Q1548" s="3" t="str">
        <x:f>IF(L1548&lt;0,"Yes","No")</x:f>
        <x:v>No</x:v>
      </x:c>
    </x:row>
    <x:row r="1549" ht="21" customHeight="1">
      <x:c r="A1549" s="3" t="str">
        <x:v>ORD-100175</x:v>
      </x:c>
      <x:c r="B1549" s="5" t="n">
        <x:v>45707</x:v>
      </x:c>
      <x:c r="C1549" s="3" t="str">
        <x:v>CUST-00250</x:v>
      </x:c>
      <x:c r="D1549" s="3" t="str">
        <x:v>South</x:v>
      </x:c>
      <x:c r="E1549" s="3" t="str">
        <x:v>Beauty</x:v>
      </x:c>
      <x:c r="F1549" s="3" t="str">
        <x:v>Skincare</x:v>
      </x:c>
      <x:c r="G1549" s="3" t="str">
        <x:v>Vitamin C Serum</x:v>
      </x:c>
      <x:c r="H1549" s="3" t="n">
        <x:v>1</x:v>
      </x:c>
      <x:c r="I1549" s="7" t="n">
        <x:v>927.34</x:v>
      </x:c>
      <x:c r="J1549" s="9" t="n">
        <x:v>0.1</x:v>
      </x:c>
      <x:c r="K1549" s="7" t="n">
        <x:v>834.61</x:v>
      </x:c>
      <x:c r="L1549" s="7" t="n">
        <x:v>347.52</x:v>
      </x:c>
      <x:c r="M1549" s="3" t="str">
        <x:v>UPI</x:v>
      </x:c>
      <x:c r="N1549" s="3" t="str">
        <x:f>TEXT(B1549,"yyyy-mm")</x:f>
        <x:v>2025-02</x:v>
      </x:c>
      <x:c r="O1549" s="3" t="str">
        <x:f>IF(J1549=0,"No discount",IF(J1549&lt;=0.1,"1-10%",IF(J1549&lt;=0.15,"11-15%",IF(J1549&lt;=0.2,"16-20%","21%+"))))</x:f>
        <x:v>1-10%</x:v>
      </x:c>
      <x:c r="P1549" s="9" t="n">
        <x:f>IF(K1549=0,0,L1549/K1549)</x:f>
        <x:v>0.41638609650016173</x:v>
      </x:c>
      <x:c r="Q1549" s="3" t="str">
        <x:f>IF(L1549&lt;0,"Yes","No")</x:f>
        <x:v>No</x:v>
      </x:c>
    </x:row>
    <x:row r="1550" ht="21" customHeight="1">
      <x:c r="A1550" s="3" t="str">
        <x:v>ORD-100470</x:v>
      </x:c>
      <x:c r="B1550" s="5" t="n">
        <x:v>45707</x:v>
      </x:c>
      <x:c r="C1550" s="3" t="str">
        <x:v>CUST-00380</x:v>
      </x:c>
      <x:c r="D1550" s="3" t="str">
        <x:v>East</x:v>
      </x:c>
      <x:c r="E1550" s="3" t="str">
        <x:v>Electronics</x:v>
      </x:c>
      <x:c r="F1550" s="3" t="str">
        <x:v>Mobile</x:v>
      </x:c>
      <x:c r="G1550" s="3" t="str">
        <x:v>Pixel Aura 12</x:v>
      </x:c>
      <x:c r="H1550" s="3" t="n">
        <x:v>2</x:v>
      </x:c>
      <x:c r="I1550" s="7" t="n">
        <x:v>32864.64</x:v>
      </x:c>
      <x:c r="J1550" s="9" t="n">
        <x:v>0</x:v>
      </x:c>
      <x:c r="K1550" s="7" t="n">
        <x:v>65729.28</x:v>
      </x:c>
      <x:c r="L1550" s="7" t="n">
        <x:v>12201.36</x:v>
      </x:c>
      <x:c r="M1550" s="3" t="str">
        <x:v>Cash on Delivery</x:v>
      </x:c>
      <x:c r="N1550" s="3" t="str">
        <x:f>TEXT(B1550,"yyyy-mm")</x:f>
        <x:v>2025-02</x:v>
      </x:c>
      <x:c r="O1550" s="3" t="str">
        <x:f>IF(J1550=0,"No discount",IF(J1550&lt;=0.1,"1-10%",IF(J1550&lt;=0.15,"11-15%",IF(J1550&lt;=0.2,"16-20%","21%+"))))</x:f>
        <x:v>No discount</x:v>
      </x:c>
      <x:c r="P1550" s="9" t="n">
        <x:f>IF(K1550=0,0,L1550/K1550)</x:f>
        <x:v>0.18563051352456622</x:v>
      </x:c>
      <x:c r="Q1550" s="3" t="str">
        <x:f>IF(L1550&lt;0,"Yes","No")</x:f>
        <x:v>No</x:v>
      </x:c>
    </x:row>
    <x:row r="1551" ht="21" customHeight="1">
      <x:c r="A1551" s="3" t="str">
        <x:v>ORD-100929</x:v>
      </x:c>
      <x:c r="B1551" s="5" t="n">
        <x:v>45707</x:v>
      </x:c>
      <x:c r="C1551" s="3" t="str">
        <x:v>CUST-00175</x:v>
      </x:c>
      <x:c r="D1551" s="3" t="str">
        <x:v>East</x:v>
      </x:c>
      <x:c r="E1551" s="3" t="str">
        <x:v>Electronics</x:v>
      </x:c>
      <x:c r="F1551" s="3" t="str">
        <x:v>Mobile</x:v>
      </x:c>
      <x:c r="G1551" s="3" t="str">
        <x:v>iPhone Zeta</x:v>
      </x:c>
      <x:c r="H1551" s="3" t="n">
        <x:v>1</x:v>
      </x:c>
      <x:c r="I1551" s="7" t="n">
        <x:v>68314.97</x:v>
      </x:c>
      <x:c r="J1551" s="9" t="n">
        <x:v>0.1</x:v>
      </x:c>
      <x:c r="K1551" s="7" t="n">
        <x:v>61483.47</x:v>
      </x:c>
      <x:c r="L1551" s="7" t="n">
        <x:v>5084.14</x:v>
      </x:c>
      <x:c r="M1551" s="3" t="str">
        <x:v>Cash on Delivery</x:v>
      </x:c>
      <x:c r="N1551" s="3" t="str">
        <x:f>TEXT(B1551,"yyyy-mm")</x:f>
        <x:v>2025-02</x:v>
      </x:c>
      <x:c r="O1551" s="3" t="str">
        <x:f>IF(J1551=0,"No discount",IF(J1551&lt;=0.1,"1-10%",IF(J1551&lt;=0.15,"11-15%",IF(J1551&lt;=0.2,"16-20%","21%+"))))</x:f>
        <x:v>1-10%</x:v>
      </x:c>
      <x:c r="P1551" s="9" t="n">
        <x:f>IF(K1551=0,0,L1551/K1551)</x:f>
        <x:v>0.08269116886213482</x:v>
      </x:c>
      <x:c r="Q1551" s="3" t="str">
        <x:f>IF(L1551&lt;0,"Yes","No")</x:f>
        <x:v>No</x:v>
      </x:c>
    </x:row>
    <x:row r="1552" ht="21" customHeight="1">
      <x:c r="A1552" s="3" t="str">
        <x:v>ORD-101137</x:v>
      </x:c>
      <x:c r="B1552" s="5" t="n">
        <x:v>45707</x:v>
      </x:c>
      <x:c r="C1552" s="3" t="str">
        <x:v>CUST-00241</x:v>
      </x:c>
      <x:c r="D1552" s="3" t="str">
        <x:v>South</x:v>
      </x:c>
      <x:c r="E1552" s="3" t="str">
        <x:v>Fashion</x:v>
      </x:c>
      <x:c r="F1552" s="3" t="str">
        <x:v>Women</x:v>
      </x:c>
      <x:c r="G1552" s="3" t="str">
        <x:v>Knit Winter Sweater</x:v>
      </x:c>
      <x:c r="H1552" s="3" t="n">
        <x:v>5</x:v>
      </x:c>
      <x:c r="I1552" s="7" t="n">
        <x:v>2170.5</x:v>
      </x:c>
      <x:c r="J1552" s="9" t="n">
        <x:v>0.05</x:v>
      </x:c>
      <x:c r="K1552" s="7" t="n">
        <x:v>10309.88</x:v>
      </x:c>
      <x:c r="L1552" s="7" t="n">
        <x:v>3578.98</x:v>
      </x:c>
      <x:c r="M1552" s="3" t="str">
        <x:v>Cash on Delivery</x:v>
      </x:c>
      <x:c r="N1552" s="3" t="str">
        <x:f>TEXT(B1552,"yyyy-mm")</x:f>
        <x:v>2025-02</x:v>
      </x:c>
      <x:c r="O1552" s="3" t="str">
        <x:f>IF(J1552=0,"No discount",IF(J1552&lt;=0.1,"1-10%",IF(J1552&lt;=0.15,"11-15%",IF(J1552&lt;=0.2,"16-20%","21%+"))))</x:f>
        <x:v>1-10%</x:v>
      </x:c>
      <x:c r="P1552" s="9" t="n">
        <x:f>IF(K1552=0,0,L1552/K1552)</x:f>
        <x:v>0.3471408008628617</x:v>
      </x:c>
      <x:c r="Q1552" s="3" t="str">
        <x:f>IF(L1552&lt;0,"Yes","No")</x:f>
        <x:v>No</x:v>
      </x:c>
    </x:row>
    <x:row r="1553" ht="21" customHeight="1">
      <x:c r="A1553" s="3" t="str">
        <x:v>ORD-100014</x:v>
      </x:c>
      <x:c r="B1553" s="5" t="n">
        <x:v>45708</x:v>
      </x:c>
      <x:c r="C1553" s="3" t="str">
        <x:v>CUST-00100</x:v>
      </x:c>
      <x:c r="D1553" s="3" t="str">
        <x:v>South</x:v>
      </x:c>
      <x:c r="E1553" s="3" t="str">
        <x:v>Home &amp; Kitchen</x:v>
      </x:c>
      <x:c r="F1553" s="3" t="str">
        <x:v>Appliances</x:v>
      </x:c>
      <x:c r="G1553" s="3" t="str">
        <x:v>ColdBrew Coffee Maker</x:v>
      </x:c>
      <x:c r="H1553" s="3" t="n">
        <x:v>1</x:v>
      </x:c>
      <x:c r="I1553" s="7" t="n">
        <x:v>6782.04</x:v>
      </x:c>
      <x:c r="J1553" s="9" t="n">
        <x:v>0</x:v>
      </x:c>
      <x:c r="K1553" s="7" t="n">
        <x:v>6782.04</x:v>
      </x:c>
      <x:c r="L1553" s="7" t="n">
        <x:v>2276.62</x:v>
      </x:c>
      <x:c r="M1553" s="3" t="str">
        <x:v>Debit Card</x:v>
      </x:c>
      <x:c r="N1553" s="3" t="str">
        <x:f>TEXT(B1553,"yyyy-mm")</x:f>
        <x:v>2025-02</x:v>
      </x:c>
      <x:c r="O1553" s="3" t="str">
        <x:f>IF(J1553=0,"No discount",IF(J1553&lt;=0.1,"1-10%",IF(J1553&lt;=0.15,"11-15%",IF(J1553&lt;=0.2,"16-20%","21%+"))))</x:f>
        <x:v>No discount</x:v>
      </x:c>
      <x:c r="P1553" s="9" t="n">
        <x:f>IF(K1553=0,0,L1553/K1553)</x:f>
        <x:v>0.3356836586041958</x:v>
      </x:c>
      <x:c r="Q1553" s="3" t="str">
        <x:f>IF(L1553&lt;0,"Yes","No")</x:f>
        <x:v>No</x:v>
      </x:c>
    </x:row>
    <x:row r="1554" ht="21" customHeight="1">
      <x:c r="A1554" s="3" t="str">
        <x:v>ORD-100048</x:v>
      </x:c>
      <x:c r="B1554" s="5" t="n">
        <x:v>45708</x:v>
      </x:c>
      <x:c r="C1554" s="3" t="str">
        <x:v>CUST-00247</x:v>
      </x:c>
      <x:c r="D1554" s="3" t="str">
        <x:v>West</x:v>
      </x:c>
      <x:c r="E1554" s="3" t="str">
        <x:v>Home &amp; Kitchen</x:v>
      </x:c>
      <x:c r="F1554" s="3" t="str">
        <x:v>Decor</x:v>
      </x:c>
      <x:c r="G1554" s="3" t="str">
        <x:v>LED Wall Lamp</x:v>
      </x:c>
      <x:c r="H1554" s="3" t="n">
        <x:v>3</x:v>
      </x:c>
      <x:c r="I1554" s="7" t="n">
        <x:v>976.65</x:v>
      </x:c>
      <x:c r="J1554" s="9" t="n">
        <x:v>0.15</x:v>
      </x:c>
      <x:c r="K1554" s="7" t="n">
        <x:v>2490.46</x:v>
      </x:c>
      <x:c r="L1554" s="7" t="n">
        <x:v>294.65</x:v>
      </x:c>
      <x:c r="M1554" s="3" t="str">
        <x:v>UPI</x:v>
      </x:c>
      <x:c r="N1554" s="3" t="str">
        <x:f>TEXT(B1554,"yyyy-mm")</x:f>
        <x:v>2025-02</x:v>
      </x:c>
      <x:c r="O1554" s="3" t="str">
        <x:f>IF(J1554=0,"No discount",IF(J1554&lt;=0.1,"1-10%",IF(J1554&lt;=0.15,"11-15%",IF(J1554&lt;=0.2,"16-20%","21%+"))))</x:f>
        <x:v>11-15%</x:v>
      </x:c>
      <x:c r="P1554" s="9" t="n">
        <x:f>IF(K1554=0,0,L1554/K1554)</x:f>
        <x:v>0.11831147659468531</x:v>
      </x:c>
      <x:c r="Q1554" s="3" t="str">
        <x:f>IF(L1554&lt;0,"Yes","No")</x:f>
        <x:v>No</x:v>
      </x:c>
    </x:row>
    <x:row r="1555" ht="21" customHeight="1">
      <x:c r="A1555" s="3" t="str">
        <x:v>ORD-100584</x:v>
      </x:c>
      <x:c r="B1555" s="5" t="n">
        <x:v>45708</x:v>
      </x:c>
      <x:c r="C1555" s="3" t="str">
        <x:v>CUST-00513</x:v>
      </x:c>
      <x:c r="D1555" s="3" t="str">
        <x:v>East</x:v>
      </x:c>
      <x:c r="E1555" s="3" t="str">
        <x:v>Fashion</x:v>
      </x:c>
      <x:c r="F1555" s="3" t="str">
        <x:v>Men</x:v>
      </x:c>
      <x:c r="G1555" s="3" t="str">
        <x:v>Oxford Casual Shirt</x:v>
      </x:c>
      <x:c r="H1555" s="3" t="n">
        <x:v>2</x:v>
      </x:c>
      <x:c r="I1555" s="7" t="n">
        <x:v>1247.24</x:v>
      </x:c>
      <x:c r="J1555" s="9" t="n">
        <x:v>0.1</x:v>
      </x:c>
      <x:c r="K1555" s="7" t="n">
        <x:v>2245.03</x:v>
      </x:c>
      <x:c r="L1555" s="7" t="n">
        <x:v>731.97</x:v>
      </x:c>
      <x:c r="M1555" s="3" t="str">
        <x:v>UPI</x:v>
      </x:c>
      <x:c r="N1555" s="3" t="str">
        <x:f>TEXT(B1555,"yyyy-mm")</x:f>
        <x:v>2025-02</x:v>
      </x:c>
      <x:c r="O1555" s="3" t="str">
        <x:f>IF(J1555=0,"No discount",IF(J1555&lt;=0.1,"1-10%",IF(J1555&lt;=0.15,"11-15%",IF(J1555&lt;=0.2,"16-20%","21%+"))))</x:f>
        <x:v>1-10%</x:v>
      </x:c>
      <x:c r="P1555" s="9" t="n">
        <x:f>IF(K1555=0,0,L1555/K1555)</x:f>
        <x:v>0.32604018654539135</x:v>
      </x:c>
      <x:c r="Q1555" s="3" t="str">
        <x:f>IF(L1555&lt;0,"Yes","No")</x:f>
        <x:v>No</x:v>
      </x:c>
    </x:row>
    <x:row r="1556" ht="21" customHeight="1">
      <x:c r="A1556" s="3" t="str">
        <x:v>ORD-100681</x:v>
      </x:c>
      <x:c r="B1556" s="5" t="n">
        <x:v>45708</x:v>
      </x:c>
      <x:c r="C1556" s="3" t="str">
        <x:v>CUST-00092</x:v>
      </x:c>
      <x:c r="D1556" s="3" t="str">
        <x:v>South</x:v>
      </x:c>
      <x:c r="E1556" s="3" t="str">
        <x:v>Fashion</x:v>
      </x:c>
      <x:c r="F1556" s="3" t="str">
        <x:v>Women</x:v>
      </x:c>
      <x:c r="G1556" s="3" t="str">
        <x:v>Knit Winter Sweater</x:v>
      </x:c>
      <x:c r="H1556" s="3" t="n">
        <x:v>1</x:v>
      </x:c>
      <x:c r="I1556" s="7" t="n">
        <x:v>2143.47</x:v>
      </x:c>
      <x:c r="J1556" s="9" t="n">
        <x:v>0.3</x:v>
      </x:c>
      <x:c r="K1556" s="7" t="n">
        <x:v>1500.43</x:v>
      </x:c>
      <x:c r="L1556" s="7" t="n">
        <x:v>84.94</x:v>
      </x:c>
      <x:c r="M1556" s="3" t="str">
        <x:v>Credit Card</x:v>
      </x:c>
      <x:c r="N1556" s="3" t="str">
        <x:f>TEXT(B1556,"yyyy-mm")</x:f>
        <x:v>2025-02</x:v>
      </x:c>
      <x:c r="O1556" s="3" t="str">
        <x:f>IF(J1556=0,"No discount",IF(J1556&lt;=0.1,"1-10%",IF(J1556&lt;=0.15,"11-15%",IF(J1556&lt;=0.2,"16-20%","21%+"))))</x:f>
        <x:v>21%+</x:v>
      </x:c>
      <x:c r="P1556" s="9" t="n">
        <x:f>IF(K1556=0,0,L1556/K1556)</x:f>
        <x:v>0.05661043834100891</x:v>
      </x:c>
      <x:c r="Q1556" s="3" t="str">
        <x:f>IF(L1556&lt;0,"Yes","No")</x:f>
        <x:v>No</x:v>
      </x:c>
    </x:row>
    <x:row r="1557" ht="21" customHeight="1">
      <x:c r="A1557" s="3" t="str">
        <x:v>ORD-101321</x:v>
      </x:c>
      <x:c r="B1557" s="5" t="n">
        <x:v>45708</x:v>
      </x:c>
      <x:c r="C1557" s="3" t="str">
        <x:v>CUST-00560</x:v>
      </x:c>
      <x:c r="D1557" s="3" t="str">
        <x:v>West</x:v>
      </x:c>
      <x:c r="E1557" s="3" t="str">
        <x:v>Fashion</x:v>
      </x:c>
      <x:c r="F1557" s="3" t="str">
        <x:v>Men</x:v>
      </x:c>
      <x:c r="G1557" s="3" t="str">
        <x:v>Oxford Casual Shirt</x:v>
      </x:c>
      <x:c r="H1557" s="3" t="n">
        <x:v>1</x:v>
      </x:c>
      <x:c r="I1557" s="7" t="n">
        <x:v>1247.33</x:v>
      </x:c>
      <x:c r="J1557" s="9" t="n">
        <x:v>0.1</x:v>
      </x:c>
      <x:c r="K1557" s="7" t="n">
        <x:v>1122.6</x:v>
      </x:c>
      <x:c r="L1557" s="7" t="n">
        <x:v>310.27</x:v>
      </x:c>
      <x:c r="M1557" s="3" t="str">
        <x:v>UPI</x:v>
      </x:c>
      <x:c r="N1557" s="3" t="str">
        <x:f>TEXT(B1557,"yyyy-mm")</x:f>
        <x:v>2025-02</x:v>
      </x:c>
      <x:c r="O1557" s="3" t="str">
        <x:f>IF(J1557=0,"No discount",IF(J1557&lt;=0.1,"1-10%",IF(J1557&lt;=0.15,"11-15%",IF(J1557&lt;=0.2,"16-20%","21%+"))))</x:f>
        <x:v>1-10%</x:v>
      </x:c>
      <x:c r="P1557" s="9" t="n">
        <x:f>IF(K1557=0,0,L1557/K1557)</x:f>
        <x:v>0.27638517726705863</x:v>
      </x:c>
      <x:c r="Q1557" s="3" t="str">
        <x:f>IF(L1557&lt;0,"Yes","No")</x:f>
        <x:v>No</x:v>
      </x:c>
    </x:row>
    <x:row r="1558" ht="21" customHeight="1">
      <x:c r="A1558" s="3" t="str">
        <x:v>ORD-101573</x:v>
      </x:c>
      <x:c r="B1558" s="5" t="n">
        <x:v>45708</x:v>
      </x:c>
      <x:c r="C1558" s="3" t="str">
        <x:v>CUST-00149</x:v>
      </x:c>
      <x:c r="D1558" s="3" t="str">
        <x:v>South</x:v>
      </x:c>
      <x:c r="E1558" s="3" t="str">
        <x:v>Sports</x:v>
      </x:c>
      <x:c r="F1558" s="3" t="str">
        <x:v>Fitness</x:v>
      </x:c>
      <x:c r="G1558" s="3" t="str">
        <x:v>ProYoga Mat</x:v>
      </x:c>
      <x:c r="H1558" s="3" t="n">
        <x:v>1</x:v>
      </x:c>
      <x:c r="I1558" s="7" t="n">
        <x:v>1242.94</x:v>
      </x:c>
      <x:c r="J1558" s="9" t="n">
        <x:v>0.4</x:v>
      </x:c>
      <x:c r="K1558" s="7" t="n">
        <x:v>745.76</x:v>
      </x:c>
      <x:c r="L1558" s="7" t="n">
        <x:v>-39.72</x:v>
      </x:c>
      <x:c r="M1558" s="3" t="str">
        <x:v>UPI</x:v>
      </x:c>
      <x:c r="N1558" s="3" t="str">
        <x:f>TEXT(B1558,"yyyy-mm")</x:f>
        <x:v>2025-02</x:v>
      </x:c>
      <x:c r="O1558" s="3" t="str">
        <x:f>IF(J1558=0,"No discount",IF(J1558&lt;=0.1,"1-10%",IF(J1558&lt;=0.15,"11-15%",IF(J1558&lt;=0.2,"16-20%","21%+"))))</x:f>
        <x:v>21%+</x:v>
      </x:c>
      <x:c r="P1558" s="9" t="n">
        <x:f>IF(K1558=0,0,L1558/K1558)</x:f>
        <x:v>-0.05326110276764643</x:v>
      </x:c>
      <x:c r="Q1558" s="3" t="str">
        <x:f>IF(L1558&lt;0,"Yes","No")</x:f>
        <x:v>Yes</x:v>
      </x:c>
    </x:row>
    <x:row r="1559" ht="21" customHeight="1">
      <x:c r="A1559" s="3" t="str">
        <x:v>ORD-101077</x:v>
      </x:c>
      <x:c r="B1559" s="5" t="n">
        <x:v>45709</x:v>
      </x:c>
      <x:c r="C1559" s="3" t="str">
        <x:v>CUST-00443</x:v>
      </x:c>
      <x:c r="D1559" s="3" t="str">
        <x:v>East</x:v>
      </x:c>
      <x:c r="E1559" s="3" t="str">
        <x:v>Sports</x:v>
      </x:c>
      <x:c r="F1559" s="3" t="str">
        <x:v>Fitness</x:v>
      </x:c>
      <x:c r="G1559" s="3" t="str">
        <x:v>Adjustable Dumbbell 24kg</x:v>
      </x:c>
      <x:c r="H1559" s="3" t="n">
        <x:v>1</x:v>
      </x:c>
      <x:c r="I1559" s="7" t="n">
        <x:v>10266.29</x:v>
      </x:c>
      <x:c r="J1559" s="9" t="n">
        <x:v>0.4</x:v>
      </x:c>
      <x:c r="K1559" s="7" t="n">
        <x:v>6159.77</x:v>
      </x:c>
      <x:c r="L1559" s="7" t="n">
        <x:v>-666.42</x:v>
      </x:c>
      <x:c r="M1559" s="3" t="str">
        <x:v>Net Banking</x:v>
      </x:c>
      <x:c r="N1559" s="3" t="str">
        <x:f>TEXT(B1559,"yyyy-mm")</x:f>
        <x:v>2025-02</x:v>
      </x:c>
      <x:c r="O1559" s="3" t="str">
        <x:f>IF(J1559=0,"No discount",IF(J1559&lt;=0.1,"1-10%",IF(J1559&lt;=0.15,"11-15%",IF(J1559&lt;=0.2,"16-20%","21%+"))))</x:f>
        <x:v>21%+</x:v>
      </x:c>
      <x:c r="P1559" s="9" t="n">
        <x:f>IF(K1559=0,0,L1559/K1559)</x:f>
        <x:v>-0.10818910446331599</x:v>
      </x:c>
      <x:c r="Q1559" s="3" t="str">
        <x:f>IF(L1559&lt;0,"Yes","No")</x:f>
        <x:v>Yes</x:v>
      </x:c>
    </x:row>
    <x:row r="1560" ht="21" customHeight="1">
      <x:c r="A1560" s="3" t="str">
        <x:v>ORD-101709</x:v>
      </x:c>
      <x:c r="B1560" s="5" t="n">
        <x:v>45709</x:v>
      </x:c>
      <x:c r="C1560" s="3" t="str">
        <x:v>CUST-00354</x:v>
      </x:c>
      <x:c r="D1560" s="3" t="str">
        <x:v>South</x:v>
      </x:c>
      <x:c r="E1560" s="3" t="str">
        <x:v>Home &amp; Kitchen</x:v>
      </x:c>
      <x:c r="F1560" s="3" t="str">
        <x:v>Furniture</x:v>
      </x:c>
      <x:c r="G1560" s="3" t="str">
        <x:v>ErgoComfort Chair</x:v>
      </x:c>
      <x:c r="H1560" s="3" t="n">
        <x:v>1</x:v>
      </x:c>
      <x:c r="I1560" s="7" t="n">
        <x:v>9056.3</x:v>
      </x:c>
      <x:c r="J1560" s="9" t="n">
        <x:v>0.3</x:v>
      </x:c>
      <x:c r="K1560" s="7" t="n">
        <x:v>6339.41</x:v>
      </x:c>
      <x:c r="L1560" s="7" t="n">
        <x:v>-283.34</x:v>
      </x:c>
      <x:c r="M1560" s="3" t="str">
        <x:v>UPI</x:v>
      </x:c>
      <x:c r="N1560" s="3" t="str">
        <x:f>TEXT(B1560,"yyyy-mm")</x:f>
        <x:v>2025-02</x:v>
      </x:c>
      <x:c r="O1560" s="3" t="str">
        <x:f>IF(J1560=0,"No discount",IF(J1560&lt;=0.1,"1-10%",IF(J1560&lt;=0.15,"11-15%",IF(J1560&lt;=0.2,"16-20%","21%+"))))</x:f>
        <x:v>21%+</x:v>
      </x:c>
      <x:c r="P1560" s="9" t="n">
        <x:f>IF(K1560=0,0,L1560/K1560)</x:f>
        <x:v>-0.0446950110499242</x:v>
      </x:c>
      <x:c r="Q1560" s="3" t="str">
        <x:f>IF(L1560&lt;0,"Yes","No")</x:f>
        <x:v>Yes</x:v>
      </x:c>
    </x:row>
    <x:row r="1561" ht="21" customHeight="1">
      <x:c r="A1561" s="3" t="str">
        <x:v>ORD-101835</x:v>
      </x:c>
      <x:c r="B1561" s="5" t="n">
        <x:v>45709</x:v>
      </x:c>
      <x:c r="C1561" s="3" t="str">
        <x:v>CUST-00591</x:v>
      </x:c>
      <x:c r="D1561" s="3" t="str">
        <x:v>East</x:v>
      </x:c>
      <x:c r="E1561" s="3" t="str">
        <x:v>Home &amp; Kitchen</x:v>
      </x:c>
      <x:c r="F1561" s="3" t="str">
        <x:v>Decor</x:v>
      </x:c>
      <x:c r="G1561" s="3" t="str">
        <x:v>LED Wall Lamp</x:v>
      </x:c>
      <x:c r="H1561" s="3" t="n">
        <x:v>2</x:v>
      </x:c>
      <x:c r="I1561" s="7" t="n">
        <x:v>982.82</x:v>
      </x:c>
      <x:c r="J1561" s="9" t="n">
        <x:v>0.1</x:v>
      </x:c>
      <x:c r="K1561" s="7" t="n">
        <x:v>1769.08</x:v>
      </x:c>
      <x:c r="L1561" s="7" t="n">
        <x:v>389.01</x:v>
      </x:c>
      <x:c r="M1561" s="3" t="str">
        <x:v>Credit Card</x:v>
      </x:c>
      <x:c r="N1561" s="3" t="str">
        <x:f>TEXT(B1561,"yyyy-mm")</x:f>
        <x:v>2025-02</x:v>
      </x:c>
      <x:c r="O1561" s="3" t="str">
        <x:f>IF(J1561=0,"No discount",IF(J1561&lt;=0.1,"1-10%",IF(J1561&lt;=0.15,"11-15%",IF(J1561&lt;=0.2,"16-20%","21%+"))))</x:f>
        <x:v>1-10%</x:v>
      </x:c>
      <x:c r="P1561" s="9" t="n">
        <x:f>IF(K1561=0,0,L1561/K1561)</x:f>
        <x:v>0.21989395618061366</x:v>
      </x:c>
      <x:c r="Q1561" s="3" t="str">
        <x:f>IF(L1561&lt;0,"Yes","No")</x:f>
        <x:v>No</x:v>
      </x:c>
    </x:row>
    <x:row r="1562" ht="21" customHeight="1">
      <x:c r="A1562" s="3" t="str">
        <x:v>ORD-101931</x:v>
      </x:c>
      <x:c r="B1562" s="5" t="n">
        <x:v>45709</x:v>
      </x:c>
      <x:c r="C1562" s="3" t="str">
        <x:v>CUST-00150</x:v>
      </x:c>
      <x:c r="D1562" s="3" t="str">
        <x:v>South</x:v>
      </x:c>
      <x:c r="E1562" s="3" t="str">
        <x:v>Beauty</x:v>
      </x:c>
      <x:c r="F1562" s="3" t="str">
        <x:v>Skincare</x:v>
      </x:c>
      <x:c r="G1562" s="3" t="str">
        <x:v>Vitamin C Serum</x:v>
      </x:c>
      <x:c r="H1562" s="3" t="n">
        <x:v>1</x:v>
      </x:c>
      <x:c r="I1562" s="7" t="n">
        <x:v>905.31</x:v>
      </x:c>
      <x:c r="J1562" s="9" t="n">
        <x:v>0.05</x:v>
      </x:c>
      <x:c r="K1562" s="7" t="n">
        <x:v>860.04</x:v>
      </x:c>
      <x:c r="L1562" s="7" t="n">
        <x:v>445.46</x:v>
      </x:c>
      <x:c r="M1562" s="3" t="str">
        <x:v>Cash on Delivery</x:v>
      </x:c>
      <x:c r="N1562" s="3" t="str">
        <x:f>TEXT(B1562,"yyyy-mm")</x:f>
        <x:v>2025-02</x:v>
      </x:c>
      <x:c r="O1562" s="3" t="str">
        <x:f>IF(J1562=0,"No discount",IF(J1562&lt;=0.1,"1-10%",IF(J1562&lt;=0.15,"11-15%",IF(J1562&lt;=0.2,"16-20%","21%+"))))</x:f>
        <x:v>1-10%</x:v>
      </x:c>
      <x:c r="P1562" s="9" t="n">
        <x:f>IF(K1562=0,0,L1562/K1562)</x:f>
        <x:v>0.5179526533649598</x:v>
      </x:c>
      <x:c r="Q1562" s="3" t="str">
        <x:f>IF(L1562&lt;0,"Yes","No")</x:f>
        <x:v>No</x:v>
      </x:c>
    </x:row>
    <x:row r="1563" ht="21" customHeight="1">
      <x:c r="A1563" s="3" t="str">
        <x:v>ORD-100055</x:v>
      </x:c>
      <x:c r="B1563" s="5" t="n">
        <x:v>45710</x:v>
      </x:c>
      <x:c r="C1563" s="3" t="str">
        <x:v>CUST-00482</x:v>
      </x:c>
      <x:c r="D1563" s="3" t="str">
        <x:v>South</x:v>
      </x:c>
      <x:c r="E1563" s="3" t="str">
        <x:v>Beauty</x:v>
      </x:c>
      <x:c r="F1563" s="3" t="str">
        <x:v>Skincare</x:v>
      </x:c>
      <x:c r="G1563" s="3" t="str">
        <x:v>Vitamin C Serum</x:v>
      </x:c>
      <x:c r="H1563" s="3" t="n">
        <x:v>2</x:v>
      </x:c>
      <x:c r="I1563" s="7" t="n">
        <x:v>861.35</x:v>
      </x:c>
      <x:c r="J1563" s="9" t="n">
        <x:v>0</x:v>
      </x:c>
      <x:c r="K1563" s="7" t="n">
        <x:v>1722.7</x:v>
      </x:c>
      <x:c r="L1563" s="7" t="n">
        <x:v>911.63</x:v>
      </x:c>
      <x:c r="M1563" s="3" t="str">
        <x:v>UPI</x:v>
      </x:c>
      <x:c r="N1563" s="3" t="str">
        <x:f>TEXT(B1563,"yyyy-mm")</x:f>
        <x:v>2025-02</x:v>
      </x:c>
      <x:c r="O1563" s="3" t="str">
        <x:f>IF(J1563=0,"No discount",IF(J1563&lt;=0.1,"1-10%",IF(J1563&lt;=0.15,"11-15%",IF(J1563&lt;=0.2,"16-20%","21%+"))))</x:f>
        <x:v>No discount</x:v>
      </x:c>
      <x:c r="P1563" s="9" t="n">
        <x:f>IF(K1563=0,0,L1563/K1563)</x:f>
        <x:v>0.5291867417426134</x:v>
      </x:c>
      <x:c r="Q1563" s="3" t="str">
        <x:f>IF(L1563&lt;0,"Yes","No")</x:f>
        <x:v>No</x:v>
      </x:c>
    </x:row>
    <x:row r="1564" ht="21" customHeight="1">
      <x:c r="A1564" s="3" t="str">
        <x:v>ORD-100839</x:v>
      </x:c>
      <x:c r="B1564" s="5" t="n">
        <x:v>45710</x:v>
      </x:c>
      <x:c r="C1564" s="3" t="str">
        <x:v>CUST-00152</x:v>
      </x:c>
      <x:c r="D1564" s="3" t="str">
        <x:v>South</x:v>
      </x:c>
      <x:c r="E1564" s="3" t="str">
        <x:v>Beauty</x:v>
      </x:c>
      <x:c r="F1564" s="3" t="str">
        <x:v>Skincare</x:v>
      </x:c>
      <x:c r="G1564" s="3" t="str">
        <x:v>HydraBoost Moisturizer</x:v>
      </x:c>
      <x:c r="H1564" s="3" t="n">
        <x:v>2</x:v>
      </x:c>
      <x:c r="I1564" s="7" t="n">
        <x:v>1211.65</x:v>
      </x:c>
      <x:c r="J1564" s="9" t="n">
        <x:v>0.1</x:v>
      </x:c>
      <x:c r="K1564" s="7" t="n">
        <x:v>2180.97</x:v>
      </x:c>
      <x:c r="L1564" s="7" t="n">
        <x:v>1000.34</x:v>
      </x:c>
      <x:c r="M1564" s="3" t="str">
        <x:v>UPI</x:v>
      </x:c>
      <x:c r="N1564" s="3" t="str">
        <x:f>TEXT(B1564,"yyyy-mm")</x:f>
        <x:v>2025-02</x:v>
      </x:c>
      <x:c r="O1564" s="3" t="str">
        <x:f>IF(J1564=0,"No discount",IF(J1564&lt;=0.1,"1-10%",IF(J1564&lt;=0.15,"11-15%",IF(J1564&lt;=0.2,"16-20%","21%+"))))</x:f>
        <x:v>1-10%</x:v>
      </x:c>
      <x:c r="P1564" s="9" t="n">
        <x:f>IF(K1564=0,0,L1564/K1564)</x:f>
        <x:v>0.458667473647047</x:v>
      </x:c>
      <x:c r="Q1564" s="3" t="str">
        <x:f>IF(L1564&lt;0,"Yes","No")</x:f>
        <x:v>No</x:v>
      </x:c>
    </x:row>
    <x:row r="1565" ht="21" customHeight="1">
      <x:c r="A1565" s="3" t="str">
        <x:v>ORD-101024</x:v>
      </x:c>
      <x:c r="B1565" s="5" t="n">
        <x:v>45710</x:v>
      </x:c>
      <x:c r="C1565" s="3" t="str">
        <x:v>CUST-00315</x:v>
      </x:c>
      <x:c r="D1565" s="3" t="str">
        <x:v>North</x:v>
      </x:c>
      <x:c r="E1565" s="3" t="str">
        <x:v>Sports</x:v>
      </x:c>
      <x:c r="F1565" s="3" t="str">
        <x:v>Outdoor</x:v>
      </x:c>
      <x:c r="G1565" s="3" t="str">
        <x:v>AllWeather Tent 4P</x:v>
      </x:c>
      <x:c r="H1565" s="3" t="n">
        <x:v>1</x:v>
      </x:c>
      <x:c r="I1565" s="7" t="n">
        <x:v>12266.95</x:v>
      </x:c>
      <x:c r="J1565" s="9" t="n">
        <x:v>0.05</x:v>
      </x:c>
      <x:c r="K1565" s="7" t="n">
        <x:v>11653.6</x:v>
      </x:c>
      <x:c r="L1565" s="7" t="n">
        <x:v>3484.11</x:v>
      </x:c>
      <x:c r="M1565" s="3" t="str">
        <x:v>UPI</x:v>
      </x:c>
      <x:c r="N1565" s="3" t="str">
        <x:f>TEXT(B1565,"yyyy-mm")</x:f>
        <x:v>2025-02</x:v>
      </x:c>
      <x:c r="O1565" s="3" t="str">
        <x:f>IF(J1565=0,"No discount",IF(J1565&lt;=0.1,"1-10%",IF(J1565&lt;=0.15,"11-15%",IF(J1565&lt;=0.2,"16-20%","21%+"))))</x:f>
        <x:v>1-10%</x:v>
      </x:c>
      <x:c r="P1565" s="9" t="n">
        <x:f>IF(K1565=0,0,L1565/K1565)</x:f>
        <x:v>0.2989728495915425</x:v>
      </x:c>
      <x:c r="Q1565" s="3" t="str">
        <x:f>IF(L1565&lt;0,"Yes","No")</x:f>
        <x:v>No</x:v>
      </x:c>
    </x:row>
    <x:row r="1566" ht="21" customHeight="1">
      <x:c r="A1566" s="3" t="str">
        <x:v>ORD-100856</x:v>
      </x:c>
      <x:c r="B1566" s="5" t="n">
        <x:v>45711</x:v>
      </x:c>
      <x:c r="C1566" s="3" t="str">
        <x:v>CUST-00171</x:v>
      </x:c>
      <x:c r="D1566" s="3" t="str">
        <x:v>West</x:v>
      </x:c>
      <x:c r="E1566" s="3" t="str">
        <x:v>Sports</x:v>
      </x:c>
      <x:c r="F1566" s="3" t="str">
        <x:v>Outdoor</x:v>
      </x:c>
      <x:c r="G1566" s="3" t="str">
        <x:v>AllWeather Tent 4P</x:v>
      </x:c>
      <x:c r="H1566" s="3" t="n">
        <x:v>4</x:v>
      </x:c>
      <x:c r="I1566" s="7" t="n">
        <x:v>12272.8</x:v>
      </x:c>
      <x:c r="J1566" s="9" t="n">
        <x:v>0</x:v>
      </x:c>
      <x:c r="K1566" s="7" t="n">
        <x:v>49091.2</x:v>
      </x:c>
      <x:c r="L1566" s="7" t="n">
        <x:v>18025.67</x:v>
      </x:c>
      <x:c r="M1566" s="3" t="str">
        <x:v>UPI</x:v>
      </x:c>
      <x:c r="N1566" s="3" t="str">
        <x:f>TEXT(B1566,"yyyy-mm")</x:f>
        <x:v>2025-02</x:v>
      </x:c>
      <x:c r="O1566" s="3" t="str">
        <x:f>IF(J1566=0,"No discount",IF(J1566&lt;=0.1,"1-10%",IF(J1566&lt;=0.15,"11-15%",IF(J1566&lt;=0.2,"16-20%","21%+"))))</x:f>
        <x:v>No discount</x:v>
      </x:c>
      <x:c r="P1566" s="9" t="n">
        <x:f>IF(K1566=0,0,L1566/K1566)</x:f>
        <x:v>0.3671873981487517</x:v>
      </x:c>
      <x:c r="Q1566" s="3" t="str">
        <x:f>IF(L1566&lt;0,"Yes","No")</x:f>
        <x:v>No</x:v>
      </x:c>
    </x:row>
    <x:row r="1567" ht="21" customHeight="1">
      <x:c r="A1567" s="3" t="str">
        <x:v>ORD-100066</x:v>
      </x:c>
      <x:c r="B1567" s="5" t="n">
        <x:v>45712</x:v>
      </x:c>
      <x:c r="C1567" s="3" t="str">
        <x:v>CUST-00485</x:v>
      </x:c>
      <x:c r="D1567" s="3" t="str">
        <x:v>East</x:v>
      </x:c>
      <x:c r="E1567" s="3" t="str">
        <x:v>Home &amp; Kitchen</x:v>
      </x:c>
      <x:c r="F1567" s="3" t="str">
        <x:v>Decor</x:v>
      </x:c>
      <x:c r="G1567" s="3" t="str">
        <x:v>LED Wall Lamp</x:v>
      </x:c>
      <x:c r="H1567" s="3" t="n">
        <x:v>1</x:v>
      </x:c>
      <x:c r="I1567" s="7" t="n">
        <x:v>967.9</x:v>
      </x:c>
      <x:c r="J1567" s="9" t="n">
        <x:v>0.05</x:v>
      </x:c>
      <x:c r="K1567" s="7" t="n">
        <x:v>919.5</x:v>
      </x:c>
      <x:c r="L1567" s="7" t="n">
        <x:v>265.09</x:v>
      </x:c>
      <x:c r="M1567" s="3" t="str">
        <x:v>UPI</x:v>
      </x:c>
      <x:c r="N1567" s="3" t="str">
        <x:f>TEXT(B1567,"yyyy-mm")</x:f>
        <x:v>2025-02</x:v>
      </x:c>
      <x:c r="O1567" s="3" t="str">
        <x:f>IF(J1567=0,"No discount",IF(J1567&lt;=0.1,"1-10%",IF(J1567&lt;=0.15,"11-15%",IF(J1567&lt;=0.2,"16-20%","21%+"))))</x:f>
        <x:v>1-10%</x:v>
      </x:c>
      <x:c r="P1567" s="9" t="n">
        <x:f>IF(K1567=0,0,L1567/K1567)</x:f>
        <x:v>0.2882979880369766</x:v>
      </x:c>
      <x:c r="Q1567" s="3" t="str">
        <x:f>IF(L1567&lt;0,"Yes","No")</x:f>
        <x:v>No</x:v>
      </x:c>
    </x:row>
    <x:row r="1568" ht="21" customHeight="1">
      <x:c r="A1568" s="3" t="str">
        <x:v>ORD-100109</x:v>
      </x:c>
      <x:c r="B1568" s="5" t="n">
        <x:v>45712</x:v>
      </x:c>
      <x:c r="C1568" s="3" t="str">
        <x:v>CUST-00244</x:v>
      </x:c>
      <x:c r="D1568" s="3" t="str">
        <x:v>North</x:v>
      </x:c>
      <x:c r="E1568" s="3" t="str">
        <x:v>Beauty</x:v>
      </x:c>
      <x:c r="F1568" s="3" t="str">
        <x:v>Makeup</x:v>
      </x:c>
      <x:c r="G1568" s="3" t="str">
        <x:v>Matte Lipstick Set</x:v>
      </x:c>
      <x:c r="H1568" s="3" t="n">
        <x:v>1</x:v>
      </x:c>
      <x:c r="I1568" s="7" t="n">
        <x:v>1026.08</x:v>
      </x:c>
      <x:c r="J1568" s="9" t="n">
        <x:v>0.2</x:v>
      </x:c>
      <x:c r="K1568" s="7" t="n">
        <x:v>820.86</x:v>
      </x:c>
      <x:c r="L1568" s="7" t="n">
        <x:v>282.97</x:v>
      </x:c>
      <x:c r="M1568" s="3" t="str">
        <x:v>Credit Card</x:v>
      </x:c>
      <x:c r="N1568" s="3" t="str">
        <x:f>TEXT(B1568,"yyyy-mm")</x:f>
        <x:v>2025-02</x:v>
      </x:c>
      <x:c r="O1568" s="3" t="str">
        <x:f>IF(J1568=0,"No discount",IF(J1568&lt;=0.1,"1-10%",IF(J1568&lt;=0.15,"11-15%",IF(J1568&lt;=0.2,"16-20%","21%+"))))</x:f>
        <x:v>16-20%</x:v>
      </x:c>
      <x:c r="P1568" s="9" t="n">
        <x:f>IF(K1568=0,0,L1568/K1568)</x:f>
        <x:v>0.34472382623102604</x:v>
      </x:c>
      <x:c r="Q1568" s="3" t="str">
        <x:f>IF(L1568&lt;0,"Yes","No")</x:f>
        <x:v>No</x:v>
      </x:c>
    </x:row>
    <x:row r="1569" ht="21" customHeight="1">
      <x:c r="A1569" s="3" t="str">
        <x:v>ORD-100974</x:v>
      </x:c>
      <x:c r="B1569" s="5" t="n">
        <x:v>45712</x:v>
      </x:c>
      <x:c r="C1569" s="3" t="str">
        <x:v>CUST-00493</x:v>
      </x:c>
      <x:c r="D1569" s="3" t="str">
        <x:v>East</x:v>
      </x:c>
      <x:c r="E1569" s="3" t="str">
        <x:v>Electronics</x:v>
      </x:c>
      <x:c r="F1569" s="3" t="str">
        <x:v>Mobile</x:v>
      </x:c>
      <x:c r="G1569" s="3" t="str">
        <x:v>Pixel Aura 12</x:v>
      </x:c>
      <x:c r="H1569" s="3" t="n">
        <x:v>2</x:v>
      </x:c>
      <x:c r="I1569" s="7" t="n">
        <x:v>32037.92</x:v>
      </x:c>
      <x:c r="J1569" s="9" t="n">
        <x:v>0.1</x:v>
      </x:c>
      <x:c r="K1569" s="7" t="n">
        <x:v>57668.26</x:v>
      </x:c>
      <x:c r="L1569" s="7" t="n">
        <x:v>4825.5</x:v>
      </x:c>
      <x:c r="M1569" s="3" t="str">
        <x:v>UPI</x:v>
      </x:c>
      <x:c r="N1569" s="3" t="str">
        <x:f>TEXT(B1569,"yyyy-mm")</x:f>
        <x:v>2025-02</x:v>
      </x:c>
      <x:c r="O1569" s="3" t="str">
        <x:f>IF(J1569=0,"No discount",IF(J1569&lt;=0.1,"1-10%",IF(J1569&lt;=0.15,"11-15%",IF(J1569&lt;=0.2,"16-20%","21%+"))))</x:f>
        <x:v>1-10%</x:v>
      </x:c>
      <x:c r="P1569" s="9" t="n">
        <x:f>IF(K1569=0,0,L1569/K1569)</x:f>
        <x:v>0.08367687875444828</x:v>
      </x:c>
      <x:c r="Q1569" s="3" t="str">
        <x:f>IF(L1569&lt;0,"Yes","No")</x:f>
        <x:v>No</x:v>
      </x:c>
    </x:row>
    <x:row r="1570" ht="21" customHeight="1">
      <x:c r="A1570" s="3" t="str">
        <x:v>ORD-101670</x:v>
      </x:c>
      <x:c r="B1570" s="5" t="n">
        <x:v>45712</x:v>
      </x:c>
      <x:c r="C1570" s="3" t="str">
        <x:v>CUST-00266</x:v>
      </x:c>
      <x:c r="D1570" s="3" t="str">
        <x:v>West</x:v>
      </x:c>
      <x:c r="E1570" s="3" t="str">
        <x:v>Electronics</x:v>
      </x:c>
      <x:c r="F1570" s="3" t="str">
        <x:v>Laptop</x:v>
      </x:c>
      <x:c r="G1570" s="3" t="str">
        <x:v>AirBook Slim</x:v>
      </x:c>
      <x:c r="H1570" s="3" t="n">
        <x:v>2</x:v>
      </x:c>
      <x:c r="I1570" s="7" t="n">
        <x:v>80368.03</x:v>
      </x:c>
      <x:c r="J1570" s="9" t="n">
        <x:v>0.2</x:v>
      </x:c>
      <x:c r="K1570" s="7" t="n">
        <x:v>128588.85</x:v>
      </x:c>
      <x:c r="L1570" s="7" t="n">
        <x:v>-9458.11</x:v>
      </x:c>
      <x:c r="M1570" s="3" t="str">
        <x:v>UPI</x:v>
      </x:c>
      <x:c r="N1570" s="3" t="str">
        <x:f>TEXT(B1570,"yyyy-mm")</x:f>
        <x:v>2025-02</x:v>
      </x:c>
      <x:c r="O1570" s="3" t="str">
        <x:f>IF(J1570=0,"No discount",IF(J1570&lt;=0.1,"1-10%",IF(J1570&lt;=0.15,"11-15%",IF(J1570&lt;=0.2,"16-20%","21%+"))))</x:f>
        <x:v>16-20%</x:v>
      </x:c>
      <x:c r="P1570" s="9" t="n">
        <x:f>IF(K1570=0,0,L1570/K1570)</x:f>
        <x:v>-0.0735531113311924</x:v>
      </x:c>
      <x:c r="Q1570" s="3" t="str">
        <x:f>IF(L1570&lt;0,"Yes","No")</x:f>
        <x:v>Yes</x:v>
      </x:c>
    </x:row>
    <x:row r="1571" ht="21" customHeight="1">
      <x:c r="A1571" s="3" t="str">
        <x:v>ORD-101897</x:v>
      </x:c>
      <x:c r="B1571" s="5" t="n">
        <x:v>45712</x:v>
      </x:c>
      <x:c r="C1571" s="3" t="str">
        <x:v>CUST-00452</x:v>
      </x:c>
      <x:c r="D1571" s="3" t="str">
        <x:v>East</x:v>
      </x:c>
      <x:c r="E1571" s="3" t="str">
        <x:v>Home &amp; Kitchen</x:v>
      </x:c>
      <x:c r="F1571" s="3" t="str">
        <x:v>Decor</x:v>
      </x:c>
      <x:c r="G1571" s="3" t="str">
        <x:v>Ceramic Vase Set</x:v>
      </x:c>
      <x:c r="H1571" s="3" t="n">
        <x:v>5</x:v>
      </x:c>
      <x:c r="I1571" s="7" t="n">
        <x:v>1497.35</x:v>
      </x:c>
      <x:c r="J1571" s="9" t="n">
        <x:v>0.25</x:v>
      </x:c>
      <x:c r="K1571" s="7" t="n">
        <x:v>5615.06</x:v>
      </x:c>
      <x:c r="L1571" s="7" t="n">
        <x:v>388.86</x:v>
      </x:c>
      <x:c r="M1571" s="3" t="str">
        <x:v>UPI</x:v>
      </x:c>
      <x:c r="N1571" s="3" t="str">
        <x:f>TEXT(B1571,"yyyy-mm")</x:f>
        <x:v>2025-02</x:v>
      </x:c>
      <x:c r="O1571" s="3" t="str">
        <x:f>IF(J1571=0,"No discount",IF(J1571&lt;=0.1,"1-10%",IF(J1571&lt;=0.15,"11-15%",IF(J1571&lt;=0.2,"16-20%","21%+"))))</x:f>
        <x:v>21%+</x:v>
      </x:c>
      <x:c r="P1571" s="9" t="n">
        <x:f>IF(K1571=0,0,L1571/K1571)</x:f>
        <x:v>0.06925304449106509</x:v>
      </x:c>
      <x:c r="Q1571" s="3" t="str">
        <x:f>IF(L1571&lt;0,"Yes","No")</x:f>
        <x:v>No</x:v>
      </x:c>
    </x:row>
    <x:row r="1572" ht="21" customHeight="1">
      <x:c r="A1572" s="3" t="str">
        <x:v>ORD-101862</x:v>
      </x:c>
      <x:c r="B1572" s="5" t="n">
        <x:v>45713</x:v>
      </x:c>
      <x:c r="C1572" s="3" t="str">
        <x:v>CUST-00061</x:v>
      </x:c>
      <x:c r="D1572" s="3" t="str">
        <x:v>North</x:v>
      </x:c>
      <x:c r="E1572" s="3" t="str">
        <x:v>Beauty</x:v>
      </x:c>
      <x:c r="F1572" s="3" t="str">
        <x:v>Makeup</x:v>
      </x:c>
      <x:c r="G1572" s="3" t="str">
        <x:v>Matte Lipstick Set</x:v>
      </x:c>
      <x:c r="H1572" s="3" t="n">
        <x:v>1</x:v>
      </x:c>
      <x:c r="I1572" s="7" t="n">
        <x:v>1000.19</x:v>
      </x:c>
      <x:c r="J1572" s="9" t="n">
        <x:v>0.15</x:v>
      </x:c>
      <x:c r="K1572" s="7" t="n">
        <x:v>850.16</x:v>
      </x:c>
      <x:c r="L1572" s="7" t="n">
        <x:v>339.84</x:v>
      </x:c>
      <x:c r="M1572" s="3" t="str">
        <x:v>UPI</x:v>
      </x:c>
      <x:c r="N1572" s="3" t="str">
        <x:f>TEXT(B1572,"yyyy-mm")</x:f>
        <x:v>2025-02</x:v>
      </x:c>
      <x:c r="O1572" s="3" t="str">
        <x:f>IF(J1572=0,"No discount",IF(J1572&lt;=0.1,"1-10%",IF(J1572&lt;=0.15,"11-15%",IF(J1572&lt;=0.2,"16-20%","21%+"))))</x:f>
        <x:v>11-15%</x:v>
      </x:c>
      <x:c r="P1572" s="9" t="n">
        <x:f>IF(K1572=0,0,L1572/K1572)</x:f>
        <x:v>0.39973652018443584</x:v>
      </x:c>
      <x:c r="Q1572" s="3" t="str">
        <x:f>IF(L1572&lt;0,"Yes","No")</x:f>
        <x:v>No</x:v>
      </x:c>
    </x:row>
    <x:row r="1573" ht="21" customHeight="1">
      <x:c r="A1573" s="3" t="str">
        <x:v>ORD-100172</x:v>
      </x:c>
      <x:c r="B1573" s="5" t="n">
        <x:v>45714</x:v>
      </x:c>
      <x:c r="C1573" s="3" t="str">
        <x:v>CUST-00237</x:v>
      </x:c>
      <x:c r="D1573" s="3" t="str">
        <x:v>South</x:v>
      </x:c>
      <x:c r="E1573" s="3" t="str">
        <x:v>Fashion</x:v>
      </x:c>
      <x:c r="F1573" s="3" t="str">
        <x:v>Men</x:v>
      </x:c>
      <x:c r="G1573" s="3" t="str">
        <x:v>Oxford Casual Shirt</x:v>
      </x:c>
      <x:c r="H1573" s="3" t="n">
        <x:v>1</x:v>
      </x:c>
      <x:c r="I1573" s="7" t="n">
        <x:v>1362.69</x:v>
      </x:c>
      <x:c r="J1573" s="9" t="n">
        <x:v>0.2</x:v>
      </x:c>
      <x:c r="K1573" s="7" t="n">
        <x:v>1090.15</x:v>
      </x:c>
      <x:c r="L1573" s="7" t="n">
        <x:v>247.01</x:v>
      </x:c>
      <x:c r="M1573" s="3" t="str">
        <x:v>Debit Card</x:v>
      </x:c>
      <x:c r="N1573" s="3" t="str">
        <x:f>TEXT(B1573,"yyyy-mm")</x:f>
        <x:v>2025-02</x:v>
      </x:c>
      <x:c r="O1573" s="3" t="str">
        <x:f>IF(J1573=0,"No discount",IF(J1573&lt;=0.1,"1-10%",IF(J1573&lt;=0.15,"11-15%",IF(J1573&lt;=0.2,"16-20%","21%+"))))</x:f>
        <x:v>16-20%</x:v>
      </x:c>
      <x:c r="P1573" s="9" t="n">
        <x:f>IF(K1573=0,0,L1573/K1573)</x:f>
        <x:v>0.22658349768380495</x:v>
      </x:c>
      <x:c r="Q1573" s="3" t="str">
        <x:f>IF(L1573&lt;0,"Yes","No")</x:f>
        <x:v>No</x:v>
      </x:c>
    </x:row>
    <x:row r="1574" ht="21" customHeight="1">
      <x:c r="A1574" s="3" t="str">
        <x:v>ORD-101025</x:v>
      </x:c>
      <x:c r="B1574" s="5" t="n">
        <x:v>45714</x:v>
      </x:c>
      <x:c r="C1574" s="3" t="str">
        <x:v>CUST-00223</x:v>
      </x:c>
      <x:c r="D1574" s="3" t="str">
        <x:v>West</x:v>
      </x:c>
      <x:c r="E1574" s="3" t="str">
        <x:v>Fashion</x:v>
      </x:c>
      <x:c r="F1574" s="3" t="str">
        <x:v>Women</x:v>
      </x:c>
      <x:c r="G1574" s="3" t="str">
        <x:v>Floral Summer Dress</x:v>
      </x:c>
      <x:c r="H1574" s="3" t="n">
        <x:v>1</x:v>
      </x:c>
      <x:c r="I1574" s="7" t="n">
        <x:v>1790.42</x:v>
      </x:c>
      <x:c r="J1574" s="9" t="n">
        <x:v>0.1</x:v>
      </x:c>
      <x:c r="K1574" s="7" t="n">
        <x:v>1611.38</x:v>
      </x:c>
      <x:c r="L1574" s="7" t="n">
        <x:v>543.64</x:v>
      </x:c>
      <x:c r="M1574" s="3" t="str">
        <x:v>Net Banking</x:v>
      </x:c>
      <x:c r="N1574" s="3" t="str">
        <x:f>TEXT(B1574,"yyyy-mm")</x:f>
        <x:v>2025-02</x:v>
      </x:c>
      <x:c r="O1574" s="3" t="str">
        <x:f>IF(J1574=0,"No discount",IF(J1574&lt;=0.1,"1-10%",IF(J1574&lt;=0.15,"11-15%",IF(J1574&lt;=0.2,"16-20%","21%+"))))</x:f>
        <x:v>1-10%</x:v>
      </x:c>
      <x:c r="P1574" s="9" t="n">
        <x:f>IF(K1574=0,0,L1574/K1574)</x:f>
        <x:v>0.3373754173441398</x:v>
      </x:c>
      <x:c r="Q1574" s="3" t="str">
        <x:f>IF(L1574&lt;0,"Yes","No")</x:f>
        <x:v>No</x:v>
      </x:c>
    </x:row>
    <x:row r="1575" ht="21" customHeight="1">
      <x:c r="A1575" s="3" t="str">
        <x:v>ORD-101123</x:v>
      </x:c>
      <x:c r="B1575" s="5" t="n">
        <x:v>45714</x:v>
      </x:c>
      <x:c r="C1575" s="3" t="str">
        <x:v>CUST-00307</x:v>
      </x:c>
      <x:c r="D1575" s="3" t="str">
        <x:v>West</x:v>
      </x:c>
      <x:c r="E1575" s="3" t="str">
        <x:v>Fashion</x:v>
      </x:c>
      <x:c r="F1575" s="3" t="str">
        <x:v>Footwear</x:v>
      </x:c>
      <x:c r="G1575" s="3" t="str">
        <x:v>UrbanLoafers</x:v>
      </x:c>
      <x:c r="H1575" s="3" t="n">
        <x:v>1</x:v>
      </x:c>
      <x:c r="I1575" s="7" t="n">
        <x:v>3349.74</x:v>
      </x:c>
      <x:c r="J1575" s="9" t="n">
        <x:v>0</x:v>
      </x:c>
      <x:c r="K1575" s="7" t="n">
        <x:v>3349.74</x:v>
      </x:c>
      <x:c r="L1575" s="7" t="n">
        <x:v>1539.46</x:v>
      </x:c>
      <x:c r="M1575" s="3" t="str">
        <x:v>UPI</x:v>
      </x:c>
      <x:c r="N1575" s="3" t="str">
        <x:f>TEXT(B1575,"yyyy-mm")</x:f>
        <x:v>2025-02</x:v>
      </x:c>
      <x:c r="O1575" s="3" t="str">
        <x:f>IF(J1575=0,"No discount",IF(J1575&lt;=0.1,"1-10%",IF(J1575&lt;=0.15,"11-15%",IF(J1575&lt;=0.2,"16-20%","21%+"))))</x:f>
        <x:v>No discount</x:v>
      </x:c>
      <x:c r="P1575" s="9" t="n">
        <x:f>IF(K1575=0,0,L1575/K1575)</x:f>
        <x:v>0.45957596708998316</x:v>
      </x:c>
      <x:c r="Q1575" s="3" t="str">
        <x:f>IF(L1575&lt;0,"Yes","No")</x:f>
        <x:v>No</x:v>
      </x:c>
    </x:row>
    <x:row r="1576" ht="21" customHeight="1">
      <x:c r="A1576" s="3" t="str">
        <x:v>ORD-101295</x:v>
      </x:c>
      <x:c r="B1576" s="5" t="n">
        <x:v>45714</x:v>
      </x:c>
      <x:c r="C1576" s="3" t="str">
        <x:v>CUST-00130</x:v>
      </x:c>
      <x:c r="D1576" s="3" t="str">
        <x:v>South</x:v>
      </x:c>
      <x:c r="E1576" s="3" t="str">
        <x:v>Electronics</x:v>
      </x:c>
      <x:c r="F1576" s="3" t="str">
        <x:v>Mobile</x:v>
      </x:c>
      <x:c r="G1576" s="3" t="str">
        <x:v>iPhone Zeta</x:v>
      </x:c>
      <x:c r="H1576" s="3" t="n">
        <x:v>2</x:v>
      </x:c>
      <x:c r="I1576" s="7" t="n">
        <x:v>71549.81</x:v>
      </x:c>
      <x:c r="J1576" s="9" t="n">
        <x:v>0.05</x:v>
      </x:c>
      <x:c r="K1576" s="7" t="n">
        <x:v>135944.64</x:v>
      </x:c>
      <x:c r="L1576" s="7" t="n">
        <x:v>12143.92</x:v>
      </x:c>
      <x:c r="M1576" s="3" t="str">
        <x:v>Credit Card</x:v>
      </x:c>
      <x:c r="N1576" s="3" t="str">
        <x:f>TEXT(B1576,"yyyy-mm")</x:f>
        <x:v>2025-02</x:v>
      </x:c>
      <x:c r="O1576" s="3" t="str">
        <x:f>IF(J1576=0,"No discount",IF(J1576&lt;=0.1,"1-10%",IF(J1576&lt;=0.15,"11-15%",IF(J1576&lt;=0.2,"16-20%","21%+"))))</x:f>
        <x:v>1-10%</x:v>
      </x:c>
      <x:c r="P1576" s="9" t="n">
        <x:f>IF(K1576=0,0,L1576/K1576)</x:f>
        <x:v>0.08932989193248074</x:v>
      </x:c>
      <x:c r="Q1576" s="3" t="str">
        <x:f>IF(L1576&lt;0,"Yes","No")</x:f>
        <x:v>No</x:v>
      </x:c>
    </x:row>
    <x:row r="1577" ht="21" customHeight="1">
      <x:c r="A1577" s="3" t="str">
        <x:v>ORD-101374</x:v>
      </x:c>
      <x:c r="B1577" s="5" t="n">
        <x:v>45714</x:v>
      </x:c>
      <x:c r="C1577" s="3" t="str">
        <x:v>CUST-00264</x:v>
      </x:c>
      <x:c r="D1577" s="3" t="str">
        <x:v>South</x:v>
      </x:c>
      <x:c r="E1577" s="3" t="str">
        <x:v>Beauty</x:v>
      </x:c>
      <x:c r="F1577" s="3" t="str">
        <x:v>Makeup</x:v>
      </x:c>
      <x:c r="G1577" s="3" t="str">
        <x:v>HD Foundation Kit</x:v>
      </x:c>
      <x:c r="H1577" s="3" t="n">
        <x:v>1</x:v>
      </x:c>
      <x:c r="I1577" s="7" t="n">
        <x:v>1543.59</x:v>
      </x:c>
      <x:c r="J1577" s="9" t="n">
        <x:v>0.1</x:v>
      </x:c>
      <x:c r="K1577" s="7" t="n">
        <x:v>1389.23</x:v>
      </x:c>
      <x:c r="L1577" s="7" t="n">
        <x:v>606.75</x:v>
      </x:c>
      <x:c r="M1577" s="3" t="str">
        <x:v>Credit Card</x:v>
      </x:c>
      <x:c r="N1577" s="3" t="str">
        <x:f>TEXT(B1577,"yyyy-mm")</x:f>
        <x:v>2025-02</x:v>
      </x:c>
      <x:c r="O1577" s="3" t="str">
        <x:f>IF(J1577=0,"No discount",IF(J1577&lt;=0.1,"1-10%",IF(J1577&lt;=0.15,"11-15%",IF(J1577&lt;=0.2,"16-20%","21%+"))))</x:f>
        <x:v>1-10%</x:v>
      </x:c>
      <x:c r="P1577" s="9" t="n">
        <x:f>IF(K1577=0,0,L1577/K1577)</x:f>
        <x:v>0.43675273352864535</x:v>
      </x:c>
      <x:c r="Q1577" s="3" t="str">
        <x:f>IF(L1577&lt;0,"Yes","No")</x:f>
        <x:v>No</x:v>
      </x:c>
    </x:row>
    <x:row r="1578" ht="21" customHeight="1">
      <x:c r="A1578" s="3" t="str">
        <x:v>ORD-100349</x:v>
      </x:c>
      <x:c r="B1578" s="5" t="n">
        <x:v>45715</x:v>
      </x:c>
      <x:c r="C1578" s="3" t="str">
        <x:v>CUST-00024</x:v>
      </x:c>
      <x:c r="D1578" s="3" t="str">
        <x:v>North</x:v>
      </x:c>
      <x:c r="E1578" s="3" t="str">
        <x:v>Sports</x:v>
      </x:c>
      <x:c r="F1578" s="3" t="str">
        <x:v>Fitness</x:v>
      </x:c>
      <x:c r="G1578" s="3" t="str">
        <x:v>ProYoga Mat</x:v>
      </x:c>
      <x:c r="H1578" s="3" t="n">
        <x:v>1</x:v>
      </x:c>
      <x:c r="I1578" s="7" t="n">
        <x:v>1275.21</x:v>
      </x:c>
      <x:c r="J1578" s="9" t="n">
        <x:v>0</x:v>
      </x:c>
      <x:c r="K1578" s="7" t="n">
        <x:v>1275.21</x:v>
      </x:c>
      <x:c r="L1578" s="7" t="n">
        <x:v>463.29</x:v>
      </x:c>
      <x:c r="M1578" s="3" t="str">
        <x:v>Credit Card</x:v>
      </x:c>
      <x:c r="N1578" s="3" t="str">
        <x:f>TEXT(B1578,"yyyy-mm")</x:f>
        <x:v>2025-02</x:v>
      </x:c>
      <x:c r="O1578" s="3" t="str">
        <x:f>IF(J1578=0,"No discount",IF(J1578&lt;=0.1,"1-10%",IF(J1578&lt;=0.15,"11-15%",IF(J1578&lt;=0.2,"16-20%","21%+"))))</x:f>
        <x:v>No discount</x:v>
      </x:c>
      <x:c r="P1578" s="9" t="n">
        <x:f>IF(K1578=0,0,L1578/K1578)</x:f>
        <x:v>0.3633048674335992</x:v>
      </x:c>
      <x:c r="Q1578" s="3" t="str">
        <x:f>IF(L1578&lt;0,"Yes","No")</x:f>
        <x:v>No</x:v>
      </x:c>
    </x:row>
    <x:row r="1579" ht="21" customHeight="1">
      <x:c r="A1579" s="3" t="str">
        <x:v>ORD-100112</x:v>
      </x:c>
      <x:c r="B1579" s="5" t="n">
        <x:v>45716</x:v>
      </x:c>
      <x:c r="C1579" s="3" t="str">
        <x:v>CUST-00515</x:v>
      </x:c>
      <x:c r="D1579" s="3" t="str">
        <x:v>West</x:v>
      </x:c>
      <x:c r="E1579" s="3" t="str">
        <x:v>Home &amp; Kitchen</x:v>
      </x:c>
      <x:c r="F1579" s="3" t="str">
        <x:v>Decor</x:v>
      </x:c>
      <x:c r="G1579" s="3" t="str">
        <x:v>Ceramic Vase Set</x:v>
      </x:c>
      <x:c r="H1579" s="3" t="n">
        <x:v>3</x:v>
      </x:c>
      <x:c r="I1579" s="7" t="n">
        <x:v>1560.53</x:v>
      </x:c>
      <x:c r="J1579" s="9" t="n">
        <x:v>0</x:v>
      </x:c>
      <x:c r="K1579" s="7" t="n">
        <x:v>4681.59</x:v>
      </x:c>
      <x:c r="L1579" s="7" t="n">
        <x:v>1663.54</x:v>
      </x:c>
      <x:c r="M1579" s="3" t="str">
        <x:v>Cash on Delivery</x:v>
      </x:c>
      <x:c r="N1579" s="3" t="str">
        <x:f>TEXT(B1579,"yyyy-mm")</x:f>
        <x:v>2025-02</x:v>
      </x:c>
      <x:c r="O1579" s="3" t="str">
        <x:f>IF(J1579=0,"No discount",IF(J1579&lt;=0.1,"1-10%",IF(J1579&lt;=0.15,"11-15%",IF(J1579&lt;=0.2,"16-20%","21%+"))))</x:f>
        <x:v>No discount</x:v>
      </x:c>
      <x:c r="P1579" s="9" t="n">
        <x:f>IF(K1579=0,0,L1579/K1579)</x:f>
        <x:v>0.35533654164503936</x:v>
      </x:c>
      <x:c r="Q1579" s="3" t="str">
        <x:f>IF(L1579&lt;0,"Yes","No")</x:f>
        <x:v>No</x:v>
      </x:c>
    </x:row>
    <x:row r="1580" ht="21" customHeight="1">
      <x:c r="A1580" s="3" t="str">
        <x:v>ORD-100752</x:v>
      </x:c>
      <x:c r="B1580" s="5" t="n">
        <x:v>45716</x:v>
      </x:c>
      <x:c r="C1580" s="3" t="str">
        <x:v>CUST-00027</x:v>
      </x:c>
      <x:c r="D1580" s="3" t="str">
        <x:v>West</x:v>
      </x:c>
      <x:c r="E1580" s="3" t="str">
        <x:v>Fashion</x:v>
      </x:c>
      <x:c r="F1580" s="3" t="str">
        <x:v>Footwear</x:v>
      </x:c>
      <x:c r="G1580" s="3" t="str">
        <x:v>UrbanLoafers</x:v>
      </x:c>
      <x:c r="H1580" s="3" t="n">
        <x:v>1</x:v>
      </x:c>
      <x:c r="I1580" s="7" t="n">
        <x:v>3431.61</x:v>
      </x:c>
      <x:c r="J1580" s="9" t="n">
        <x:v>0.1</x:v>
      </x:c>
      <x:c r="K1580" s="7" t="n">
        <x:v>3088.45</x:v>
      </x:c>
      <x:c r="L1580" s="7" t="n">
        <x:v>1041.47</x:v>
      </x:c>
      <x:c r="M1580" s="3" t="str">
        <x:v>Credit Card</x:v>
      </x:c>
      <x:c r="N1580" s="3" t="str">
        <x:f>TEXT(B1580,"yyyy-mm")</x:f>
        <x:v>2025-02</x:v>
      </x:c>
      <x:c r="O1580" s="3" t="str">
        <x:f>IF(J1580=0,"No discount",IF(J1580&lt;=0.1,"1-10%",IF(J1580&lt;=0.15,"11-15%",IF(J1580&lt;=0.2,"16-20%","21%+"))))</x:f>
        <x:v>1-10%</x:v>
      </x:c>
      <x:c r="P1580" s="9" t="n">
        <x:f>IF(K1580=0,0,L1580/K1580)</x:f>
        <x:v>0.3372144603279963</x:v>
      </x:c>
      <x:c r="Q1580" s="3" t="str">
        <x:f>IF(L1580&lt;0,"Yes","No")</x:f>
        <x:v>No</x:v>
      </x:c>
    </x:row>
    <x:row r="1581" ht="21" customHeight="1">
      <x:c r="A1581" s="3" t="str">
        <x:v>ORD-101211</x:v>
      </x:c>
      <x:c r="B1581" s="5" t="n">
        <x:v>45716</x:v>
      </x:c>
      <x:c r="C1581" s="3" t="str">
        <x:v>CUST-00131</x:v>
      </x:c>
      <x:c r="D1581" s="3" t="str">
        <x:v>East</x:v>
      </x:c>
      <x:c r="E1581" s="3" t="str">
        <x:v>Sports</x:v>
      </x:c>
      <x:c r="F1581" s="3" t="str">
        <x:v>Fitness</x:v>
      </x:c>
      <x:c r="G1581" s="3" t="str">
        <x:v>ProYoga Mat</x:v>
      </x:c>
      <x:c r="H1581" s="3" t="n">
        <x:v>4</x:v>
      </x:c>
      <x:c r="I1581" s="7" t="n">
        <x:v>1237.5</x:v>
      </x:c>
      <x:c r="J1581" s="9" t="n">
        <x:v>0</x:v>
      </x:c>
      <x:c r="K1581" s="7" t="n">
        <x:v>4950</x:v>
      </x:c>
      <x:c r="L1581" s="7" t="n">
        <x:v>2004.03</x:v>
      </x:c>
      <x:c r="M1581" s="3" t="str">
        <x:v>UPI</x:v>
      </x:c>
      <x:c r="N1581" s="3" t="str">
        <x:f>TEXT(B1581,"yyyy-mm")</x:f>
        <x:v>2025-02</x:v>
      </x:c>
      <x:c r="O1581" s="3" t="str">
        <x:f>IF(J1581=0,"No discount",IF(J1581&lt;=0.1,"1-10%",IF(J1581&lt;=0.15,"11-15%",IF(J1581&lt;=0.2,"16-20%","21%+"))))</x:f>
        <x:v>No discount</x:v>
      </x:c>
      <x:c r="P1581" s="9" t="n">
        <x:f>IF(K1581=0,0,L1581/K1581)</x:f>
        <x:v>0.40485454545454547</x:v>
      </x:c>
      <x:c r="Q1581" s="3" t="str">
        <x:f>IF(L1581&lt;0,"Yes","No")</x:f>
        <x:v>No</x:v>
      </x:c>
    </x:row>
    <x:row r="1582" ht="21" customHeight="1">
      <x:c r="A1582" s="3" t="str">
        <x:v>ORD-101686</x:v>
      </x:c>
      <x:c r="B1582" s="5" t="n">
        <x:v>45716</x:v>
      </x:c>
      <x:c r="C1582" s="3" t="str">
        <x:v>CUST-00174</x:v>
      </x:c>
      <x:c r="D1582" s="3" t="str">
        <x:v>South</x:v>
      </x:c>
      <x:c r="E1582" s="3" t="str">
        <x:v>Sports</x:v>
      </x:c>
      <x:c r="F1582" s="3" t="str">
        <x:v>Outdoor</x:v>
      </x:c>
      <x:c r="G1582" s="3" t="str">
        <x:v>TrailHike Backpack 60L</x:v>
      </x:c>
      <x:c r="H1582" s="3" t="n">
        <x:v>1</x:v>
      </x:c>
      <x:c r="I1582" s="7" t="n">
        <x:v>3533.22</x:v>
      </x:c>
      <x:c r="J1582" s="9" t="n">
        <x:v>0.05</x:v>
      </x:c>
      <x:c r="K1582" s="7" t="n">
        <x:v>3356.56</x:v>
      </x:c>
      <x:c r="L1582" s="7" t="n">
        <x:v>1170.15</x:v>
      </x:c>
      <x:c r="M1582" s="3" t="str">
        <x:v>Debit Card</x:v>
      </x:c>
      <x:c r="N1582" s="3" t="str">
        <x:f>TEXT(B1582,"yyyy-mm")</x:f>
        <x:v>2025-02</x:v>
      </x:c>
      <x:c r="O1582" s="3" t="str">
        <x:f>IF(J1582=0,"No discount",IF(J1582&lt;=0.1,"1-10%",IF(J1582&lt;=0.15,"11-15%",IF(J1582&lt;=0.2,"16-20%","21%+"))))</x:f>
        <x:v>1-10%</x:v>
      </x:c>
      <x:c r="P1582" s="9" t="n">
        <x:f>IF(K1582=0,0,L1582/K1582)</x:f>
        <x:v>0.34861584479347907</x:v>
      </x:c>
      <x:c r="Q1582" s="3" t="str">
        <x:f>IF(L1582&lt;0,"Yes","No")</x:f>
        <x:v>No</x:v>
      </x:c>
    </x:row>
    <x:row r="1583" ht="21" customHeight="1">
      <x:c r="A1583" s="3" t="str">
        <x:v>ORD-100216</x:v>
      </x:c>
      <x:c r="B1583" s="5" t="n">
        <x:v>45717</x:v>
      </x:c>
      <x:c r="C1583" s="3" t="str">
        <x:v>CUST-00412</x:v>
      </x:c>
      <x:c r="D1583" s="3" t="str">
        <x:v>East</x:v>
      </x:c>
      <x:c r="E1583" s="3" t="str">
        <x:v>Electronics</x:v>
      </x:c>
      <x:c r="F1583" s="3" t="str">
        <x:v>Laptop</x:v>
      </x:c>
      <x:c r="G1583" s="3" t="str">
        <x:v>ThinkPro 14</x:v>
      </x:c>
      <x:c r="H1583" s="3" t="n">
        <x:v>1</x:v>
      </x:c>
      <x:c r="I1583" s="7" t="n">
        <x:v>56590.07</x:v>
      </x:c>
      <x:c r="J1583" s="9" t="n">
        <x:v>0</x:v>
      </x:c>
      <x:c r="K1583" s="7" t="n">
        <x:v>56590.07</x:v>
      </x:c>
      <x:c r="L1583" s="7" t="n">
        <x:v>10216.14</x:v>
      </x:c>
      <x:c r="M1583" s="3" t="str">
        <x:v>Credit Card</x:v>
      </x:c>
      <x:c r="N1583" s="3" t="str">
        <x:f>TEXT(B1583,"yyyy-mm")</x:f>
        <x:v>2025-03</x:v>
      </x:c>
      <x:c r="O1583" s="3" t="str">
        <x:f>IF(J1583=0,"No discount",IF(J1583&lt;=0.1,"1-10%",IF(J1583&lt;=0.15,"11-15%",IF(J1583&lt;=0.2,"16-20%","21%+"))))</x:f>
        <x:v>No discount</x:v>
      </x:c>
      <x:c r="P1583" s="9" t="n">
        <x:f>IF(K1583=0,0,L1583/K1583)</x:f>
        <x:v>0.18052884543171618</x:v>
      </x:c>
      <x:c r="Q1583" s="3" t="str">
        <x:f>IF(L1583&lt;0,"Yes","No")</x:f>
        <x:v>No</x:v>
      </x:c>
    </x:row>
    <x:row r="1584" ht="21" customHeight="1">
      <x:c r="A1584" s="3" t="str">
        <x:v>ORD-100634</x:v>
      </x:c>
      <x:c r="B1584" s="5" t="n">
        <x:v>45717</x:v>
      </x:c>
      <x:c r="C1584" s="3" t="str">
        <x:v>CUST-00335</x:v>
      </x:c>
      <x:c r="D1584" s="3" t="str">
        <x:v>North</x:v>
      </x:c>
      <x:c r="E1584" s="3" t="str">
        <x:v>Home &amp; Kitchen</x:v>
      </x:c>
      <x:c r="F1584" s="3" t="str">
        <x:v>Furniture</x:v>
      </x:c>
      <x:c r="G1584" s="3" t="str">
        <x:v>Oakwood Study Desk</x:v>
      </x:c>
      <x:c r="H1584" s="3" t="n">
        <x:v>1</x:v>
      </x:c>
      <x:c r="I1584" s="7" t="n">
        <x:v>13384.97</x:v>
      </x:c>
      <x:c r="J1584" s="9" t="n">
        <x:v>0.2</x:v>
      </x:c>
      <x:c r="K1584" s="7" t="n">
        <x:v>10707.98</x:v>
      </x:c>
      <x:c r="L1584" s="7" t="n">
        <x:v>1353.87</x:v>
      </x:c>
      <x:c r="M1584" s="3" t="str">
        <x:v>UPI</x:v>
      </x:c>
      <x:c r="N1584" s="3" t="str">
        <x:f>TEXT(B1584,"yyyy-mm")</x:f>
        <x:v>2025-03</x:v>
      </x:c>
      <x:c r="O1584" s="3" t="str">
        <x:f>IF(J1584=0,"No discount",IF(J1584&lt;=0.1,"1-10%",IF(J1584&lt;=0.15,"11-15%",IF(J1584&lt;=0.2,"16-20%","21%+"))))</x:f>
        <x:v>16-20%</x:v>
      </x:c>
      <x:c r="P1584" s="9" t="n">
        <x:f>IF(K1584=0,0,L1584/K1584)</x:f>
        <x:v>0.12643561157193045</x:v>
      </x:c>
      <x:c r="Q1584" s="3" t="str">
        <x:f>IF(L1584&lt;0,"Yes","No")</x:f>
        <x:v>No</x:v>
      </x:c>
    </x:row>
    <x:row r="1585" ht="21" customHeight="1">
      <x:c r="A1585" s="3" t="str">
        <x:v>ORD-101680</x:v>
      </x:c>
      <x:c r="B1585" s="5" t="n">
        <x:v>45717</x:v>
      </x:c>
      <x:c r="C1585" s="3" t="str">
        <x:v>CUST-00425</x:v>
      </x:c>
      <x:c r="D1585" s="3" t="str">
        <x:v>West</x:v>
      </x:c>
      <x:c r="E1585" s="3" t="str">
        <x:v>Sports</x:v>
      </x:c>
      <x:c r="F1585" s="3" t="str">
        <x:v>Fitness</x:v>
      </x:c>
      <x:c r="G1585" s="3" t="str">
        <x:v>Adjustable Dumbbell 24kg</x:v>
      </x:c>
      <x:c r="H1585" s="3" t="n">
        <x:v>2</x:v>
      </x:c>
      <x:c r="I1585" s="7" t="n">
        <x:v>10251.42</x:v>
      </x:c>
      <x:c r="J1585" s="9" t="n">
        <x:v>0</x:v>
      </x:c>
      <x:c r="K1585" s="7" t="n">
        <x:v>20502.84</x:v>
      </x:c>
      <x:c r="L1585" s="7" t="n">
        <x:v>8354.07</x:v>
      </x:c>
      <x:c r="M1585" s="3" t="str">
        <x:v>UPI</x:v>
      </x:c>
      <x:c r="N1585" s="3" t="str">
        <x:f>TEXT(B1585,"yyyy-mm")</x:f>
        <x:v>2025-03</x:v>
      </x:c>
      <x:c r="O1585" s="3" t="str">
        <x:f>IF(J1585=0,"No discount",IF(J1585&lt;=0.1,"1-10%",IF(J1585&lt;=0.15,"11-15%",IF(J1585&lt;=0.2,"16-20%","21%+"))))</x:f>
        <x:v>No discount</x:v>
      </x:c>
      <x:c r="P1585" s="9" t="n">
        <x:f>IF(K1585=0,0,L1585/K1585)</x:f>
        <x:v>0.40745916175515196</x:v>
      </x:c>
      <x:c r="Q1585" s="3" t="str">
        <x:f>IF(L1585&lt;0,"Yes","No")</x:f>
        <x:v>No</x:v>
      </x:c>
    </x:row>
    <x:row r="1586" ht="21" customHeight="1">
      <x:c r="A1586" s="3" t="str">
        <x:v>ORD-101810</x:v>
      </x:c>
      <x:c r="B1586" s="5" t="n">
        <x:v>45717</x:v>
      </x:c>
      <x:c r="C1586" s="3" t="str">
        <x:v>CUST-00080</x:v>
      </x:c>
      <x:c r="D1586" s="3" t="str">
        <x:v>North</x:v>
      </x:c>
      <x:c r="E1586" s="3" t="str">
        <x:v>Beauty</x:v>
      </x:c>
      <x:c r="F1586" s="3" t="str">
        <x:v>Makeup</x:v>
      </x:c>
      <x:c r="G1586" s="3" t="str">
        <x:v>Matte Lipstick Set</x:v>
      </x:c>
      <x:c r="H1586" s="3" t="n">
        <x:v>1</x:v>
      </x:c>
      <x:c r="I1586" s="7" t="n">
        <x:v>990.57</x:v>
      </x:c>
      <x:c r="J1586" s="9" t="n">
        <x:v>0.2</x:v>
      </x:c>
      <x:c r="K1586" s="7" t="n">
        <x:v>792.46</x:v>
      </x:c>
      <x:c r="L1586" s="7" t="n">
        <x:v>250.57</x:v>
      </x:c>
      <x:c r="M1586" s="3" t="str">
        <x:v>Debit Card</x:v>
      </x:c>
      <x:c r="N1586" s="3" t="str">
        <x:f>TEXT(B1586,"yyyy-mm")</x:f>
        <x:v>2025-03</x:v>
      </x:c>
      <x:c r="O1586" s="3" t="str">
        <x:f>IF(J1586=0,"No discount",IF(J1586&lt;=0.1,"1-10%",IF(J1586&lt;=0.15,"11-15%",IF(J1586&lt;=0.2,"16-20%","21%+"))))</x:f>
        <x:v>16-20%</x:v>
      </x:c>
      <x:c r="P1586" s="9" t="n">
        <x:f>IF(K1586=0,0,L1586/K1586)</x:f>
        <x:v>0.31619261540014637</x:v>
      </x:c>
      <x:c r="Q1586" s="3" t="str">
        <x:f>IF(L1586&lt;0,"Yes","No")</x:f>
        <x:v>No</x:v>
      </x:c>
    </x:row>
    <x:row r="1587" ht="21" customHeight="1">
      <x:c r="A1587" s="3" t="str">
        <x:v>ORD-100726</x:v>
      </x:c>
      <x:c r="B1587" s="5" t="n">
        <x:v>45718</x:v>
      </x:c>
      <x:c r="C1587" s="3" t="str">
        <x:v>CUST-00187</x:v>
      </x:c>
      <x:c r="D1587" s="3" t="str">
        <x:v>North</x:v>
      </x:c>
      <x:c r="E1587" s="3" t="str">
        <x:v>Beauty</x:v>
      </x:c>
      <x:c r="F1587" s="3" t="str">
        <x:v>Skincare</x:v>
      </x:c>
      <x:c r="G1587" s="3" t="str">
        <x:v>HydraBoost Moisturizer</x:v>
      </x:c>
      <x:c r="H1587" s="3" t="n">
        <x:v>3</x:v>
      </x:c>
      <x:c r="I1587" s="7" t="n">
        <x:v>1142.67</x:v>
      </x:c>
      <x:c r="J1587" s="9" t="n">
        <x:v>0.2</x:v>
      </x:c>
      <x:c r="K1587" s="7" t="n">
        <x:v>2742.41</x:v>
      </x:c>
      <x:c r="L1587" s="7" t="n">
        <x:v>848.01</x:v>
      </x:c>
      <x:c r="M1587" s="3" t="str">
        <x:v>UPI</x:v>
      </x:c>
      <x:c r="N1587" s="3" t="str">
        <x:f>TEXT(B1587,"yyyy-mm")</x:f>
        <x:v>2025-03</x:v>
      </x:c>
      <x:c r="O1587" s="3" t="str">
        <x:f>IF(J1587=0,"No discount",IF(J1587&lt;=0.1,"1-10%",IF(J1587&lt;=0.15,"11-15%",IF(J1587&lt;=0.2,"16-20%","21%+"))))</x:f>
        <x:v>16-20%</x:v>
      </x:c>
      <x:c r="P1587" s="9" t="n">
        <x:f>IF(K1587=0,0,L1587/K1587)</x:f>
        <x:v>0.3092207219197713</x:v>
      </x:c>
      <x:c r="Q1587" s="3" t="str">
        <x:f>IF(L1587&lt;0,"Yes","No")</x:f>
        <x:v>No</x:v>
      </x:c>
    </x:row>
    <x:row r="1588" ht="21" customHeight="1">
      <x:c r="A1588" s="3" t="str">
        <x:v>ORD-101152</x:v>
      </x:c>
      <x:c r="B1588" s="5" t="n">
        <x:v>45718</x:v>
      </x:c>
      <x:c r="C1588" s="3" t="str">
        <x:v>CUST-00314</x:v>
      </x:c>
      <x:c r="D1588" s="3" t="str">
        <x:v>North</x:v>
      </x:c>
      <x:c r="E1588" s="3" t="str">
        <x:v>Fashion</x:v>
      </x:c>
      <x:c r="F1588" s="3" t="str">
        <x:v>Women</x:v>
      </x:c>
      <x:c r="G1588" s="3" t="str">
        <x:v>Floral Summer Dress</x:v>
      </x:c>
      <x:c r="H1588" s="3" t="n">
        <x:v>1</x:v>
      </x:c>
      <x:c r="I1588" s="7" t="n">
        <x:v>1881.51</x:v>
      </x:c>
      <x:c r="J1588" s="9" t="n">
        <x:v>0.05</x:v>
      </x:c>
      <x:c r="K1588" s="7" t="n">
        <x:v>1787.43</x:v>
      </x:c>
      <x:c r="L1588" s="7" t="n">
        <x:v>691.18</x:v>
      </x:c>
      <x:c r="M1588" s="3" t="str">
        <x:v>Debit Card</x:v>
      </x:c>
      <x:c r="N1588" s="3" t="str">
        <x:f>TEXT(B1588,"yyyy-mm")</x:f>
        <x:v>2025-03</x:v>
      </x:c>
      <x:c r="O1588" s="3" t="str">
        <x:f>IF(J1588=0,"No discount",IF(J1588&lt;=0.1,"1-10%",IF(J1588&lt;=0.15,"11-15%",IF(J1588&lt;=0.2,"16-20%","21%+"))))</x:f>
        <x:v>1-10%</x:v>
      </x:c>
      <x:c r="P1588" s="9" t="n">
        <x:f>IF(K1588=0,0,L1588/K1588)</x:f>
        <x:v>0.3866892689503924</x:v>
      </x:c>
      <x:c r="Q1588" s="3" t="str">
        <x:f>IF(L1588&lt;0,"Yes","No")</x:f>
        <x:v>No</x:v>
      </x:c>
    </x:row>
    <x:row r="1589" ht="21" customHeight="1">
      <x:c r="A1589" s="3" t="str">
        <x:v>ORD-101264</x:v>
      </x:c>
      <x:c r="B1589" s="5" t="n">
        <x:v>45718</x:v>
      </x:c>
      <x:c r="C1589" s="3" t="str">
        <x:v>CUST-00333</x:v>
      </x:c>
      <x:c r="D1589" s="3" t="str">
        <x:v>West</x:v>
      </x:c>
      <x:c r="E1589" s="3" t="str">
        <x:v>Fashion</x:v>
      </x:c>
      <x:c r="F1589" s="3" t="str">
        <x:v>Footwear</x:v>
      </x:c>
      <x:c r="G1589" s="3" t="str">
        <x:v>UrbanLoafers</x:v>
      </x:c>
      <x:c r="H1589" s="3" t="n">
        <x:v>1</x:v>
      </x:c>
      <x:c r="I1589" s="7" t="n">
        <x:v>3651.27</x:v>
      </x:c>
      <x:c r="J1589" s="9" t="n">
        <x:v>0.2</x:v>
      </x:c>
      <x:c r="K1589" s="7" t="n">
        <x:v>2921.02</x:v>
      </x:c>
      <x:c r="L1589" s="7" t="n">
        <x:v>568.41</x:v>
      </x:c>
      <x:c r="M1589" s="3" t="str">
        <x:v>Debit Card</x:v>
      </x:c>
      <x:c r="N1589" s="3" t="str">
        <x:f>TEXT(B1589,"yyyy-mm")</x:f>
        <x:v>2025-03</x:v>
      </x:c>
      <x:c r="O1589" s="3" t="str">
        <x:f>IF(J1589=0,"No discount",IF(J1589&lt;=0.1,"1-10%",IF(J1589&lt;=0.15,"11-15%",IF(J1589&lt;=0.2,"16-20%","21%+"))))</x:f>
        <x:v>16-20%</x:v>
      </x:c>
      <x:c r="P1589" s="9" t="n">
        <x:f>IF(K1589=0,0,L1589/K1589)</x:f>
        <x:v>0.19459298464235095</x:v>
      </x:c>
      <x:c r="Q1589" s="3" t="str">
        <x:f>IF(L1589&lt;0,"Yes","No")</x:f>
        <x:v>No</x:v>
      </x:c>
    </x:row>
    <x:row r="1590" ht="21" customHeight="1">
      <x:c r="A1590" s="3" t="str">
        <x:v>ORD-101413</x:v>
      </x:c>
      <x:c r="B1590" s="5" t="n">
        <x:v>45718</x:v>
      </x:c>
      <x:c r="C1590" s="3" t="str">
        <x:v>CUST-00310</x:v>
      </x:c>
      <x:c r="D1590" s="3" t="str">
        <x:v>North</x:v>
      </x:c>
      <x:c r="E1590" s="3" t="str">
        <x:v>Beauty</x:v>
      </x:c>
      <x:c r="F1590" s="3" t="str">
        <x:v>Makeup</x:v>
      </x:c>
      <x:c r="G1590" s="3" t="str">
        <x:v>HD Foundation Kit</x:v>
      </x:c>
      <x:c r="H1590" s="3" t="n">
        <x:v>1</x:v>
      </x:c>
      <x:c r="I1590" s="7" t="n">
        <x:v>1568.75</x:v>
      </x:c>
      <x:c r="J1590" s="9" t="n">
        <x:v>0</x:v>
      </x:c>
      <x:c r="K1590" s="7" t="n">
        <x:v>1568.75</x:v>
      </x:c>
      <x:c r="L1590" s="7" t="n">
        <x:v>849.2</x:v>
      </x:c>
      <x:c r="M1590" s="3" t="str">
        <x:v>UPI</x:v>
      </x:c>
      <x:c r="N1590" s="3" t="str">
        <x:f>TEXT(B1590,"yyyy-mm")</x:f>
        <x:v>2025-03</x:v>
      </x:c>
      <x:c r="O1590" s="3" t="str">
        <x:f>IF(J1590=0,"No discount",IF(J1590&lt;=0.1,"1-10%",IF(J1590&lt;=0.15,"11-15%",IF(J1590&lt;=0.2,"16-20%","21%+"))))</x:f>
        <x:v>No discount</x:v>
      </x:c>
      <x:c r="P1590" s="9" t="n">
        <x:f>IF(K1590=0,0,L1590/K1590)</x:f>
        <x:v>0.5413227091633467</x:v>
      </x:c>
      <x:c r="Q1590" s="3" t="str">
        <x:f>IF(L1590&lt;0,"Yes","No")</x:f>
        <x:v>No</x:v>
      </x:c>
    </x:row>
    <x:row r="1591" ht="21" customHeight="1">
      <x:c r="A1591" s="3" t="str">
        <x:v>ORD-100170</x:v>
      </x:c>
      <x:c r="B1591" s="5" t="n">
        <x:v>45719</x:v>
      </x:c>
      <x:c r="C1591" s="3" t="str">
        <x:v>CUST-00201</x:v>
      </x:c>
      <x:c r="D1591" s="3" t="str">
        <x:v>West</x:v>
      </x:c>
      <x:c r="E1591" s="3" t="str">
        <x:v>Home &amp; Kitchen</x:v>
      </x:c>
      <x:c r="F1591" s="3" t="str">
        <x:v>Decor</x:v>
      </x:c>
      <x:c r="G1591" s="3" t="str">
        <x:v>Ceramic Vase Set</x:v>
      </x:c>
      <x:c r="H1591" s="3" t="n">
        <x:v>2</x:v>
      </x:c>
      <x:c r="I1591" s="7" t="n">
        <x:v>1445.92</x:v>
      </x:c>
      <x:c r="J1591" s="9" t="n">
        <x:v>0</x:v>
      </x:c>
      <x:c r="K1591" s="7" t="n">
        <x:v>2891.84</x:v>
      </x:c>
      <x:c r="L1591" s="7" t="n">
        <x:v>898.96</x:v>
      </x:c>
      <x:c r="M1591" s="3" t="str">
        <x:v>Credit Card</x:v>
      </x:c>
      <x:c r="N1591" s="3" t="str">
        <x:f>TEXT(B1591,"yyyy-mm")</x:f>
        <x:v>2025-03</x:v>
      </x:c>
      <x:c r="O1591" s="3" t="str">
        <x:f>IF(J1591=0,"No discount",IF(J1591&lt;=0.1,"1-10%",IF(J1591&lt;=0.15,"11-15%",IF(J1591&lt;=0.2,"16-20%","21%+"))))</x:f>
        <x:v>No discount</x:v>
      </x:c>
      <x:c r="P1591" s="9" t="n">
        <x:f>IF(K1591=0,0,L1591/K1591)</x:f>
        <x:v>0.31086090516764414</x:v>
      </x:c>
      <x:c r="Q1591" s="3" t="str">
        <x:f>IF(L1591&lt;0,"Yes","No")</x:f>
        <x:v>No</x:v>
      </x:c>
    </x:row>
    <x:row r="1592" ht="21" customHeight="1">
      <x:c r="A1592" s="3" t="str">
        <x:v>ORD-100905</x:v>
      </x:c>
      <x:c r="B1592" s="5" t="n">
        <x:v>45719</x:v>
      </x:c>
      <x:c r="C1592" s="3" t="str">
        <x:v>CUST-00333</x:v>
      </x:c>
      <x:c r="D1592" s="3" t="str">
        <x:v>North</x:v>
      </x:c>
      <x:c r="E1592" s="3" t="str">
        <x:v>Beauty</x:v>
      </x:c>
      <x:c r="F1592" s="3" t="str">
        <x:v>Makeup</x:v>
      </x:c>
      <x:c r="G1592" s="3" t="str">
        <x:v>HD Foundation Kit</x:v>
      </x:c>
      <x:c r="H1592" s="3" t="n">
        <x:v>1</x:v>
      </x:c>
      <x:c r="I1592" s="7" t="n">
        <x:v>1539</x:v>
      </x:c>
      <x:c r="J1592" s="9" t="n">
        <x:v>0.1</x:v>
      </x:c>
      <x:c r="K1592" s="7" t="n">
        <x:v>1385.1</x:v>
      </x:c>
      <x:c r="L1592" s="7" t="n">
        <x:v>549.72</x:v>
      </x:c>
      <x:c r="M1592" s="3" t="str">
        <x:v>UPI</x:v>
      </x:c>
      <x:c r="N1592" s="3" t="str">
        <x:f>TEXT(B1592,"yyyy-mm")</x:f>
        <x:v>2025-03</x:v>
      </x:c>
      <x:c r="O1592" s="3" t="str">
        <x:f>IF(J1592=0,"No discount",IF(J1592&lt;=0.1,"1-10%",IF(J1592&lt;=0.15,"11-15%",IF(J1592&lt;=0.2,"16-20%","21%+"))))</x:f>
        <x:v>1-10%</x:v>
      </x:c>
      <x:c r="P1592" s="9" t="n">
        <x:f>IF(K1592=0,0,L1592/K1592)</x:f>
        <x:v>0.3968810916179338</x:v>
      </x:c>
      <x:c r="Q1592" s="3" t="str">
        <x:f>IF(L1592&lt;0,"Yes","No")</x:f>
        <x:v>No</x:v>
      </x:c>
    </x:row>
    <x:row r="1593" ht="21" customHeight="1">
      <x:c r="A1593" s="3" t="str">
        <x:v>ORD-101492</x:v>
      </x:c>
      <x:c r="B1593" s="5" t="n">
        <x:v>45719</x:v>
      </x:c>
      <x:c r="C1593" s="3" t="str">
        <x:v>CUST-00412</x:v>
      </x:c>
      <x:c r="D1593" s="3" t="str">
        <x:v>South</x:v>
      </x:c>
      <x:c r="E1593" s="3" t="str">
        <x:v>Fashion</x:v>
      </x:c>
      <x:c r="F1593" s="3" t="str">
        <x:v>Men</x:v>
      </x:c>
      <x:c r="G1593" s="3" t="str">
        <x:v>SlimFit Denim Jeans</x:v>
      </x:c>
      <x:c r="H1593" s="3" t="n">
        <x:v>4</x:v>
      </x:c>
      <x:c r="I1593" s="7" t="n">
        <x:v>1914.3</x:v>
      </x:c>
      <x:c r="J1593" s="9" t="n">
        <x:v>0</x:v>
      </x:c>
      <x:c r="K1593" s="7" t="n">
        <x:v>7657.2</x:v>
      </x:c>
      <x:c r="L1593" s="7" t="n">
        <x:v>3368.67</x:v>
      </x:c>
      <x:c r="M1593" s="3" t="str">
        <x:v>Net Banking</x:v>
      </x:c>
      <x:c r="N1593" s="3" t="str">
        <x:f>TEXT(B1593,"yyyy-mm")</x:f>
        <x:v>2025-03</x:v>
      </x:c>
      <x:c r="O1593" s="3" t="str">
        <x:f>IF(J1593=0,"No discount",IF(J1593&lt;=0.1,"1-10%",IF(J1593&lt;=0.15,"11-15%",IF(J1593&lt;=0.2,"16-20%","21%+"))))</x:f>
        <x:v>No discount</x:v>
      </x:c>
      <x:c r="P1593" s="9" t="n">
        <x:f>IF(K1593=0,0,L1593/K1593)</x:f>
        <x:v>0.43993496317191666</x:v>
      </x:c>
      <x:c r="Q1593" s="3" t="str">
        <x:f>IF(L1593&lt;0,"Yes","No")</x:f>
        <x:v>No</x:v>
      </x:c>
    </x:row>
    <x:row r="1594" ht="21" customHeight="1">
      <x:c r="A1594" s="3" t="str">
        <x:v>ORD-100135</x:v>
      </x:c>
      <x:c r="B1594" s="5" t="n">
        <x:v>45720</x:v>
      </x:c>
      <x:c r="C1594" s="3" t="str">
        <x:v>CUST-00164</x:v>
      </x:c>
      <x:c r="D1594" s="3" t="str">
        <x:v>West</x:v>
      </x:c>
      <x:c r="E1594" s="3" t="str">
        <x:v>Home &amp; Kitchen</x:v>
      </x:c>
      <x:c r="F1594" s="3" t="str">
        <x:v>Furniture</x:v>
      </x:c>
      <x:c r="G1594" s="3" t="str">
        <x:v>ErgoComfort Chair</x:v>
      </x:c>
      <x:c r="H1594" s="3" t="n">
        <x:v>1</x:v>
      </x:c>
      <x:c r="I1594" s="7" t="n">
        <x:v>8675.83</x:v>
      </x:c>
      <x:c r="J1594" s="9" t="n">
        <x:v>0.05</x:v>
      </x:c>
      <x:c r="K1594" s="7" t="n">
        <x:v>8242.04</x:v>
      </x:c>
      <x:c r="L1594" s="7" t="n">
        <x:v>1949.64</x:v>
      </x:c>
      <x:c r="M1594" s="3" t="str">
        <x:v>Net Banking</x:v>
      </x:c>
      <x:c r="N1594" s="3" t="str">
        <x:f>TEXT(B1594,"yyyy-mm")</x:f>
        <x:v>2025-03</x:v>
      </x:c>
      <x:c r="O1594" s="3" t="str">
        <x:f>IF(J1594=0,"No discount",IF(J1594&lt;=0.1,"1-10%",IF(J1594&lt;=0.15,"11-15%",IF(J1594&lt;=0.2,"16-20%","21%+"))))</x:f>
        <x:v>1-10%</x:v>
      </x:c>
      <x:c r="P1594" s="9" t="n">
        <x:f>IF(K1594=0,0,L1594/K1594)</x:f>
        <x:v>0.23654823320440083</x:v>
      </x:c>
      <x:c r="Q1594" s="3" t="str">
        <x:f>IF(L1594&lt;0,"Yes","No")</x:f>
        <x:v>No</x:v>
      </x:c>
    </x:row>
    <x:row r="1595" ht="21" customHeight="1">
      <x:c r="A1595" s="3" t="str">
        <x:v>ORD-100189</x:v>
      </x:c>
      <x:c r="B1595" s="5" t="n">
        <x:v>45720</x:v>
      </x:c>
      <x:c r="C1595" s="3" t="str">
        <x:v>CUST-00369</x:v>
      </x:c>
      <x:c r="D1595" s="3" t="str">
        <x:v>South</x:v>
      </x:c>
      <x:c r="E1595" s="3" t="str">
        <x:v>Home &amp; Kitchen</x:v>
      </x:c>
      <x:c r="F1595" s="3" t="str">
        <x:v>Appliances</x:v>
      </x:c>
      <x:c r="G1595" s="3" t="str">
        <x:v>AirFryer Deluxe</x:v>
      </x:c>
      <x:c r="H1595" s="3" t="n">
        <x:v>2</x:v>
      </x:c>
      <x:c r="I1595" s="7" t="n">
        <x:v>7658.21</x:v>
      </x:c>
      <x:c r="J1595" s="9" t="n">
        <x:v>0.15</x:v>
      </x:c>
      <x:c r="K1595" s="7" t="n">
        <x:v>13018.96</x:v>
      </x:c>
      <x:c r="L1595" s="7" t="n">
        <x:v>2561.56</x:v>
      </x:c>
      <x:c r="M1595" s="3" t="str">
        <x:v>UPI</x:v>
      </x:c>
      <x:c r="N1595" s="3" t="str">
        <x:f>TEXT(B1595,"yyyy-mm")</x:f>
        <x:v>2025-03</x:v>
      </x:c>
      <x:c r="O1595" s="3" t="str">
        <x:f>IF(J1595=0,"No discount",IF(J1595&lt;=0.1,"1-10%",IF(J1595&lt;=0.15,"11-15%",IF(J1595&lt;=0.2,"16-20%","21%+"))))</x:f>
        <x:v>11-15%</x:v>
      </x:c>
      <x:c r="P1595" s="9" t="n">
        <x:f>IF(K1595=0,0,L1595/K1595)</x:f>
        <x:v>0.1967561156958774</x:v>
      </x:c>
      <x:c r="Q1595" s="3" t="str">
        <x:f>IF(L1595&lt;0,"Yes","No")</x:f>
        <x:v>No</x:v>
      </x:c>
    </x:row>
    <x:row r="1596" ht="21" customHeight="1">
      <x:c r="A1596" s="3" t="str">
        <x:v>ORD-100266</x:v>
      </x:c>
      <x:c r="B1596" s="5" t="n">
        <x:v>45720</x:v>
      </x:c>
      <x:c r="C1596" s="3" t="str">
        <x:v>CUST-00037</x:v>
      </x:c>
      <x:c r="D1596" s="3" t="str">
        <x:v>West</x:v>
      </x:c>
      <x:c r="E1596" s="3" t="str">
        <x:v>Fashion</x:v>
      </x:c>
      <x:c r="F1596" s="3" t="str">
        <x:v>Men</x:v>
      </x:c>
      <x:c r="G1596" s="3" t="str">
        <x:v>Oxford Casual Shirt</x:v>
      </x:c>
      <x:c r="H1596" s="3" t="n">
        <x:v>2</x:v>
      </x:c>
      <x:c r="I1596" s="7" t="n">
        <x:v>1327.74</x:v>
      </x:c>
      <x:c r="J1596" s="9" t="n">
        <x:v>0.1</x:v>
      </x:c>
      <x:c r="K1596" s="7" t="n">
        <x:v>2389.93</x:v>
      </x:c>
      <x:c r="L1596" s="7" t="n">
        <x:v>758.64</x:v>
      </x:c>
      <x:c r="M1596" s="3" t="str">
        <x:v>UPI</x:v>
      </x:c>
      <x:c r="N1596" s="3" t="str">
        <x:f>TEXT(B1596,"yyyy-mm")</x:f>
        <x:v>2025-03</x:v>
      </x:c>
      <x:c r="O1596" s="3" t="str">
        <x:f>IF(J1596=0,"No discount",IF(J1596&lt;=0.1,"1-10%",IF(J1596&lt;=0.15,"11-15%",IF(J1596&lt;=0.2,"16-20%","21%+"))))</x:f>
        <x:v>1-10%</x:v>
      </x:c>
      <x:c r="P1596" s="9" t="n">
        <x:f>IF(K1596=0,0,L1596/K1596)</x:f>
        <x:v>0.31743189131062416</x:v>
      </x:c>
      <x:c r="Q1596" s="3" t="str">
        <x:f>IF(L1596&lt;0,"Yes","No")</x:f>
        <x:v>No</x:v>
      </x:c>
    </x:row>
    <x:row r="1597" ht="21" customHeight="1">
      <x:c r="A1597" s="3" t="str">
        <x:v>ORD-100460</x:v>
      </x:c>
      <x:c r="B1597" s="5" t="n">
        <x:v>45720</x:v>
      </x:c>
      <x:c r="C1597" s="3" t="str">
        <x:v>CUST-00242</x:v>
      </x:c>
      <x:c r="D1597" s="3" t="str">
        <x:v>West</x:v>
      </x:c>
      <x:c r="E1597" s="3" t="str">
        <x:v>Fashion</x:v>
      </x:c>
      <x:c r="F1597" s="3" t="str">
        <x:v>Footwear</x:v>
      </x:c>
      <x:c r="G1597" s="3" t="str">
        <x:v>RunFlex Sneakers</x:v>
      </x:c>
      <x:c r="H1597" s="3" t="n">
        <x:v>2</x:v>
      </x:c>
      <x:c r="I1597" s="7" t="n">
        <x:v>3032.6</x:v>
      </x:c>
      <x:c r="J1597" s="9" t="n">
        <x:v>0.15</x:v>
      </x:c>
      <x:c r="K1597" s="7" t="n">
        <x:v>5155.42</x:v>
      </x:c>
      <x:c r="L1597" s="7" t="n">
        <x:v>1106.05</x:v>
      </x:c>
      <x:c r="M1597" s="3" t="str">
        <x:v>UPI</x:v>
      </x:c>
      <x:c r="N1597" s="3" t="str">
        <x:f>TEXT(B1597,"yyyy-mm")</x:f>
        <x:v>2025-03</x:v>
      </x:c>
      <x:c r="O1597" s="3" t="str">
        <x:f>IF(J1597=0,"No discount",IF(J1597&lt;=0.1,"1-10%",IF(J1597&lt;=0.15,"11-15%",IF(J1597&lt;=0.2,"16-20%","21%+"))))</x:f>
        <x:v>11-15%</x:v>
      </x:c>
      <x:c r="P1597" s="9" t="n">
        <x:f>IF(K1597=0,0,L1597/K1597)</x:f>
        <x:v>0.21454120129882726</x:v>
      </x:c>
      <x:c r="Q1597" s="3" t="str">
        <x:f>IF(L1597&lt;0,"Yes","No")</x:f>
        <x:v>No</x:v>
      </x:c>
    </x:row>
    <x:row r="1598" ht="21" customHeight="1">
      <x:c r="A1598" s="3" t="str">
        <x:v>ORD-101955</x:v>
      </x:c>
      <x:c r="B1598" s="5" t="n">
        <x:v>45720</x:v>
      </x:c>
      <x:c r="C1598" s="3" t="str">
        <x:v>CUST-00527</x:v>
      </x:c>
      <x:c r="D1598" s="3" t="str">
        <x:v>South</x:v>
      </x:c>
      <x:c r="E1598" s="3" t="str">
        <x:v>Beauty</x:v>
      </x:c>
      <x:c r="F1598" s="3" t="str">
        <x:v>Makeup</x:v>
      </x:c>
      <x:c r="G1598" s="3" t="str">
        <x:v>Matte Lipstick Set</x:v>
      </x:c>
      <x:c r="H1598" s="3" t="n">
        <x:v>1</x:v>
      </x:c>
      <x:c r="I1598" s="7" t="n">
        <x:v>1042.93</x:v>
      </x:c>
      <x:c r="J1598" s="9" t="n">
        <x:v>0.05</x:v>
      </x:c>
      <x:c r="K1598" s="7" t="n">
        <x:v>990.78</x:v>
      </x:c>
      <x:c r="L1598" s="7" t="n">
        <x:v>465.68</x:v>
      </x:c>
      <x:c r="M1598" s="3" t="str">
        <x:v>UPI</x:v>
      </x:c>
      <x:c r="N1598" s="3" t="str">
        <x:f>TEXT(B1598,"yyyy-mm")</x:f>
        <x:v>2025-03</x:v>
      </x:c>
      <x:c r="O1598" s="3" t="str">
        <x:f>IF(J1598=0,"No discount",IF(J1598&lt;=0.1,"1-10%",IF(J1598&lt;=0.15,"11-15%",IF(J1598&lt;=0.2,"16-20%","21%+"))))</x:f>
        <x:v>1-10%</x:v>
      </x:c>
      <x:c r="P1598" s="9" t="n">
        <x:f>IF(K1598=0,0,L1598/K1598)</x:f>
        <x:v>0.47001352469771296</x:v>
      </x:c>
      <x:c r="Q1598" s="3" t="str">
        <x:f>IF(L1598&lt;0,"Yes","No")</x:f>
        <x:v>No</x:v>
      </x:c>
    </x:row>
    <x:row r="1599" ht="21" customHeight="1">
      <x:c r="A1599" s="3" t="str">
        <x:v>ORD-100234</x:v>
      </x:c>
      <x:c r="B1599" s="5" t="n">
        <x:v>45721</x:v>
      </x:c>
      <x:c r="C1599" s="3" t="str">
        <x:v>CUST-00539</x:v>
      </x:c>
      <x:c r="D1599" s="3" t="str">
        <x:v>North</x:v>
      </x:c>
      <x:c r="E1599" s="3" t="str">
        <x:v>Fashion</x:v>
      </x:c>
      <x:c r="F1599" s="3" t="str">
        <x:v>Men</x:v>
      </x:c>
      <x:c r="G1599" s="3" t="str">
        <x:v>SlimFit Denim Jeans</x:v>
      </x:c>
      <x:c r="H1599" s="3" t="n">
        <x:v>2</x:v>
      </x:c>
      <x:c r="I1599" s="7" t="n">
        <x:v>2075.52</x:v>
      </x:c>
      <x:c r="J1599" s="9" t="n">
        <x:v>0.05</x:v>
      </x:c>
      <x:c r="K1599" s="7" t="n">
        <x:v>3943.49</x:v>
      </x:c>
      <x:c r="L1599" s="7" t="n">
        <x:v>1422.9</x:v>
      </x:c>
      <x:c r="M1599" s="3" t="str">
        <x:v>UPI</x:v>
      </x:c>
      <x:c r="N1599" s="3" t="str">
        <x:f>TEXT(B1599,"yyyy-mm")</x:f>
        <x:v>2025-03</x:v>
      </x:c>
      <x:c r="O1599" s="3" t="str">
        <x:f>IF(J1599=0,"No discount",IF(J1599&lt;=0.1,"1-10%",IF(J1599&lt;=0.15,"11-15%",IF(J1599&lt;=0.2,"16-20%","21%+"))))</x:f>
        <x:v>1-10%</x:v>
      </x:c>
      <x:c r="P1599" s="9" t="n">
        <x:f>IF(K1599=0,0,L1599/K1599)</x:f>
        <x:v>0.36082252015346816</x:v>
      </x:c>
      <x:c r="Q1599" s="3" t="str">
        <x:f>IF(L1599&lt;0,"Yes","No")</x:f>
        <x:v>No</x:v>
      </x:c>
    </x:row>
    <x:row r="1600" ht="21" customHeight="1">
      <x:c r="A1600" s="3" t="str">
        <x:v>ORD-100402</x:v>
      </x:c>
      <x:c r="B1600" s="5" t="n">
        <x:v>45721</x:v>
      </x:c>
      <x:c r="C1600" s="3" t="str">
        <x:v>CUST-00457</x:v>
      </x:c>
      <x:c r="D1600" s="3" t="str">
        <x:v>North</x:v>
      </x:c>
      <x:c r="E1600" s="3" t="str">
        <x:v>Electronics</x:v>
      </x:c>
      <x:c r="F1600" s="3" t="str">
        <x:v>Mobile</x:v>
      </x:c>
      <x:c r="G1600" s="3" t="str">
        <x:v>Pixel Aura 12</x:v>
      </x:c>
      <x:c r="H1600" s="3" t="n">
        <x:v>2</x:v>
      </x:c>
      <x:c r="I1600" s="7" t="n">
        <x:v>31844.33</x:v>
      </x:c>
      <x:c r="J1600" s="9" t="n">
        <x:v>0.1</x:v>
      </x:c>
      <x:c r="K1600" s="7" t="n">
        <x:v>57319.79</x:v>
      </x:c>
      <x:c r="L1600" s="7" t="n">
        <x:v>5417.03</x:v>
      </x:c>
      <x:c r="M1600" s="3" t="str">
        <x:v>Debit Card</x:v>
      </x:c>
      <x:c r="N1600" s="3" t="str">
        <x:f>TEXT(B1600,"yyyy-mm")</x:f>
        <x:v>2025-03</x:v>
      </x:c>
      <x:c r="O1600" s="3" t="str">
        <x:f>IF(J1600=0,"No discount",IF(J1600&lt;=0.1,"1-10%",IF(J1600&lt;=0.15,"11-15%",IF(J1600&lt;=0.2,"16-20%","21%+"))))</x:f>
        <x:v>1-10%</x:v>
      </x:c>
      <x:c r="P1600" s="9" t="n">
        <x:f>IF(K1600=0,0,L1600/K1600)</x:f>
        <x:v>0.09450540555015989</x:v>
      </x:c>
      <x:c r="Q1600" s="3" t="str">
        <x:f>IF(L1600&lt;0,"Yes","No")</x:f>
        <x:v>No</x:v>
      </x:c>
    </x:row>
    <x:row r="1601" ht="21" customHeight="1">
      <x:c r="A1601" s="3" t="str">
        <x:v>ORD-100564</x:v>
      </x:c>
      <x:c r="B1601" s="5" t="n">
        <x:v>45721</x:v>
      </x:c>
      <x:c r="C1601" s="3" t="str">
        <x:v>CUST-00567</x:v>
      </x:c>
      <x:c r="D1601" s="3" t="str">
        <x:v>South</x:v>
      </x:c>
      <x:c r="E1601" s="3" t="str">
        <x:v>Beauty</x:v>
      </x:c>
      <x:c r="F1601" s="3" t="str">
        <x:v>Skincare</x:v>
      </x:c>
      <x:c r="G1601" s="3" t="str">
        <x:v>Vitamin C Serum</x:v>
      </x:c>
      <x:c r="H1601" s="3" t="n">
        <x:v>1</x:v>
      </x:c>
      <x:c r="I1601" s="7" t="n">
        <x:v>923.49</x:v>
      </x:c>
      <x:c r="J1601" s="9" t="n">
        <x:v>0.05</x:v>
      </x:c>
      <x:c r="K1601" s="7" t="n">
        <x:v>877.32</x:v>
      </x:c>
      <x:c r="L1601" s="7" t="n">
        <x:v>427.45</x:v>
      </x:c>
      <x:c r="M1601" s="3" t="str">
        <x:v>UPI</x:v>
      </x:c>
      <x:c r="N1601" s="3" t="str">
        <x:f>TEXT(B1601,"yyyy-mm")</x:f>
        <x:v>2025-03</x:v>
      </x:c>
      <x:c r="O1601" s="3" t="str">
        <x:f>IF(J1601=0,"No discount",IF(J1601&lt;=0.1,"1-10%",IF(J1601&lt;=0.15,"11-15%",IF(J1601&lt;=0.2,"16-20%","21%+"))))</x:f>
        <x:v>1-10%</x:v>
      </x:c>
      <x:c r="P1601" s="9" t="n">
        <x:f>IF(K1601=0,0,L1601/K1601)</x:f>
        <x:v>0.48722245018921256</x:v>
      </x:c>
      <x:c r="Q1601" s="3" t="str">
        <x:f>IF(L1601&lt;0,"Yes","No")</x:f>
        <x:v>No</x:v>
      </x:c>
    </x:row>
    <x:row r="1602" ht="21" customHeight="1">
      <x:c r="A1602" s="3" t="str">
        <x:v>ORD-101178</x:v>
      </x:c>
      <x:c r="B1602" s="5" t="n">
        <x:v>45721</x:v>
      </x:c>
      <x:c r="C1602" s="3" t="str">
        <x:v>CUST-00002</x:v>
      </x:c>
      <x:c r="D1602" s="3" t="str">
        <x:v>South</x:v>
      </x:c>
      <x:c r="E1602" s="3" t="str">
        <x:v>Home &amp; Kitchen</x:v>
      </x:c>
      <x:c r="F1602" s="3" t="str">
        <x:v>Furniture</x:v>
      </x:c>
      <x:c r="G1602" s="3" t="str">
        <x:v>Oakwood Study Desk</x:v>
      </x:c>
      <x:c r="H1602" s="3" t="n">
        <x:v>2</x:v>
      </x:c>
      <x:c r="I1602" s="7" t="n">
        <x:v>12353.43</x:v>
      </x:c>
      <x:c r="J1602" s="9" t="n">
        <x:v>0.3</x:v>
      </x:c>
      <x:c r="K1602" s="7" t="n">
        <x:v>17294.8</x:v>
      </x:c>
      <x:c r="L1602" s="7" t="n">
        <x:v>375.12</x:v>
      </x:c>
      <x:c r="M1602" s="3" t="str">
        <x:v>Credit Card</x:v>
      </x:c>
      <x:c r="N1602" s="3" t="str">
        <x:f>TEXT(B1602,"yyyy-mm")</x:f>
        <x:v>2025-03</x:v>
      </x:c>
      <x:c r="O1602" s="3" t="str">
        <x:f>IF(J1602=0,"No discount",IF(J1602&lt;=0.1,"1-10%",IF(J1602&lt;=0.15,"11-15%",IF(J1602&lt;=0.2,"16-20%","21%+"))))</x:f>
        <x:v>21%+</x:v>
      </x:c>
      <x:c r="P1602" s="9" t="n">
        <x:f>IF(K1602=0,0,L1602/K1602)</x:f>
        <x:v>0.02168975645858871</x:v>
      </x:c>
      <x:c r="Q1602" s="3" t="str">
        <x:f>IF(L1602&lt;0,"Yes","No")</x:f>
        <x:v>No</x:v>
      </x:c>
    </x:row>
    <x:row r="1603" ht="21" customHeight="1">
      <x:c r="A1603" s="3" t="str">
        <x:v>ORD-100750</x:v>
      </x:c>
      <x:c r="B1603" s="5" t="n">
        <x:v>45722</x:v>
      </x:c>
      <x:c r="C1603" s="3" t="str">
        <x:v>CUST-00466</x:v>
      </x:c>
      <x:c r="D1603" s="3" t="str">
        <x:v>South</x:v>
      </x:c>
      <x:c r="E1603" s="3" t="str">
        <x:v>Beauty</x:v>
      </x:c>
      <x:c r="F1603" s="3" t="str">
        <x:v>Makeup</x:v>
      </x:c>
      <x:c r="G1603" s="3" t="str">
        <x:v>Matte Lipstick Set</x:v>
      </x:c>
      <x:c r="H1603" s="3" t="n">
        <x:v>1</x:v>
      </x:c>
      <x:c r="I1603" s="7" t="n">
        <x:v>1041.68</x:v>
      </x:c>
      <x:c r="J1603" s="9" t="n">
        <x:v>0.15</x:v>
      </x:c>
      <x:c r="K1603" s="7" t="n">
        <x:v>885.43</x:v>
      </x:c>
      <x:c r="L1603" s="7" t="n">
        <x:v>305.89</x:v>
      </x:c>
      <x:c r="M1603" s="3" t="str">
        <x:v>Credit Card</x:v>
      </x:c>
      <x:c r="N1603" s="3" t="str">
        <x:f>TEXT(B1603,"yyyy-mm")</x:f>
        <x:v>2025-03</x:v>
      </x:c>
      <x:c r="O1603" s="3" t="str">
        <x:f>IF(J1603=0,"No discount",IF(J1603&lt;=0.1,"1-10%",IF(J1603&lt;=0.15,"11-15%",IF(J1603&lt;=0.2,"16-20%","21%+"))))</x:f>
        <x:v>11-15%</x:v>
      </x:c>
      <x:c r="P1603" s="9" t="n">
        <x:f>IF(K1603=0,0,L1603/K1603)</x:f>
        <x:v>0.3454705623256497</x:v>
      </x:c>
      <x:c r="Q1603" s="3" t="str">
        <x:f>IF(L1603&lt;0,"Yes","No")</x:f>
        <x:v>No</x:v>
      </x:c>
    </x:row>
    <x:row r="1604" ht="21" customHeight="1">
      <x:c r="A1604" s="3" t="str">
        <x:v>ORD-101622</x:v>
      </x:c>
      <x:c r="B1604" s="5" t="n">
        <x:v>45722</x:v>
      </x:c>
      <x:c r="C1604" s="3" t="str">
        <x:v>CUST-00160</x:v>
      </x:c>
      <x:c r="D1604" s="3" t="str">
        <x:v>West</x:v>
      </x:c>
      <x:c r="E1604" s="3" t="str">
        <x:v>Fashion</x:v>
      </x:c>
      <x:c r="F1604" s="3" t="str">
        <x:v>Footwear</x:v>
      </x:c>
      <x:c r="G1604" s="3" t="str">
        <x:v>UrbanLoafers</x:v>
      </x:c>
      <x:c r="H1604" s="3" t="n">
        <x:v>1</x:v>
      </x:c>
      <x:c r="I1604" s="7" t="n">
        <x:v>3356.76</x:v>
      </x:c>
      <x:c r="J1604" s="9" t="n">
        <x:v>0.1</x:v>
      </x:c>
      <x:c r="K1604" s="7" t="n">
        <x:v>3021.08</x:v>
      </x:c>
      <x:c r="L1604" s="7" t="n">
        <x:v>879.34</x:v>
      </x:c>
      <x:c r="M1604" s="3" t="str">
        <x:v>Net Banking</x:v>
      </x:c>
      <x:c r="N1604" s="3" t="str">
        <x:f>TEXT(B1604,"yyyy-mm")</x:f>
        <x:v>2025-03</x:v>
      </x:c>
      <x:c r="O1604" s="3" t="str">
        <x:f>IF(J1604=0,"No discount",IF(J1604&lt;=0.1,"1-10%",IF(J1604&lt;=0.15,"11-15%",IF(J1604&lt;=0.2,"16-20%","21%+"))))</x:f>
        <x:v>1-10%</x:v>
      </x:c>
      <x:c r="P1604" s="9" t="n">
        <x:f>IF(K1604=0,0,L1604/K1604)</x:f>
        <x:v>0.2910680948534961</x:v>
      </x:c>
      <x:c r="Q1604" s="3" t="str">
        <x:f>IF(L1604&lt;0,"Yes","No")</x:f>
        <x:v>No</x:v>
      </x:c>
    </x:row>
    <x:row r="1605" ht="21" customHeight="1">
      <x:c r="A1605" s="3" t="str">
        <x:v>ORD-100574</x:v>
      </x:c>
      <x:c r="B1605" s="5" t="n">
        <x:v>45723</x:v>
      </x:c>
      <x:c r="C1605" s="3" t="str">
        <x:v>CUST-00313</x:v>
      </x:c>
      <x:c r="D1605" s="3" t="str">
        <x:v>North</x:v>
      </x:c>
      <x:c r="E1605" s="3" t="str">
        <x:v>Electronics</x:v>
      </x:c>
      <x:c r="F1605" s="3" t="str">
        <x:v>Audio</x:v>
      </x:c>
      <x:c r="G1605" s="3" t="str">
        <x:v>SoundPods Pro</x:v>
      </x:c>
      <x:c r="H1605" s="3" t="n">
        <x:v>1</x:v>
      </x:c>
      <x:c r="I1605" s="7" t="n">
        <x:v>4936.24</x:v>
      </x:c>
      <x:c r="J1605" s="9" t="n">
        <x:v>0.05</x:v>
      </x:c>
      <x:c r="K1605" s="7" t="n">
        <x:v>4689.43</x:v>
      </x:c>
      <x:c r="L1605" s="7" t="n">
        <x:v>497.17</x:v>
      </x:c>
      <x:c r="M1605" s="3" t="str">
        <x:v>UPI</x:v>
      </x:c>
      <x:c r="N1605" s="3" t="str">
        <x:f>TEXT(B1605,"yyyy-mm")</x:f>
        <x:v>2025-03</x:v>
      </x:c>
      <x:c r="O1605" s="3" t="str">
        <x:f>IF(J1605=0,"No discount",IF(J1605&lt;=0.1,"1-10%",IF(J1605&lt;=0.15,"11-15%",IF(J1605&lt;=0.2,"16-20%","21%+"))))</x:f>
        <x:v>1-10%</x:v>
      </x:c>
      <x:c r="P1605" s="9" t="n">
        <x:f>IF(K1605=0,0,L1605/K1605)</x:f>
        <x:v>0.1060192816610974</x:v>
      </x:c>
      <x:c r="Q1605" s="3" t="str">
        <x:f>IF(L1605&lt;0,"Yes","No")</x:f>
        <x:v>No</x:v>
      </x:c>
    </x:row>
    <x:row r="1606" ht="21" customHeight="1">
      <x:c r="A1606" s="3" t="str">
        <x:v>ORD-101701</x:v>
      </x:c>
      <x:c r="B1606" s="5" t="n">
        <x:v>45723</x:v>
      </x:c>
      <x:c r="C1606" s="3" t="str">
        <x:v>CUST-00271</x:v>
      </x:c>
      <x:c r="D1606" s="3" t="str">
        <x:v>North</x:v>
      </x:c>
      <x:c r="E1606" s="3" t="str">
        <x:v>Electronics</x:v>
      </x:c>
      <x:c r="F1606" s="3" t="str">
        <x:v>Audio</x:v>
      </x:c>
      <x:c r="G1606" s="3" t="str">
        <x:v>SoundPods Pro</x:v>
      </x:c>
      <x:c r="H1606" s="3" t="n">
        <x:v>1</x:v>
      </x:c>
      <x:c r="I1606" s="7" t="n">
        <x:v>4869.08</x:v>
      </x:c>
      <x:c r="J1606" s="9" t="n">
        <x:v>0.2</x:v>
      </x:c>
      <x:c r="K1606" s="7" t="n">
        <x:v>3895.26</x:v>
      </x:c>
      <x:c r="L1606" s="7" t="n">
        <x:v>-313.16</x:v>
      </x:c>
      <x:c r="M1606" s="3" t="str">
        <x:v>Debit Card</x:v>
      </x:c>
      <x:c r="N1606" s="3" t="str">
        <x:f>TEXT(B1606,"yyyy-mm")</x:f>
        <x:v>2025-03</x:v>
      </x:c>
      <x:c r="O1606" s="3" t="str">
        <x:f>IF(J1606=0,"No discount",IF(J1606&lt;=0.1,"1-10%",IF(J1606&lt;=0.15,"11-15%",IF(J1606&lt;=0.2,"16-20%","21%+"))))</x:f>
        <x:v>16-20%</x:v>
      </x:c>
      <x:c r="P1606" s="9" t="n">
        <x:f>IF(K1606=0,0,L1606/K1606)</x:f>
        <x:v>-0.08039514692215667</x:v>
      </x:c>
      <x:c r="Q1606" s="3" t="str">
        <x:f>IF(L1606&lt;0,"Yes","No")</x:f>
        <x:v>Yes</x:v>
      </x:c>
    </x:row>
    <x:row r="1607" ht="21" customHeight="1">
      <x:c r="A1607" s="3" t="str">
        <x:v>ORD-100000</x:v>
      </x:c>
      <x:c r="B1607" s="5" t="n">
        <x:v>45724</x:v>
      </x:c>
      <x:c r="C1607" s="3" t="str">
        <x:v>CUST-00096</x:v>
      </x:c>
      <x:c r="D1607" s="3" t="str">
        <x:v>West</x:v>
      </x:c>
      <x:c r="E1607" s="3" t="str">
        <x:v>Electronics</x:v>
      </x:c>
      <x:c r="F1607" s="3" t="str">
        <x:v>Mobile</x:v>
      </x:c>
      <x:c r="G1607" s="3" t="str">
        <x:v>iPhone Zeta</x:v>
      </x:c>
      <x:c r="H1607" s="3" t="n">
        <x:v>1</x:v>
      </x:c>
      <x:c r="I1607" s="7" t="n">
        <x:v>71654.27</x:v>
      </x:c>
      <x:c r="J1607" s="9" t="n">
        <x:v>0</x:v>
      </x:c>
      <x:c r="K1607" s="7" t="n">
        <x:v>71654.27</x:v>
      </x:c>
      <x:c r="L1607" s="7" t="n">
        <x:v>13910.67</x:v>
      </x:c>
      <x:c r="M1607" s="3" t="str">
        <x:v>UPI</x:v>
      </x:c>
      <x:c r="N1607" s="3" t="str">
        <x:f>TEXT(B1607,"yyyy-mm")</x:f>
        <x:v>2025-03</x:v>
      </x:c>
      <x:c r="O1607" s="3" t="str">
        <x:f>IF(J1607=0,"No discount",IF(J1607&lt;=0.1,"1-10%",IF(J1607&lt;=0.15,"11-15%",IF(J1607&lt;=0.2,"16-20%","21%+"))))</x:f>
        <x:v>No discount</x:v>
      </x:c>
      <x:c r="P1607" s="9" t="n">
        <x:f>IF(K1607=0,0,L1607/K1607)</x:f>
        <x:v>0.19413595309811962</x:v>
      </x:c>
      <x:c r="Q1607" s="3" t="str">
        <x:f>IF(L1607&lt;0,"Yes","No")</x:f>
        <x:v>No</x:v>
      </x:c>
    </x:row>
    <x:row r="1608" ht="21" customHeight="1">
      <x:c r="A1608" s="3" t="str">
        <x:v>ORD-100742</x:v>
      </x:c>
      <x:c r="B1608" s="5" t="n">
        <x:v>45725</x:v>
      </x:c>
      <x:c r="C1608" s="3" t="str">
        <x:v>CUST-00181</x:v>
      </x:c>
      <x:c r="D1608" s="3" t="str">
        <x:v>North</x:v>
      </x:c>
      <x:c r="E1608" s="3" t="str">
        <x:v>Beauty</x:v>
      </x:c>
      <x:c r="F1608" s="3" t="str">
        <x:v>Skincare</x:v>
      </x:c>
      <x:c r="G1608" s="3" t="str">
        <x:v>HydraBoost Moisturizer</x:v>
      </x:c>
      <x:c r="H1608" s="3" t="n">
        <x:v>1</x:v>
      </x:c>
      <x:c r="I1608" s="7" t="n">
        <x:v>1233.72</x:v>
      </x:c>
      <x:c r="J1608" s="9" t="n">
        <x:v>0.15</x:v>
      </x:c>
      <x:c r="K1608" s="7" t="n">
        <x:v>1048.66</x:v>
      </x:c>
      <x:c r="L1608" s="7" t="n">
        <x:v>436.02</x:v>
      </x:c>
      <x:c r="M1608" s="3" t="str">
        <x:v>UPI</x:v>
      </x:c>
      <x:c r="N1608" s="3" t="str">
        <x:f>TEXT(B1608,"yyyy-mm")</x:f>
        <x:v>2025-03</x:v>
      </x:c>
      <x:c r="O1608" s="3" t="str">
        <x:f>IF(J1608=0,"No discount",IF(J1608&lt;=0.1,"1-10%",IF(J1608&lt;=0.15,"11-15%",IF(J1608&lt;=0.2,"16-20%","21%+"))))</x:f>
        <x:v>11-15%</x:v>
      </x:c>
      <x:c r="P1608" s="9" t="n">
        <x:f>IF(K1608=0,0,L1608/K1608)</x:f>
        <x:v>0.4157877672458184</x:v>
      </x:c>
      <x:c r="Q1608" s="3" t="str">
        <x:f>IF(L1608&lt;0,"Yes","No")</x:f>
        <x:v>No</x:v>
      </x:c>
    </x:row>
    <x:row r="1609" ht="21" customHeight="1">
      <x:c r="A1609" s="3" t="str">
        <x:v>ORD-101510</x:v>
      </x:c>
      <x:c r="B1609" s="5" t="n">
        <x:v>45725</x:v>
      </x:c>
      <x:c r="C1609" s="3" t="str">
        <x:v>CUST-00312</x:v>
      </x:c>
      <x:c r="D1609" s="3" t="str">
        <x:v>North</x:v>
      </x:c>
      <x:c r="E1609" s="3" t="str">
        <x:v>Sports</x:v>
      </x:c>
      <x:c r="F1609" s="3" t="str">
        <x:v>Outdoor</x:v>
      </x:c>
      <x:c r="G1609" s="3" t="str">
        <x:v>TrailHike Backpack 60L</x:v>
      </x:c>
      <x:c r="H1609" s="3" t="n">
        <x:v>2</x:v>
      </x:c>
      <x:c r="I1609" s="7" t="n">
        <x:v>3479.77</x:v>
      </x:c>
      <x:c r="J1609" s="9" t="n">
        <x:v>0.1</x:v>
      </x:c>
      <x:c r="K1609" s="7" t="n">
        <x:v>6263.59</x:v>
      </x:c>
      <x:c r="L1609" s="7" t="n">
        <x:v>1723.69</x:v>
      </x:c>
      <x:c r="M1609" s="3" t="str">
        <x:v>Credit Card</x:v>
      </x:c>
      <x:c r="N1609" s="3" t="str">
        <x:f>TEXT(B1609,"yyyy-mm")</x:f>
        <x:v>2025-03</x:v>
      </x:c>
      <x:c r="O1609" s="3" t="str">
        <x:f>IF(J1609=0,"No discount",IF(J1609&lt;=0.1,"1-10%",IF(J1609&lt;=0.15,"11-15%",IF(J1609&lt;=0.2,"16-20%","21%+"))))</x:f>
        <x:v>1-10%</x:v>
      </x:c>
      <x:c r="P1609" s="9" t="n">
        <x:f>IF(K1609=0,0,L1609/K1609)</x:f>
        <x:v>0.27519202246634916</x:v>
      </x:c>
      <x:c r="Q1609" s="3" t="str">
        <x:f>IF(L1609&lt;0,"Yes","No")</x:f>
        <x:v>No</x:v>
      </x:c>
    </x:row>
    <x:row r="1610" ht="21" customHeight="1">
      <x:c r="A1610" s="3" t="str">
        <x:v>ORD-100160</x:v>
      </x:c>
      <x:c r="B1610" s="5" t="n">
        <x:v>45726</x:v>
      </x:c>
      <x:c r="C1610" s="3" t="str">
        <x:v>CUST-00236</x:v>
      </x:c>
      <x:c r="D1610" s="3" t="str">
        <x:v>East</x:v>
      </x:c>
      <x:c r="E1610" s="3" t="str">
        <x:v>Electronics</x:v>
      </x:c>
      <x:c r="F1610" s="3" t="str">
        <x:v>Mobile</x:v>
      </x:c>
      <x:c r="G1610" s="3" t="str">
        <x:v>iPhone Zeta</x:v>
      </x:c>
      <x:c r="H1610" s="3" t="n">
        <x:v>1</x:v>
      </x:c>
      <x:c r="I1610" s="7" t="n">
        <x:v>73350.02</x:v>
      </x:c>
      <x:c r="J1610" s="9" t="n">
        <x:v>0</x:v>
      </x:c>
      <x:c r="K1610" s="7" t="n">
        <x:v>73350.02</x:v>
      </x:c>
      <x:c r="L1610" s="7" t="n">
        <x:v>15167.74</x:v>
      </x:c>
      <x:c r="M1610" s="3" t="str">
        <x:v>Cash on Delivery</x:v>
      </x:c>
      <x:c r="N1610" s="3" t="str">
        <x:f>TEXT(B1610,"yyyy-mm")</x:f>
        <x:v>2025-03</x:v>
      </x:c>
      <x:c r="O1610" s="3" t="str">
        <x:f>IF(J1610=0,"No discount",IF(J1610&lt;=0.1,"1-10%",IF(J1610&lt;=0.15,"11-15%",IF(J1610&lt;=0.2,"16-20%","21%+"))))</x:f>
        <x:v>No discount</x:v>
      </x:c>
      <x:c r="P1610" s="9" t="n">
        <x:f>IF(K1610=0,0,L1610/K1610)</x:f>
        <x:v>0.20678576502092294</x:v>
      </x:c>
      <x:c r="Q1610" s="3" t="str">
        <x:f>IF(L1610&lt;0,"Yes","No")</x:f>
        <x:v>No</x:v>
      </x:c>
    </x:row>
    <x:row r="1611" ht="21" customHeight="1">
      <x:c r="A1611" s="3" t="str">
        <x:v>ORD-100725</x:v>
      </x:c>
      <x:c r="B1611" s="5" t="n">
        <x:v>45726</x:v>
      </x:c>
      <x:c r="C1611" s="3" t="str">
        <x:v>CUST-00109</x:v>
      </x:c>
      <x:c r="D1611" s="3" t="str">
        <x:v>East</x:v>
      </x:c>
      <x:c r="E1611" s="3" t="str">
        <x:v>Beauty</x:v>
      </x:c>
      <x:c r="F1611" s="3" t="str">
        <x:v>Makeup</x:v>
      </x:c>
      <x:c r="G1611" s="3" t="str">
        <x:v>Matte Lipstick Set</x:v>
      </x:c>
      <x:c r="H1611" s="3" t="n">
        <x:v>1</x:v>
      </x:c>
      <x:c r="I1611" s="7" t="n">
        <x:v>1023.67</x:v>
      </x:c>
      <x:c r="J1611" s="9" t="n">
        <x:v>0</x:v>
      </x:c>
      <x:c r="K1611" s="7" t="n">
        <x:v>1023.67</x:v>
      </x:c>
      <x:c r="L1611" s="7" t="n">
        <x:v>531.67</x:v>
      </x:c>
      <x:c r="M1611" s="3" t="str">
        <x:v>UPI</x:v>
      </x:c>
      <x:c r="N1611" s="3" t="str">
        <x:f>TEXT(B1611,"yyyy-mm")</x:f>
        <x:v>2025-03</x:v>
      </x:c>
      <x:c r="O1611" s="3" t="str">
        <x:f>IF(J1611=0,"No discount",IF(J1611&lt;=0.1,"1-10%",IF(J1611&lt;=0.15,"11-15%",IF(J1611&lt;=0.2,"16-20%","21%+"))))</x:f>
        <x:v>No discount</x:v>
      </x:c>
      <x:c r="P1611" s="9" t="n">
        <x:f>IF(K1611=0,0,L1611/K1611)</x:f>
        <x:v>0.5193763615227563</x:v>
      </x:c>
      <x:c r="Q1611" s="3" t="str">
        <x:f>IF(L1611&lt;0,"Yes","No")</x:f>
        <x:v>No</x:v>
      </x:c>
    </x:row>
    <x:row r="1612" ht="21" customHeight="1">
      <x:c r="A1612" s="3" t="str">
        <x:v>ORD-101993</x:v>
      </x:c>
      <x:c r="B1612" s="5" t="n">
        <x:v>45726</x:v>
      </x:c>
      <x:c r="C1612" s="3" t="str">
        <x:v>CUST-00224</x:v>
      </x:c>
      <x:c r="D1612" s="3" t="str">
        <x:v>West</x:v>
      </x:c>
      <x:c r="E1612" s="3" t="str">
        <x:v>Fashion</x:v>
      </x:c>
      <x:c r="F1612" s="3" t="str">
        <x:v>Footwear</x:v>
      </x:c>
      <x:c r="G1612" s="3" t="str">
        <x:v>UrbanLoafers</x:v>
      </x:c>
      <x:c r="H1612" s="3" t="n">
        <x:v>2</x:v>
      </x:c>
      <x:c r="I1612" s="7" t="n">
        <x:v>3429.69</x:v>
      </x:c>
      <x:c r="J1612" s="9" t="n">
        <x:v>0.3</x:v>
      </x:c>
      <x:c r="K1612" s="7" t="n">
        <x:v>4801.57</x:v>
      </x:c>
      <x:c r="L1612" s="7" t="n">
        <x:v>470.54</x:v>
      </x:c>
      <x:c r="M1612" s="3" t="str">
        <x:v>UPI</x:v>
      </x:c>
      <x:c r="N1612" s="3" t="str">
        <x:f>TEXT(B1612,"yyyy-mm")</x:f>
        <x:v>2025-03</x:v>
      </x:c>
      <x:c r="O1612" s="3" t="str">
        <x:f>IF(J1612=0,"No discount",IF(J1612&lt;=0.1,"1-10%",IF(J1612&lt;=0.15,"11-15%",IF(J1612&lt;=0.2,"16-20%","21%+"))))</x:f>
        <x:v>21%+</x:v>
      </x:c>
      <x:c r="P1612" s="9" t="n">
        <x:f>IF(K1612=0,0,L1612/K1612)</x:f>
        <x:v>0.09799711344414432</x:v>
      </x:c>
      <x:c r="Q1612" s="3" t="str">
        <x:f>IF(L1612&lt;0,"Yes","No")</x:f>
        <x:v>No</x:v>
      </x:c>
    </x:row>
    <x:row r="1613" ht="21" customHeight="1">
      <x:c r="A1613" s="3" t="str">
        <x:v>ORD-101705</x:v>
      </x:c>
      <x:c r="B1613" s="5" t="n">
        <x:v>45727</x:v>
      </x:c>
      <x:c r="C1613" s="3" t="str">
        <x:v>CUST-00082</x:v>
      </x:c>
      <x:c r="D1613" s="3" t="str">
        <x:v>South</x:v>
      </x:c>
      <x:c r="E1613" s="3" t="str">
        <x:v>Fashion</x:v>
      </x:c>
      <x:c r="F1613" s="3" t="str">
        <x:v>Women</x:v>
      </x:c>
      <x:c r="G1613" s="3" t="str">
        <x:v>Knit Winter Sweater</x:v>
      </x:c>
      <x:c r="H1613" s="3" t="n">
        <x:v>1</x:v>
      </x:c>
      <x:c r="I1613" s="7" t="n">
        <x:v>2240.72</x:v>
      </x:c>
      <x:c r="J1613" s="9" t="n">
        <x:v>0.15</x:v>
      </x:c>
      <x:c r="K1613" s="7" t="n">
        <x:v>1904.61</x:v>
      </x:c>
      <x:c r="L1613" s="7" t="n">
        <x:v>401.61</x:v>
      </x:c>
      <x:c r="M1613" s="3" t="str">
        <x:v>Credit Card</x:v>
      </x:c>
      <x:c r="N1613" s="3" t="str">
        <x:f>TEXT(B1613,"yyyy-mm")</x:f>
        <x:v>2025-03</x:v>
      </x:c>
      <x:c r="O1613" s="3" t="str">
        <x:f>IF(J1613=0,"No discount",IF(J1613&lt;=0.1,"1-10%",IF(J1613&lt;=0.15,"11-15%",IF(J1613&lt;=0.2,"16-20%","21%+"))))</x:f>
        <x:v>11-15%</x:v>
      </x:c>
      <x:c r="P1613" s="9" t="n">
        <x:f>IF(K1613=0,0,L1613/K1613)</x:f>
        <x:v>0.21086206624978343</x:v>
      </x:c>
      <x:c r="Q1613" s="3" t="str">
        <x:f>IF(L1613&lt;0,"Yes","No")</x:f>
        <x:v>No</x:v>
      </x:c>
    </x:row>
    <x:row r="1614" ht="21" customHeight="1">
      <x:c r="A1614" s="3" t="str">
        <x:v>ORD-101968</x:v>
      </x:c>
      <x:c r="B1614" s="5" t="n">
        <x:v>45727</x:v>
      </x:c>
      <x:c r="C1614" s="3" t="str">
        <x:v>CUST-00104</x:v>
      </x:c>
      <x:c r="D1614" s="3" t="str">
        <x:v>West</x:v>
      </x:c>
      <x:c r="E1614" s="3" t="str">
        <x:v>Electronics</x:v>
      </x:c>
      <x:c r="F1614" s="3" t="str">
        <x:v>Audio</x:v>
      </x:c>
      <x:c r="G1614" s="3" t="str">
        <x:v>BassBoom Speaker</x:v>
      </x:c>
      <x:c r="H1614" s="3" t="n">
        <x:v>3</x:v>
      </x:c>
      <x:c r="I1614" s="7" t="n">
        <x:v>8929.87</x:v>
      </x:c>
      <x:c r="J1614" s="9" t="n">
        <x:v>0.05</x:v>
      </x:c>
      <x:c r="K1614" s="7" t="n">
        <x:v>25450.13</x:v>
      </x:c>
      <x:c r="L1614" s="7" t="n">
        <x:v>3569.46</x:v>
      </x:c>
      <x:c r="M1614" s="3" t="str">
        <x:v>UPI</x:v>
      </x:c>
      <x:c r="N1614" s="3" t="str">
        <x:f>TEXT(B1614,"yyyy-mm")</x:f>
        <x:v>2025-03</x:v>
      </x:c>
      <x:c r="O1614" s="3" t="str">
        <x:f>IF(J1614=0,"No discount",IF(J1614&lt;=0.1,"1-10%",IF(J1614&lt;=0.15,"11-15%",IF(J1614&lt;=0.2,"16-20%","21%+"))))</x:f>
        <x:v>1-10%</x:v>
      </x:c>
      <x:c r="P1614" s="9" t="n">
        <x:f>IF(K1614=0,0,L1614/K1614)</x:f>
        <x:v>0.14025311462063259</x:v>
      </x:c>
      <x:c r="Q1614" s="3" t="str">
        <x:f>IF(L1614&lt;0,"Yes","No")</x:f>
        <x:v>No</x:v>
      </x:c>
    </x:row>
    <x:row r="1615" ht="21" customHeight="1">
      <x:c r="A1615" s="3" t="str">
        <x:v>ORD-100844</x:v>
      </x:c>
      <x:c r="B1615" s="5" t="n">
        <x:v>45728</x:v>
      </x:c>
      <x:c r="C1615" s="3" t="str">
        <x:v>CUST-00394</x:v>
      </x:c>
      <x:c r="D1615" s="3" t="str">
        <x:v>South</x:v>
      </x:c>
      <x:c r="E1615" s="3" t="str">
        <x:v>Fashion</x:v>
      </x:c>
      <x:c r="F1615" s="3" t="str">
        <x:v>Footwear</x:v>
      </x:c>
      <x:c r="G1615" s="3" t="str">
        <x:v>UrbanLoafers</x:v>
      </x:c>
      <x:c r="H1615" s="3" t="n">
        <x:v>4</x:v>
      </x:c>
      <x:c r="I1615" s="7" t="n">
        <x:v>3428.09</x:v>
      </x:c>
      <x:c r="J1615" s="9" t="n">
        <x:v>0</x:v>
      </x:c>
      <x:c r="K1615" s="7" t="n">
        <x:v>13712.36</x:v>
      </x:c>
      <x:c r="L1615" s="7" t="n">
        <x:v>5584.9</x:v>
      </x:c>
      <x:c r="M1615" s="3" t="str">
        <x:v>Net Banking</x:v>
      </x:c>
      <x:c r="N1615" s="3" t="str">
        <x:f>TEXT(B1615,"yyyy-mm")</x:f>
        <x:v>2025-03</x:v>
      </x:c>
      <x:c r="O1615" s="3" t="str">
        <x:f>IF(J1615=0,"No discount",IF(J1615&lt;=0.1,"1-10%",IF(J1615&lt;=0.15,"11-15%",IF(J1615&lt;=0.2,"16-20%","21%+"))))</x:f>
        <x:v>No discount</x:v>
      </x:c>
      <x:c r="P1615" s="9" t="n">
        <x:f>IF(K1615=0,0,L1615/K1615)</x:f>
        <x:v>0.40728948189808317</x:v>
      </x:c>
      <x:c r="Q1615" s="3" t="str">
        <x:f>IF(L1615&lt;0,"Yes","No")</x:f>
        <x:v>No</x:v>
      </x:c>
    </x:row>
    <x:row r="1616" ht="21" customHeight="1">
      <x:c r="A1616" s="3" t="str">
        <x:v>ORD-101229</x:v>
      </x:c>
      <x:c r="B1616" s="5" t="n">
        <x:v>45728</x:v>
      </x:c>
      <x:c r="C1616" s="3" t="str">
        <x:v>CUST-00150</x:v>
      </x:c>
      <x:c r="D1616" s="3" t="str">
        <x:v>North</x:v>
      </x:c>
      <x:c r="E1616" s="3" t="str">
        <x:v>Electronics</x:v>
      </x:c>
      <x:c r="F1616" s="3" t="str">
        <x:v>Audio</x:v>
      </x:c>
      <x:c r="G1616" s="3" t="str">
        <x:v>BassBoom Speaker</x:v>
      </x:c>
      <x:c r="H1616" s="3" t="n">
        <x:v>2</x:v>
      </x:c>
      <x:c r="I1616" s="7" t="n">
        <x:v>9116.3</x:v>
      </x:c>
      <x:c r="J1616" s="9" t="n">
        <x:v>0.05</x:v>
      </x:c>
      <x:c r="K1616" s="7" t="n">
        <x:v>17320.97</x:v>
      </x:c>
      <x:c r="L1616" s="7" t="n">
        <x:v>2708.6</x:v>
      </x:c>
      <x:c r="M1616" s="3" t="str">
        <x:v>Credit Card</x:v>
      </x:c>
      <x:c r="N1616" s="3" t="str">
        <x:f>TEXT(B1616,"yyyy-mm")</x:f>
        <x:v>2025-03</x:v>
      </x:c>
      <x:c r="O1616" s="3" t="str">
        <x:f>IF(J1616=0,"No discount",IF(J1616&lt;=0.1,"1-10%",IF(J1616&lt;=0.15,"11-15%",IF(J1616&lt;=0.2,"16-20%","21%+"))))</x:f>
        <x:v>1-10%</x:v>
      </x:c>
      <x:c r="P1616" s="9" t="n">
        <x:f>IF(K1616=0,0,L1616/K1616)</x:f>
        <x:v>0.15637692346329332</x:v>
      </x:c>
      <x:c r="Q1616" s="3" t="str">
        <x:f>IF(L1616&lt;0,"Yes","No")</x:f>
        <x:v>No</x:v>
      </x:c>
    </x:row>
    <x:row r="1617" ht="21" customHeight="1">
      <x:c r="A1617" s="3" t="str">
        <x:v>ORD-101595</x:v>
      </x:c>
      <x:c r="B1617" s="5" t="n">
        <x:v>45729</x:v>
      </x:c>
      <x:c r="C1617" s="3" t="str">
        <x:v>CUST-00092</x:v>
      </x:c>
      <x:c r="D1617" s="3" t="str">
        <x:v>North</x:v>
      </x:c>
      <x:c r="E1617" s="3" t="str">
        <x:v>Electronics</x:v>
      </x:c>
      <x:c r="F1617" s="3" t="str">
        <x:v>Mobile</x:v>
      </x:c>
      <x:c r="G1617" s="3" t="str">
        <x:v>Galaxy Nova X5</x:v>
      </x:c>
      <x:c r="H1617" s="3" t="n">
        <x:v>2</x:v>
      </x:c>
      <x:c r="I1617" s="7" t="n">
        <x:v>24188.49</x:v>
      </x:c>
      <x:c r="J1617" s="9" t="n">
        <x:v>0.15</x:v>
      </x:c>
      <x:c r="K1617" s="7" t="n">
        <x:v>41120.43</x:v>
      </x:c>
      <x:c r="L1617" s="7" t="n">
        <x:v>1899.3</x:v>
      </x:c>
      <x:c r="M1617" s="3" t="str">
        <x:v>Debit Card</x:v>
      </x:c>
      <x:c r="N1617" s="3" t="str">
        <x:f>TEXT(B1617,"yyyy-mm")</x:f>
        <x:v>2025-03</x:v>
      </x:c>
      <x:c r="O1617" s="3" t="str">
        <x:f>IF(J1617=0,"No discount",IF(J1617&lt;=0.1,"1-10%",IF(J1617&lt;=0.15,"11-15%",IF(J1617&lt;=0.2,"16-20%","21%+"))))</x:f>
        <x:v>11-15%</x:v>
      </x:c>
      <x:c r="P1617" s="9" t="n">
        <x:f>IF(K1617=0,0,L1617/K1617)</x:f>
        <x:v>0.04618871933002646</x:v>
      </x:c>
      <x:c r="Q1617" s="3" t="str">
        <x:f>IF(L1617&lt;0,"Yes","No")</x:f>
        <x:v>No</x:v>
      </x:c>
    </x:row>
    <x:row r="1618" ht="21" customHeight="1">
      <x:c r="A1618" s="3" t="str">
        <x:v>ORD-101244</x:v>
      </x:c>
      <x:c r="B1618" s="5" t="n">
        <x:v>45730</x:v>
      </x:c>
      <x:c r="C1618" s="3" t="str">
        <x:v>CUST-00122</x:v>
      </x:c>
      <x:c r="D1618" s="3" t="str">
        <x:v>East</x:v>
      </x:c>
      <x:c r="E1618" s="3" t="str">
        <x:v>Sports</x:v>
      </x:c>
      <x:c r="F1618" s="3" t="str">
        <x:v>Fitness</x:v>
      </x:c>
      <x:c r="G1618" s="3" t="str">
        <x:v>Adjustable Dumbbell 24kg</x:v>
      </x:c>
      <x:c r="H1618" s="3" t="n">
        <x:v>1</x:v>
      </x:c>
      <x:c r="I1618" s="7" t="n">
        <x:v>10458.72</x:v>
      </x:c>
      <x:c r="J1618" s="9" t="n">
        <x:v>0.15</x:v>
      </x:c>
      <x:c r="K1618" s="7" t="n">
        <x:v>8889.91</x:v>
      </x:c>
      <x:c r="L1618" s="7" t="n">
        <x:v>1505.36</x:v>
      </x:c>
      <x:c r="M1618" s="3" t="str">
        <x:v>Credit Card</x:v>
      </x:c>
      <x:c r="N1618" s="3" t="str">
        <x:f>TEXT(B1618,"yyyy-mm")</x:f>
        <x:v>2025-03</x:v>
      </x:c>
      <x:c r="O1618" s="3" t="str">
        <x:f>IF(J1618=0,"No discount",IF(J1618&lt;=0.1,"1-10%",IF(J1618&lt;=0.15,"11-15%",IF(J1618&lt;=0.2,"16-20%","21%+"))))</x:f>
        <x:v>11-15%</x:v>
      </x:c>
      <x:c r="P1618" s="9" t="n">
        <x:f>IF(K1618=0,0,L1618/K1618)</x:f>
        <x:v>0.16933354780869547</x:v>
      </x:c>
      <x:c r="Q1618" s="3" t="str">
        <x:f>IF(L1618&lt;0,"Yes","No")</x:f>
        <x:v>No</x:v>
      </x:c>
    </x:row>
    <x:row r="1619" ht="21" customHeight="1">
      <x:c r="A1619" s="3" t="str">
        <x:v>ORD-101888</x:v>
      </x:c>
      <x:c r="B1619" s="5" t="n">
        <x:v>45730</x:v>
      </x:c>
      <x:c r="C1619" s="3" t="str">
        <x:v>CUST-00353</x:v>
      </x:c>
      <x:c r="D1619" s="3" t="str">
        <x:v>East</x:v>
      </x:c>
      <x:c r="E1619" s="3" t="str">
        <x:v>Sports</x:v>
      </x:c>
      <x:c r="F1619" s="3" t="str">
        <x:v>Outdoor</x:v>
      </x:c>
      <x:c r="G1619" s="3" t="str">
        <x:v>TrailHike Backpack 60L</x:v>
      </x:c>
      <x:c r="H1619" s="3" t="n">
        <x:v>1</x:v>
      </x:c>
      <x:c r="I1619" s="7" t="n">
        <x:v>3365.43</x:v>
      </x:c>
      <x:c r="J1619" s="9" t="n">
        <x:v>0.15</x:v>
      </x:c>
      <x:c r="K1619" s="7" t="n">
        <x:v>2860.62</x:v>
      </x:c>
      <x:c r="L1619" s="7" t="n">
        <x:v>546.83</x:v>
      </x:c>
      <x:c r="M1619" s="3" t="str">
        <x:v>UPI</x:v>
      </x:c>
      <x:c r="N1619" s="3" t="str">
        <x:f>TEXT(B1619,"yyyy-mm")</x:f>
        <x:v>2025-03</x:v>
      </x:c>
      <x:c r="O1619" s="3" t="str">
        <x:f>IF(J1619=0,"No discount",IF(J1619&lt;=0.1,"1-10%",IF(J1619&lt;=0.15,"11-15%",IF(J1619&lt;=0.2,"16-20%","21%+"))))</x:f>
        <x:v>11-15%</x:v>
      </x:c>
      <x:c r="P1619" s="9" t="n">
        <x:f>IF(K1619=0,0,L1619/K1619)</x:f>
        <x:v>0.19115786088330505</x:v>
      </x:c>
      <x:c r="Q1619" s="3" t="str">
        <x:f>IF(L1619&lt;0,"Yes","No")</x:f>
        <x:v>No</x:v>
      </x:c>
    </x:row>
    <x:row r="1620" ht="21" customHeight="1">
      <x:c r="A1620" s="3" t="str">
        <x:v>ORD-100054</x:v>
      </x:c>
      <x:c r="B1620" s="5" t="n">
        <x:v>45731</x:v>
      </x:c>
      <x:c r="C1620" s="3" t="str">
        <x:v>CUST-00062</x:v>
      </x:c>
      <x:c r="D1620" s="3" t="str">
        <x:v>South</x:v>
      </x:c>
      <x:c r="E1620" s="3" t="str">
        <x:v>Electronics</x:v>
      </x:c>
      <x:c r="F1620" s="3" t="str">
        <x:v>Audio</x:v>
      </x:c>
      <x:c r="G1620" s="3" t="str">
        <x:v>BassBoom Speaker</x:v>
      </x:c>
      <x:c r="H1620" s="3" t="n">
        <x:v>2</x:v>
      </x:c>
      <x:c r="I1620" s="7" t="n">
        <x:v>8752.15</x:v>
      </x:c>
      <x:c r="J1620" s="9" t="n">
        <x:v>0.15</x:v>
      </x:c>
      <x:c r="K1620" s="7" t="n">
        <x:v>14878.65</x:v>
      </x:c>
      <x:c r="L1620" s="7" t="n">
        <x:v>138.46</x:v>
      </x:c>
      <x:c r="M1620" s="3" t="str">
        <x:v>Credit Card</x:v>
      </x:c>
      <x:c r="N1620" s="3" t="str">
        <x:f>TEXT(B1620,"yyyy-mm")</x:f>
        <x:v>2025-03</x:v>
      </x:c>
      <x:c r="O1620" s="3" t="str">
        <x:f>IF(J1620=0,"No discount",IF(J1620&lt;=0.1,"1-10%",IF(J1620&lt;=0.15,"11-15%",IF(J1620&lt;=0.2,"16-20%","21%+"))))</x:f>
        <x:v>11-15%</x:v>
      </x:c>
      <x:c r="P1620" s="9" t="n">
        <x:f>IF(K1620=0,0,L1620/K1620)</x:f>
        <x:v>0.009305951816865107</x:v>
      </x:c>
      <x:c r="Q1620" s="3" t="str">
        <x:f>IF(L1620&lt;0,"Yes","No")</x:f>
        <x:v>No</x:v>
      </x:c>
    </x:row>
    <x:row r="1621" ht="21" customHeight="1">
      <x:c r="A1621" s="3" t="str">
        <x:v>ORD-100753</x:v>
      </x:c>
      <x:c r="B1621" s="5" t="n">
        <x:v>45731</x:v>
      </x:c>
      <x:c r="C1621" s="3" t="str">
        <x:v>CUST-00400</x:v>
      </x:c>
      <x:c r="D1621" s="3" t="str">
        <x:v>West</x:v>
      </x:c>
      <x:c r="E1621" s="3" t="str">
        <x:v>Fashion</x:v>
      </x:c>
      <x:c r="F1621" s="3" t="str">
        <x:v>Women</x:v>
      </x:c>
      <x:c r="G1621" s="3" t="str">
        <x:v>Knit Winter Sweater</x:v>
      </x:c>
      <x:c r="H1621" s="3" t="n">
        <x:v>1</x:v>
      </x:c>
      <x:c r="I1621" s="7" t="n">
        <x:v>2307.37</x:v>
      </x:c>
      <x:c r="J1621" s="9" t="n">
        <x:v>0.3</x:v>
      </x:c>
      <x:c r="K1621" s="7" t="n">
        <x:v>1615.16</x:v>
      </x:c>
      <x:c r="L1621" s="7" t="n">
        <x:v>87.78</x:v>
      </x:c>
      <x:c r="M1621" s="3" t="str">
        <x:v>UPI</x:v>
      </x:c>
      <x:c r="N1621" s="3" t="str">
        <x:f>TEXT(B1621,"yyyy-mm")</x:f>
        <x:v>2025-03</x:v>
      </x:c>
      <x:c r="O1621" s="3" t="str">
        <x:f>IF(J1621=0,"No discount",IF(J1621&lt;=0.1,"1-10%",IF(J1621&lt;=0.15,"11-15%",IF(J1621&lt;=0.2,"16-20%","21%+"))))</x:f>
        <x:v>21%+</x:v>
      </x:c>
      <x:c r="P1621" s="9" t="n">
        <x:f>IF(K1621=0,0,L1621/K1621)</x:f>
        <x:v>0.05434755689838777</x:v>
      </x:c>
      <x:c r="Q1621" s="3" t="str">
        <x:f>IF(L1621&lt;0,"Yes","No")</x:f>
        <x:v>No</x:v>
      </x:c>
    </x:row>
    <x:row r="1622" ht="21" customHeight="1">
      <x:c r="A1622" s="3" t="str">
        <x:v>ORD-101342</x:v>
      </x:c>
      <x:c r="B1622" s="5" t="n">
        <x:v>45731</x:v>
      </x:c>
      <x:c r="C1622" s="3" t="str">
        <x:v>CUST-00377</x:v>
      </x:c>
      <x:c r="D1622" s="3" t="str">
        <x:v>North</x:v>
      </x:c>
      <x:c r="E1622" s="3" t="str">
        <x:v>Beauty</x:v>
      </x:c>
      <x:c r="F1622" s="3" t="str">
        <x:v>Skincare</x:v>
      </x:c>
      <x:c r="G1622" s="3" t="str">
        <x:v>HydraBoost Moisturizer</x:v>
      </x:c>
      <x:c r="H1622" s="3" t="n">
        <x:v>3</x:v>
      </x:c>
      <x:c r="I1622" s="7" t="n">
        <x:v>1229.27</x:v>
      </x:c>
      <x:c r="J1622" s="9" t="n">
        <x:v>0.05</x:v>
      </x:c>
      <x:c r="K1622" s="7" t="n">
        <x:v>3503.42</x:v>
      </x:c>
      <x:c r="L1622" s="7" t="n">
        <x:v>1851.56</x:v>
      </x:c>
      <x:c r="M1622" s="3" t="str">
        <x:v>Credit Card</x:v>
      </x:c>
      <x:c r="N1622" s="3" t="str">
        <x:f>TEXT(B1622,"yyyy-mm")</x:f>
        <x:v>2025-03</x:v>
      </x:c>
      <x:c r="O1622" s="3" t="str">
        <x:f>IF(J1622=0,"No discount",IF(J1622&lt;=0.1,"1-10%",IF(J1622&lt;=0.15,"11-15%",IF(J1622&lt;=0.2,"16-20%","21%+"))))</x:f>
        <x:v>1-10%</x:v>
      </x:c>
      <x:c r="P1622" s="9" t="n">
        <x:f>IF(K1622=0,0,L1622/K1622)</x:f>
        <x:v>0.5285007221514977</x:v>
      </x:c>
      <x:c r="Q1622" s="3" t="str">
        <x:f>IF(L1622&lt;0,"Yes","No")</x:f>
        <x:v>No</x:v>
      </x:c>
    </x:row>
    <x:row r="1623" ht="21" customHeight="1">
      <x:c r="A1623" s="3" t="str">
        <x:v>ORD-101938</x:v>
      </x:c>
      <x:c r="B1623" s="5" t="n">
        <x:v>45731</x:v>
      </x:c>
      <x:c r="C1623" s="3" t="str">
        <x:v>CUST-00358</x:v>
      </x:c>
      <x:c r="D1623" s="3" t="str">
        <x:v>North</x:v>
      </x:c>
      <x:c r="E1623" s="3" t="str">
        <x:v>Fashion</x:v>
      </x:c>
      <x:c r="F1623" s="3" t="str">
        <x:v>Women</x:v>
      </x:c>
      <x:c r="G1623" s="3" t="str">
        <x:v>Knit Winter Sweater</x:v>
      </x:c>
      <x:c r="H1623" s="3" t="n">
        <x:v>1</x:v>
      </x:c>
      <x:c r="I1623" s="7" t="n">
        <x:v>2094.49</x:v>
      </x:c>
      <x:c r="J1623" s="9" t="n">
        <x:v>0.25</x:v>
      </x:c>
      <x:c r="K1623" s="7" t="n">
        <x:v>1570.87</x:v>
      </x:c>
      <x:c r="L1623" s="7" t="n">
        <x:v>244.44</x:v>
      </x:c>
      <x:c r="M1623" s="3" t="str">
        <x:v>Cash on Delivery</x:v>
      </x:c>
      <x:c r="N1623" s="3" t="str">
        <x:f>TEXT(B1623,"yyyy-mm")</x:f>
        <x:v>2025-03</x:v>
      </x:c>
      <x:c r="O1623" s="3" t="str">
        <x:f>IF(J1623=0,"No discount",IF(J1623&lt;=0.1,"1-10%",IF(J1623&lt;=0.15,"11-15%",IF(J1623&lt;=0.2,"16-20%","21%+"))))</x:f>
        <x:v>21%+</x:v>
      </x:c>
      <x:c r="P1623" s="9" t="n">
        <x:f>IF(K1623=0,0,L1623/K1623)</x:f>
        <x:v>0.15560803885744842</x:v>
      </x:c>
      <x:c r="Q1623" s="3" t="str">
        <x:f>IF(L1623&lt;0,"Yes","No")</x:f>
        <x:v>No</x:v>
      </x:c>
    </x:row>
    <x:row r="1624" ht="21" customHeight="1">
      <x:c r="A1624" s="3" t="str">
        <x:v>ORD-100087</x:v>
      </x:c>
      <x:c r="B1624" s="5" t="n">
        <x:v>45732</x:v>
      </x:c>
      <x:c r="C1624" s="3" t="str">
        <x:v>CUST-00234</x:v>
      </x:c>
      <x:c r="D1624" s="3" t="str">
        <x:v>South</x:v>
      </x:c>
      <x:c r="E1624" s="3" t="str">
        <x:v>Beauty</x:v>
      </x:c>
      <x:c r="F1624" s="3" t="str">
        <x:v>Makeup</x:v>
      </x:c>
      <x:c r="G1624" s="3" t="str">
        <x:v>Matte Lipstick Set</x:v>
      </x:c>
      <x:c r="H1624" s="3" t="n">
        <x:v>3</x:v>
      </x:c>
      <x:c r="I1624" s="7" t="n">
        <x:v>1014.46</x:v>
      </x:c>
      <x:c r="J1624" s="9" t="n">
        <x:v>0</x:v>
      </x:c>
      <x:c r="K1624" s="7" t="n">
        <x:v>3043.38</x:v>
      </x:c>
      <x:c r="L1624" s="7" t="n">
        <x:v>1765.82</x:v>
      </x:c>
      <x:c r="M1624" s="3" t="str">
        <x:v>Net Banking</x:v>
      </x:c>
      <x:c r="N1624" s="3" t="str">
        <x:f>TEXT(B1624,"yyyy-mm")</x:f>
        <x:v>2025-03</x:v>
      </x:c>
      <x:c r="O1624" s="3" t="str">
        <x:f>IF(J1624=0,"No discount",IF(J1624&lt;=0.1,"1-10%",IF(J1624&lt;=0.15,"11-15%",IF(J1624&lt;=0.2,"16-20%","21%+"))))</x:f>
        <x:v>No discount</x:v>
      </x:c>
      <x:c r="P1624" s="9" t="n">
        <x:f>IF(K1624=0,0,L1624/K1624)</x:f>
        <x:v>0.5802167327116561</x:v>
      </x:c>
      <x:c r="Q1624" s="3" t="str">
        <x:f>IF(L1624&lt;0,"Yes","No")</x:f>
        <x:v>No</x:v>
      </x:c>
    </x:row>
    <x:row r="1625" ht="21" customHeight="1">
      <x:c r="A1625" s="3" t="str">
        <x:v>ORD-100094</x:v>
      </x:c>
      <x:c r="B1625" s="5" t="n">
        <x:v>45732</x:v>
      </x:c>
      <x:c r="C1625" s="3" t="str">
        <x:v>CUST-00499</x:v>
      </x:c>
      <x:c r="D1625" s="3" t="str">
        <x:v>East</x:v>
      </x:c>
      <x:c r="E1625" s="3" t="str">
        <x:v>Electronics</x:v>
      </x:c>
      <x:c r="F1625" s="3" t="str">
        <x:v>Laptop</x:v>
      </x:c>
      <x:c r="G1625" s="3" t="str">
        <x:v>AirBook Slim</x:v>
      </x:c>
      <x:c r="H1625" s="3" t="n">
        <x:v>2</x:v>
      </x:c>
      <x:c r="I1625" s="7" t="n">
        <x:v>78541.15</x:v>
      </x:c>
      <x:c r="J1625" s="9" t="n">
        <x:v>0.05</x:v>
      </x:c>
      <x:c r="K1625" s="7" t="n">
        <x:v>149228.18</x:v>
      </x:c>
      <x:c r="L1625" s="7" t="n">
        <x:v>15572.46</x:v>
      </x:c>
      <x:c r="M1625" s="3" t="str">
        <x:v>UPI</x:v>
      </x:c>
      <x:c r="N1625" s="3" t="str">
        <x:f>TEXT(B1625,"yyyy-mm")</x:f>
        <x:v>2025-03</x:v>
      </x:c>
      <x:c r="O1625" s="3" t="str">
        <x:f>IF(J1625=0,"No discount",IF(J1625&lt;=0.1,"1-10%",IF(J1625&lt;=0.15,"11-15%",IF(J1625&lt;=0.2,"16-20%","21%+"))))</x:f>
        <x:v>1-10%</x:v>
      </x:c>
      <x:c r="P1625" s="9" t="n">
        <x:f>IF(K1625=0,0,L1625/K1625)</x:f>
        <x:v>0.10435334666682929</x:v>
      </x:c>
      <x:c r="Q1625" s="3" t="str">
        <x:f>IF(L1625&lt;0,"Yes","No")</x:f>
        <x:v>No</x:v>
      </x:c>
    </x:row>
    <x:row r="1626" ht="21" customHeight="1">
      <x:c r="A1626" s="3" t="str">
        <x:v>ORD-101044</x:v>
      </x:c>
      <x:c r="B1626" s="5" t="n">
        <x:v>45732</x:v>
      </x:c>
      <x:c r="C1626" s="3" t="str">
        <x:v>CUST-00457</x:v>
      </x:c>
      <x:c r="D1626" s="3" t="str">
        <x:v>West</x:v>
      </x:c>
      <x:c r="E1626" s="3" t="str">
        <x:v>Electronics</x:v>
      </x:c>
      <x:c r="F1626" s="3" t="str">
        <x:v>Audio</x:v>
      </x:c>
      <x:c r="G1626" s="3" t="str">
        <x:v>BassBoom Speaker</x:v>
      </x:c>
      <x:c r="H1626" s="3" t="n">
        <x:v>1</x:v>
      </x:c>
      <x:c r="I1626" s="7" t="n">
        <x:v>8604.5</x:v>
      </x:c>
      <x:c r="J1626" s="9" t="n">
        <x:v>0</x:v>
      </x:c>
      <x:c r="K1626" s="7" t="n">
        <x:v>8604.5</x:v>
      </x:c>
      <x:c r="L1626" s="7" t="n">
        <x:v>1544.63</x:v>
      </x:c>
      <x:c r="M1626" s="3" t="str">
        <x:v>UPI</x:v>
      </x:c>
      <x:c r="N1626" s="3" t="str">
        <x:f>TEXT(B1626,"yyyy-mm")</x:f>
        <x:v>2025-03</x:v>
      </x:c>
      <x:c r="O1626" s="3" t="str">
        <x:f>IF(J1626=0,"No discount",IF(J1626&lt;=0.1,"1-10%",IF(J1626&lt;=0.15,"11-15%",IF(J1626&lt;=0.2,"16-20%","21%+"))))</x:f>
        <x:v>No discount</x:v>
      </x:c>
      <x:c r="P1626" s="9" t="n">
        <x:f>IF(K1626=0,0,L1626/K1626)</x:f>
        <x:v>0.17951420768202686</x:v>
      </x:c>
      <x:c r="Q1626" s="3" t="str">
        <x:f>IF(L1626&lt;0,"Yes","No")</x:f>
        <x:v>No</x:v>
      </x:c>
    </x:row>
    <x:row r="1627" ht="21" customHeight="1">
      <x:c r="A1627" s="3" t="str">
        <x:v>ORD-101550</x:v>
      </x:c>
      <x:c r="B1627" s="5" t="n">
        <x:v>45732</x:v>
      </x:c>
      <x:c r="C1627" s="3" t="str">
        <x:v>CUST-00299</x:v>
      </x:c>
      <x:c r="D1627" s="3" t="str">
        <x:v>East</x:v>
      </x:c>
      <x:c r="E1627" s="3" t="str">
        <x:v>Beauty</x:v>
      </x:c>
      <x:c r="F1627" s="3" t="str">
        <x:v>Makeup</x:v>
      </x:c>
      <x:c r="G1627" s="3" t="str">
        <x:v>Matte Lipstick Set</x:v>
      </x:c>
      <x:c r="H1627" s="3" t="n">
        <x:v>1</x:v>
      </x:c>
      <x:c r="I1627" s="7" t="n">
        <x:v>1010.86</x:v>
      </x:c>
      <x:c r="J1627" s="9" t="n">
        <x:v>0</x:v>
      </x:c>
      <x:c r="K1627" s="7" t="n">
        <x:v>1010.86</x:v>
      </x:c>
      <x:c r="L1627" s="7" t="n">
        <x:v>572.5</x:v>
      </x:c>
      <x:c r="M1627" s="3" t="str">
        <x:v>Credit Card</x:v>
      </x:c>
      <x:c r="N1627" s="3" t="str">
        <x:f>TEXT(B1627,"yyyy-mm")</x:f>
        <x:v>2025-03</x:v>
      </x:c>
      <x:c r="O1627" s="3" t="str">
        <x:f>IF(J1627=0,"No discount",IF(J1627&lt;=0.1,"1-10%",IF(J1627&lt;=0.15,"11-15%",IF(J1627&lt;=0.2,"16-20%","21%+"))))</x:f>
        <x:v>No discount</x:v>
      </x:c>
      <x:c r="P1627" s="9" t="n">
        <x:f>IF(K1627=0,0,L1627/K1627)</x:f>
        <x:v>0.5663494450270067</x:v>
      </x:c>
      <x:c r="Q1627" s="3" t="str">
        <x:f>IF(L1627&lt;0,"Yes","No")</x:f>
        <x:v>No</x:v>
      </x:c>
    </x:row>
    <x:row r="1628" ht="21" customHeight="1">
      <x:c r="A1628" s="3" t="str">
        <x:v>ORD-101659</x:v>
      </x:c>
      <x:c r="B1628" s="5" t="n">
        <x:v>45732</x:v>
      </x:c>
      <x:c r="C1628" s="3" t="str">
        <x:v>CUST-00367</x:v>
      </x:c>
      <x:c r="D1628" s="3" t="str">
        <x:v>South</x:v>
      </x:c>
      <x:c r="E1628" s="3" t="str">
        <x:v>Electronics</x:v>
      </x:c>
      <x:c r="F1628" s="3" t="str">
        <x:v>Audio</x:v>
      </x:c>
      <x:c r="G1628" s="3" t="str">
        <x:v>SoundPods Pro</x:v>
      </x:c>
      <x:c r="H1628" s="3" t="n">
        <x:v>2</x:v>
      </x:c>
      <x:c r="I1628" s="7" t="n">
        <x:v>4900.28</x:v>
      </x:c>
      <x:c r="J1628" s="9" t="n">
        <x:v>0.3</x:v>
      </x:c>
      <x:c r="K1628" s="7" t="n">
        <x:v>6860.39</x:v>
      </x:c>
      <x:c r="L1628" s="7" t="n">
        <x:v>-1108.51</x:v>
      </x:c>
      <x:c r="M1628" s="3" t="str">
        <x:v>Credit Card</x:v>
      </x:c>
      <x:c r="N1628" s="3" t="str">
        <x:f>TEXT(B1628,"yyyy-mm")</x:f>
        <x:v>2025-03</x:v>
      </x:c>
      <x:c r="O1628" s="3" t="str">
        <x:f>IF(J1628=0,"No discount",IF(J1628&lt;=0.1,"1-10%",IF(J1628&lt;=0.15,"11-15%",IF(J1628&lt;=0.2,"16-20%","21%+"))))</x:f>
        <x:v>21%+</x:v>
      </x:c>
      <x:c r="P1628" s="9" t="n">
        <x:f>IF(K1628=0,0,L1628/K1628)</x:f>
        <x:v>-0.16158119290594267</x:v>
      </x:c>
      <x:c r="Q1628" s="3" t="str">
        <x:f>IF(L1628&lt;0,"Yes","No")</x:f>
        <x:v>Yes</x:v>
      </x:c>
    </x:row>
    <x:row r="1629" ht="21" customHeight="1">
      <x:c r="A1629" s="3" t="str">
        <x:v>ORD-100137</x:v>
      </x:c>
      <x:c r="B1629" s="5" t="n">
        <x:v>45733</x:v>
      </x:c>
      <x:c r="C1629" s="3" t="str">
        <x:v>CUST-00271</x:v>
      </x:c>
      <x:c r="D1629" s="3" t="str">
        <x:v>East</x:v>
      </x:c>
      <x:c r="E1629" s="3" t="str">
        <x:v>Fashion</x:v>
      </x:c>
      <x:c r="F1629" s="3" t="str">
        <x:v>Footwear</x:v>
      </x:c>
      <x:c r="G1629" s="3" t="str">
        <x:v>UrbanLoafers</x:v>
      </x:c>
      <x:c r="H1629" s="3" t="n">
        <x:v>1</x:v>
      </x:c>
      <x:c r="I1629" s="7" t="n">
        <x:v>3533.12</x:v>
      </x:c>
      <x:c r="J1629" s="9" t="n">
        <x:v>0</x:v>
      </x:c>
      <x:c r="K1629" s="7" t="n">
        <x:v>3533.12</x:v>
      </x:c>
      <x:c r="L1629" s="7" t="n">
        <x:v>1580.82</x:v>
      </x:c>
      <x:c r="M1629" s="3" t="str">
        <x:v>UPI</x:v>
      </x:c>
      <x:c r="N1629" s="3" t="str">
        <x:f>TEXT(B1629,"yyyy-mm")</x:f>
        <x:v>2025-03</x:v>
      </x:c>
      <x:c r="O1629" s="3" t="str">
        <x:f>IF(J1629=0,"No discount",IF(J1629&lt;=0.1,"1-10%",IF(J1629&lt;=0.15,"11-15%",IF(J1629&lt;=0.2,"16-20%","21%+"))))</x:f>
        <x:v>No discount</x:v>
      </x:c>
      <x:c r="P1629" s="9" t="n">
        <x:f>IF(K1629=0,0,L1629/K1629)</x:f>
        <x:v>0.44742890136762975</x:v>
      </x:c>
      <x:c r="Q1629" s="3" t="str">
        <x:f>IF(L1629&lt;0,"Yes","No")</x:f>
        <x:v>No</x:v>
      </x:c>
    </x:row>
    <x:row r="1630" ht="21" customHeight="1">
      <x:c r="A1630" s="3" t="str">
        <x:v>ORD-100325</x:v>
      </x:c>
      <x:c r="B1630" s="5" t="n">
        <x:v>45733</x:v>
      </x:c>
      <x:c r="C1630" s="3" t="str">
        <x:v>CUST-00380</x:v>
      </x:c>
      <x:c r="D1630" s="3" t="str">
        <x:v>North</x:v>
      </x:c>
      <x:c r="E1630" s="3" t="str">
        <x:v>Sports</x:v>
      </x:c>
      <x:c r="F1630" s="3" t="str">
        <x:v>Fitness</x:v>
      </x:c>
      <x:c r="G1630" s="3" t="str">
        <x:v>ProYoga Mat</x:v>
      </x:c>
      <x:c r="H1630" s="3" t="n">
        <x:v>1</x:v>
      </x:c>
      <x:c r="I1630" s="7" t="n">
        <x:v>1351.22</x:v>
      </x:c>
      <x:c r="J1630" s="9" t="n">
        <x:v>0.1</x:v>
      </x:c>
      <x:c r="K1630" s="7" t="n">
        <x:v>1216.1</x:v>
      </x:c>
      <x:c r="L1630" s="7" t="n">
        <x:v>326.09</x:v>
      </x:c>
      <x:c r="M1630" s="3" t="str">
        <x:v>Cash on Delivery</x:v>
      </x:c>
      <x:c r="N1630" s="3" t="str">
        <x:f>TEXT(B1630,"yyyy-mm")</x:f>
        <x:v>2025-03</x:v>
      </x:c>
      <x:c r="O1630" s="3" t="str">
        <x:f>IF(J1630=0,"No discount",IF(J1630&lt;=0.1,"1-10%",IF(J1630&lt;=0.15,"11-15%",IF(J1630&lt;=0.2,"16-20%","21%+"))))</x:f>
        <x:v>1-10%</x:v>
      </x:c>
      <x:c r="P1630" s="9" t="n">
        <x:f>IF(K1630=0,0,L1630/K1630)</x:f>
        <x:v>0.2681440670997451</x:v>
      </x:c>
      <x:c r="Q1630" s="3" t="str">
        <x:f>IF(L1630&lt;0,"Yes","No")</x:f>
        <x:v>No</x:v>
      </x:c>
    </x:row>
    <x:row r="1631" ht="21" customHeight="1">
      <x:c r="A1631" s="3" t="str">
        <x:v>ORD-100508</x:v>
      </x:c>
      <x:c r="B1631" s="5" t="n">
        <x:v>45733</x:v>
      </x:c>
      <x:c r="C1631" s="3" t="str">
        <x:v>CUST-00399</x:v>
      </x:c>
      <x:c r="D1631" s="3" t="str">
        <x:v>West</x:v>
      </x:c>
      <x:c r="E1631" s="3" t="str">
        <x:v>Sports</x:v>
      </x:c>
      <x:c r="F1631" s="3" t="str">
        <x:v>Outdoor</x:v>
      </x:c>
      <x:c r="G1631" s="3" t="str">
        <x:v>AllWeather Tent 4P</x:v>
      </x:c>
      <x:c r="H1631" s="3" t="n">
        <x:v>1</x:v>
      </x:c>
      <x:c r="I1631" s="7" t="n">
        <x:v>12190.28</x:v>
      </x:c>
      <x:c r="J1631" s="9" t="n">
        <x:v>0</x:v>
      </x:c>
      <x:c r="K1631" s="7" t="n">
        <x:v>12190.28</x:v>
      </x:c>
      <x:c r="L1631" s="7" t="n">
        <x:v>4904.77</x:v>
      </x:c>
      <x:c r="M1631" s="3" t="str">
        <x:v>UPI</x:v>
      </x:c>
      <x:c r="N1631" s="3" t="str">
        <x:f>TEXT(B1631,"yyyy-mm")</x:f>
        <x:v>2025-03</x:v>
      </x:c>
      <x:c r="O1631" s="3" t="str">
        <x:f>IF(J1631=0,"No discount",IF(J1631&lt;=0.1,"1-10%",IF(J1631&lt;=0.15,"11-15%",IF(J1631&lt;=0.2,"16-20%","21%+"))))</x:f>
        <x:v>No discount</x:v>
      </x:c>
      <x:c r="P1631" s="9" t="n">
        <x:f>IF(K1631=0,0,L1631/K1631)</x:f>
        <x:v>0.40235088939712627</x:v>
      </x:c>
      <x:c r="Q1631" s="3" t="str">
        <x:f>IF(L1631&lt;0,"Yes","No")</x:f>
        <x:v>No</x:v>
      </x:c>
    </x:row>
    <x:row r="1632" ht="21" customHeight="1">
      <x:c r="A1632" s="3" t="str">
        <x:v>ORD-100692</x:v>
      </x:c>
      <x:c r="B1632" s="5" t="n">
        <x:v>45733</x:v>
      </x:c>
      <x:c r="C1632" s="3" t="str">
        <x:v>CUST-00087</x:v>
      </x:c>
      <x:c r="D1632" s="3" t="str">
        <x:v>South</x:v>
      </x:c>
      <x:c r="E1632" s="3" t="str">
        <x:v>Beauty</x:v>
      </x:c>
      <x:c r="F1632" s="3" t="str">
        <x:v>Makeup</x:v>
      </x:c>
      <x:c r="G1632" s="3" t="str">
        <x:v>HD Foundation Kit</x:v>
      </x:c>
      <x:c r="H1632" s="3" t="n">
        <x:v>1</x:v>
      </x:c>
      <x:c r="I1632" s="7" t="n">
        <x:v>1476.47</x:v>
      </x:c>
      <x:c r="J1632" s="9" t="n">
        <x:v>0</x:v>
      </x:c>
      <x:c r="K1632" s="7" t="n">
        <x:v>1476.47</x:v>
      </x:c>
      <x:c r="L1632" s="7" t="n">
        <x:v>838.33</x:v>
      </x:c>
      <x:c r="M1632" s="3" t="str">
        <x:v>UPI</x:v>
      </x:c>
      <x:c r="N1632" s="3" t="str">
        <x:f>TEXT(B1632,"yyyy-mm")</x:f>
        <x:v>2025-03</x:v>
      </x:c>
      <x:c r="O1632" s="3" t="str">
        <x:f>IF(J1632=0,"No discount",IF(J1632&lt;=0.1,"1-10%",IF(J1632&lt;=0.15,"11-15%",IF(J1632&lt;=0.2,"16-20%","21%+"))))</x:f>
        <x:v>No discount</x:v>
      </x:c>
      <x:c r="P1632" s="9" t="n">
        <x:f>IF(K1632=0,0,L1632/K1632)</x:f>
        <x:v>0.5677934533041646</x:v>
      </x:c>
      <x:c r="Q1632" s="3" t="str">
        <x:f>IF(L1632&lt;0,"Yes","No")</x:f>
        <x:v>No</x:v>
      </x:c>
    </x:row>
    <x:row r="1633" ht="21" customHeight="1">
      <x:c r="A1633" s="3" t="str">
        <x:v>ORD-100787</x:v>
      </x:c>
      <x:c r="B1633" s="5" t="n">
        <x:v>45733</x:v>
      </x:c>
      <x:c r="C1633" s="3" t="str">
        <x:v>CUST-00092</x:v>
      </x:c>
      <x:c r="D1633" s="3" t="str">
        <x:v>North</x:v>
      </x:c>
      <x:c r="E1633" s="3" t="str">
        <x:v>Electronics</x:v>
      </x:c>
      <x:c r="F1633" s="3" t="str">
        <x:v>Mobile</x:v>
      </x:c>
      <x:c r="G1633" s="3" t="str">
        <x:v>Pixel Aura 12</x:v>
      </x:c>
      <x:c r="H1633" s="3" t="n">
        <x:v>3</x:v>
      </x:c>
      <x:c r="I1633" s="7" t="n">
        <x:v>31816.43</x:v>
      </x:c>
      <x:c r="J1633" s="9" t="n">
        <x:v>0.1</x:v>
      </x:c>
      <x:c r="K1633" s="7" t="n">
        <x:v>85904.36</x:v>
      </x:c>
      <x:c r="L1633" s="7" t="n">
        <x:v>5568.89</x:v>
      </x:c>
      <x:c r="M1633" s="3" t="str">
        <x:v>Debit Card</x:v>
      </x:c>
      <x:c r="N1633" s="3" t="str">
        <x:f>TEXT(B1633,"yyyy-mm")</x:f>
        <x:v>2025-03</x:v>
      </x:c>
      <x:c r="O1633" s="3" t="str">
        <x:f>IF(J1633=0,"No discount",IF(J1633&lt;=0.1,"1-10%",IF(J1633&lt;=0.15,"11-15%",IF(J1633&lt;=0.2,"16-20%","21%+"))))</x:f>
        <x:v>1-10%</x:v>
      </x:c>
      <x:c r="P1633" s="9" t="n">
        <x:f>IF(K1633=0,0,L1633/K1633)</x:f>
        <x:v>0.06482662812457948</x:v>
      </x:c>
      <x:c r="Q1633" s="3" t="str">
        <x:f>IF(L1633&lt;0,"Yes","No")</x:f>
        <x:v>No</x:v>
      </x:c>
    </x:row>
    <x:row r="1634" ht="21" customHeight="1">
      <x:c r="A1634" s="3" t="str">
        <x:v>ORD-100840</x:v>
      </x:c>
      <x:c r="B1634" s="5" t="n">
        <x:v>45733</x:v>
      </x:c>
      <x:c r="C1634" s="3" t="str">
        <x:v>CUST-00171</x:v>
      </x:c>
      <x:c r="D1634" s="3" t="str">
        <x:v>North</x:v>
      </x:c>
      <x:c r="E1634" s="3" t="str">
        <x:v>Beauty</x:v>
      </x:c>
      <x:c r="F1634" s="3" t="str">
        <x:v>Makeup</x:v>
      </x:c>
      <x:c r="G1634" s="3" t="str">
        <x:v>Matte Lipstick Set</x:v>
      </x:c>
      <x:c r="H1634" s="3" t="n">
        <x:v>4</x:v>
      </x:c>
      <x:c r="I1634" s="7" t="n">
        <x:v>950.6</x:v>
      </x:c>
      <x:c r="J1634" s="9" t="n">
        <x:v>0.2</x:v>
      </x:c>
      <x:c r="K1634" s="7" t="n">
        <x:v>3041.92</x:v>
      </x:c>
      <x:c r="L1634" s="7" t="n">
        <x:v>881.13</x:v>
      </x:c>
      <x:c r="M1634" s="3" t="str">
        <x:v>Credit Card</x:v>
      </x:c>
      <x:c r="N1634" s="3" t="str">
        <x:f>TEXT(B1634,"yyyy-mm")</x:f>
        <x:v>2025-03</x:v>
      </x:c>
      <x:c r="O1634" s="3" t="str">
        <x:f>IF(J1634=0,"No discount",IF(J1634&lt;=0.1,"1-10%",IF(J1634&lt;=0.15,"11-15%",IF(J1634&lt;=0.2,"16-20%","21%+"))))</x:f>
        <x:v>16-20%</x:v>
      </x:c>
      <x:c r="P1634" s="9" t="n">
        <x:f>IF(K1634=0,0,L1634/K1634)</x:f>
        <x:v>0.289662450031559</x:v>
      </x:c>
      <x:c r="Q1634" s="3" t="str">
        <x:f>IF(L1634&lt;0,"Yes","No")</x:f>
        <x:v>No</x:v>
      </x:c>
    </x:row>
    <x:row r="1635" ht="21" customHeight="1">
      <x:c r="A1635" s="3" t="str">
        <x:v>ORD-100627</x:v>
      </x:c>
      <x:c r="B1635" s="5" t="n">
        <x:v>45734</x:v>
      </x:c>
      <x:c r="C1635" s="3" t="str">
        <x:v>CUST-00188</x:v>
      </x:c>
      <x:c r="D1635" s="3" t="str">
        <x:v>North</x:v>
      </x:c>
      <x:c r="E1635" s="3" t="str">
        <x:v>Home &amp; Kitchen</x:v>
      </x:c>
      <x:c r="F1635" s="3" t="str">
        <x:v>Appliances</x:v>
      </x:c>
      <x:c r="G1635" s="3" t="str">
        <x:v>ColdBrew Coffee Maker</x:v>
      </x:c>
      <x:c r="H1635" s="3" t="n">
        <x:v>1</x:v>
      </x:c>
      <x:c r="I1635" s="7" t="n">
        <x:v>6726.36</x:v>
      </x:c>
      <x:c r="J1635" s="9" t="n">
        <x:v>0.2</x:v>
      </x:c>
      <x:c r="K1635" s="7" t="n">
        <x:v>5381.09</x:v>
      </x:c>
      <x:c r="L1635" s="7" t="n">
        <x:v>501.54</x:v>
      </x:c>
      <x:c r="M1635" s="3" t="str">
        <x:v>Credit Card</x:v>
      </x:c>
      <x:c r="N1635" s="3" t="str">
        <x:f>TEXT(B1635,"yyyy-mm")</x:f>
        <x:v>2025-03</x:v>
      </x:c>
      <x:c r="O1635" s="3" t="str">
        <x:f>IF(J1635=0,"No discount",IF(J1635&lt;=0.1,"1-10%",IF(J1635&lt;=0.15,"11-15%",IF(J1635&lt;=0.2,"16-20%","21%+"))))</x:f>
        <x:v>16-20%</x:v>
      </x:c>
      <x:c r="P1635" s="9" t="n">
        <x:f>IF(K1635=0,0,L1635/K1635)</x:f>
        <x:v>0.09320416495542724</x:v>
      </x:c>
      <x:c r="Q1635" s="3" t="str">
        <x:f>IF(L1635&lt;0,"Yes","No")</x:f>
        <x:v>No</x:v>
      </x:c>
    </x:row>
    <x:row r="1636" ht="21" customHeight="1">
      <x:c r="A1636" s="3" t="str">
        <x:v>ORD-101096</x:v>
      </x:c>
      <x:c r="B1636" s="5" t="n">
        <x:v>45734</x:v>
      </x:c>
      <x:c r="C1636" s="3" t="str">
        <x:v>CUST-00329</x:v>
      </x:c>
      <x:c r="D1636" s="3" t="str">
        <x:v>West</x:v>
      </x:c>
      <x:c r="E1636" s="3" t="str">
        <x:v>Beauty</x:v>
      </x:c>
      <x:c r="F1636" s="3" t="str">
        <x:v>Skincare</x:v>
      </x:c>
      <x:c r="G1636" s="3" t="str">
        <x:v>Vitamin C Serum</x:v>
      </x:c>
      <x:c r="H1636" s="3" t="n">
        <x:v>2</x:v>
      </x:c>
      <x:c r="I1636" s="7" t="n">
        <x:v>910.29</x:v>
      </x:c>
      <x:c r="J1636" s="9" t="n">
        <x:v>0.05</x:v>
      </x:c>
      <x:c r="K1636" s="7" t="n">
        <x:v>1729.55</x:v>
      </x:c>
      <x:c r="L1636" s="7" t="n">
        <x:v>912.35</x:v>
      </x:c>
      <x:c r="M1636" s="3" t="str">
        <x:v>UPI</x:v>
      </x:c>
      <x:c r="N1636" s="3" t="str">
        <x:f>TEXT(B1636,"yyyy-mm")</x:f>
        <x:v>2025-03</x:v>
      </x:c>
      <x:c r="O1636" s="3" t="str">
        <x:f>IF(J1636=0,"No discount",IF(J1636&lt;=0.1,"1-10%",IF(J1636&lt;=0.15,"11-15%",IF(J1636&lt;=0.2,"16-20%","21%+"))))</x:f>
        <x:v>1-10%</x:v>
      </x:c>
      <x:c r="P1636" s="9" t="n">
        <x:f>IF(K1636=0,0,L1636/K1636)</x:f>
        <x:v>0.5275071550403284</x:v>
      </x:c>
      <x:c r="Q1636" s="3" t="str">
        <x:f>IF(L1636&lt;0,"Yes","No")</x:f>
        <x:v>No</x:v>
      </x:c>
    </x:row>
    <x:row r="1637" ht="21" customHeight="1">
      <x:c r="A1637" s="3" t="str">
        <x:v>ORD-101498</x:v>
      </x:c>
      <x:c r="B1637" s="5" t="n">
        <x:v>45734</x:v>
      </x:c>
      <x:c r="C1637" s="3" t="str">
        <x:v>CUST-00022</x:v>
      </x:c>
      <x:c r="D1637" s="3" t="str">
        <x:v>North</x:v>
      </x:c>
      <x:c r="E1637" s="3" t="str">
        <x:v>Beauty</x:v>
      </x:c>
      <x:c r="F1637" s="3" t="str">
        <x:v>Makeup</x:v>
      </x:c>
      <x:c r="G1637" s="3" t="str">
        <x:v>Matte Lipstick Set</x:v>
      </x:c>
      <x:c r="H1637" s="3" t="n">
        <x:v>2</x:v>
      </x:c>
      <x:c r="I1637" s="7" t="n">
        <x:v>968.95</x:v>
      </x:c>
      <x:c r="J1637" s="9" t="n">
        <x:v>0.05</x:v>
      </x:c>
      <x:c r="K1637" s="7" t="n">
        <x:v>1841.01</x:v>
      </x:c>
      <x:c r="L1637" s="7" t="n">
        <x:v>941.36</x:v>
      </x:c>
      <x:c r="M1637" s="3" t="str">
        <x:v>UPI</x:v>
      </x:c>
      <x:c r="N1637" s="3" t="str">
        <x:f>TEXT(B1637,"yyyy-mm")</x:f>
        <x:v>2025-03</x:v>
      </x:c>
      <x:c r="O1637" s="3" t="str">
        <x:f>IF(J1637=0,"No discount",IF(J1637&lt;=0.1,"1-10%",IF(J1637&lt;=0.15,"11-15%",IF(J1637&lt;=0.2,"16-20%","21%+"))))</x:f>
        <x:v>1-10%</x:v>
      </x:c>
      <x:c r="P1637" s="9" t="n">
        <x:f>IF(K1637=0,0,L1637/K1637)</x:f>
        <x:v>0.5113280210319335</x:v>
      </x:c>
      <x:c r="Q1637" s="3" t="str">
        <x:f>IF(L1637&lt;0,"Yes","No")</x:f>
        <x:v>No</x:v>
      </x:c>
    </x:row>
    <x:row r="1638" ht="21" customHeight="1">
      <x:c r="A1638" s="3" t="str">
        <x:v>ORD-101126</x:v>
      </x:c>
      <x:c r="B1638" s="5" t="n">
        <x:v>45735</x:v>
      </x:c>
      <x:c r="C1638" s="3" t="str">
        <x:v>CUST-00302</x:v>
      </x:c>
      <x:c r="D1638" s="3" t="str">
        <x:v>South</x:v>
      </x:c>
      <x:c r="E1638" s="3" t="str">
        <x:v>Electronics</x:v>
      </x:c>
      <x:c r="F1638" s="3" t="str">
        <x:v>Mobile</x:v>
      </x:c>
      <x:c r="G1638" s="3" t="str">
        <x:v>Galaxy Nova X5</x:v>
      </x:c>
      <x:c r="H1638" s="3" t="n">
        <x:v>4</x:v>
      </x:c>
      <x:c r="I1638" s="7" t="n">
        <x:v>24487.57</x:v>
      </x:c>
      <x:c r="J1638" s="9" t="n">
        <x:v>0.25</x:v>
      </x:c>
      <x:c r="K1638" s="7" t="n">
        <x:v>73462.71</x:v>
      </x:c>
      <x:c r="L1638" s="7" t="n">
        <x:v>-10523.57</x:v>
      </x:c>
      <x:c r="M1638" s="3" t="str">
        <x:v>UPI</x:v>
      </x:c>
      <x:c r="N1638" s="3" t="str">
        <x:f>TEXT(B1638,"yyyy-mm")</x:f>
        <x:v>2025-03</x:v>
      </x:c>
      <x:c r="O1638" s="3" t="str">
        <x:f>IF(J1638=0,"No discount",IF(J1638&lt;=0.1,"1-10%",IF(J1638&lt;=0.15,"11-15%",IF(J1638&lt;=0.2,"16-20%","21%+"))))</x:f>
        <x:v>21%+</x:v>
      </x:c>
      <x:c r="P1638" s="9" t="n">
        <x:f>IF(K1638=0,0,L1638/K1638)</x:f>
        <x:v>-0.14325050083232702</x:v>
      </x:c>
      <x:c r="Q1638" s="3" t="str">
        <x:f>IF(L1638&lt;0,"Yes","No")</x:f>
        <x:v>Yes</x:v>
      </x:c>
    </x:row>
    <x:row r="1639" ht="21" customHeight="1">
      <x:c r="A1639" s="3" t="str">
        <x:v>ORD-101760</x:v>
      </x:c>
      <x:c r="B1639" s="5" t="n">
        <x:v>45736</x:v>
      </x:c>
      <x:c r="C1639" s="3" t="str">
        <x:v>CUST-00376</x:v>
      </x:c>
      <x:c r="D1639" s="3" t="str">
        <x:v>West</x:v>
      </x:c>
      <x:c r="E1639" s="3" t="str">
        <x:v>Electronics</x:v>
      </x:c>
      <x:c r="F1639" s="3" t="str">
        <x:v>Audio</x:v>
      </x:c>
      <x:c r="G1639" s="3" t="str">
        <x:v>SoundPods Pro</x:v>
      </x:c>
      <x:c r="H1639" s="3" t="n">
        <x:v>2</x:v>
      </x:c>
      <x:c r="I1639" s="7" t="n">
        <x:v>4897.78</x:v>
      </x:c>
      <x:c r="J1639" s="9" t="n">
        <x:v>0.15</x:v>
      </x:c>
      <x:c r="K1639" s="7" t="n">
        <x:v>8326.23</x:v>
      </x:c>
      <x:c r="L1639" s="7" t="n">
        <x:v>-234.87</x:v>
      </x:c>
      <x:c r="M1639" s="3" t="str">
        <x:v>UPI</x:v>
      </x:c>
      <x:c r="N1639" s="3" t="str">
        <x:f>TEXT(B1639,"yyyy-mm")</x:f>
        <x:v>2025-03</x:v>
      </x:c>
      <x:c r="O1639" s="3" t="str">
        <x:f>IF(J1639=0,"No discount",IF(J1639&lt;=0.1,"1-10%",IF(J1639&lt;=0.15,"11-15%",IF(J1639&lt;=0.2,"16-20%","21%+"))))</x:f>
        <x:v>11-15%</x:v>
      </x:c>
      <x:c r="P1639" s="9" t="n">
        <x:f>IF(K1639=0,0,L1639/K1639)</x:f>
        <x:v>-0.02820844487841436</x:v>
      </x:c>
      <x:c r="Q1639" s="3" t="str">
        <x:f>IF(L1639&lt;0,"Yes","No")</x:f>
        <x:v>Yes</x:v>
      </x:c>
    </x:row>
    <x:row r="1640" ht="21" customHeight="1">
      <x:c r="A1640" s="3" t="str">
        <x:v>ORD-100330</x:v>
      </x:c>
      <x:c r="B1640" s="5" t="n">
        <x:v>45737</x:v>
      </x:c>
      <x:c r="C1640" s="3" t="str">
        <x:v>CUST-00270</x:v>
      </x:c>
      <x:c r="D1640" s="3" t="str">
        <x:v>North</x:v>
      </x:c>
      <x:c r="E1640" s="3" t="str">
        <x:v>Sports</x:v>
      </x:c>
      <x:c r="F1640" s="3" t="str">
        <x:v>Outdoor</x:v>
      </x:c>
      <x:c r="G1640" s="3" t="str">
        <x:v>TrailHike Backpack 60L</x:v>
      </x:c>
      <x:c r="H1640" s="3" t="n">
        <x:v>1</x:v>
      </x:c>
      <x:c r="I1640" s="7" t="n">
        <x:v>3325.9</x:v>
      </x:c>
      <x:c r="J1640" s="9" t="n">
        <x:v>0.3</x:v>
      </x:c>
      <x:c r="K1640" s="7" t="n">
        <x:v>2328.13</x:v>
      </x:c>
      <x:c r="L1640" s="7" t="n">
        <x:v>5.32</x:v>
      </x:c>
      <x:c r="M1640" s="3" t="str">
        <x:v>Net Banking</x:v>
      </x:c>
      <x:c r="N1640" s="3" t="str">
        <x:f>TEXT(B1640,"yyyy-mm")</x:f>
        <x:v>2025-03</x:v>
      </x:c>
      <x:c r="O1640" s="3" t="str">
        <x:f>IF(J1640=0,"No discount",IF(J1640&lt;=0.1,"1-10%",IF(J1640&lt;=0.15,"11-15%",IF(J1640&lt;=0.2,"16-20%","21%+"))))</x:f>
        <x:v>21%+</x:v>
      </x:c>
      <x:c r="P1640" s="9" t="n">
        <x:f>IF(K1640=0,0,L1640/K1640)</x:f>
        <x:v>0.002285095763552723</x:v>
      </x:c>
      <x:c r="Q1640" s="3" t="str">
        <x:f>IF(L1640&lt;0,"Yes","No")</x:f>
        <x:v>No</x:v>
      </x:c>
    </x:row>
    <x:row r="1641" ht="21" customHeight="1">
      <x:c r="A1641" s="3" t="str">
        <x:v>ORD-101075</x:v>
      </x:c>
      <x:c r="B1641" s="5" t="n">
        <x:v>45737</x:v>
      </x:c>
      <x:c r="C1641" s="3" t="str">
        <x:v>CUST-00501</x:v>
      </x:c>
      <x:c r="D1641" s="3" t="str">
        <x:v>West</x:v>
      </x:c>
      <x:c r="E1641" s="3" t="str">
        <x:v>Fashion</x:v>
      </x:c>
      <x:c r="F1641" s="3" t="str">
        <x:v>Women</x:v>
      </x:c>
      <x:c r="G1641" s="3" t="str">
        <x:v>Floral Summer Dress</x:v>
      </x:c>
      <x:c r="H1641" s="3" t="n">
        <x:v>2</x:v>
      </x:c>
      <x:c r="I1641" s="7" t="n">
        <x:v>1742.88</x:v>
      </x:c>
      <x:c r="J1641" s="9" t="n">
        <x:v>0.3</x:v>
      </x:c>
      <x:c r="K1641" s="7" t="n">
        <x:v>2440.03</x:v>
      </x:c>
      <x:c r="L1641" s="7" t="n">
        <x:v>220.03</x:v>
      </x:c>
      <x:c r="M1641" s="3" t="str">
        <x:v>Cash on Delivery</x:v>
      </x:c>
      <x:c r="N1641" s="3" t="str">
        <x:f>TEXT(B1641,"yyyy-mm")</x:f>
        <x:v>2025-03</x:v>
      </x:c>
      <x:c r="O1641" s="3" t="str">
        <x:f>IF(J1641=0,"No discount",IF(J1641&lt;=0.1,"1-10%",IF(J1641&lt;=0.15,"11-15%",IF(J1641&lt;=0.2,"16-20%","21%+"))))</x:f>
        <x:v>21%+</x:v>
      </x:c>
      <x:c r="P1641" s="9" t="n">
        <x:f>IF(K1641=0,0,L1641/K1641)</x:f>
        <x:v>0.0901751207976951</x:v>
      </x:c>
      <x:c r="Q1641" s="3" t="str">
        <x:f>IF(L1641&lt;0,"Yes","No")</x:f>
        <x:v>No</x:v>
      </x:c>
    </x:row>
    <x:row r="1642" ht="21" customHeight="1">
      <x:c r="A1642" s="3" t="str">
        <x:v>ORD-101302</x:v>
      </x:c>
      <x:c r="B1642" s="5" t="n">
        <x:v>45737</x:v>
      </x:c>
      <x:c r="C1642" s="3" t="str">
        <x:v>CUST-00545</x:v>
      </x:c>
      <x:c r="D1642" s="3" t="str">
        <x:v>North</x:v>
      </x:c>
      <x:c r="E1642" s="3" t="str">
        <x:v>Home &amp; Kitchen</x:v>
      </x:c>
      <x:c r="F1642" s="3" t="str">
        <x:v>Decor</x:v>
      </x:c>
      <x:c r="G1642" s="3" t="str">
        <x:v>LED Wall Lamp</x:v>
      </x:c>
      <x:c r="H1642" s="3" t="n">
        <x:v>1</x:v>
      </x:c>
      <x:c r="I1642" s="7" t="n">
        <x:v>989.07</x:v>
      </x:c>
      <x:c r="J1642" s="9" t="n">
        <x:v>0</x:v>
      </x:c>
      <x:c r="K1642" s="7" t="n">
        <x:v>989.07</x:v>
      </x:c>
      <x:c r="L1642" s="7" t="n">
        <x:v>295.87</x:v>
      </x:c>
      <x:c r="M1642" s="3" t="str">
        <x:v>UPI</x:v>
      </x:c>
      <x:c r="N1642" s="3" t="str">
        <x:f>TEXT(B1642,"yyyy-mm")</x:f>
        <x:v>2025-03</x:v>
      </x:c>
      <x:c r="O1642" s="3" t="str">
        <x:f>IF(J1642=0,"No discount",IF(J1642&lt;=0.1,"1-10%",IF(J1642&lt;=0.15,"11-15%",IF(J1642&lt;=0.2,"16-20%","21%+"))))</x:f>
        <x:v>No discount</x:v>
      </x:c>
      <x:c r="P1642" s="9" t="n">
        <x:f>IF(K1642=0,0,L1642/K1642)</x:f>
        <x:v>0.29913959578189614</x:v>
      </x:c>
      <x:c r="Q1642" s="3" t="str">
        <x:f>IF(L1642&lt;0,"Yes","No")</x:f>
        <x:v>No</x:v>
      </x:c>
    </x:row>
    <x:row r="1643" ht="21" customHeight="1">
      <x:c r="A1643" s="3" t="str">
        <x:v>ORD-101332</x:v>
      </x:c>
      <x:c r="B1643" s="5" t="n">
        <x:v>45737</x:v>
      </x:c>
      <x:c r="C1643" s="3" t="str">
        <x:v>CUST-00421</x:v>
      </x:c>
      <x:c r="D1643" s="3" t="str">
        <x:v>North</x:v>
      </x:c>
      <x:c r="E1643" s="3" t="str">
        <x:v>Beauty</x:v>
      </x:c>
      <x:c r="F1643" s="3" t="str">
        <x:v>Makeup</x:v>
      </x:c>
      <x:c r="G1643" s="3" t="str">
        <x:v>Matte Lipstick Set</x:v>
      </x:c>
      <x:c r="H1643" s="3" t="n">
        <x:v>1</x:v>
      </x:c>
      <x:c r="I1643" s="7" t="n">
        <x:v>1048.81</x:v>
      </x:c>
      <x:c r="J1643" s="9" t="n">
        <x:v>0.25</x:v>
      </x:c>
      <x:c r="K1643" s="7" t="n">
        <x:v>786.61</x:v>
      </x:c>
      <x:c r="L1643" s="7" t="n">
        <x:v>217.96</x:v>
      </x:c>
      <x:c r="M1643" s="3" t="str">
        <x:v>Net Banking</x:v>
      </x:c>
      <x:c r="N1643" s="3" t="str">
        <x:f>TEXT(B1643,"yyyy-mm")</x:f>
        <x:v>2025-03</x:v>
      </x:c>
      <x:c r="O1643" s="3" t="str">
        <x:f>IF(J1643=0,"No discount",IF(J1643&lt;=0.1,"1-10%",IF(J1643&lt;=0.15,"11-15%",IF(J1643&lt;=0.2,"16-20%","21%+"))))</x:f>
        <x:v>21%+</x:v>
      </x:c>
      <x:c r="P1643" s="9" t="n">
        <x:f>IF(K1643=0,0,L1643/K1643)</x:f>
        <x:v>0.27708775632142996</x:v>
      </x:c>
      <x:c r="Q1643" s="3" t="str">
        <x:f>IF(L1643&lt;0,"Yes","No")</x:f>
        <x:v>No</x:v>
      </x:c>
    </x:row>
    <x:row r="1644" ht="21" customHeight="1">
      <x:c r="A1644" s="3" t="str">
        <x:v>ORD-101644</x:v>
      </x:c>
      <x:c r="B1644" s="5" t="n">
        <x:v>45737</x:v>
      </x:c>
      <x:c r="C1644" s="3" t="str">
        <x:v>CUST-00003</x:v>
      </x:c>
      <x:c r="D1644" s="3" t="str">
        <x:v>North</x:v>
      </x:c>
      <x:c r="E1644" s="3" t="str">
        <x:v>Beauty</x:v>
      </x:c>
      <x:c r="F1644" s="3" t="str">
        <x:v>Makeup</x:v>
      </x:c>
      <x:c r="G1644" s="3" t="str">
        <x:v>HD Foundation Kit</x:v>
      </x:c>
      <x:c r="H1644" s="3" t="n">
        <x:v>2</x:v>
      </x:c>
      <x:c r="I1644" s="7" t="n">
        <x:v>1480.06</x:v>
      </x:c>
      <x:c r="J1644" s="9" t="n">
        <x:v>0.1</x:v>
      </x:c>
      <x:c r="K1644" s="7" t="n">
        <x:v>2664.11</x:v>
      </x:c>
      <x:c r="L1644" s="7" t="n">
        <x:v>1148.79</x:v>
      </x:c>
      <x:c r="M1644" s="3" t="str">
        <x:v>Net Banking</x:v>
      </x:c>
      <x:c r="N1644" s="3" t="str">
        <x:f>TEXT(B1644,"yyyy-mm")</x:f>
        <x:v>2025-03</x:v>
      </x:c>
      <x:c r="O1644" s="3" t="str">
        <x:f>IF(J1644=0,"No discount",IF(J1644&lt;=0.1,"1-10%",IF(J1644&lt;=0.15,"11-15%",IF(J1644&lt;=0.2,"16-20%","21%+"))))</x:f>
        <x:v>1-10%</x:v>
      </x:c>
      <x:c r="P1644" s="9" t="n">
        <x:f>IF(K1644=0,0,L1644/K1644)</x:f>
        <x:v>0.431209672273292</x:v>
      </x:c>
      <x:c r="Q1644" s="3" t="str">
        <x:f>IF(L1644&lt;0,"Yes","No")</x:f>
        <x:v>No</x:v>
      </x:c>
    </x:row>
    <x:row r="1645" ht="21" customHeight="1">
      <x:c r="A1645" s="3" t="str">
        <x:v>ORD-100842</x:v>
      </x:c>
      <x:c r="B1645" s="5" t="n">
        <x:v>45738</x:v>
      </x:c>
      <x:c r="C1645" s="3" t="str">
        <x:v>CUST-00489</x:v>
      </x:c>
      <x:c r="D1645" s="3" t="str">
        <x:v>East</x:v>
      </x:c>
      <x:c r="E1645" s="3" t="str">
        <x:v>Beauty</x:v>
      </x:c>
      <x:c r="F1645" s="3" t="str">
        <x:v>Skincare</x:v>
      </x:c>
      <x:c r="G1645" s="3" t="str">
        <x:v>Vitamin C Serum</x:v>
      </x:c>
      <x:c r="H1645" s="3" t="n">
        <x:v>1</x:v>
      </x:c>
      <x:c r="I1645" s="7" t="n">
        <x:v>939.45</x:v>
      </x:c>
      <x:c r="J1645" s="9" t="n">
        <x:v>0.25</x:v>
      </x:c>
      <x:c r="K1645" s="7" t="n">
        <x:v>704.59</x:v>
      </x:c>
      <x:c r="L1645" s="7" t="n">
        <x:v>208.1</x:v>
      </x:c>
      <x:c r="M1645" s="3" t="str">
        <x:v>Debit Card</x:v>
      </x:c>
      <x:c r="N1645" s="3" t="str">
        <x:f>TEXT(B1645,"yyyy-mm")</x:f>
        <x:v>2025-03</x:v>
      </x:c>
      <x:c r="O1645" s="3" t="str">
        <x:f>IF(J1645=0,"No discount",IF(J1645&lt;=0.1,"1-10%",IF(J1645&lt;=0.15,"11-15%",IF(J1645&lt;=0.2,"16-20%","21%+"))))</x:f>
        <x:v>21%+</x:v>
      </x:c>
      <x:c r="P1645" s="9" t="n">
        <x:f>IF(K1645=0,0,L1645/K1645)</x:f>
        <x:v>0.2953490682524589</x:v>
      </x:c>
      <x:c r="Q1645" s="3" t="str">
        <x:f>IF(L1645&lt;0,"Yes","No")</x:f>
        <x:v>No</x:v>
      </x:c>
    </x:row>
    <x:row r="1646" ht="21" customHeight="1">
      <x:c r="A1646" s="3" t="str">
        <x:v>ORD-101764</x:v>
      </x:c>
      <x:c r="B1646" s="5" t="n">
        <x:v>45738</x:v>
      </x:c>
      <x:c r="C1646" s="3" t="str">
        <x:v>CUST-00131</x:v>
      </x:c>
      <x:c r="D1646" s="3" t="str">
        <x:v>East</x:v>
      </x:c>
      <x:c r="E1646" s="3" t="str">
        <x:v>Sports</x:v>
      </x:c>
      <x:c r="F1646" s="3" t="str">
        <x:v>Fitness</x:v>
      </x:c>
      <x:c r="G1646" s="3" t="str">
        <x:v>Adjustable Dumbbell 24kg</x:v>
      </x:c>
      <x:c r="H1646" s="3" t="n">
        <x:v>3</x:v>
      </x:c>
      <x:c r="I1646" s="7" t="n">
        <x:v>9781.12</x:v>
      </x:c>
      <x:c r="J1646" s="9" t="n">
        <x:v>0</x:v>
      </x:c>
      <x:c r="K1646" s="7" t="n">
        <x:v>29343.36</x:v>
      </x:c>
      <x:c r="L1646" s="7" t="n">
        <x:v>11625.14</x:v>
      </x:c>
      <x:c r="M1646" s="3" t="str">
        <x:v>UPI</x:v>
      </x:c>
      <x:c r="N1646" s="3" t="str">
        <x:f>TEXT(B1646,"yyyy-mm")</x:f>
        <x:v>2025-03</x:v>
      </x:c>
      <x:c r="O1646" s="3" t="str">
        <x:f>IF(J1646=0,"No discount",IF(J1646&lt;=0.1,"1-10%",IF(J1646&lt;=0.15,"11-15%",IF(J1646&lt;=0.2,"16-20%","21%+"))))</x:f>
        <x:v>No discount</x:v>
      </x:c>
      <x:c r="P1646" s="9" t="n">
        <x:f>IF(K1646=0,0,L1646/K1646)</x:f>
        <x:v>0.3961761706907457</x:v>
      </x:c>
      <x:c r="Q1646" s="3" t="str">
        <x:f>IF(L1646&lt;0,"Yes","No")</x:f>
        <x:v>No</x:v>
      </x:c>
    </x:row>
    <x:row r="1647" ht="21" customHeight="1">
      <x:c r="A1647" s="3" t="str">
        <x:v>ORD-100744</x:v>
      </x:c>
      <x:c r="B1647" s="5" t="n">
        <x:v>45739</x:v>
      </x:c>
      <x:c r="C1647" s="3" t="str">
        <x:v>CUST-00585</x:v>
      </x:c>
      <x:c r="D1647" s="3" t="str">
        <x:v>South</x:v>
      </x:c>
      <x:c r="E1647" s="3" t="str">
        <x:v>Electronics</x:v>
      </x:c>
      <x:c r="F1647" s="3" t="str">
        <x:v>Laptop</x:v>
      </x:c>
      <x:c r="G1647" s="3" t="str">
        <x:v>AirBook Slim</x:v>
      </x:c>
      <x:c r="H1647" s="3" t="n">
        <x:v>5</x:v>
      </x:c>
      <x:c r="I1647" s="7" t="n">
        <x:v>76618.01</x:v>
      </x:c>
      <x:c r="J1647" s="9" t="n">
        <x:v>0</x:v>
      </x:c>
      <x:c r="K1647" s="7" t="n">
        <x:v>383090.05</x:v>
      </x:c>
      <x:c r="L1647" s="7" t="n">
        <x:v>82500.48</x:v>
      </x:c>
      <x:c r="M1647" s="3" t="str">
        <x:v>Credit Card</x:v>
      </x:c>
      <x:c r="N1647" s="3" t="str">
        <x:f>TEXT(B1647,"yyyy-mm")</x:f>
        <x:v>2025-03</x:v>
      </x:c>
      <x:c r="O1647" s="3" t="str">
        <x:f>IF(J1647=0,"No discount",IF(J1647&lt;=0.1,"1-10%",IF(J1647&lt;=0.15,"11-15%",IF(J1647&lt;=0.2,"16-20%","21%+"))))</x:f>
        <x:v>No discount</x:v>
      </x:c>
      <x:c r="P1647" s="9" t="n">
        <x:f>IF(K1647=0,0,L1647/K1647)</x:f>
        <x:v>0.21535531919975473</x:v>
      </x:c>
      <x:c r="Q1647" s="3" t="str">
        <x:f>IF(L1647&lt;0,"Yes","No")</x:f>
        <x:v>No</x:v>
      </x:c>
    </x:row>
    <x:row r="1648" ht="21" customHeight="1">
      <x:c r="A1648" s="3" t="str">
        <x:v>ORD-100123</x:v>
      </x:c>
      <x:c r="B1648" s="5" t="n">
        <x:v>45740</x:v>
      </x:c>
      <x:c r="C1648" s="3" t="str">
        <x:v>CUST-00069</x:v>
      </x:c>
      <x:c r="D1648" s="3" t="str">
        <x:v>East</x:v>
      </x:c>
      <x:c r="E1648" s="3" t="str">
        <x:v>Home &amp; Kitchen</x:v>
      </x:c>
      <x:c r="F1648" s="3" t="str">
        <x:v>Appliances</x:v>
      </x:c>
      <x:c r="G1648" s="3" t="str">
        <x:v>AirFryer Deluxe</x:v>
      </x:c>
      <x:c r="H1648" s="3" t="n">
        <x:v>1</x:v>
      </x:c>
      <x:c r="I1648" s="7" t="n">
        <x:v>7889.66</x:v>
      </x:c>
      <x:c r="J1648" s="9" t="n">
        <x:v>0.1</x:v>
      </x:c>
      <x:c r="K1648" s="7" t="n">
        <x:v>7100.69</x:v>
      </x:c>
      <x:c r="L1648" s="7" t="n">
        <x:v>1697.69</x:v>
      </x:c>
      <x:c r="M1648" s="3" t="str">
        <x:v>Cash on Delivery</x:v>
      </x:c>
      <x:c r="N1648" s="3" t="str">
        <x:f>TEXT(B1648,"yyyy-mm")</x:f>
        <x:v>2025-03</x:v>
      </x:c>
      <x:c r="O1648" s="3" t="str">
        <x:f>IF(J1648=0,"No discount",IF(J1648&lt;=0.1,"1-10%",IF(J1648&lt;=0.15,"11-15%",IF(J1648&lt;=0.2,"16-20%","21%+"))))</x:f>
        <x:v>1-10%</x:v>
      </x:c>
      <x:c r="P1648" s="9" t="n">
        <x:f>IF(K1648=0,0,L1648/K1648)</x:f>
        <x:v>0.23908803228981973</x:v>
      </x:c>
      <x:c r="Q1648" s="3" t="str">
        <x:f>IF(L1648&lt;0,"Yes","No")</x:f>
        <x:v>No</x:v>
      </x:c>
    </x:row>
    <x:row r="1649" ht="21" customHeight="1">
      <x:c r="A1649" s="3" t="str">
        <x:v>ORD-100630</x:v>
      </x:c>
      <x:c r="B1649" s="5" t="n">
        <x:v>45740</x:v>
      </x:c>
      <x:c r="C1649" s="3" t="str">
        <x:v>CUST-00286</x:v>
      </x:c>
      <x:c r="D1649" s="3" t="str">
        <x:v>South</x:v>
      </x:c>
      <x:c r="E1649" s="3" t="str">
        <x:v>Home &amp; Kitchen</x:v>
      </x:c>
      <x:c r="F1649" s="3" t="str">
        <x:v>Furniture</x:v>
      </x:c>
      <x:c r="G1649" s="3" t="str">
        <x:v>Oakwood Study Desk</x:v>
      </x:c>
      <x:c r="H1649" s="3" t="n">
        <x:v>1</x:v>
      </x:c>
      <x:c r="I1649" s="7" t="n">
        <x:v>12979.19</x:v>
      </x:c>
      <x:c r="J1649" s="9" t="n">
        <x:v>0.15</x:v>
      </x:c>
      <x:c r="K1649" s="7" t="n">
        <x:v>11032.31</x:v>
      </x:c>
      <x:c r="L1649" s="7" t="n">
        <x:v>1356.52</x:v>
      </x:c>
      <x:c r="M1649" s="3" t="str">
        <x:v>UPI</x:v>
      </x:c>
      <x:c r="N1649" s="3" t="str">
        <x:f>TEXT(B1649,"yyyy-mm")</x:f>
        <x:v>2025-03</x:v>
      </x:c>
      <x:c r="O1649" s="3" t="str">
        <x:f>IF(J1649=0,"No discount",IF(J1649&lt;=0.1,"1-10%",IF(J1649&lt;=0.15,"11-15%",IF(J1649&lt;=0.2,"16-20%","21%+"))))</x:f>
        <x:v>11-15%</x:v>
      </x:c>
      <x:c r="P1649" s="9" t="n">
        <x:f>IF(K1649=0,0,L1649/K1649)</x:f>
        <x:v>0.12295883636337268</x:v>
      </x:c>
      <x:c r="Q1649" s="3" t="str">
        <x:f>IF(L1649&lt;0,"Yes","No")</x:f>
        <x:v>No</x:v>
      </x:c>
    </x:row>
    <x:row r="1650" ht="21" customHeight="1">
      <x:c r="A1650" s="3" t="str">
        <x:v>ORD-101282</x:v>
      </x:c>
      <x:c r="B1650" s="5" t="n">
        <x:v>45740</x:v>
      </x:c>
      <x:c r="C1650" s="3" t="str">
        <x:v>CUST-00216</x:v>
      </x:c>
      <x:c r="D1650" s="3" t="str">
        <x:v>South</x:v>
      </x:c>
      <x:c r="E1650" s="3" t="str">
        <x:v>Electronics</x:v>
      </x:c>
      <x:c r="F1650" s="3" t="str">
        <x:v>Mobile</x:v>
      </x:c>
      <x:c r="G1650" s="3" t="str">
        <x:v>Pixel Aura 12</x:v>
      </x:c>
      <x:c r="H1650" s="3" t="n">
        <x:v>2</x:v>
      </x:c>
      <x:c r="I1650" s="7" t="n">
        <x:v>34024.72</x:v>
      </x:c>
      <x:c r="J1650" s="9" t="n">
        <x:v>0.05</x:v>
      </x:c>
      <x:c r="K1650" s="7" t="n">
        <x:v>64646.97</x:v>
      </x:c>
      <x:c r="L1650" s="7" t="n">
        <x:v>8881.28</x:v>
      </x:c>
      <x:c r="M1650" s="3" t="str">
        <x:v>Credit Card</x:v>
      </x:c>
      <x:c r="N1650" s="3" t="str">
        <x:f>TEXT(B1650,"yyyy-mm")</x:f>
        <x:v>2025-03</x:v>
      </x:c>
      <x:c r="O1650" s="3" t="str">
        <x:f>IF(J1650=0,"No discount",IF(J1650&lt;=0.1,"1-10%",IF(J1650&lt;=0.15,"11-15%",IF(J1650&lt;=0.2,"16-20%","21%+"))))</x:f>
        <x:v>1-10%</x:v>
      </x:c>
      <x:c r="P1650" s="9" t="n">
        <x:f>IF(K1650=0,0,L1650/K1650)</x:f>
        <x:v>0.13738122606519687</x:v>
      </x:c>
      <x:c r="Q1650" s="3" t="str">
        <x:f>IF(L1650&lt;0,"Yes","No")</x:f>
        <x:v>No</x:v>
      </x:c>
    </x:row>
    <x:row r="1651" ht="21" customHeight="1">
      <x:c r="A1651" s="3" t="str">
        <x:v>ORD-101990</x:v>
      </x:c>
      <x:c r="B1651" s="5" t="n">
        <x:v>45741</x:v>
      </x:c>
      <x:c r="C1651" s="3" t="str">
        <x:v>CUST-00120</x:v>
      </x:c>
      <x:c r="D1651" s="3" t="str">
        <x:v>South</x:v>
      </x:c>
      <x:c r="E1651" s="3" t="str">
        <x:v>Fashion</x:v>
      </x:c>
      <x:c r="F1651" s="3" t="str">
        <x:v>Footwear</x:v>
      </x:c>
      <x:c r="G1651" s="3" t="str">
        <x:v>UrbanLoafers</x:v>
      </x:c>
      <x:c r="H1651" s="3" t="n">
        <x:v>1</x:v>
      </x:c>
      <x:c r="I1651" s="7" t="n">
        <x:v>3364.25</x:v>
      </x:c>
      <x:c r="J1651" s="9" t="n">
        <x:v>0.05</x:v>
      </x:c>
      <x:c r="K1651" s="7" t="n">
        <x:v>3196.04</x:v>
      </x:c>
      <x:c r="L1651" s="7" t="n">
        <x:v>1078.3</x:v>
      </x:c>
      <x:c r="M1651" s="3" t="str">
        <x:v>UPI</x:v>
      </x:c>
      <x:c r="N1651" s="3" t="str">
        <x:f>TEXT(B1651,"yyyy-mm")</x:f>
        <x:v>2025-03</x:v>
      </x:c>
      <x:c r="O1651" s="3" t="str">
        <x:f>IF(J1651=0,"No discount",IF(J1651&lt;=0.1,"1-10%",IF(J1651&lt;=0.15,"11-15%",IF(J1651&lt;=0.2,"16-20%","21%+"))))</x:f>
        <x:v>1-10%</x:v>
      </x:c>
      <x:c r="P1651" s="9" t="n">
        <x:f>IF(K1651=0,0,L1651/K1651)</x:f>
        <x:v>0.33738626550356066</x:v>
      </x:c>
      <x:c r="Q1651" s="3" t="str">
        <x:f>IF(L1651&lt;0,"Yes","No")</x:f>
        <x:v>No</x:v>
      </x:c>
    </x:row>
    <x:row r="1652" ht="21" customHeight="1">
      <x:c r="A1652" s="3" t="str">
        <x:v>ORD-100067</x:v>
      </x:c>
      <x:c r="B1652" s="5" t="n">
        <x:v>45742</x:v>
      </x:c>
      <x:c r="C1652" s="3" t="str">
        <x:v>CUST-00468</x:v>
      </x:c>
      <x:c r="D1652" s="3" t="str">
        <x:v>West</x:v>
      </x:c>
      <x:c r="E1652" s="3" t="str">
        <x:v>Sports</x:v>
      </x:c>
      <x:c r="F1652" s="3" t="str">
        <x:v>Outdoor</x:v>
      </x:c>
      <x:c r="G1652" s="3" t="str">
        <x:v>TrailHike Backpack 60L</x:v>
      </x:c>
      <x:c r="H1652" s="3" t="n">
        <x:v>1</x:v>
      </x:c>
      <x:c r="I1652" s="7" t="n">
        <x:v>3499.8</x:v>
      </x:c>
      <x:c r="J1652" s="9" t="n">
        <x:v>0</x:v>
      </x:c>
      <x:c r="K1652" s="7" t="n">
        <x:v>3499.8</x:v>
      </x:c>
      <x:c r="L1652" s="7" t="n">
        <x:v>1355.17</x:v>
      </x:c>
      <x:c r="M1652" s="3" t="str">
        <x:v>Net Banking</x:v>
      </x:c>
      <x:c r="N1652" s="3" t="str">
        <x:f>TEXT(B1652,"yyyy-mm")</x:f>
        <x:v>2025-03</x:v>
      </x:c>
      <x:c r="O1652" s="3" t="str">
        <x:f>IF(J1652=0,"No discount",IF(J1652&lt;=0.1,"1-10%",IF(J1652&lt;=0.15,"11-15%",IF(J1652&lt;=0.2,"16-20%","21%+"))))</x:f>
        <x:v>No discount</x:v>
      </x:c>
      <x:c r="P1652" s="9" t="n">
        <x:f>IF(K1652=0,0,L1652/K1652)</x:f>
        <x:v>0.38721355506028915</x:v>
      </x:c>
      <x:c r="Q1652" s="3" t="str">
        <x:f>IF(L1652&lt;0,"Yes","No")</x:f>
        <x:v>No</x:v>
      </x:c>
    </x:row>
    <x:row r="1653" ht="21" customHeight="1">
      <x:c r="A1653" s="3" t="str">
        <x:v>ORD-100133</x:v>
      </x:c>
      <x:c r="B1653" s="5" t="n">
        <x:v>45742</x:v>
      </x:c>
      <x:c r="C1653" s="3" t="str">
        <x:v>CUST-00476</x:v>
      </x:c>
      <x:c r="D1653" s="3" t="str">
        <x:v>North</x:v>
      </x:c>
      <x:c r="E1653" s="3" t="str">
        <x:v>Home &amp; Kitchen</x:v>
      </x:c>
      <x:c r="F1653" s="3" t="str">
        <x:v>Appliances</x:v>
      </x:c>
      <x:c r="G1653" s="3" t="str">
        <x:v>ColdBrew Coffee Maker</x:v>
      </x:c>
      <x:c r="H1653" s="3" t="n">
        <x:v>1</x:v>
      </x:c>
      <x:c r="I1653" s="7" t="n">
        <x:v>6619.23</x:v>
      </x:c>
      <x:c r="J1653" s="9" t="n">
        <x:v>0.15</x:v>
      </x:c>
      <x:c r="K1653" s="7" t="n">
        <x:v>5626.35</x:v>
      </x:c>
      <x:c r="L1653" s="7" t="n">
        <x:v>794.97</x:v>
      </x:c>
      <x:c r="M1653" s="3" t="str">
        <x:v>UPI</x:v>
      </x:c>
      <x:c r="N1653" s="3" t="str">
        <x:f>TEXT(B1653,"yyyy-mm")</x:f>
        <x:v>2025-03</x:v>
      </x:c>
      <x:c r="O1653" s="3" t="str">
        <x:f>IF(J1653=0,"No discount",IF(J1653&lt;=0.1,"1-10%",IF(J1653&lt;=0.15,"11-15%",IF(J1653&lt;=0.2,"16-20%","21%+"))))</x:f>
        <x:v>11-15%</x:v>
      </x:c>
      <x:c r="P1653" s="9" t="n">
        <x:f>IF(K1653=0,0,L1653/K1653)</x:f>
        <x:v>0.14129408941853955</x:v>
      </x:c>
      <x:c r="Q1653" s="3" t="str">
        <x:f>IF(L1653&lt;0,"Yes","No")</x:f>
        <x:v>No</x:v>
      </x:c>
    </x:row>
    <x:row r="1654" ht="21" customHeight="1">
      <x:c r="A1654" s="3" t="str">
        <x:v>ORD-100537</x:v>
      </x:c>
      <x:c r="B1654" s="5" t="n">
        <x:v>45742</x:v>
      </x:c>
      <x:c r="C1654" s="3" t="str">
        <x:v>CUST-00153</x:v>
      </x:c>
      <x:c r="D1654" s="3" t="str">
        <x:v>South</x:v>
      </x:c>
      <x:c r="E1654" s="3" t="str">
        <x:v>Home &amp; Kitchen</x:v>
      </x:c>
      <x:c r="F1654" s="3" t="str">
        <x:v>Decor</x:v>
      </x:c>
      <x:c r="G1654" s="3" t="str">
        <x:v>LED Wall Lamp</x:v>
      </x:c>
      <x:c r="H1654" s="3" t="n">
        <x:v>1</x:v>
      </x:c>
      <x:c r="I1654" s="7" t="n">
        <x:v>965.53</x:v>
      </x:c>
      <x:c r="J1654" s="9" t="n">
        <x:v>0.05</x:v>
      </x:c>
      <x:c r="K1654" s="7" t="n">
        <x:v>917.25</x:v>
      </x:c>
      <x:c r="L1654" s="7" t="n">
        <x:v>267.33</x:v>
      </x:c>
      <x:c r="M1654" s="3" t="str">
        <x:v>Cash on Delivery</x:v>
      </x:c>
      <x:c r="N1654" s="3" t="str">
        <x:f>TEXT(B1654,"yyyy-mm")</x:f>
        <x:v>2025-03</x:v>
      </x:c>
      <x:c r="O1654" s="3" t="str">
        <x:f>IF(J1654=0,"No discount",IF(J1654&lt;=0.1,"1-10%",IF(J1654&lt;=0.15,"11-15%",IF(J1654&lt;=0.2,"16-20%","21%+"))))</x:f>
        <x:v>1-10%</x:v>
      </x:c>
      <x:c r="P1654" s="9" t="n">
        <x:f>IF(K1654=0,0,L1654/K1654)</x:f>
        <x:v>0.2914472608340147</x:v>
      </x:c>
      <x:c r="Q1654" s="3" t="str">
        <x:f>IF(L1654&lt;0,"Yes","No")</x:f>
        <x:v>No</x:v>
      </x:c>
    </x:row>
    <x:row r="1655" ht="21" customHeight="1">
      <x:c r="A1655" s="3" t="str">
        <x:v>ORD-100924</x:v>
      </x:c>
      <x:c r="B1655" s="5" t="n">
        <x:v>45742</x:v>
      </x:c>
      <x:c r="C1655" s="3" t="str">
        <x:v>CUST-00128</x:v>
      </x:c>
      <x:c r="D1655" s="3" t="str">
        <x:v>South</x:v>
      </x:c>
      <x:c r="E1655" s="3" t="str">
        <x:v>Sports</x:v>
      </x:c>
      <x:c r="F1655" s="3" t="str">
        <x:v>Fitness</x:v>
      </x:c>
      <x:c r="G1655" s="3" t="str">
        <x:v>Adjustable Dumbbell 24kg</x:v>
      </x:c>
      <x:c r="H1655" s="3" t="n">
        <x:v>3</x:v>
      </x:c>
      <x:c r="I1655" s="7" t="n">
        <x:v>10224.13</x:v>
      </x:c>
      <x:c r="J1655" s="9" t="n">
        <x:v>0.2</x:v>
      </x:c>
      <x:c r="K1655" s="7" t="n">
        <x:v>24537.91</x:v>
      </x:c>
      <x:c r="L1655" s="7" t="n">
        <x:v>2777.51</x:v>
      </x:c>
      <x:c r="M1655" s="3" t="str">
        <x:v>Net Banking</x:v>
      </x:c>
      <x:c r="N1655" s="3" t="str">
        <x:f>TEXT(B1655,"yyyy-mm")</x:f>
        <x:v>2025-03</x:v>
      </x:c>
      <x:c r="O1655" s="3" t="str">
        <x:f>IF(J1655=0,"No discount",IF(J1655&lt;=0.1,"1-10%",IF(J1655&lt;=0.15,"11-15%",IF(J1655&lt;=0.2,"16-20%","21%+"))))</x:f>
        <x:v>16-20%</x:v>
      </x:c>
      <x:c r="P1655" s="9" t="n">
        <x:f>IF(K1655=0,0,L1655/K1655)</x:f>
        <x:v>0.11319260686831112</x:v>
      </x:c>
      <x:c r="Q1655" s="3" t="str">
        <x:f>IF(L1655&lt;0,"Yes","No")</x:f>
        <x:v>No</x:v>
      </x:c>
    </x:row>
    <x:row r="1656" ht="21" customHeight="1">
      <x:c r="A1656" s="3" t="str">
        <x:v>ORD-100962</x:v>
      </x:c>
      <x:c r="B1656" s="5" t="n">
        <x:v>45742</x:v>
      </x:c>
      <x:c r="C1656" s="3" t="str">
        <x:v>CUST-00001</x:v>
      </x:c>
      <x:c r="D1656" s="3" t="str">
        <x:v>North</x:v>
      </x:c>
      <x:c r="E1656" s="3" t="str">
        <x:v>Fashion</x:v>
      </x:c>
      <x:c r="F1656" s="3" t="str">
        <x:v>Men</x:v>
      </x:c>
      <x:c r="G1656" s="3" t="str">
        <x:v>SlimFit Denim Jeans</x:v>
      </x:c>
      <x:c r="H1656" s="3" t="n">
        <x:v>1</x:v>
      </x:c>
      <x:c r="I1656" s="7" t="n">
        <x:v>1917.47</x:v>
      </x:c>
      <x:c r="J1656" s="9" t="n">
        <x:v>0.2</x:v>
      </x:c>
      <x:c r="K1656" s="7" t="n">
        <x:v>1533.98</x:v>
      </x:c>
      <x:c r="L1656" s="7" t="n">
        <x:v>351.37</x:v>
      </x:c>
      <x:c r="M1656" s="3" t="str">
        <x:v>Credit Card</x:v>
      </x:c>
      <x:c r="N1656" s="3" t="str">
        <x:f>TEXT(B1656,"yyyy-mm")</x:f>
        <x:v>2025-03</x:v>
      </x:c>
      <x:c r="O1656" s="3" t="str">
        <x:f>IF(J1656=0,"No discount",IF(J1656&lt;=0.1,"1-10%",IF(J1656&lt;=0.15,"11-15%",IF(J1656&lt;=0.2,"16-20%","21%+"))))</x:f>
        <x:v>16-20%</x:v>
      </x:c>
      <x:c r="P1656" s="9" t="n">
        <x:f>IF(K1656=0,0,L1656/K1656)</x:f>
        <x:v>0.22905774521180197</x:v>
      </x:c>
      <x:c r="Q1656" s="3" t="str">
        <x:f>IF(L1656&lt;0,"Yes","No")</x:f>
        <x:v>No</x:v>
      </x:c>
    </x:row>
    <x:row r="1657" ht="21" customHeight="1">
      <x:c r="A1657" s="3" t="str">
        <x:v>ORD-101279</x:v>
      </x:c>
      <x:c r="B1657" s="5" t="n">
        <x:v>45742</x:v>
      </x:c>
      <x:c r="C1657" s="3" t="str">
        <x:v>CUST-00057</x:v>
      </x:c>
      <x:c r="D1657" s="3" t="str">
        <x:v>North</x:v>
      </x:c>
      <x:c r="E1657" s="3" t="str">
        <x:v>Beauty</x:v>
      </x:c>
      <x:c r="F1657" s="3" t="str">
        <x:v>Skincare</x:v>
      </x:c>
      <x:c r="G1657" s="3" t="str">
        <x:v>Vitamin C Serum</x:v>
      </x:c>
      <x:c r="H1657" s="3" t="n">
        <x:v>4</x:v>
      </x:c>
      <x:c r="I1657" s="7" t="n">
        <x:v>930.28</x:v>
      </x:c>
      <x:c r="J1657" s="9" t="n">
        <x:v>0.1</x:v>
      </x:c>
      <x:c r="K1657" s="7" t="n">
        <x:v>3349.01</x:v>
      </x:c>
      <x:c r="L1657" s="7" t="n">
        <x:v>1478.86</x:v>
      </x:c>
      <x:c r="M1657" s="3" t="str">
        <x:v>Credit Card</x:v>
      </x:c>
      <x:c r="N1657" s="3" t="str">
        <x:f>TEXT(B1657,"yyyy-mm")</x:f>
        <x:v>2025-03</x:v>
      </x:c>
      <x:c r="O1657" s="3" t="str">
        <x:f>IF(J1657=0,"No discount",IF(J1657&lt;=0.1,"1-10%",IF(J1657&lt;=0.15,"11-15%",IF(J1657&lt;=0.2,"16-20%","21%+"))))</x:f>
        <x:v>1-10%</x:v>
      </x:c>
      <x:c r="P1657" s="9" t="n">
        <x:f>IF(K1657=0,0,L1657/K1657)</x:f>
        <x:v>0.4415812434122322</x:v>
      </x:c>
      <x:c r="Q1657" s="3" t="str">
        <x:f>IF(L1657&lt;0,"Yes","No")</x:f>
        <x:v>No</x:v>
      </x:c>
    </x:row>
    <x:row r="1658" ht="21" customHeight="1">
      <x:c r="A1658" s="3" t="str">
        <x:v>ORD-101328</x:v>
      </x:c>
      <x:c r="B1658" s="5" t="n">
        <x:v>45742</x:v>
      </x:c>
      <x:c r="C1658" s="3" t="str">
        <x:v>CUST-00519</x:v>
      </x:c>
      <x:c r="D1658" s="3" t="str">
        <x:v>West</x:v>
      </x:c>
      <x:c r="E1658" s="3" t="str">
        <x:v>Sports</x:v>
      </x:c>
      <x:c r="F1658" s="3" t="str">
        <x:v>Outdoor</x:v>
      </x:c>
      <x:c r="G1658" s="3" t="str">
        <x:v>AllWeather Tent 4P</x:v>
      </x:c>
      <x:c r="H1658" s="3" t="n">
        <x:v>2</x:v>
      </x:c>
      <x:c r="I1658" s="7" t="n">
        <x:v>12364.69</x:v>
      </x:c>
      <x:c r="J1658" s="9" t="n">
        <x:v>0.1</x:v>
      </x:c>
      <x:c r="K1658" s="7" t="n">
        <x:v>22256.44</x:v>
      </x:c>
      <x:c r="L1658" s="7" t="n">
        <x:v>5451</x:v>
      </x:c>
      <x:c r="M1658" s="3" t="str">
        <x:v>UPI</x:v>
      </x:c>
      <x:c r="N1658" s="3" t="str">
        <x:f>TEXT(B1658,"yyyy-mm")</x:f>
        <x:v>2025-03</x:v>
      </x:c>
      <x:c r="O1658" s="3" t="str">
        <x:f>IF(J1658=0,"No discount",IF(J1658&lt;=0.1,"1-10%",IF(J1658&lt;=0.15,"11-15%",IF(J1658&lt;=0.2,"16-20%","21%+"))))</x:f>
        <x:v>1-10%</x:v>
      </x:c>
      <x:c r="P1658" s="9" t="n">
        <x:f>IF(K1658=0,0,L1658/K1658)</x:f>
        <x:v>0.24491787545537383</x:v>
      </x:c>
      <x:c r="Q1658" s="3" t="str">
        <x:f>IF(L1658&lt;0,"Yes","No")</x:f>
        <x:v>No</x:v>
      </x:c>
    </x:row>
    <x:row r="1659" ht="21" customHeight="1">
      <x:c r="A1659" s="3" t="str">
        <x:v>ORD-101408</x:v>
      </x:c>
      <x:c r="B1659" s="5" t="n">
        <x:v>45742</x:v>
      </x:c>
      <x:c r="C1659" s="3" t="str">
        <x:v>CUST-00365</x:v>
      </x:c>
      <x:c r="D1659" s="3" t="str">
        <x:v>South</x:v>
      </x:c>
      <x:c r="E1659" s="3" t="str">
        <x:v>Home &amp; Kitchen</x:v>
      </x:c>
      <x:c r="F1659" s="3" t="str">
        <x:v>Furniture</x:v>
      </x:c>
      <x:c r="G1659" s="3" t="str">
        <x:v>ErgoComfort Chair</x:v>
      </x:c>
      <x:c r="H1659" s="3" t="n">
        <x:v>1</x:v>
      </x:c>
      <x:c r="I1659" s="7" t="n">
        <x:v>9162.95</x:v>
      </x:c>
      <x:c r="J1659" s="9" t="n">
        <x:v>0</x:v>
      </x:c>
      <x:c r="K1659" s="7" t="n">
        <x:v>9162.95</x:v>
      </x:c>
      <x:c r="L1659" s="7" t="n">
        <x:v>3261.92</x:v>
      </x:c>
      <x:c r="M1659" s="3" t="str">
        <x:v>Debit Card</x:v>
      </x:c>
      <x:c r="N1659" s="3" t="str">
        <x:f>TEXT(B1659,"yyyy-mm")</x:f>
        <x:v>2025-03</x:v>
      </x:c>
      <x:c r="O1659" s="3" t="str">
        <x:f>IF(J1659=0,"No discount",IF(J1659&lt;=0.1,"1-10%",IF(J1659&lt;=0.15,"11-15%",IF(J1659&lt;=0.2,"16-20%","21%+"))))</x:f>
        <x:v>No discount</x:v>
      </x:c>
      <x:c r="P1659" s="9" t="n">
        <x:f>IF(K1659=0,0,L1659/K1659)</x:f>
        <x:v>0.355990156008709</x:v>
      </x:c>
      <x:c r="Q1659" s="3" t="str">
        <x:f>IF(L1659&lt;0,"Yes","No")</x:f>
        <x:v>No</x:v>
      </x:c>
    </x:row>
    <x:row r="1660" ht="21" customHeight="1">
      <x:c r="A1660" s="3" t="str">
        <x:v>ORD-100110</x:v>
      </x:c>
      <x:c r="B1660" s="5" t="n">
        <x:v>45743</x:v>
      </x:c>
      <x:c r="C1660" s="3" t="str">
        <x:v>CUST-00289</x:v>
      </x:c>
      <x:c r="D1660" s="3" t="str">
        <x:v>West</x:v>
      </x:c>
      <x:c r="E1660" s="3" t="str">
        <x:v>Sports</x:v>
      </x:c>
      <x:c r="F1660" s="3" t="str">
        <x:v>Outdoor</x:v>
      </x:c>
      <x:c r="G1660" s="3" t="str">
        <x:v>AllWeather Tent 4P</x:v>
      </x:c>
      <x:c r="H1660" s="3" t="n">
        <x:v>1</x:v>
      </x:c>
      <x:c r="I1660" s="7" t="n">
        <x:v>12557.67</x:v>
      </x:c>
      <x:c r="J1660" s="9" t="n">
        <x:v>0</x:v>
      </x:c>
      <x:c r="K1660" s="7" t="n">
        <x:v>12557.67</x:v>
      </x:c>
      <x:c r="L1660" s="7" t="n">
        <x:v>5057.6</x:v>
      </x:c>
      <x:c r="M1660" s="3" t="str">
        <x:v>UPI</x:v>
      </x:c>
      <x:c r="N1660" s="3" t="str">
        <x:f>TEXT(B1660,"yyyy-mm")</x:f>
        <x:v>2025-03</x:v>
      </x:c>
      <x:c r="O1660" s="3" t="str">
        <x:f>IF(J1660=0,"No discount",IF(J1660&lt;=0.1,"1-10%",IF(J1660&lt;=0.15,"11-15%",IF(J1660&lt;=0.2,"16-20%","21%+"))))</x:f>
        <x:v>No discount</x:v>
      </x:c>
      <x:c r="P1660" s="9" t="n">
        <x:f>IF(K1660=0,0,L1660/K1660)</x:f>
        <x:v>0.4027498731850734</x:v>
      </x:c>
      <x:c r="Q1660" s="3" t="str">
        <x:f>IF(L1660&lt;0,"Yes","No")</x:f>
        <x:v>No</x:v>
      </x:c>
    </x:row>
    <x:row r="1661" ht="21" customHeight="1">
      <x:c r="A1661" s="3" t="str">
        <x:v>ORD-100201</x:v>
      </x:c>
      <x:c r="B1661" s="5" t="n">
        <x:v>45743</x:v>
      </x:c>
      <x:c r="C1661" s="3" t="str">
        <x:v>CUST-00436</x:v>
      </x:c>
      <x:c r="D1661" s="3" t="str">
        <x:v>South</x:v>
      </x:c>
      <x:c r="E1661" s="3" t="str">
        <x:v>Beauty</x:v>
      </x:c>
      <x:c r="F1661" s="3" t="str">
        <x:v>Makeup</x:v>
      </x:c>
      <x:c r="G1661" s="3" t="str">
        <x:v>Matte Lipstick Set</x:v>
      </x:c>
      <x:c r="H1661" s="3" t="n">
        <x:v>2</x:v>
      </x:c>
      <x:c r="I1661" s="7" t="n">
        <x:v>1003.31</x:v>
      </x:c>
      <x:c r="J1661" s="9" t="n">
        <x:v>0</x:v>
      </x:c>
      <x:c r="K1661" s="7" t="n">
        <x:v>2006.62</x:v>
      </x:c>
      <x:c r="L1661" s="7" t="n">
        <x:v>1182.44</x:v>
      </x:c>
      <x:c r="M1661" s="3" t="str">
        <x:v>Debit Card</x:v>
      </x:c>
      <x:c r="N1661" s="3" t="str">
        <x:f>TEXT(B1661,"yyyy-mm")</x:f>
        <x:v>2025-03</x:v>
      </x:c>
      <x:c r="O1661" s="3" t="str">
        <x:f>IF(J1661=0,"No discount",IF(J1661&lt;=0.1,"1-10%",IF(J1661&lt;=0.15,"11-15%",IF(J1661&lt;=0.2,"16-20%","21%+"))))</x:f>
        <x:v>No discount</x:v>
      </x:c>
      <x:c r="P1661" s="9" t="n">
        <x:f>IF(K1661=0,0,L1661/K1661)</x:f>
        <x:v>0.5892695178957651</x:v>
      </x:c>
      <x:c r="Q1661" s="3" t="str">
        <x:f>IF(L1661&lt;0,"Yes","No")</x:f>
        <x:v>No</x:v>
      </x:c>
    </x:row>
    <x:row r="1662" ht="21" customHeight="1">
      <x:c r="A1662" s="3" t="str">
        <x:v>ORD-101991</x:v>
      </x:c>
      <x:c r="B1662" s="5" t="n">
        <x:v>45743</x:v>
      </x:c>
      <x:c r="C1662" s="3" t="str">
        <x:v>CUST-00026</x:v>
      </x:c>
      <x:c r="D1662" s="3" t="str">
        <x:v>East</x:v>
      </x:c>
      <x:c r="E1662" s="3" t="str">
        <x:v>Beauty</x:v>
      </x:c>
      <x:c r="F1662" s="3" t="str">
        <x:v>Makeup</x:v>
      </x:c>
      <x:c r="G1662" s="3" t="str">
        <x:v>Matte Lipstick Set</x:v>
      </x:c>
      <x:c r="H1662" s="3" t="n">
        <x:v>3</x:v>
      </x:c>
      <x:c r="I1662" s="7" t="n">
        <x:v>984.45</x:v>
      </x:c>
      <x:c r="J1662" s="9" t="n">
        <x:v>0</x:v>
      </x:c>
      <x:c r="K1662" s="7" t="n">
        <x:v>2953.35</x:v>
      </x:c>
      <x:c r="L1662" s="7" t="n">
        <x:v>1531.38</x:v>
      </x:c>
      <x:c r="M1662" s="3" t="str">
        <x:v>Debit Card</x:v>
      </x:c>
      <x:c r="N1662" s="3" t="str">
        <x:f>TEXT(B1662,"yyyy-mm")</x:f>
        <x:v>2025-03</x:v>
      </x:c>
      <x:c r="O1662" s="3" t="str">
        <x:f>IF(J1662=0,"No discount",IF(J1662&lt;=0.1,"1-10%",IF(J1662&lt;=0.15,"11-15%",IF(J1662&lt;=0.2,"16-20%","21%+"))))</x:f>
        <x:v>No discount</x:v>
      </x:c>
      <x:c r="P1662" s="9" t="n">
        <x:f>IF(K1662=0,0,L1662/K1662)</x:f>
        <x:v>0.5185230331657271</x:v>
      </x:c>
      <x:c r="Q1662" s="3" t="str">
        <x:f>IF(L1662&lt;0,"Yes","No")</x:f>
        <x:v>No</x:v>
      </x:c>
    </x:row>
    <x:row r="1663" ht="21" customHeight="1">
      <x:c r="A1663" s="3" t="str">
        <x:v>ORD-100482</x:v>
      </x:c>
      <x:c r="B1663" s="5" t="n">
        <x:v>45744</x:v>
      </x:c>
      <x:c r="C1663" s="3" t="str">
        <x:v>CUST-00116</x:v>
      </x:c>
      <x:c r="D1663" s="3" t="str">
        <x:v>East</x:v>
      </x:c>
      <x:c r="E1663" s="3" t="str">
        <x:v>Beauty</x:v>
      </x:c>
      <x:c r="F1663" s="3" t="str">
        <x:v>Makeup</x:v>
      </x:c>
      <x:c r="G1663" s="3" t="str">
        <x:v>HD Foundation Kit</x:v>
      </x:c>
      <x:c r="H1663" s="3" t="n">
        <x:v>1</x:v>
      </x:c>
      <x:c r="I1663" s="7" t="n">
        <x:v>1565.56</x:v>
      </x:c>
      <x:c r="J1663" s="9" t="n">
        <x:v>0</x:v>
      </x:c>
      <x:c r="K1663" s="7" t="n">
        <x:v>1565.56</x:v>
      </x:c>
      <x:c r="L1663" s="7" t="n">
        <x:v>921.26</x:v>
      </x:c>
      <x:c r="M1663" s="3" t="str">
        <x:v>UPI</x:v>
      </x:c>
      <x:c r="N1663" s="3" t="str">
        <x:f>TEXT(B1663,"yyyy-mm")</x:f>
        <x:v>2025-03</x:v>
      </x:c>
      <x:c r="O1663" s="3" t="str">
        <x:f>IF(J1663=0,"No discount",IF(J1663&lt;=0.1,"1-10%",IF(J1663&lt;=0.15,"11-15%",IF(J1663&lt;=0.2,"16-20%","21%+"))))</x:f>
        <x:v>No discount</x:v>
      </x:c>
      <x:c r="P1663" s="9" t="n">
        <x:f>IF(K1663=0,0,L1663/K1663)</x:f>
        <x:v>0.588453971741741</x:v>
      </x:c>
      <x:c r="Q1663" s="3" t="str">
        <x:f>IF(L1663&lt;0,"Yes","No")</x:f>
        <x:v>No</x:v>
      </x:c>
    </x:row>
    <x:row r="1664" ht="21" customHeight="1">
      <x:c r="A1664" s="3" t="str">
        <x:v>ORD-101111</x:v>
      </x:c>
      <x:c r="B1664" s="5" t="n">
        <x:v>45744</x:v>
      </x:c>
      <x:c r="C1664" s="3" t="str">
        <x:v>CUST-00382</x:v>
      </x:c>
      <x:c r="D1664" s="3" t="str">
        <x:v>South</x:v>
      </x:c>
      <x:c r="E1664" s="3" t="str">
        <x:v>Fashion</x:v>
      </x:c>
      <x:c r="F1664" s="3" t="str">
        <x:v>Footwear</x:v>
      </x:c>
      <x:c r="G1664" s="3" t="str">
        <x:v>UrbanLoafers</x:v>
      </x:c>
      <x:c r="H1664" s="3" t="n">
        <x:v>1</x:v>
      </x:c>
      <x:c r="I1664" s="7" t="n">
        <x:v>3443.82</x:v>
      </x:c>
      <x:c r="J1664" s="9" t="n">
        <x:v>0.2</x:v>
      </x:c>
      <x:c r="K1664" s="7" t="n">
        <x:v>2755.06</x:v>
      </x:c>
      <x:c r="L1664" s="7" t="n">
        <x:v>417.82</x:v>
      </x:c>
      <x:c r="M1664" s="3" t="str">
        <x:v>UPI</x:v>
      </x:c>
      <x:c r="N1664" s="3" t="str">
        <x:f>TEXT(B1664,"yyyy-mm")</x:f>
        <x:v>2025-03</x:v>
      </x:c>
      <x:c r="O1664" s="3" t="str">
        <x:f>IF(J1664=0,"No discount",IF(J1664&lt;=0.1,"1-10%",IF(J1664&lt;=0.15,"11-15%",IF(J1664&lt;=0.2,"16-20%","21%+"))))</x:f>
        <x:v>16-20%</x:v>
      </x:c>
      <x:c r="P1664" s="9" t="n">
        <x:f>IF(K1664=0,0,L1664/K1664)</x:f>
        <x:v>0.15165549933576764</x:v>
      </x:c>
      <x:c r="Q1664" s="3" t="str">
        <x:f>IF(L1664&lt;0,"Yes","No")</x:f>
        <x:v>No</x:v>
      </x:c>
    </x:row>
    <x:row r="1665" ht="21" customHeight="1">
      <x:c r="A1665" s="3" t="str">
        <x:v>ORD-101890</x:v>
      </x:c>
      <x:c r="B1665" s="5" t="n">
        <x:v>45744</x:v>
      </x:c>
      <x:c r="C1665" s="3" t="str">
        <x:v>CUST-00490</x:v>
      </x:c>
      <x:c r="D1665" s="3" t="str">
        <x:v>East</x:v>
      </x:c>
      <x:c r="E1665" s="3" t="str">
        <x:v>Sports</x:v>
      </x:c>
      <x:c r="F1665" s="3" t="str">
        <x:v>Fitness</x:v>
      </x:c>
      <x:c r="G1665" s="3" t="str">
        <x:v>ProYoga Mat</x:v>
      </x:c>
      <x:c r="H1665" s="3" t="n">
        <x:v>1</x:v>
      </x:c>
      <x:c r="I1665" s="7" t="n">
        <x:v>1321.75</x:v>
      </x:c>
      <x:c r="J1665" s="9" t="n">
        <x:v>0</x:v>
      </x:c>
      <x:c r="K1665" s="7" t="n">
        <x:v>1321.75</x:v>
      </x:c>
      <x:c r="L1665" s="7" t="n">
        <x:v>490.72</x:v>
      </x:c>
      <x:c r="M1665" s="3" t="str">
        <x:v>Credit Card</x:v>
      </x:c>
      <x:c r="N1665" s="3" t="str">
        <x:f>TEXT(B1665,"yyyy-mm")</x:f>
        <x:v>2025-03</x:v>
      </x:c>
      <x:c r="O1665" s="3" t="str">
        <x:f>IF(J1665=0,"No discount",IF(J1665&lt;=0.1,"1-10%",IF(J1665&lt;=0.15,"11-15%",IF(J1665&lt;=0.2,"16-20%","21%+"))))</x:f>
        <x:v>No discount</x:v>
      </x:c>
      <x:c r="P1665" s="9" t="n">
        <x:f>IF(K1665=0,0,L1665/K1665)</x:f>
        <x:v>0.3712653678834878</x:v>
      </x:c>
      <x:c r="Q1665" s="3" t="str">
        <x:f>IF(L1665&lt;0,"Yes","No")</x:f>
        <x:v>No</x:v>
      </x:c>
    </x:row>
    <x:row r="1666" ht="21" customHeight="1">
      <x:c r="A1666" s="3" t="str">
        <x:v>ORD-100035</x:v>
      </x:c>
      <x:c r="B1666" s="5" t="n">
        <x:v>45745</x:v>
      </x:c>
      <x:c r="C1666" s="3" t="str">
        <x:v>CUST-00517</x:v>
      </x:c>
      <x:c r="D1666" s="3" t="str">
        <x:v>South</x:v>
      </x:c>
      <x:c r="E1666" s="3" t="str">
        <x:v>Fashion</x:v>
      </x:c>
      <x:c r="F1666" s="3" t="str">
        <x:v>Men</x:v>
      </x:c>
      <x:c r="G1666" s="3" t="str">
        <x:v>Oxford Casual Shirt</x:v>
      </x:c>
      <x:c r="H1666" s="3" t="n">
        <x:v>1</x:v>
      </x:c>
      <x:c r="I1666" s="7" t="n">
        <x:v>1303.04</x:v>
      </x:c>
      <x:c r="J1666" s="9" t="n">
        <x:v>0.05</x:v>
      </x:c>
      <x:c r="K1666" s="7" t="n">
        <x:v>1237.89</x:v>
      </x:c>
      <x:c r="L1666" s="7" t="n">
        <x:v>454.57</x:v>
      </x:c>
      <x:c r="M1666" s="3" t="str">
        <x:v>Debit Card</x:v>
      </x:c>
      <x:c r="N1666" s="3" t="str">
        <x:f>TEXT(B1666,"yyyy-mm")</x:f>
        <x:v>2025-03</x:v>
      </x:c>
      <x:c r="O1666" s="3" t="str">
        <x:f>IF(J1666=0,"No discount",IF(J1666&lt;=0.1,"1-10%",IF(J1666&lt;=0.15,"11-15%",IF(J1666&lt;=0.2,"16-20%","21%+"))))</x:f>
        <x:v>1-10%</x:v>
      </x:c>
      <x:c r="P1666" s="9" t="n">
        <x:f>IF(K1666=0,0,L1666/K1666)</x:f>
        <x:v>0.3672135650178933</x:v>
      </x:c>
      <x:c r="Q1666" s="3" t="str">
        <x:f>IF(L1666&lt;0,"Yes","No")</x:f>
        <x:v>No</x:v>
      </x:c>
    </x:row>
    <x:row r="1667" ht="21" customHeight="1">
      <x:c r="A1667" s="3" t="str">
        <x:v>ORD-100563</x:v>
      </x:c>
      <x:c r="B1667" s="5" t="n">
        <x:v>45745</x:v>
      </x:c>
      <x:c r="C1667" s="3" t="str">
        <x:v>CUST-00011</x:v>
      </x:c>
      <x:c r="D1667" s="3" t="str">
        <x:v>West</x:v>
      </x:c>
      <x:c r="E1667" s="3" t="str">
        <x:v>Sports</x:v>
      </x:c>
      <x:c r="F1667" s="3" t="str">
        <x:v>Outdoor</x:v>
      </x:c>
      <x:c r="G1667" s="3" t="str">
        <x:v>TrailHike Backpack 60L</x:v>
      </x:c>
      <x:c r="H1667" s="3" t="n">
        <x:v>1</x:v>
      </x:c>
      <x:c r="I1667" s="7" t="n">
        <x:v>3471.61</x:v>
      </x:c>
      <x:c r="J1667" s="9" t="n">
        <x:v>0.15</x:v>
      </x:c>
      <x:c r="K1667" s="7" t="n">
        <x:v>2950.87</x:v>
      </x:c>
      <x:c r="L1667" s="7" t="n">
        <x:v>548.14</x:v>
      </x:c>
      <x:c r="M1667" s="3" t="str">
        <x:v>UPI</x:v>
      </x:c>
      <x:c r="N1667" s="3" t="str">
        <x:f>TEXT(B1667,"yyyy-mm")</x:f>
        <x:v>2025-03</x:v>
      </x:c>
      <x:c r="O1667" s="3" t="str">
        <x:f>IF(J1667=0,"No discount",IF(J1667&lt;=0.1,"1-10%",IF(J1667&lt;=0.15,"11-15%",IF(J1667&lt;=0.2,"16-20%","21%+"))))</x:f>
        <x:v>11-15%</x:v>
      </x:c>
      <x:c r="P1667" s="9" t="n">
        <x:f>IF(K1667=0,0,L1667/K1667)</x:f>
        <x:v>0.18575538739422612</x:v>
      </x:c>
      <x:c r="Q1667" s="3" t="str">
        <x:f>IF(L1667&lt;0,"Yes","No")</x:f>
        <x:v>No</x:v>
      </x:c>
    </x:row>
    <x:row r="1668" ht="21" customHeight="1">
      <x:c r="A1668" s="3" t="str">
        <x:v>ORD-101333</x:v>
      </x:c>
      <x:c r="B1668" s="5" t="n">
        <x:v>45745</x:v>
      </x:c>
      <x:c r="C1668" s="3" t="str">
        <x:v>CUST-00030</x:v>
      </x:c>
      <x:c r="D1668" s="3" t="str">
        <x:v>South</x:v>
      </x:c>
      <x:c r="E1668" s="3" t="str">
        <x:v>Electronics</x:v>
      </x:c>
      <x:c r="F1668" s="3" t="str">
        <x:v>Laptop</x:v>
      </x:c>
      <x:c r="G1668" s="3" t="str">
        <x:v>AirBook Slim</x:v>
      </x:c>
      <x:c r="H1668" s="3" t="n">
        <x:v>1</x:v>
      </x:c>
      <x:c r="I1668" s="7" t="n">
        <x:v>81293.94</x:v>
      </x:c>
      <x:c r="J1668" s="9" t="n">
        <x:v>0</x:v>
      </x:c>
      <x:c r="K1668" s="7" t="n">
        <x:v>81293.94</x:v>
      </x:c>
      <x:c r="L1668" s="7" t="n">
        <x:v>13402.07</x:v>
      </x:c>
      <x:c r="M1668" s="3" t="str">
        <x:v>UPI</x:v>
      </x:c>
      <x:c r="N1668" s="3" t="str">
        <x:f>TEXT(B1668,"yyyy-mm")</x:f>
        <x:v>2025-03</x:v>
      </x:c>
      <x:c r="O1668" s="3" t="str">
        <x:f>IF(J1668=0,"No discount",IF(J1668&lt;=0.1,"1-10%",IF(J1668&lt;=0.15,"11-15%",IF(J1668&lt;=0.2,"16-20%","21%+"))))</x:f>
        <x:v>No discount</x:v>
      </x:c>
      <x:c r="P1668" s="9" t="n">
        <x:f>IF(K1668=0,0,L1668/K1668)</x:f>
        <x:v>0.1648593978837783</x:v>
      </x:c>
      <x:c r="Q1668" s="3" t="str">
        <x:f>IF(L1668&lt;0,"Yes","No")</x:f>
        <x:v>No</x:v>
      </x:c>
    </x:row>
    <x:row r="1669" ht="21" customHeight="1">
      <x:c r="A1669" s="3" t="str">
        <x:v>ORD-101688</x:v>
      </x:c>
      <x:c r="B1669" s="5" t="n">
        <x:v>45745</x:v>
      </x:c>
      <x:c r="C1669" s="3" t="str">
        <x:v>CUST-00401</x:v>
      </x:c>
      <x:c r="D1669" s="3" t="str">
        <x:v>East</x:v>
      </x:c>
      <x:c r="E1669" s="3" t="str">
        <x:v>Electronics</x:v>
      </x:c>
      <x:c r="F1669" s="3" t="str">
        <x:v>Audio</x:v>
      </x:c>
      <x:c r="G1669" s="3" t="str">
        <x:v>BassBoom Speaker</x:v>
      </x:c>
      <x:c r="H1669" s="3" t="n">
        <x:v>1</x:v>
      </x:c>
      <x:c r="I1669" s="7" t="n">
        <x:v>9053.92</x:v>
      </x:c>
      <x:c r="J1669" s="9" t="n">
        <x:v>0.1</x:v>
      </x:c>
      <x:c r="K1669" s="7" t="n">
        <x:v>8148.53</x:v>
      </x:c>
      <x:c r="L1669" s="7" t="n">
        <x:v>702.4</x:v>
      </x:c>
      <x:c r="M1669" s="3" t="str">
        <x:v>Credit Card</x:v>
      </x:c>
      <x:c r="N1669" s="3" t="str">
        <x:f>TEXT(B1669,"yyyy-mm")</x:f>
        <x:v>2025-03</x:v>
      </x:c>
      <x:c r="O1669" s="3" t="str">
        <x:f>IF(J1669=0,"No discount",IF(J1669&lt;=0.1,"1-10%",IF(J1669&lt;=0.15,"11-15%",IF(J1669&lt;=0.2,"16-20%","21%+"))))</x:f>
        <x:v>1-10%</x:v>
      </x:c>
      <x:c r="P1669" s="9" t="n">
        <x:f>IF(K1669=0,0,L1669/K1669)</x:f>
        <x:v>0.08619959673708018</x:v>
      </x:c>
      <x:c r="Q1669" s="3" t="str">
        <x:f>IF(L1669&lt;0,"Yes","No")</x:f>
        <x:v>No</x:v>
      </x:c>
    </x:row>
    <x:row r="1670" ht="21" customHeight="1">
      <x:c r="A1670" s="3" t="str">
        <x:v>ORD-101830</x:v>
      </x:c>
      <x:c r="B1670" s="5" t="n">
        <x:v>45745</x:v>
      </x:c>
      <x:c r="C1670" s="3" t="str">
        <x:v>CUST-00006</x:v>
      </x:c>
      <x:c r="D1670" s="3" t="str">
        <x:v>East</x:v>
      </x:c>
      <x:c r="E1670" s="3" t="str">
        <x:v>Home &amp; Kitchen</x:v>
      </x:c>
      <x:c r="F1670" s="3" t="str">
        <x:v>Decor</x:v>
      </x:c>
      <x:c r="G1670" s="3" t="str">
        <x:v>LED Wall Lamp</x:v>
      </x:c>
      <x:c r="H1670" s="3" t="n">
        <x:v>1</x:v>
      </x:c>
      <x:c r="I1670" s="7" t="n">
        <x:v>967.6</x:v>
      </x:c>
      <x:c r="J1670" s="9" t="n">
        <x:v>0</x:v>
      </x:c>
      <x:c r="K1670" s="7" t="n">
        <x:v>967.6</x:v>
      </x:c>
      <x:c r="L1670" s="7" t="n">
        <x:v>311.55</x:v>
      </x:c>
      <x:c r="M1670" s="3" t="str">
        <x:v>UPI</x:v>
      </x:c>
      <x:c r="N1670" s="3" t="str">
        <x:f>TEXT(B1670,"yyyy-mm")</x:f>
        <x:v>2025-03</x:v>
      </x:c>
      <x:c r="O1670" s="3" t="str">
        <x:f>IF(J1670=0,"No discount",IF(J1670&lt;=0.1,"1-10%",IF(J1670&lt;=0.15,"11-15%",IF(J1670&lt;=0.2,"16-20%","21%+"))))</x:f>
        <x:v>No discount</x:v>
      </x:c>
      <x:c r="P1670" s="9" t="n">
        <x:f>IF(K1670=0,0,L1670/K1670)</x:f>
        <x:v>0.32198222405952875</x:v>
      </x:c>
      <x:c r="Q1670" s="3" t="str">
        <x:f>IF(L1670&lt;0,"Yes","No")</x:f>
        <x:v>No</x:v>
      </x:c>
    </x:row>
    <x:row r="1671" ht="21" customHeight="1">
      <x:c r="A1671" s="3" t="str">
        <x:v>ORD-100085</x:v>
      </x:c>
      <x:c r="B1671" s="5" t="n">
        <x:v>45746</x:v>
      </x:c>
      <x:c r="C1671" s="3" t="str">
        <x:v>CUST-00083</x:v>
      </x:c>
      <x:c r="D1671" s="3" t="str">
        <x:v>East</x:v>
      </x:c>
      <x:c r="E1671" s="3" t="str">
        <x:v>Beauty</x:v>
      </x:c>
      <x:c r="F1671" s="3" t="str">
        <x:v>Skincare</x:v>
      </x:c>
      <x:c r="G1671" s="3" t="str">
        <x:v>Vitamin C Serum</x:v>
      </x:c>
      <x:c r="H1671" s="3" t="n">
        <x:v>2</x:v>
      </x:c>
      <x:c r="I1671" s="7" t="n">
        <x:v>913.29</x:v>
      </x:c>
      <x:c r="J1671" s="9" t="n">
        <x:v>0.25</x:v>
      </x:c>
      <x:c r="K1671" s="7" t="n">
        <x:v>1369.93</x:v>
      </x:c>
      <x:c r="L1671" s="7" t="n">
        <x:v>337.87</x:v>
      </x:c>
      <x:c r="M1671" s="3" t="str">
        <x:v>UPI</x:v>
      </x:c>
      <x:c r="N1671" s="3" t="str">
        <x:f>TEXT(B1671,"yyyy-mm")</x:f>
        <x:v>2025-03</x:v>
      </x:c>
      <x:c r="O1671" s="3" t="str">
        <x:f>IF(J1671=0,"No discount",IF(J1671&lt;=0.1,"1-10%",IF(J1671&lt;=0.15,"11-15%",IF(J1671&lt;=0.2,"16-20%","21%+"))))</x:f>
        <x:v>21%+</x:v>
      </x:c>
      <x:c r="P1671" s="9" t="n">
        <x:f>IF(K1671=0,0,L1671/K1671)</x:f>
        <x:v>0.2466330396443614</x:v>
      </x:c>
      <x:c r="Q1671" s="3" t="str">
        <x:f>IF(L1671&lt;0,"Yes","No")</x:f>
        <x:v>No</x:v>
      </x:c>
    </x:row>
    <x:row r="1672" ht="21" customHeight="1">
      <x:c r="A1672" s="3" t="str">
        <x:v>ORD-100415</x:v>
      </x:c>
      <x:c r="B1672" s="5" t="n">
        <x:v>45746</x:v>
      </x:c>
      <x:c r="C1672" s="3" t="str">
        <x:v>CUST-00495</x:v>
      </x:c>
      <x:c r="D1672" s="3" t="str">
        <x:v>South</x:v>
      </x:c>
      <x:c r="E1672" s="3" t="str">
        <x:v>Fashion</x:v>
      </x:c>
      <x:c r="F1672" s="3" t="str">
        <x:v>Women</x:v>
      </x:c>
      <x:c r="G1672" s="3" t="str">
        <x:v>Knit Winter Sweater</x:v>
      </x:c>
      <x:c r="H1672" s="3" t="n">
        <x:v>3</x:v>
      </x:c>
      <x:c r="I1672" s="7" t="n">
        <x:v>2204.52</x:v>
      </x:c>
      <x:c r="J1672" s="9" t="n">
        <x:v>0.05</x:v>
      </x:c>
      <x:c r="K1672" s="7" t="n">
        <x:v>6282.88</x:v>
      </x:c>
      <x:c r="L1672" s="7" t="n">
        <x:v>2114.2</x:v>
      </x:c>
      <x:c r="M1672" s="3" t="str">
        <x:v>UPI</x:v>
      </x:c>
      <x:c r="N1672" s="3" t="str">
        <x:f>TEXT(B1672,"yyyy-mm")</x:f>
        <x:v>2025-03</x:v>
      </x:c>
      <x:c r="O1672" s="3" t="str">
        <x:f>IF(J1672=0,"No discount",IF(J1672&lt;=0.1,"1-10%",IF(J1672&lt;=0.15,"11-15%",IF(J1672&lt;=0.2,"16-20%","21%+"))))</x:f>
        <x:v>1-10%</x:v>
      </x:c>
      <x:c r="P1672" s="9" t="n">
        <x:f>IF(K1672=0,0,L1672/K1672)</x:f>
        <x:v>0.3365017316899256</x:v>
      </x:c>
      <x:c r="Q1672" s="3" t="str">
        <x:f>IF(L1672&lt;0,"Yes","No")</x:f>
        <x:v>No</x:v>
      </x:c>
    </x:row>
    <x:row r="1673" ht="21" customHeight="1">
      <x:c r="A1673" s="3" t="str">
        <x:v>ORD-100579</x:v>
      </x:c>
      <x:c r="B1673" s="5" t="n">
        <x:v>45746</x:v>
      </x:c>
      <x:c r="C1673" s="3" t="str">
        <x:v>CUST-00547</x:v>
      </x:c>
      <x:c r="D1673" s="3" t="str">
        <x:v>North</x:v>
      </x:c>
      <x:c r="E1673" s="3" t="str">
        <x:v>Beauty</x:v>
      </x:c>
      <x:c r="F1673" s="3" t="str">
        <x:v>Skincare</x:v>
      </x:c>
      <x:c r="G1673" s="3" t="str">
        <x:v>Vitamin C Serum</x:v>
      </x:c>
      <x:c r="H1673" s="3" t="n">
        <x:v>2</x:v>
      </x:c>
      <x:c r="I1673" s="7" t="n">
        <x:v>940.57</x:v>
      </x:c>
      <x:c r="J1673" s="9" t="n">
        <x:v>0.1</x:v>
      </x:c>
      <x:c r="K1673" s="7" t="n">
        <x:v>1693.03</x:v>
      </x:c>
      <x:c r="L1673" s="7" t="n">
        <x:v>705.99</x:v>
      </x:c>
      <x:c r="M1673" s="3" t="str">
        <x:v>Debit Card</x:v>
      </x:c>
      <x:c r="N1673" s="3" t="str">
        <x:f>TEXT(B1673,"yyyy-mm")</x:f>
        <x:v>2025-03</x:v>
      </x:c>
      <x:c r="O1673" s="3" t="str">
        <x:f>IF(J1673=0,"No discount",IF(J1673&lt;=0.1,"1-10%",IF(J1673&lt;=0.15,"11-15%",IF(J1673&lt;=0.2,"16-20%","21%+"))))</x:f>
        <x:v>1-10%</x:v>
      </x:c>
      <x:c r="P1673" s="9" t="n">
        <x:f>IF(K1673=0,0,L1673/K1673)</x:f>
        <x:v>0.41699792679397296</x:v>
      </x:c>
      <x:c r="Q1673" s="3" t="str">
        <x:f>IF(L1673&lt;0,"Yes","No")</x:f>
        <x:v>No</x:v>
      </x:c>
    </x:row>
    <x:row r="1674" ht="21" customHeight="1">
      <x:c r="A1674" s="3" t="str">
        <x:v>ORD-101612</x:v>
      </x:c>
      <x:c r="B1674" s="5" t="n">
        <x:v>45746</x:v>
      </x:c>
      <x:c r="C1674" s="3" t="str">
        <x:v>CUST-00004</x:v>
      </x:c>
      <x:c r="D1674" s="3" t="str">
        <x:v>South</x:v>
      </x:c>
      <x:c r="E1674" s="3" t="str">
        <x:v>Home &amp; Kitchen</x:v>
      </x:c>
      <x:c r="F1674" s="3" t="str">
        <x:v>Furniture</x:v>
      </x:c>
      <x:c r="G1674" s="3" t="str">
        <x:v>ErgoComfort Chair</x:v>
      </x:c>
      <x:c r="H1674" s="3" t="n">
        <x:v>1</x:v>
      </x:c>
      <x:c r="I1674" s="7" t="n">
        <x:v>8569.42</x:v>
      </x:c>
      <x:c r="J1674" s="9" t="n">
        <x:v>0.15</x:v>
      </x:c>
      <x:c r="K1674" s="7" t="n">
        <x:v>7284.01</x:v>
      </x:c>
      <x:c r="L1674" s="7" t="n">
        <x:v>1393.5</x:v>
      </x:c>
      <x:c r="M1674" s="3" t="str">
        <x:v>Credit Card</x:v>
      </x:c>
      <x:c r="N1674" s="3" t="str">
        <x:f>TEXT(B1674,"yyyy-mm")</x:f>
        <x:v>2025-03</x:v>
      </x:c>
      <x:c r="O1674" s="3" t="str">
        <x:f>IF(J1674=0,"No discount",IF(J1674&lt;=0.1,"1-10%",IF(J1674&lt;=0.15,"11-15%",IF(J1674&lt;=0.2,"16-20%","21%+"))))</x:f>
        <x:v>11-15%</x:v>
      </x:c>
      <x:c r="P1674" s="9" t="n">
        <x:f>IF(K1674=0,0,L1674/K1674)</x:f>
        <x:v>0.19130945729069565</x:v>
      </x:c>
      <x:c r="Q1674" s="3" t="str">
        <x:f>IF(L1674&lt;0,"Yes","No")</x:f>
        <x:v>No</x:v>
      </x:c>
    </x:row>
    <x:row r="1675" ht="21" customHeight="1">
      <x:c r="A1675" s="3" t="str">
        <x:v>ORD-101683</x:v>
      </x:c>
      <x:c r="B1675" s="5" t="n">
        <x:v>45746</x:v>
      </x:c>
      <x:c r="C1675" s="3" t="str">
        <x:v>CUST-00436</x:v>
      </x:c>
      <x:c r="D1675" s="3" t="str">
        <x:v>North</x:v>
      </x:c>
      <x:c r="E1675" s="3" t="str">
        <x:v>Beauty</x:v>
      </x:c>
      <x:c r="F1675" s="3" t="str">
        <x:v>Makeup</x:v>
      </x:c>
      <x:c r="G1675" s="3" t="str">
        <x:v>Matte Lipstick Set</x:v>
      </x:c>
      <x:c r="H1675" s="3" t="n">
        <x:v>1</x:v>
      </x:c>
      <x:c r="I1675" s="7" t="n">
        <x:v>990.2</x:v>
      </x:c>
      <x:c r="J1675" s="9" t="n">
        <x:v>0</x:v>
      </x:c>
      <x:c r="K1675" s="7" t="n">
        <x:v>990.2</x:v>
      </x:c>
      <x:c r="L1675" s="7" t="n">
        <x:v>574.89</x:v>
      </x:c>
      <x:c r="M1675" s="3" t="str">
        <x:v>Net Banking</x:v>
      </x:c>
      <x:c r="N1675" s="3" t="str">
        <x:f>TEXT(B1675,"yyyy-mm")</x:f>
        <x:v>2025-03</x:v>
      </x:c>
      <x:c r="O1675" s="3" t="str">
        <x:f>IF(J1675=0,"No discount",IF(J1675&lt;=0.1,"1-10%",IF(J1675&lt;=0.15,"11-15%",IF(J1675&lt;=0.2,"16-20%","21%+"))))</x:f>
        <x:v>No discount</x:v>
      </x:c>
      <x:c r="P1675" s="9" t="n">
        <x:f>IF(K1675=0,0,L1675/K1675)</x:f>
        <x:v>0.580579680872551</x:v>
      </x:c>
      <x:c r="Q1675" s="3" t="str">
        <x:f>IF(L1675&lt;0,"Yes","No")</x:f>
        <x:v>No</x:v>
      </x:c>
    </x:row>
    <x:row r="1676" ht="21" customHeight="1">
      <x:c r="A1676" s="3" t="str">
        <x:v>ORD-101937</x:v>
      </x:c>
      <x:c r="B1676" s="5" t="n">
        <x:v>45746</x:v>
      </x:c>
      <x:c r="C1676" s="3" t="str">
        <x:v>CUST-00091</x:v>
      </x:c>
      <x:c r="D1676" s="3" t="str">
        <x:v>North</x:v>
      </x:c>
      <x:c r="E1676" s="3" t="str">
        <x:v>Electronics</x:v>
      </x:c>
      <x:c r="F1676" s="3" t="str">
        <x:v>Laptop</x:v>
      </x:c>
      <x:c r="G1676" s="3" t="str">
        <x:v>ThinkPro 14</x:v>
      </x:c>
      <x:c r="H1676" s="3" t="n">
        <x:v>2</x:v>
      </x:c>
      <x:c r="I1676" s="7" t="n">
        <x:v>56316.75</x:v>
      </x:c>
      <x:c r="J1676" s="9" t="n">
        <x:v>0</x:v>
      </x:c>
      <x:c r="K1676" s="7" t="n">
        <x:v>112633.5</x:v>
      </x:c>
      <x:c r="L1676" s="7" t="n">
        <x:v>16213.54</x:v>
      </x:c>
      <x:c r="M1676" s="3" t="str">
        <x:v>UPI</x:v>
      </x:c>
      <x:c r="N1676" s="3" t="str">
        <x:f>TEXT(B1676,"yyyy-mm")</x:f>
        <x:v>2025-03</x:v>
      </x:c>
      <x:c r="O1676" s="3" t="str">
        <x:f>IF(J1676=0,"No discount",IF(J1676&lt;=0.1,"1-10%",IF(J1676&lt;=0.15,"11-15%",IF(J1676&lt;=0.2,"16-20%","21%+"))))</x:f>
        <x:v>No discount</x:v>
      </x:c>
      <x:c r="P1676" s="9" t="n">
        <x:f>IF(K1676=0,0,L1676/K1676)</x:f>
        <x:v>0.14394953544016656</x:v>
      </x:c>
      <x:c r="Q1676" s="3" t="str">
        <x:f>IF(L1676&lt;0,"Yes","No")</x:f>
        <x:v>No</x:v>
      </x:c>
    </x:row>
    <x:row r="1677" ht="21" customHeight="1">
      <x:c r="A1677" s="3" t="str">
        <x:v>ORD-101087</x:v>
      </x:c>
      <x:c r="B1677" s="5" t="n">
        <x:v>45747</x:v>
      </x:c>
      <x:c r="C1677" s="3" t="str">
        <x:v>CUST-00186</x:v>
      </x:c>
      <x:c r="D1677" s="3" t="str">
        <x:v>North</x:v>
      </x:c>
      <x:c r="E1677" s="3" t="str">
        <x:v>Fashion</x:v>
      </x:c>
      <x:c r="F1677" s="3" t="str">
        <x:v>Footwear</x:v>
      </x:c>
      <x:c r="G1677" s="3" t="str">
        <x:v>UrbanLoafers</x:v>
      </x:c>
      <x:c r="H1677" s="3" t="n">
        <x:v>1</x:v>
      </x:c>
      <x:c r="I1677" s="7" t="n">
        <x:v>3595.98</x:v>
      </x:c>
      <x:c r="J1677" s="9" t="n">
        <x:v>0.05</x:v>
      </x:c>
      <x:c r="K1677" s="7" t="n">
        <x:v>3416.18</x:v>
      </x:c>
      <x:c r="L1677" s="7" t="n">
        <x:v>1335.29</x:v>
      </x:c>
      <x:c r="M1677" s="3" t="str">
        <x:v>UPI</x:v>
      </x:c>
      <x:c r="N1677" s="3" t="str">
        <x:f>TEXT(B1677,"yyyy-mm")</x:f>
        <x:v>2025-03</x:v>
      </x:c>
      <x:c r="O1677" s="3" t="str">
        <x:f>IF(J1677=0,"No discount",IF(J1677&lt;=0.1,"1-10%",IF(J1677&lt;=0.15,"11-15%",IF(J1677&lt;=0.2,"16-20%","21%+"))))</x:f>
        <x:v>1-10%</x:v>
      </x:c>
      <x:c r="P1677" s="9" t="n">
        <x:f>IF(K1677=0,0,L1677/K1677)</x:f>
        <x:v>0.3908722608293474</x:v>
      </x:c>
      <x:c r="Q1677" s="3" t="str">
        <x:f>IF(L1677&lt;0,"Yes","No")</x:f>
        <x:v>No</x:v>
      </x:c>
    </x:row>
    <x:row r="1678" ht="21" customHeight="1">
      <x:c r="A1678" s="3" t="str">
        <x:v>ORD-101544</x:v>
      </x:c>
      <x:c r="B1678" s="5" t="n">
        <x:v>45747</x:v>
      </x:c>
      <x:c r="C1678" s="3" t="str">
        <x:v>CUST-00049</x:v>
      </x:c>
      <x:c r="D1678" s="3" t="str">
        <x:v>East</x:v>
      </x:c>
      <x:c r="E1678" s="3" t="str">
        <x:v>Beauty</x:v>
      </x:c>
      <x:c r="F1678" s="3" t="str">
        <x:v>Skincare</x:v>
      </x:c>
      <x:c r="G1678" s="3" t="str">
        <x:v>HydraBoost Moisturizer</x:v>
      </x:c>
      <x:c r="H1678" s="3" t="n">
        <x:v>4</x:v>
      </x:c>
      <x:c r="I1678" s="7" t="n">
        <x:v>1140.41</x:v>
      </x:c>
      <x:c r="J1678" s="9" t="n">
        <x:v>0.05</x:v>
      </x:c>
      <x:c r="K1678" s="7" t="n">
        <x:v>4333.56</x:v>
      </x:c>
      <x:c r="L1678" s="7" t="n">
        <x:v>2245.59</x:v>
      </x:c>
      <x:c r="M1678" s="3" t="str">
        <x:v>Credit Card</x:v>
      </x:c>
      <x:c r="N1678" s="3" t="str">
        <x:f>TEXT(B1678,"yyyy-mm")</x:f>
        <x:v>2025-03</x:v>
      </x:c>
      <x:c r="O1678" s="3" t="str">
        <x:f>IF(J1678=0,"No discount",IF(J1678&lt;=0.1,"1-10%",IF(J1678&lt;=0.15,"11-15%",IF(J1678&lt;=0.2,"16-20%","21%+"))))</x:f>
        <x:v>1-10%</x:v>
      </x:c>
      <x:c r="P1678" s="9" t="n">
        <x:f>IF(K1678=0,0,L1678/K1678)</x:f>
        <x:v>0.5181859718107052</x:v>
      </x:c>
      <x:c r="Q1678" s="3" t="str">
        <x:f>IF(L1678&lt;0,"Yes","No")</x:f>
        <x:v>No</x:v>
      </x:c>
    </x:row>
    <x:row r="1679" ht="21" customHeight="1">
      <x:c r="A1679" s="3" t="str">
        <x:v>ORD-101871</x:v>
      </x:c>
      <x:c r="B1679" s="5" t="n">
        <x:v>45747</x:v>
      </x:c>
      <x:c r="C1679" s="3" t="str">
        <x:v>CUST-00246</x:v>
      </x:c>
      <x:c r="D1679" s="3" t="str">
        <x:v>North</x:v>
      </x:c>
      <x:c r="E1679" s="3" t="str">
        <x:v>Electronics</x:v>
      </x:c>
      <x:c r="F1679" s="3" t="str">
        <x:v>Audio</x:v>
      </x:c>
      <x:c r="G1679" s="3" t="str">
        <x:v>SoundPods Pro</x:v>
      </x:c>
      <x:c r="H1679" s="3" t="n">
        <x:v>1</x:v>
      </x:c>
      <x:c r="I1679" s="7" t="n">
        <x:v>4806.74</x:v>
      </x:c>
      <x:c r="J1679" s="9" t="n">
        <x:v>0.1</x:v>
      </x:c>
      <x:c r="K1679" s="7" t="n">
        <x:v>4326.07</x:v>
      </x:c>
      <x:c r="L1679" s="7" t="n">
        <x:v>158.65</x:v>
      </x:c>
      <x:c r="M1679" s="3" t="str">
        <x:v>Credit Card</x:v>
      </x:c>
      <x:c r="N1679" s="3" t="str">
        <x:f>TEXT(B1679,"yyyy-mm")</x:f>
        <x:v>2025-03</x:v>
      </x:c>
      <x:c r="O1679" s="3" t="str">
        <x:f>IF(J1679=0,"No discount",IF(J1679&lt;=0.1,"1-10%",IF(J1679&lt;=0.15,"11-15%",IF(J1679&lt;=0.2,"16-20%","21%+"))))</x:f>
        <x:v>1-10%</x:v>
      </x:c>
      <x:c r="P1679" s="9" t="n">
        <x:f>IF(K1679=0,0,L1679/K1679)</x:f>
        <x:v>0.03667300806505674</x:v>
      </x:c>
      <x:c r="Q1679" s="3" t="str">
        <x:f>IF(L1679&lt;0,"Yes","No")</x:f>
        <x:v>No</x:v>
      </x:c>
    </x:row>
    <x:row r="1680" ht="21" customHeight="1">
      <x:c r="A1680" s="3" t="str">
        <x:v>ORD-100125</x:v>
      </x:c>
      <x:c r="B1680" s="5" t="n">
        <x:v>45748</x:v>
      </x:c>
      <x:c r="C1680" s="3" t="str">
        <x:v>CUST-00293</x:v>
      </x:c>
      <x:c r="D1680" s="3" t="str">
        <x:v>South</x:v>
      </x:c>
      <x:c r="E1680" s="3" t="str">
        <x:v>Home &amp; Kitchen</x:v>
      </x:c>
      <x:c r="F1680" s="3" t="str">
        <x:v>Appliances</x:v>
      </x:c>
      <x:c r="G1680" s="3" t="str">
        <x:v>ColdBrew Coffee Maker</x:v>
      </x:c>
      <x:c r="H1680" s="3" t="n">
        <x:v>1</x:v>
      </x:c>
      <x:c r="I1680" s="7" t="n">
        <x:v>6652.17</x:v>
      </x:c>
      <x:c r="J1680" s="9" t="n">
        <x:v>0</x:v>
      </x:c>
      <x:c r="K1680" s="7" t="n">
        <x:v>6652.17</x:v>
      </x:c>
      <x:c r="L1680" s="7" t="n">
        <x:v>2194.71</x:v>
      </x:c>
      <x:c r="M1680" s="3" t="str">
        <x:v>Credit Card</x:v>
      </x:c>
      <x:c r="N1680" s="3" t="str">
        <x:f>TEXT(B1680,"yyyy-mm")</x:f>
        <x:v>2025-04</x:v>
      </x:c>
      <x:c r="O1680" s="3" t="str">
        <x:f>IF(J1680=0,"No discount",IF(J1680&lt;=0.1,"1-10%",IF(J1680&lt;=0.15,"11-15%",IF(J1680&lt;=0.2,"16-20%","21%+"))))</x:f>
        <x:v>No discount</x:v>
      </x:c>
      <x:c r="P1680" s="9" t="n">
        <x:f>IF(K1680=0,0,L1680/K1680)</x:f>
        <x:v>0.3299239195630899</x:v>
      </x:c>
      <x:c r="Q1680" s="3" t="str">
        <x:f>IF(L1680&lt;0,"Yes","No")</x:f>
        <x:v>No</x:v>
      </x:c>
    </x:row>
    <x:row r="1681" ht="21" customHeight="1">
      <x:c r="A1681" s="3" t="str">
        <x:v>ORD-100565</x:v>
      </x:c>
      <x:c r="B1681" s="5" t="n">
        <x:v>45748</x:v>
      </x:c>
      <x:c r="C1681" s="3" t="str">
        <x:v>CUST-00558</x:v>
      </x:c>
      <x:c r="D1681" s="3" t="str">
        <x:v>West</x:v>
      </x:c>
      <x:c r="E1681" s="3" t="str">
        <x:v>Home &amp; Kitchen</x:v>
      </x:c>
      <x:c r="F1681" s="3" t="str">
        <x:v>Appliances</x:v>
      </x:c>
      <x:c r="G1681" s="3" t="str">
        <x:v>ColdBrew Coffee Maker</x:v>
      </x:c>
      <x:c r="H1681" s="3" t="n">
        <x:v>4</x:v>
      </x:c>
      <x:c r="I1681" s="7" t="n">
        <x:v>6355.88</x:v>
      </x:c>
      <x:c r="J1681" s="9" t="n">
        <x:v>0</x:v>
      </x:c>
      <x:c r="K1681" s="7" t="n">
        <x:v>25423.52</x:v>
      </x:c>
      <x:c r="L1681" s="7" t="n">
        <x:v>8446.29</x:v>
      </x:c>
      <x:c r="M1681" s="3" t="str">
        <x:v>Debit Card</x:v>
      </x:c>
      <x:c r="N1681" s="3" t="str">
        <x:f>TEXT(B1681,"yyyy-mm")</x:f>
        <x:v>2025-04</x:v>
      </x:c>
      <x:c r="O1681" s="3" t="str">
        <x:f>IF(J1681=0,"No discount",IF(J1681&lt;=0.1,"1-10%",IF(J1681&lt;=0.15,"11-15%",IF(J1681&lt;=0.2,"16-20%","21%+"))))</x:f>
        <x:v>No discount</x:v>
      </x:c>
      <x:c r="P1681" s="9" t="n">
        <x:f>IF(K1681=0,0,L1681/K1681)</x:f>
        <x:v>0.3322234686620893</x:v>
      </x:c>
      <x:c r="Q1681" s="3" t="str">
        <x:f>IF(L1681&lt;0,"Yes","No")</x:f>
        <x:v>No</x:v>
      </x:c>
    </x:row>
    <x:row r="1682" ht="21" customHeight="1">
      <x:c r="A1682" s="3" t="str">
        <x:v>ORD-100762</x:v>
      </x:c>
      <x:c r="B1682" s="5" t="n">
        <x:v>45748</x:v>
      </x:c>
      <x:c r="C1682" s="3" t="str">
        <x:v>CUST-00279</x:v>
      </x:c>
      <x:c r="D1682" s="3" t="str">
        <x:v>West</x:v>
      </x:c>
      <x:c r="E1682" s="3" t="str">
        <x:v>Home &amp; Kitchen</x:v>
      </x:c>
      <x:c r="F1682" s="3" t="str">
        <x:v>Decor</x:v>
      </x:c>
      <x:c r="G1682" s="3" t="str">
        <x:v>Ceramic Vase Set</x:v>
      </x:c>
      <x:c r="H1682" s="3" t="n">
        <x:v>2</x:v>
      </x:c>
      <x:c r="I1682" s="7" t="n">
        <x:v>1470.76</x:v>
      </x:c>
      <x:c r="J1682" s="9" t="n">
        <x:v>0.15</x:v>
      </x:c>
      <x:c r="K1682" s="7" t="n">
        <x:v>2500.29</x:v>
      </x:c>
      <x:c r="L1682" s="7" t="n">
        <x:v>452.62</x:v>
      </x:c>
      <x:c r="M1682" s="3" t="str">
        <x:v>Credit Card</x:v>
      </x:c>
      <x:c r="N1682" s="3" t="str">
        <x:f>TEXT(B1682,"yyyy-mm")</x:f>
        <x:v>2025-04</x:v>
      </x:c>
      <x:c r="O1682" s="3" t="str">
        <x:f>IF(J1682=0,"No discount",IF(J1682&lt;=0.1,"1-10%",IF(J1682&lt;=0.15,"11-15%",IF(J1682&lt;=0.2,"16-20%","21%+"))))</x:f>
        <x:v>11-15%</x:v>
      </x:c>
      <x:c r="P1682" s="9" t="n">
        <x:f>IF(K1682=0,0,L1682/K1682)</x:f>
        <x:v>0.18102700086789933</x:v>
      </x:c>
      <x:c r="Q1682" s="3" t="str">
        <x:f>IF(L1682&lt;0,"Yes","No")</x:f>
        <x:v>No</x:v>
      </x:c>
    </x:row>
    <x:row r="1683" ht="21" customHeight="1">
      <x:c r="A1683" s="3" t="str">
        <x:v>ORD-100598</x:v>
      </x:c>
      <x:c r="B1683" s="5" t="n">
        <x:v>45749</x:v>
      </x:c>
      <x:c r="C1683" s="3" t="str">
        <x:v>CUST-00088</x:v>
      </x:c>
      <x:c r="D1683" s="3" t="str">
        <x:v>South</x:v>
      </x:c>
      <x:c r="E1683" s="3" t="str">
        <x:v>Home &amp; Kitchen</x:v>
      </x:c>
      <x:c r="F1683" s="3" t="str">
        <x:v>Furniture</x:v>
      </x:c>
      <x:c r="G1683" s="3" t="str">
        <x:v>ErgoComfort Chair</x:v>
      </x:c>
      <x:c r="H1683" s="3" t="n">
        <x:v>1</x:v>
      </x:c>
      <x:c r="I1683" s="7" t="n">
        <x:v>8614.66</x:v>
      </x:c>
      <x:c r="J1683" s="9" t="n">
        <x:v>0</x:v>
      </x:c>
      <x:c r="K1683" s="7" t="n">
        <x:v>8614.66</x:v>
      </x:c>
      <x:c r="L1683" s="7" t="n">
        <x:v>2911.73</x:v>
      </x:c>
      <x:c r="M1683" s="3" t="str">
        <x:v>UPI</x:v>
      </x:c>
      <x:c r="N1683" s="3" t="str">
        <x:f>TEXT(B1683,"yyyy-mm")</x:f>
        <x:v>2025-04</x:v>
      </x:c>
      <x:c r="O1683" s="3" t="str">
        <x:f>IF(J1683=0,"No discount",IF(J1683&lt;=0.1,"1-10%",IF(J1683&lt;=0.15,"11-15%",IF(J1683&lt;=0.2,"16-20%","21%+"))))</x:f>
        <x:v>No discount</x:v>
      </x:c>
      <x:c r="P1683" s="9" t="n">
        <x:f>IF(K1683=0,0,L1683/K1683)</x:f>
        <x:v>0.3379970886837089</x:v>
      </x:c>
      <x:c r="Q1683" s="3" t="str">
        <x:f>IF(L1683&lt;0,"Yes","No")</x:f>
        <x:v>No</x:v>
      </x:c>
    </x:row>
    <x:row r="1684" ht="21" customHeight="1">
      <x:c r="A1684" s="3" t="str">
        <x:v>ORD-101497</x:v>
      </x:c>
      <x:c r="B1684" s="5" t="n">
        <x:v>45749</x:v>
      </x:c>
      <x:c r="C1684" s="3" t="str">
        <x:v>CUST-00417</x:v>
      </x:c>
      <x:c r="D1684" s="3" t="str">
        <x:v>West</x:v>
      </x:c>
      <x:c r="E1684" s="3" t="str">
        <x:v>Home &amp; Kitchen</x:v>
      </x:c>
      <x:c r="F1684" s="3" t="str">
        <x:v>Appliances</x:v>
      </x:c>
      <x:c r="G1684" s="3" t="str">
        <x:v>ColdBrew Coffee Maker</x:v>
      </x:c>
      <x:c r="H1684" s="3" t="n">
        <x:v>4</x:v>
      </x:c>
      <x:c r="I1684" s="7" t="n">
        <x:v>6543.42</x:v>
      </x:c>
      <x:c r="J1684" s="9" t="n">
        <x:v>0.25</x:v>
      </x:c>
      <x:c r="K1684" s="7" t="n">
        <x:v>19630.26</x:v>
      </x:c>
      <x:c r="L1684" s="7" t="n">
        <x:v>1402.58</x:v>
      </x:c>
      <x:c r="M1684" s="3" t="str">
        <x:v>UPI</x:v>
      </x:c>
      <x:c r="N1684" s="3" t="str">
        <x:f>TEXT(B1684,"yyyy-mm")</x:f>
        <x:v>2025-04</x:v>
      </x:c>
      <x:c r="O1684" s="3" t="str">
        <x:f>IF(J1684=0,"No discount",IF(J1684&lt;=0.1,"1-10%",IF(J1684&lt;=0.15,"11-15%",IF(J1684&lt;=0.2,"16-20%","21%+"))))</x:f>
        <x:v>21%+</x:v>
      </x:c>
      <x:c r="P1684" s="9" t="n">
        <x:f>IF(K1684=0,0,L1684/K1684)</x:f>
        <x:v>0.07144989419396382</x:v>
      </x:c>
      <x:c r="Q1684" s="3" t="str">
        <x:f>IF(L1684&lt;0,"Yes","No")</x:f>
        <x:v>No</x:v>
      </x:c>
    </x:row>
    <x:row r="1685" ht="21" customHeight="1">
      <x:c r="A1685" s="3" t="str">
        <x:v>ORD-101343</x:v>
      </x:c>
      <x:c r="B1685" s="5" t="n">
        <x:v>45750</x:v>
      </x:c>
      <x:c r="C1685" s="3" t="str">
        <x:v>CUST-00551</x:v>
      </x:c>
      <x:c r="D1685" s="3" t="str">
        <x:v>North</x:v>
      </x:c>
      <x:c r="E1685" s="3" t="str">
        <x:v>Home &amp; Kitchen</x:v>
      </x:c>
      <x:c r="F1685" s="3" t="str">
        <x:v>Appliances</x:v>
      </x:c>
      <x:c r="G1685" s="3" t="str">
        <x:v>ColdBrew Coffee Maker</x:v>
      </x:c>
      <x:c r="H1685" s="3" t="n">
        <x:v>1</x:v>
      </x:c>
      <x:c r="I1685" s="7" t="n">
        <x:v>6301.96</x:v>
      </x:c>
      <x:c r="J1685" s="9" t="n">
        <x:v>0</x:v>
      </x:c>
      <x:c r="K1685" s="7" t="n">
        <x:v>6301.96</x:v>
      </x:c>
      <x:c r="L1685" s="7" t="n">
        <x:v>2271.25</x:v>
      </x:c>
      <x:c r="M1685" s="3" t="str">
        <x:v>Cash on Delivery</x:v>
      </x:c>
      <x:c r="N1685" s="3" t="str">
        <x:f>TEXT(B1685,"yyyy-mm")</x:f>
        <x:v>2025-04</x:v>
      </x:c>
      <x:c r="O1685" s="3" t="str">
        <x:f>IF(J1685=0,"No discount",IF(J1685&lt;=0.1,"1-10%",IF(J1685&lt;=0.15,"11-15%",IF(J1685&lt;=0.2,"16-20%","21%+"))))</x:f>
        <x:v>No discount</x:v>
      </x:c>
      <x:c r="P1685" s="9" t="n">
        <x:f>IF(K1685=0,0,L1685/K1685)</x:f>
        <x:v>0.3604037474055691</x:v>
      </x:c>
      <x:c r="Q1685" s="3" t="str">
        <x:f>IF(L1685&lt;0,"Yes","No")</x:f>
        <x:v>No</x:v>
      </x:c>
    </x:row>
    <x:row r="1686" ht="21" customHeight="1">
      <x:c r="A1686" s="3" t="str">
        <x:v>ORD-101789</x:v>
      </x:c>
      <x:c r="B1686" s="5" t="n">
        <x:v>45750</x:v>
      </x:c>
      <x:c r="C1686" s="3" t="str">
        <x:v>CUST-00566</x:v>
      </x:c>
      <x:c r="D1686" s="3" t="str">
        <x:v>West</x:v>
      </x:c>
      <x:c r="E1686" s="3" t="str">
        <x:v>Electronics</x:v>
      </x:c>
      <x:c r="F1686" s="3" t="str">
        <x:v>Mobile</x:v>
      </x:c>
      <x:c r="G1686" s="3" t="str">
        <x:v>iPhone Zeta</x:v>
      </x:c>
      <x:c r="H1686" s="3" t="n">
        <x:v>3</x:v>
      </x:c>
      <x:c r="I1686" s="7" t="n">
        <x:v>69497.9</x:v>
      </x:c>
      <x:c r="J1686" s="9" t="n">
        <x:v>0.15</x:v>
      </x:c>
      <x:c r="K1686" s="7" t="n">
        <x:v>177219.64</x:v>
      </x:c>
      <x:c r="L1686" s="7" t="n">
        <x:v>5921.58</x:v>
      </x:c>
      <x:c r="M1686" s="3" t="str">
        <x:v>Debit Card</x:v>
      </x:c>
      <x:c r="N1686" s="3" t="str">
        <x:f>TEXT(B1686,"yyyy-mm")</x:f>
        <x:v>2025-04</x:v>
      </x:c>
      <x:c r="O1686" s="3" t="str">
        <x:f>IF(J1686=0,"No discount",IF(J1686&lt;=0.1,"1-10%",IF(J1686&lt;=0.15,"11-15%",IF(J1686&lt;=0.2,"16-20%","21%+"))))</x:f>
        <x:v>11-15%</x:v>
      </x:c>
      <x:c r="P1686" s="9" t="n">
        <x:f>IF(K1686=0,0,L1686/K1686)</x:f>
        <x:v>0.03341379093197571</x:v>
      </x:c>
      <x:c r="Q1686" s="3" t="str">
        <x:f>IF(L1686&lt;0,"Yes","No")</x:f>
        <x:v>No</x:v>
      </x:c>
    </x:row>
    <x:row r="1687" ht="21" customHeight="1">
      <x:c r="A1687" s="3" t="str">
        <x:v>ORD-101940</x:v>
      </x:c>
      <x:c r="B1687" s="5" t="n">
        <x:v>45750</x:v>
      </x:c>
      <x:c r="C1687" s="3" t="str">
        <x:v>CUST-00298</x:v>
      </x:c>
      <x:c r="D1687" s="3" t="str">
        <x:v>South</x:v>
      </x:c>
      <x:c r="E1687" s="3" t="str">
        <x:v>Electronics</x:v>
      </x:c>
      <x:c r="F1687" s="3" t="str">
        <x:v>Laptop</x:v>
      </x:c>
      <x:c r="G1687" s="3" t="str">
        <x:v>ThinkPro 14</x:v>
      </x:c>
      <x:c r="H1687" s="3" t="n">
        <x:v>2</x:v>
      </x:c>
      <x:c r="I1687" s="7" t="n">
        <x:v>52295.07</x:v>
      </x:c>
      <x:c r="J1687" s="9" t="n">
        <x:v>0.15</x:v>
      </x:c>
      <x:c r="K1687" s="7" t="n">
        <x:v>88901.62</x:v>
      </x:c>
      <x:c r="L1687" s="7" t="n">
        <x:v>1469.53</x:v>
      </x:c>
      <x:c r="M1687" s="3" t="str">
        <x:v>UPI</x:v>
      </x:c>
      <x:c r="N1687" s="3" t="str">
        <x:f>TEXT(B1687,"yyyy-mm")</x:f>
        <x:v>2025-04</x:v>
      </x:c>
      <x:c r="O1687" s="3" t="str">
        <x:f>IF(J1687=0,"No discount",IF(J1687&lt;=0.1,"1-10%",IF(J1687&lt;=0.15,"11-15%",IF(J1687&lt;=0.2,"16-20%","21%+"))))</x:f>
        <x:v>11-15%</x:v>
      </x:c>
      <x:c r="P1687" s="9" t="n">
        <x:f>IF(K1687=0,0,L1687/K1687)</x:f>
        <x:v>0.016529845012948022</x:v>
      </x:c>
      <x:c r="Q1687" s="3" t="str">
        <x:f>IF(L1687&lt;0,"Yes","No")</x:f>
        <x:v>No</x:v>
      </x:c>
    </x:row>
    <x:row r="1688" ht="21" customHeight="1">
      <x:c r="A1688" s="3" t="str">
        <x:v>ORD-100568</x:v>
      </x:c>
      <x:c r="B1688" s="5" t="n">
        <x:v>45751</x:v>
      </x:c>
      <x:c r="C1688" s="3" t="str">
        <x:v>CUST-00006</x:v>
      </x:c>
      <x:c r="D1688" s="3" t="str">
        <x:v>East</x:v>
      </x:c>
      <x:c r="E1688" s="3" t="str">
        <x:v>Sports</x:v>
      </x:c>
      <x:c r="F1688" s="3" t="str">
        <x:v>Fitness</x:v>
      </x:c>
      <x:c r="G1688" s="3" t="str">
        <x:v>ProYoga Mat</x:v>
      </x:c>
      <x:c r="H1688" s="3" t="n">
        <x:v>3</x:v>
      </x:c>
      <x:c r="I1688" s="7" t="n">
        <x:v>1299.97</x:v>
      </x:c>
      <x:c r="J1688" s="9" t="n">
        <x:v>0</x:v>
      </x:c>
      <x:c r="K1688" s="7" t="n">
        <x:v>3899.91</x:v>
      </x:c>
      <x:c r="L1688" s="7" t="n">
        <x:v>1364.6</x:v>
      </x:c>
      <x:c r="M1688" s="3" t="str">
        <x:v>Cash on Delivery</x:v>
      </x:c>
      <x:c r="N1688" s="3" t="str">
        <x:f>TEXT(B1688,"yyyy-mm")</x:f>
        <x:v>2025-04</x:v>
      </x:c>
      <x:c r="O1688" s="3" t="str">
        <x:f>IF(J1688=0,"No discount",IF(J1688&lt;=0.1,"1-10%",IF(J1688&lt;=0.15,"11-15%",IF(J1688&lt;=0.2,"16-20%","21%+"))))</x:f>
        <x:v>No discount</x:v>
      </x:c>
      <x:c r="P1688" s="9" t="n">
        <x:f>IF(K1688=0,0,L1688/K1688)</x:f>
        <x:v>0.3499055106399891</x:v>
      </x:c>
      <x:c r="Q1688" s="3" t="str">
        <x:f>IF(L1688&lt;0,"Yes","No")</x:f>
        <x:v>No</x:v>
      </x:c>
    </x:row>
    <x:row r="1689" ht="21" customHeight="1">
      <x:c r="A1689" s="3" t="str">
        <x:v>ORD-101062</x:v>
      </x:c>
      <x:c r="B1689" s="5" t="n">
        <x:v>45751</x:v>
      </x:c>
      <x:c r="C1689" s="3" t="str">
        <x:v>CUST-00268</x:v>
      </x:c>
      <x:c r="D1689" s="3" t="str">
        <x:v>South</x:v>
      </x:c>
      <x:c r="E1689" s="3" t="str">
        <x:v>Home &amp; Kitchen</x:v>
      </x:c>
      <x:c r="F1689" s="3" t="str">
        <x:v>Decor</x:v>
      </x:c>
      <x:c r="G1689" s="3" t="str">
        <x:v>Ceramic Vase Set</x:v>
      </x:c>
      <x:c r="H1689" s="3" t="n">
        <x:v>1</x:v>
      </x:c>
      <x:c r="I1689" s="7" t="n">
        <x:v>1497.87</x:v>
      </x:c>
      <x:c r="J1689" s="9" t="n">
        <x:v>0.15</x:v>
      </x:c>
      <x:c r="K1689" s="7" t="n">
        <x:v>1273.19</x:v>
      </x:c>
      <x:c r="L1689" s="7" t="n">
        <x:v>205.12</x:v>
      </x:c>
      <x:c r="M1689" s="3" t="str">
        <x:v>Credit Card</x:v>
      </x:c>
      <x:c r="N1689" s="3" t="str">
        <x:f>TEXT(B1689,"yyyy-mm")</x:f>
        <x:v>2025-04</x:v>
      </x:c>
      <x:c r="O1689" s="3" t="str">
        <x:f>IF(J1689=0,"No discount",IF(J1689&lt;=0.1,"1-10%",IF(J1689&lt;=0.15,"11-15%",IF(J1689&lt;=0.2,"16-20%","21%+"))))</x:f>
        <x:v>11-15%</x:v>
      </x:c>
      <x:c r="P1689" s="9" t="n">
        <x:f>IF(K1689=0,0,L1689/K1689)</x:f>
        <x:v>0.16110714033255052</x:v>
      </x:c>
      <x:c r="Q1689" s="3" t="str">
        <x:f>IF(L1689&lt;0,"Yes","No")</x:f>
        <x:v>No</x:v>
      </x:c>
    </x:row>
    <x:row r="1690" ht="21" customHeight="1">
      <x:c r="A1690" s="3" t="str">
        <x:v>ORD-101704</x:v>
      </x:c>
      <x:c r="B1690" s="5" t="n">
        <x:v>45751</x:v>
      </x:c>
      <x:c r="C1690" s="3" t="str">
        <x:v>CUST-00301</x:v>
      </x:c>
      <x:c r="D1690" s="3" t="str">
        <x:v>East</x:v>
      </x:c>
      <x:c r="E1690" s="3" t="str">
        <x:v>Electronics</x:v>
      </x:c>
      <x:c r="F1690" s="3" t="str">
        <x:v>Mobile</x:v>
      </x:c>
      <x:c r="G1690" s="3" t="str">
        <x:v>iPhone Zeta</x:v>
      </x:c>
      <x:c r="H1690" s="3" t="n">
        <x:v>4</x:v>
      </x:c>
      <x:c r="I1690" s="7" t="n">
        <x:v>69334.49</x:v>
      </x:c>
      <x:c r="J1690" s="9" t="n">
        <x:v>0.1</x:v>
      </x:c>
      <x:c r="K1690" s="7" t="n">
        <x:v>249604.16</x:v>
      </x:c>
      <x:c r="L1690" s="7" t="n">
        <x:v>22541.5</x:v>
      </x:c>
      <x:c r="M1690" s="3" t="str">
        <x:v>UPI</x:v>
      </x:c>
      <x:c r="N1690" s="3" t="str">
        <x:f>TEXT(B1690,"yyyy-mm")</x:f>
        <x:v>2025-04</x:v>
      </x:c>
      <x:c r="O1690" s="3" t="str">
        <x:f>IF(J1690=0,"No discount",IF(J1690&lt;=0.1,"1-10%",IF(J1690&lt;=0.15,"11-15%",IF(J1690&lt;=0.2,"16-20%","21%+"))))</x:f>
        <x:v>1-10%</x:v>
      </x:c>
      <x:c r="P1690" s="9" t="n">
        <x:f>IF(K1690=0,0,L1690/K1690)</x:f>
        <x:v>0.09030899164501105</x:v>
      </x:c>
      <x:c r="Q1690" s="3" t="str">
        <x:f>IF(L1690&lt;0,"Yes","No")</x:f>
        <x:v>No</x:v>
      </x:c>
    </x:row>
    <x:row r="1691" ht="21" customHeight="1">
      <x:c r="A1691" s="3" t="str">
        <x:v>ORD-101720</x:v>
      </x:c>
      <x:c r="B1691" s="5" t="n">
        <x:v>45751</x:v>
      </x:c>
      <x:c r="C1691" s="3" t="str">
        <x:v>CUST-00001</x:v>
      </x:c>
      <x:c r="D1691" s="3" t="str">
        <x:v>West</x:v>
      </x:c>
      <x:c r="E1691" s="3" t="str">
        <x:v>Sports</x:v>
      </x:c>
      <x:c r="F1691" s="3" t="str">
        <x:v>Fitness</x:v>
      </x:c>
      <x:c r="G1691" s="3" t="str">
        <x:v>ProYoga Mat</x:v>
      </x:c>
      <x:c r="H1691" s="3" t="n">
        <x:v>1</x:v>
      </x:c>
      <x:c r="I1691" s="7" t="n">
        <x:v>1329.11</x:v>
      </x:c>
      <x:c r="J1691" s="9" t="n">
        <x:v>0</x:v>
      </x:c>
      <x:c r="K1691" s="7" t="n">
        <x:v>1329.11</x:v>
      </x:c>
      <x:c r="L1691" s="7" t="n">
        <x:v>538.06</x:v>
      </x:c>
      <x:c r="M1691" s="3" t="str">
        <x:v>UPI</x:v>
      </x:c>
      <x:c r="N1691" s="3" t="str">
        <x:f>TEXT(B1691,"yyyy-mm")</x:f>
        <x:v>2025-04</x:v>
      </x:c>
      <x:c r="O1691" s="3" t="str">
        <x:f>IF(J1691=0,"No discount",IF(J1691&lt;=0.1,"1-10%",IF(J1691&lt;=0.15,"11-15%",IF(J1691&lt;=0.2,"16-20%","21%+"))))</x:f>
        <x:v>No discount</x:v>
      </x:c>
      <x:c r="P1691" s="9" t="n">
        <x:f>IF(K1691=0,0,L1691/K1691)</x:f>
        <x:v>0.4048272904424765</x:v>
      </x:c>
      <x:c r="Q1691" s="3" t="str">
        <x:f>IF(L1691&lt;0,"Yes","No")</x:f>
        <x:v>No</x:v>
      </x:c>
    </x:row>
    <x:row r="1692" ht="21" customHeight="1">
      <x:c r="A1692" s="3" t="str">
        <x:v>ORD-100738</x:v>
      </x:c>
      <x:c r="B1692" s="5" t="n">
        <x:v>45752</x:v>
      </x:c>
      <x:c r="C1692" s="3" t="str">
        <x:v>CUST-00044</x:v>
      </x:c>
      <x:c r="D1692" s="3" t="str">
        <x:v>North</x:v>
      </x:c>
      <x:c r="E1692" s="3" t="str">
        <x:v>Sports</x:v>
      </x:c>
      <x:c r="F1692" s="3" t="str">
        <x:v>Outdoor</x:v>
      </x:c>
      <x:c r="G1692" s="3" t="str">
        <x:v>TrailHike Backpack 60L</x:v>
      </x:c>
      <x:c r="H1692" s="3" t="n">
        <x:v>1</x:v>
      </x:c>
      <x:c r="I1692" s="7" t="n">
        <x:v>3542.61</x:v>
      </x:c>
      <x:c r="J1692" s="9" t="n">
        <x:v>0.05</x:v>
      </x:c>
      <x:c r="K1692" s="7" t="n">
        <x:v>3365.48</x:v>
      </x:c>
      <x:c r="L1692" s="7" t="n">
        <x:v>1035.19</x:v>
      </x:c>
      <x:c r="M1692" s="3" t="str">
        <x:v>UPI</x:v>
      </x:c>
      <x:c r="N1692" s="3" t="str">
        <x:f>TEXT(B1692,"yyyy-mm")</x:f>
        <x:v>2025-04</x:v>
      </x:c>
      <x:c r="O1692" s="3" t="str">
        <x:f>IF(J1692=0,"No discount",IF(J1692&lt;=0.1,"1-10%",IF(J1692&lt;=0.15,"11-15%",IF(J1692&lt;=0.2,"16-20%","21%+"))))</x:f>
        <x:v>1-10%</x:v>
      </x:c>
      <x:c r="P1692" s="9" t="n">
        <x:f>IF(K1692=0,0,L1692/K1692)</x:f>
        <x:v>0.3075905962893852</x:v>
      </x:c>
      <x:c r="Q1692" s="3" t="str">
        <x:f>IF(L1692&lt;0,"Yes","No")</x:f>
        <x:v>No</x:v>
      </x:c>
    </x:row>
    <x:row r="1693" ht="21" customHeight="1">
      <x:c r="A1693" s="3" t="str">
        <x:v>ORD-101352</x:v>
      </x:c>
      <x:c r="B1693" s="5" t="n">
        <x:v>45752</x:v>
      </x:c>
      <x:c r="C1693" s="3" t="str">
        <x:v>CUST-00242</x:v>
      </x:c>
      <x:c r="D1693" s="3" t="str">
        <x:v>South</x:v>
      </x:c>
      <x:c r="E1693" s="3" t="str">
        <x:v>Electronics</x:v>
      </x:c>
      <x:c r="F1693" s="3" t="str">
        <x:v>Audio</x:v>
      </x:c>
      <x:c r="G1693" s="3" t="str">
        <x:v>BassBoom Speaker</x:v>
      </x:c>
      <x:c r="H1693" s="3" t="n">
        <x:v>2</x:v>
      </x:c>
      <x:c r="I1693" s="7" t="n">
        <x:v>8668.02</x:v>
      </x:c>
      <x:c r="J1693" s="9" t="n">
        <x:v>0</x:v>
      </x:c>
      <x:c r="K1693" s="7" t="n">
        <x:v>17336.04</x:v>
      </x:c>
      <x:c r="L1693" s="7" t="n">
        <x:v>2709.6</x:v>
      </x:c>
      <x:c r="M1693" s="3" t="str">
        <x:v>UPI</x:v>
      </x:c>
      <x:c r="N1693" s="3" t="str">
        <x:f>TEXT(B1693,"yyyy-mm")</x:f>
        <x:v>2025-04</x:v>
      </x:c>
      <x:c r="O1693" s="3" t="str">
        <x:f>IF(J1693=0,"No discount",IF(J1693&lt;=0.1,"1-10%",IF(J1693&lt;=0.15,"11-15%",IF(J1693&lt;=0.2,"16-20%","21%+"))))</x:f>
        <x:v>No discount</x:v>
      </x:c>
      <x:c r="P1693" s="9" t="n">
        <x:f>IF(K1693=0,0,L1693/K1693)</x:f>
        <x:v>0.15629867028456323</x:v>
      </x:c>
      <x:c r="Q1693" s="3" t="str">
        <x:f>IF(L1693&lt;0,"Yes","No")</x:f>
        <x:v>No</x:v>
      </x:c>
    </x:row>
    <x:row r="1694" ht="21" customHeight="1">
      <x:c r="A1694" s="3" t="str">
        <x:v>ORD-101808</x:v>
      </x:c>
      <x:c r="B1694" s="5" t="n">
        <x:v>45752</x:v>
      </x:c>
      <x:c r="C1694" s="3" t="str">
        <x:v>CUST-00132</x:v>
      </x:c>
      <x:c r="D1694" s="3" t="str">
        <x:v>South</x:v>
      </x:c>
      <x:c r="E1694" s="3" t="str">
        <x:v>Home &amp; Kitchen</x:v>
      </x:c>
      <x:c r="F1694" s="3" t="str">
        <x:v>Appliances</x:v>
      </x:c>
      <x:c r="G1694" s="3" t="str">
        <x:v>ColdBrew Coffee Maker</x:v>
      </x:c>
      <x:c r="H1694" s="3" t="n">
        <x:v>1</x:v>
      </x:c>
      <x:c r="I1694" s="7" t="n">
        <x:v>6632.38</x:v>
      </x:c>
      <x:c r="J1694" s="9" t="n">
        <x:v>0.2</x:v>
      </x:c>
      <x:c r="K1694" s="7" t="n">
        <x:v>5305.9</x:v>
      </x:c>
      <x:c r="L1694" s="7" t="n">
        <x:v>426.66</x:v>
      </x:c>
      <x:c r="M1694" s="3" t="str">
        <x:v>Credit Card</x:v>
      </x:c>
      <x:c r="N1694" s="3" t="str">
        <x:f>TEXT(B1694,"yyyy-mm")</x:f>
        <x:v>2025-04</x:v>
      </x:c>
      <x:c r="O1694" s="3" t="str">
        <x:f>IF(J1694=0,"No discount",IF(J1694&lt;=0.1,"1-10%",IF(J1694&lt;=0.15,"11-15%",IF(J1694&lt;=0.2,"16-20%","21%+"))))</x:f>
        <x:v>16-20%</x:v>
      </x:c>
      <x:c r="P1694" s="9" t="n">
        <x:f>IF(K1694=0,0,L1694/K1694)</x:f>
        <x:v>0.08041237113402062</x:v>
      </x:c>
      <x:c r="Q1694" s="3" t="str">
        <x:f>IF(L1694&lt;0,"Yes","No")</x:f>
        <x:v>No</x:v>
      </x:c>
    </x:row>
    <x:row r="1695" ht="21" customHeight="1">
      <x:c r="A1695" s="3" t="str">
        <x:v>ORD-100180</x:v>
      </x:c>
      <x:c r="B1695" s="5" t="n">
        <x:v>45753</x:v>
      </x:c>
      <x:c r="C1695" s="3" t="str">
        <x:v>CUST-00365</x:v>
      </x:c>
      <x:c r="D1695" s="3" t="str">
        <x:v>South</x:v>
      </x:c>
      <x:c r="E1695" s="3" t="str">
        <x:v>Fashion</x:v>
      </x:c>
      <x:c r="F1695" s="3" t="str">
        <x:v>Men</x:v>
      </x:c>
      <x:c r="G1695" s="3" t="str">
        <x:v>Oxford Casual Shirt</x:v>
      </x:c>
      <x:c r="H1695" s="3" t="n">
        <x:v>2</x:v>
      </x:c>
      <x:c r="I1695" s="7" t="n">
        <x:v>1311.42</x:v>
      </x:c>
      <x:c r="J1695" s="9" t="n">
        <x:v>0.1</x:v>
      </x:c>
      <x:c r="K1695" s="7" t="n">
        <x:v>2360.56</x:v>
      </x:c>
      <x:c r="L1695" s="7" t="n">
        <x:v>808.52</x:v>
      </x:c>
      <x:c r="M1695" s="3" t="str">
        <x:v>Credit Card</x:v>
      </x:c>
      <x:c r="N1695" s="3" t="str">
        <x:f>TEXT(B1695,"yyyy-mm")</x:f>
        <x:v>2025-04</x:v>
      </x:c>
      <x:c r="O1695" s="3" t="str">
        <x:f>IF(J1695=0,"No discount",IF(J1695&lt;=0.1,"1-10%",IF(J1695&lt;=0.15,"11-15%",IF(J1695&lt;=0.2,"16-20%","21%+"))))</x:f>
        <x:v>1-10%</x:v>
      </x:c>
      <x:c r="P1695" s="9" t="n">
        <x:f>IF(K1695=0,0,L1695/K1695)</x:f>
        <x:v>0.3425119463178229</x:v>
      </x:c>
      <x:c r="Q1695" s="3" t="str">
        <x:f>IF(L1695&lt;0,"Yes","No")</x:f>
        <x:v>No</x:v>
      </x:c>
    </x:row>
    <x:row r="1696" ht="21" customHeight="1">
      <x:c r="A1696" s="3" t="str">
        <x:v>ORD-101396</x:v>
      </x:c>
      <x:c r="B1696" s="5" t="n">
        <x:v>45753</x:v>
      </x:c>
      <x:c r="C1696" s="3" t="str">
        <x:v>CUST-00580</x:v>
      </x:c>
      <x:c r="D1696" s="3" t="str">
        <x:v>West</x:v>
      </x:c>
      <x:c r="E1696" s="3" t="str">
        <x:v>Home &amp; Kitchen</x:v>
      </x:c>
      <x:c r="F1696" s="3" t="str">
        <x:v>Appliances</x:v>
      </x:c>
      <x:c r="G1696" s="3" t="str">
        <x:v>ColdBrew Coffee Maker</x:v>
      </x:c>
      <x:c r="H1696" s="3" t="n">
        <x:v>4</x:v>
      </x:c>
      <x:c r="I1696" s="7" t="n">
        <x:v>6470.75</x:v>
      </x:c>
      <x:c r="J1696" s="9" t="n">
        <x:v>0.25</x:v>
      </x:c>
      <x:c r="K1696" s="7" t="n">
        <x:v>19412.25</x:v>
      </x:c>
      <x:c r="L1696" s="7" t="n">
        <x:v>1219.85</x:v>
      </x:c>
      <x:c r="M1696" s="3" t="str">
        <x:v>Credit Card</x:v>
      </x:c>
      <x:c r="N1696" s="3" t="str">
        <x:f>TEXT(B1696,"yyyy-mm")</x:f>
        <x:v>2025-04</x:v>
      </x:c>
      <x:c r="O1696" s="3" t="str">
        <x:f>IF(J1696=0,"No discount",IF(J1696&lt;=0.1,"1-10%",IF(J1696&lt;=0.15,"11-15%",IF(J1696&lt;=0.2,"16-20%","21%+"))))</x:f>
        <x:v>21%+</x:v>
      </x:c>
      <x:c r="P1696" s="9" t="n">
        <x:f>IF(K1696=0,0,L1696/K1696)</x:f>
        <x:v>0.06283918659609267</x:v>
      </x:c>
      <x:c r="Q1696" s="3" t="str">
        <x:f>IF(L1696&lt;0,"Yes","No")</x:f>
        <x:v>No</x:v>
      </x:c>
    </x:row>
    <x:row r="1697" ht="21" customHeight="1">
      <x:c r="A1697" s="3" t="str">
        <x:v>ORD-101800</x:v>
      </x:c>
      <x:c r="B1697" s="5" t="n">
        <x:v>45753</x:v>
      </x:c>
      <x:c r="C1697" s="3" t="str">
        <x:v>CUST-00551</x:v>
      </x:c>
      <x:c r="D1697" s="3" t="str">
        <x:v>East</x:v>
      </x:c>
      <x:c r="E1697" s="3" t="str">
        <x:v>Sports</x:v>
      </x:c>
      <x:c r="F1697" s="3" t="str">
        <x:v>Outdoor</x:v>
      </x:c>
      <x:c r="G1697" s="3" t="str">
        <x:v>TrailHike Backpack 60L</x:v>
      </x:c>
      <x:c r="H1697" s="3" t="n">
        <x:v>1</x:v>
      </x:c>
      <x:c r="I1697" s="7" t="n">
        <x:v>3610.67</x:v>
      </x:c>
      <x:c r="J1697" s="9" t="n">
        <x:v>0.15</x:v>
      </x:c>
      <x:c r="K1697" s="7" t="n">
        <x:v>3069.07</x:v>
      </x:c>
      <x:c r="L1697" s="7" t="n">
        <x:v>704.71</x:v>
      </x:c>
      <x:c r="M1697" s="3" t="str">
        <x:v>Debit Card</x:v>
      </x:c>
      <x:c r="N1697" s="3" t="str">
        <x:f>TEXT(B1697,"yyyy-mm")</x:f>
        <x:v>2025-04</x:v>
      </x:c>
      <x:c r="O1697" s="3" t="str">
        <x:f>IF(J1697=0,"No discount",IF(J1697&lt;=0.1,"1-10%",IF(J1697&lt;=0.15,"11-15%",IF(J1697&lt;=0.2,"16-20%","21%+"))))</x:f>
        <x:v>11-15%</x:v>
      </x:c>
      <x:c r="P1697" s="9" t="n">
        <x:f>IF(K1697=0,0,L1697/K1697)</x:f>
        <x:v>0.229616789450876</x:v>
      </x:c>
      <x:c r="Q1697" s="3" t="str">
        <x:f>IF(L1697&lt;0,"Yes","No")</x:f>
        <x:v>No</x:v>
      </x:c>
    </x:row>
    <x:row r="1698" ht="21" customHeight="1">
      <x:c r="A1698" s="3" t="str">
        <x:v>ORD-100399</x:v>
      </x:c>
      <x:c r="B1698" s="5" t="n">
        <x:v>45754</x:v>
      </x:c>
      <x:c r="C1698" s="3" t="str">
        <x:v>CUST-00513</x:v>
      </x:c>
      <x:c r="D1698" s="3" t="str">
        <x:v>South</x:v>
      </x:c>
      <x:c r="E1698" s="3" t="str">
        <x:v>Sports</x:v>
      </x:c>
      <x:c r="F1698" s="3" t="str">
        <x:v>Outdoor</x:v>
      </x:c>
      <x:c r="G1698" s="3" t="str">
        <x:v>AllWeather Tent 4P</x:v>
      </x:c>
      <x:c r="H1698" s="3" t="n">
        <x:v>1</x:v>
      </x:c>
      <x:c r="I1698" s="7" t="n">
        <x:v>12134.75</x:v>
      </x:c>
      <x:c r="J1698" s="9" t="n">
        <x:v>0.05</x:v>
      </x:c>
      <x:c r="K1698" s="7" t="n">
        <x:v>11528.01</x:v>
      </x:c>
      <x:c r="L1698" s="7" t="n">
        <x:v>3306.97</x:v>
      </x:c>
      <x:c r="M1698" s="3" t="str">
        <x:v>UPI</x:v>
      </x:c>
      <x:c r="N1698" s="3" t="str">
        <x:f>TEXT(B1698,"yyyy-mm")</x:f>
        <x:v>2025-04</x:v>
      </x:c>
      <x:c r="O1698" s="3" t="str">
        <x:f>IF(J1698=0,"No discount",IF(J1698&lt;=0.1,"1-10%",IF(J1698&lt;=0.15,"11-15%",IF(J1698&lt;=0.2,"16-20%","21%+"))))</x:f>
        <x:v>1-10%</x:v>
      </x:c>
      <x:c r="P1698" s="9" t="n">
        <x:f>IF(K1698=0,0,L1698/K1698)</x:f>
        <x:v>0.2868639079945281</x:v>
      </x:c>
      <x:c r="Q1698" s="3" t="str">
        <x:f>IF(L1698&lt;0,"Yes","No")</x:f>
        <x:v>No</x:v>
      </x:c>
    </x:row>
    <x:row r="1699" ht="21" customHeight="1">
      <x:c r="A1699" s="3" t="str">
        <x:v>ORD-101685</x:v>
      </x:c>
      <x:c r="B1699" s="5" t="n">
        <x:v>45754</x:v>
      </x:c>
      <x:c r="C1699" s="3" t="str">
        <x:v>CUST-00520</x:v>
      </x:c>
      <x:c r="D1699" s="3" t="str">
        <x:v>North</x:v>
      </x:c>
      <x:c r="E1699" s="3" t="str">
        <x:v>Fashion</x:v>
      </x:c>
      <x:c r="F1699" s="3" t="str">
        <x:v>Footwear</x:v>
      </x:c>
      <x:c r="G1699" s="3" t="str">
        <x:v>RunFlex Sneakers</x:v>
      </x:c>
      <x:c r="H1699" s="3" t="n">
        <x:v>1</x:v>
      </x:c>
      <x:c r="I1699" s="7" t="n">
        <x:v>2991.61</x:v>
      </x:c>
      <x:c r="J1699" s="9" t="n">
        <x:v>0.2</x:v>
      </x:c>
      <x:c r="K1699" s="7" t="n">
        <x:v>2393.29</x:v>
      </x:c>
      <x:c r="L1699" s="7" t="n">
        <x:v>469.02</x:v>
      </x:c>
      <x:c r="M1699" s="3" t="str">
        <x:v>UPI</x:v>
      </x:c>
      <x:c r="N1699" s="3" t="str">
        <x:f>TEXT(B1699,"yyyy-mm")</x:f>
        <x:v>2025-04</x:v>
      </x:c>
      <x:c r="O1699" s="3" t="str">
        <x:f>IF(J1699=0,"No discount",IF(J1699&lt;=0.1,"1-10%",IF(J1699&lt;=0.15,"11-15%",IF(J1699&lt;=0.2,"16-20%","21%+"))))</x:f>
        <x:v>16-20%</x:v>
      </x:c>
      <x:c r="P1699" s="9" t="n">
        <x:f>IF(K1699=0,0,L1699/K1699)</x:f>
        <x:v>0.19597290758746327</x:v>
      </x:c>
      <x:c r="Q1699" s="3" t="str">
        <x:f>IF(L1699&lt;0,"Yes","No")</x:f>
        <x:v>No</x:v>
      </x:c>
    </x:row>
    <x:row r="1700" ht="21" customHeight="1">
      <x:c r="A1700" s="3" t="str">
        <x:v>ORD-100767</x:v>
      </x:c>
      <x:c r="B1700" s="5" t="n">
        <x:v>45755</x:v>
      </x:c>
      <x:c r="C1700" s="3" t="str">
        <x:v>CUST-00335</x:v>
      </x:c>
      <x:c r="D1700" s="3" t="str">
        <x:v>North</x:v>
      </x:c>
      <x:c r="E1700" s="3" t="str">
        <x:v>Sports</x:v>
      </x:c>
      <x:c r="F1700" s="3" t="str">
        <x:v>Outdoor</x:v>
      </x:c>
      <x:c r="G1700" s="3" t="str">
        <x:v>AllWeather Tent 4P</x:v>
      </x:c>
      <x:c r="H1700" s="3" t="n">
        <x:v>1</x:v>
      </x:c>
      <x:c r="I1700" s="7" t="n">
        <x:v>11991.72</x:v>
      </x:c>
      <x:c r="J1700" s="9" t="n">
        <x:v>0</x:v>
      </x:c>
      <x:c r="K1700" s="7" t="n">
        <x:v>11991.72</x:v>
      </x:c>
      <x:c r="L1700" s="7" t="n">
        <x:v>4122.07</x:v>
      </x:c>
      <x:c r="M1700" s="3" t="str">
        <x:v>UPI</x:v>
      </x:c>
      <x:c r="N1700" s="3" t="str">
        <x:f>TEXT(B1700,"yyyy-mm")</x:f>
        <x:v>2025-04</x:v>
      </x:c>
      <x:c r="O1700" s="3" t="str">
        <x:f>IF(J1700=0,"No discount",IF(J1700&lt;=0.1,"1-10%",IF(J1700&lt;=0.15,"11-15%",IF(J1700&lt;=0.2,"16-20%","21%+"))))</x:f>
        <x:v>No discount</x:v>
      </x:c>
      <x:c r="P1700" s="9" t="n">
        <x:f>IF(K1700=0,0,L1700/K1700)</x:f>
        <x:v>0.34374301601438323</x:v>
      </x:c>
      <x:c r="Q1700" s="3" t="str">
        <x:f>IF(L1700&lt;0,"Yes","No")</x:f>
        <x:v>No</x:v>
      </x:c>
    </x:row>
    <x:row r="1701" ht="21" customHeight="1">
      <x:c r="A1701" s="3" t="str">
        <x:v>ORD-100785</x:v>
      </x:c>
      <x:c r="B1701" s="5" t="n">
        <x:v>45755</x:v>
      </x:c>
      <x:c r="C1701" s="3" t="str">
        <x:v>CUST-00360</x:v>
      </x:c>
      <x:c r="D1701" s="3" t="str">
        <x:v>South</x:v>
      </x:c>
      <x:c r="E1701" s="3" t="str">
        <x:v>Beauty</x:v>
      </x:c>
      <x:c r="F1701" s="3" t="str">
        <x:v>Makeup</x:v>
      </x:c>
      <x:c r="G1701" s="3" t="str">
        <x:v>Matte Lipstick Set</x:v>
      </x:c>
      <x:c r="H1701" s="3" t="n">
        <x:v>1</x:v>
      </x:c>
      <x:c r="I1701" s="7" t="n">
        <x:v>963.69</x:v>
      </x:c>
      <x:c r="J1701" s="9" t="n">
        <x:v>0</x:v>
      </x:c>
      <x:c r="K1701" s="7" t="n">
        <x:v>963.69</x:v>
      </x:c>
      <x:c r="L1701" s="7" t="n">
        <x:v>498.72</x:v>
      </x:c>
      <x:c r="M1701" s="3" t="str">
        <x:v>Debit Card</x:v>
      </x:c>
      <x:c r="N1701" s="3" t="str">
        <x:f>TEXT(B1701,"yyyy-mm")</x:f>
        <x:v>2025-04</x:v>
      </x:c>
      <x:c r="O1701" s="3" t="str">
        <x:f>IF(J1701=0,"No discount",IF(J1701&lt;=0.1,"1-10%",IF(J1701&lt;=0.15,"11-15%",IF(J1701&lt;=0.2,"16-20%","21%+"))))</x:f>
        <x:v>No discount</x:v>
      </x:c>
      <x:c r="P1701" s="9" t="n">
        <x:f>IF(K1701=0,0,L1701/K1701)</x:f>
        <x:v>0.5175108177941039</x:v>
      </x:c>
      <x:c r="Q1701" s="3" t="str">
        <x:f>IF(L1701&lt;0,"Yes","No")</x:f>
        <x:v>No</x:v>
      </x:c>
    </x:row>
    <x:row r="1702" ht="21" customHeight="1">
      <x:c r="A1702" s="3" t="str">
        <x:v>ORD-101023</x:v>
      </x:c>
      <x:c r="B1702" s="5" t="n">
        <x:v>45755</x:v>
      </x:c>
      <x:c r="C1702" s="3" t="str">
        <x:v>CUST-00398</x:v>
      </x:c>
      <x:c r="D1702" s="3" t="str">
        <x:v>West</x:v>
      </x:c>
      <x:c r="E1702" s="3" t="str">
        <x:v>Beauty</x:v>
      </x:c>
      <x:c r="F1702" s="3" t="str">
        <x:v>Skincare</x:v>
      </x:c>
      <x:c r="G1702" s="3" t="str">
        <x:v>HydraBoost Moisturizer</x:v>
      </x:c>
      <x:c r="H1702" s="3" t="n">
        <x:v>1</x:v>
      </x:c>
      <x:c r="I1702" s="7" t="n">
        <x:v>1164</x:v>
      </x:c>
      <x:c r="J1702" s="9" t="n">
        <x:v>0.1</x:v>
      </x:c>
      <x:c r="K1702" s="7" t="n">
        <x:v>1047.6</x:v>
      </x:c>
      <x:c r="L1702" s="7" t="n">
        <x:v>447.81</x:v>
      </x:c>
      <x:c r="M1702" s="3" t="str">
        <x:v>Credit Card</x:v>
      </x:c>
      <x:c r="N1702" s="3" t="str">
        <x:f>TEXT(B1702,"yyyy-mm")</x:f>
        <x:v>2025-04</x:v>
      </x:c>
      <x:c r="O1702" s="3" t="str">
        <x:f>IF(J1702=0,"No discount",IF(J1702&lt;=0.1,"1-10%",IF(J1702&lt;=0.15,"11-15%",IF(J1702&lt;=0.2,"16-20%","21%+"))))</x:f>
        <x:v>1-10%</x:v>
      </x:c>
      <x:c r="P1702" s="9" t="n">
        <x:f>IF(K1702=0,0,L1702/K1702)</x:f>
        <x:v>0.42746277205040095</x:v>
      </x:c>
      <x:c r="Q1702" s="3" t="str">
        <x:f>IF(L1702&lt;0,"Yes","No")</x:f>
        <x:v>No</x:v>
      </x:c>
    </x:row>
    <x:row r="1703" ht="21" customHeight="1">
      <x:c r="A1703" s="3" t="str">
        <x:v>ORD-100423</x:v>
      </x:c>
      <x:c r="B1703" s="5" t="n">
        <x:v>45756</x:v>
      </x:c>
      <x:c r="C1703" s="3" t="str">
        <x:v>CUST-00067</x:v>
      </x:c>
      <x:c r="D1703" s="3" t="str">
        <x:v>East</x:v>
      </x:c>
      <x:c r="E1703" s="3" t="str">
        <x:v>Fashion</x:v>
      </x:c>
      <x:c r="F1703" s="3" t="str">
        <x:v>Footwear</x:v>
      </x:c>
      <x:c r="G1703" s="3" t="str">
        <x:v>UrbanLoafers</x:v>
      </x:c>
      <x:c r="H1703" s="3" t="n">
        <x:v>4</x:v>
      </x:c>
      <x:c r="I1703" s="7" t="n">
        <x:v>3568.85</x:v>
      </x:c>
      <x:c r="J1703" s="9" t="n">
        <x:v>0.05</x:v>
      </x:c>
      <x:c r="K1703" s="7" t="n">
        <x:v>13561.63</x:v>
      </x:c>
      <x:c r="L1703" s="7" t="n">
        <x:v>5095.3</x:v>
      </x:c>
      <x:c r="M1703" s="3" t="str">
        <x:v>Net Banking</x:v>
      </x:c>
      <x:c r="N1703" s="3" t="str">
        <x:f>TEXT(B1703,"yyyy-mm")</x:f>
        <x:v>2025-04</x:v>
      </x:c>
      <x:c r="O1703" s="3" t="str">
        <x:f>IF(J1703=0,"No discount",IF(J1703&lt;=0.1,"1-10%",IF(J1703&lt;=0.15,"11-15%",IF(J1703&lt;=0.2,"16-20%","21%+"))))</x:f>
        <x:v>1-10%</x:v>
      </x:c>
      <x:c r="P1703" s="9" t="n">
        <x:f>IF(K1703=0,0,L1703/K1703)</x:f>
        <x:v>0.37571442370865454</x:v>
      </x:c>
      <x:c r="Q1703" s="3" t="str">
        <x:f>IF(L1703&lt;0,"Yes","No")</x:f>
        <x:v>No</x:v>
      </x:c>
    </x:row>
    <x:row r="1704" ht="21" customHeight="1">
      <x:c r="A1704" s="3" t="str">
        <x:v>ORD-100594</x:v>
      </x:c>
      <x:c r="B1704" s="5" t="n">
        <x:v>45756</x:v>
      </x:c>
      <x:c r="C1704" s="3" t="str">
        <x:v>CUST-00438</x:v>
      </x:c>
      <x:c r="D1704" s="3" t="str">
        <x:v>South</x:v>
      </x:c>
      <x:c r="E1704" s="3" t="str">
        <x:v>Fashion</x:v>
      </x:c>
      <x:c r="F1704" s="3" t="str">
        <x:v>Footwear</x:v>
      </x:c>
      <x:c r="G1704" s="3" t="str">
        <x:v>UrbanLoafers</x:v>
      </x:c>
      <x:c r="H1704" s="3" t="n">
        <x:v>1</x:v>
      </x:c>
      <x:c r="I1704" s="7" t="n">
        <x:v>3671.13</x:v>
      </x:c>
      <x:c r="J1704" s="9" t="n">
        <x:v>0.1</x:v>
      </x:c>
      <x:c r="K1704" s="7" t="n">
        <x:v>3304.02</x:v>
      </x:c>
      <x:c r="L1704" s="7" t="n">
        <x:v>1058.74</x:v>
      </x:c>
      <x:c r="M1704" s="3" t="str">
        <x:v>UPI</x:v>
      </x:c>
      <x:c r="N1704" s="3" t="str">
        <x:f>TEXT(B1704,"yyyy-mm")</x:f>
        <x:v>2025-04</x:v>
      </x:c>
      <x:c r="O1704" s="3" t="str">
        <x:f>IF(J1704=0,"No discount",IF(J1704&lt;=0.1,"1-10%",IF(J1704&lt;=0.15,"11-15%",IF(J1704&lt;=0.2,"16-20%","21%+"))))</x:f>
        <x:v>1-10%</x:v>
      </x:c>
      <x:c r="P1704" s="9" t="n">
        <x:f>IF(K1704=0,0,L1704/K1704)</x:f>
        <x:v>0.32043994891072086</x:v>
      </x:c>
      <x:c r="Q1704" s="3" t="str">
        <x:f>IF(L1704&lt;0,"Yes","No")</x:f>
        <x:v>No</x:v>
      </x:c>
    </x:row>
    <x:row r="1705" ht="21" customHeight="1">
      <x:c r="A1705" s="3" t="str">
        <x:v>ORD-100843</x:v>
      </x:c>
      <x:c r="B1705" s="5" t="n">
        <x:v>45756</x:v>
      </x:c>
      <x:c r="C1705" s="3" t="str">
        <x:v>CUST-00450</x:v>
      </x:c>
      <x:c r="D1705" s="3" t="str">
        <x:v>North</x:v>
      </x:c>
      <x:c r="E1705" s="3" t="str">
        <x:v>Fashion</x:v>
      </x:c>
      <x:c r="F1705" s="3" t="str">
        <x:v>Footwear</x:v>
      </x:c>
      <x:c r="G1705" s="3" t="str">
        <x:v>RunFlex Sneakers</x:v>
      </x:c>
      <x:c r="H1705" s="3" t="n">
        <x:v>2</x:v>
      </x:c>
      <x:c r="I1705" s="7" t="n">
        <x:v>3095</x:v>
      </x:c>
      <x:c r="J1705" s="9" t="n">
        <x:v>0.1</x:v>
      </x:c>
      <x:c r="K1705" s="7" t="n">
        <x:v>5571</x:v>
      </x:c>
      <x:c r="L1705" s="7" t="n">
        <x:v>1703.33</x:v>
      </x:c>
      <x:c r="M1705" s="3" t="str">
        <x:v>UPI</x:v>
      </x:c>
      <x:c r="N1705" s="3" t="str">
        <x:f>TEXT(B1705,"yyyy-mm")</x:f>
        <x:v>2025-04</x:v>
      </x:c>
      <x:c r="O1705" s="3" t="str">
        <x:f>IF(J1705=0,"No discount",IF(J1705&lt;=0.1,"1-10%",IF(J1705&lt;=0.15,"11-15%",IF(J1705&lt;=0.2,"16-20%","21%+"))))</x:f>
        <x:v>1-10%</x:v>
      </x:c>
      <x:c r="P1705" s="9" t="n">
        <x:f>IF(K1705=0,0,L1705/K1705)</x:f>
        <x:v>0.3057494166217914</x:v>
      </x:c>
      <x:c r="Q1705" s="3" t="str">
        <x:f>IF(L1705&lt;0,"Yes","No")</x:f>
        <x:v>No</x:v>
      </x:c>
    </x:row>
    <x:row r="1706" ht="21" customHeight="1">
      <x:c r="A1706" s="3" t="str">
        <x:v>ORD-101081</x:v>
      </x:c>
      <x:c r="B1706" s="5" t="n">
        <x:v>45756</x:v>
      </x:c>
      <x:c r="C1706" s="3" t="str">
        <x:v>CUST-00193</x:v>
      </x:c>
      <x:c r="D1706" s="3" t="str">
        <x:v>North</x:v>
      </x:c>
      <x:c r="E1706" s="3" t="str">
        <x:v>Beauty</x:v>
      </x:c>
      <x:c r="F1706" s="3" t="str">
        <x:v>Makeup</x:v>
      </x:c>
      <x:c r="G1706" s="3" t="str">
        <x:v>HD Foundation Kit</x:v>
      </x:c>
      <x:c r="H1706" s="3" t="n">
        <x:v>1</x:v>
      </x:c>
      <x:c r="I1706" s="7" t="n">
        <x:v>1485.21</x:v>
      </x:c>
      <x:c r="J1706" s="9" t="n">
        <x:v>0.05</x:v>
      </x:c>
      <x:c r="K1706" s="7" t="n">
        <x:v>1410.95</x:v>
      </x:c>
      <x:c r="L1706" s="7" t="n">
        <x:v>723.29</x:v>
      </x:c>
      <x:c r="M1706" s="3" t="str">
        <x:v>Credit Card</x:v>
      </x:c>
      <x:c r="N1706" s="3" t="str">
        <x:f>TEXT(B1706,"yyyy-mm")</x:f>
        <x:v>2025-04</x:v>
      </x:c>
      <x:c r="O1706" s="3" t="str">
        <x:f>IF(J1706=0,"No discount",IF(J1706&lt;=0.1,"1-10%",IF(J1706&lt;=0.15,"11-15%",IF(J1706&lt;=0.2,"16-20%","21%+"))))</x:f>
        <x:v>1-10%</x:v>
      </x:c>
      <x:c r="P1706" s="9" t="n">
        <x:f>IF(K1706=0,0,L1706/K1706)</x:f>
        <x:v>0.5126262447287289</x:v>
      </x:c>
      <x:c r="Q1706" s="3" t="str">
        <x:f>IF(L1706&lt;0,"Yes","No")</x:f>
        <x:v>No</x:v>
      </x:c>
    </x:row>
    <x:row r="1707" ht="21" customHeight="1">
      <x:c r="A1707" s="3" t="str">
        <x:v>ORD-101559</x:v>
      </x:c>
      <x:c r="B1707" s="5" t="n">
        <x:v>45756</x:v>
      </x:c>
      <x:c r="C1707" s="3" t="str">
        <x:v>CUST-00202</x:v>
      </x:c>
      <x:c r="D1707" s="3" t="str">
        <x:v>North</x:v>
      </x:c>
      <x:c r="E1707" s="3" t="str">
        <x:v>Electronics</x:v>
      </x:c>
      <x:c r="F1707" s="3" t="str">
        <x:v>Audio</x:v>
      </x:c>
      <x:c r="G1707" s="3" t="str">
        <x:v>SoundPods Pro</x:v>
      </x:c>
      <x:c r="H1707" s="3" t="n">
        <x:v>3</x:v>
      </x:c>
      <x:c r="I1707" s="7" t="n">
        <x:v>5017.82</x:v>
      </x:c>
      <x:c r="J1707" s="9" t="n">
        <x:v>0.15</x:v>
      </x:c>
      <x:c r="K1707" s="7" t="n">
        <x:v>12795.44</x:v>
      </x:c>
      <x:c r="L1707" s="7" t="n">
        <x:v>498.01</x:v>
      </x:c>
      <x:c r="M1707" s="3" t="str">
        <x:v>Credit Card</x:v>
      </x:c>
      <x:c r="N1707" s="3" t="str">
        <x:f>TEXT(B1707,"yyyy-mm")</x:f>
        <x:v>2025-04</x:v>
      </x:c>
      <x:c r="O1707" s="3" t="str">
        <x:f>IF(J1707=0,"No discount",IF(J1707&lt;=0.1,"1-10%",IF(J1707&lt;=0.15,"11-15%",IF(J1707&lt;=0.2,"16-20%","21%+"))))</x:f>
        <x:v>11-15%</x:v>
      </x:c>
      <x:c r="P1707" s="9" t="n">
        <x:f>IF(K1707=0,0,L1707/K1707)</x:f>
        <x:v>0.03892089681949194</x:v>
      </x:c>
      <x:c r="Q1707" s="3" t="str">
        <x:f>IF(L1707&lt;0,"Yes","No")</x:f>
        <x:v>No</x:v>
      </x:c>
    </x:row>
    <x:row r="1708" ht="21" customHeight="1">
      <x:c r="A1708" s="3" t="str">
        <x:v>ORD-101021</x:v>
      </x:c>
      <x:c r="B1708" s="5" t="n">
        <x:v>45757</x:v>
      </x:c>
      <x:c r="C1708" s="3" t="str">
        <x:v>CUST-00157</x:v>
      </x:c>
      <x:c r="D1708" s="3" t="str">
        <x:v>South</x:v>
      </x:c>
      <x:c r="E1708" s="3" t="str">
        <x:v>Beauty</x:v>
      </x:c>
      <x:c r="F1708" s="3" t="str">
        <x:v>Makeup</x:v>
      </x:c>
      <x:c r="G1708" s="3" t="str">
        <x:v>HD Foundation Kit</x:v>
      </x:c>
      <x:c r="H1708" s="3" t="n">
        <x:v>2</x:v>
      </x:c>
      <x:c r="I1708" s="7" t="n">
        <x:v>1560.5</x:v>
      </x:c>
      <x:c r="J1708" s="9" t="n">
        <x:v>0.05</x:v>
      </x:c>
      <x:c r="K1708" s="7" t="n">
        <x:v>2964.95</x:v>
      </x:c>
      <x:c r="L1708" s="7" t="n">
        <x:v>1398.01</x:v>
      </x:c>
      <x:c r="M1708" s="3" t="str">
        <x:v>UPI</x:v>
      </x:c>
      <x:c r="N1708" s="3" t="str">
        <x:f>TEXT(B1708,"yyyy-mm")</x:f>
        <x:v>2025-04</x:v>
      </x:c>
      <x:c r="O1708" s="3" t="str">
        <x:f>IF(J1708=0,"No discount",IF(J1708&lt;=0.1,"1-10%",IF(J1708&lt;=0.15,"11-15%",IF(J1708&lt;=0.2,"16-20%","21%+"))))</x:f>
        <x:v>1-10%</x:v>
      </x:c>
      <x:c r="P1708" s="9" t="n">
        <x:f>IF(K1708=0,0,L1708/K1708)</x:f>
        <x:v>0.4715121671529031</x:v>
      </x:c>
      <x:c r="Q1708" s="3" t="str">
        <x:f>IF(L1708&lt;0,"Yes","No")</x:f>
        <x:v>No</x:v>
      </x:c>
    </x:row>
    <x:row r="1709" ht="21" customHeight="1">
      <x:c r="A1709" s="3" t="str">
        <x:v>ORD-101208</x:v>
      </x:c>
      <x:c r="B1709" s="5" t="n">
        <x:v>45757</x:v>
      </x:c>
      <x:c r="C1709" s="3" t="str">
        <x:v>CUST-00127</x:v>
      </x:c>
      <x:c r="D1709" s="3" t="str">
        <x:v>West</x:v>
      </x:c>
      <x:c r="E1709" s="3" t="str">
        <x:v>Home &amp; Kitchen</x:v>
      </x:c>
      <x:c r="F1709" s="3" t="str">
        <x:v>Appliances</x:v>
      </x:c>
      <x:c r="G1709" s="3" t="str">
        <x:v>ColdBrew Coffee Maker</x:v>
      </x:c>
      <x:c r="H1709" s="3" t="n">
        <x:v>3</x:v>
      </x:c>
      <x:c r="I1709" s="7" t="n">
        <x:v>6647.47</x:v>
      </x:c>
      <x:c r="J1709" s="9" t="n">
        <x:v>0</x:v>
      </x:c>
      <x:c r="K1709" s="7" t="n">
        <x:v>19942.41</x:v>
      </x:c>
      <x:c r="L1709" s="7" t="n">
        <x:v>7070.31</x:v>
      </x:c>
      <x:c r="M1709" s="3" t="str">
        <x:v>UPI</x:v>
      </x:c>
      <x:c r="N1709" s="3" t="str">
        <x:f>TEXT(B1709,"yyyy-mm")</x:f>
        <x:v>2025-04</x:v>
      </x:c>
      <x:c r="O1709" s="3" t="str">
        <x:f>IF(J1709=0,"No discount",IF(J1709&lt;=0.1,"1-10%",IF(J1709&lt;=0.15,"11-15%",IF(J1709&lt;=0.2,"16-20%","21%+"))))</x:f>
        <x:v>No discount</x:v>
      </x:c>
      <x:c r="P1709" s="9" t="n">
        <x:f>IF(K1709=0,0,L1709/K1709)</x:f>
        <x:v>0.3545363875278866</x:v>
      </x:c>
      <x:c r="Q1709" s="3" t="str">
        <x:f>IF(L1709&lt;0,"Yes","No")</x:f>
        <x:v>No</x:v>
      </x:c>
    </x:row>
    <x:row r="1710" ht="21" customHeight="1">
      <x:c r="A1710" s="3" t="str">
        <x:v>ORD-100455</x:v>
      </x:c>
      <x:c r="B1710" s="5" t="n">
        <x:v>45759</x:v>
      </x:c>
      <x:c r="C1710" s="3" t="str">
        <x:v>CUST-00066</x:v>
      </x:c>
      <x:c r="D1710" s="3" t="str">
        <x:v>South</x:v>
      </x:c>
      <x:c r="E1710" s="3" t="str">
        <x:v>Beauty</x:v>
      </x:c>
      <x:c r="F1710" s="3" t="str">
        <x:v>Skincare</x:v>
      </x:c>
      <x:c r="G1710" s="3" t="str">
        <x:v>Vitamin C Serum</x:v>
      </x:c>
      <x:c r="H1710" s="3" t="n">
        <x:v>2</x:v>
      </x:c>
      <x:c r="I1710" s="7" t="n">
        <x:v>869.54</x:v>
      </x:c>
      <x:c r="J1710" s="9" t="n">
        <x:v>0</x:v>
      </x:c>
      <x:c r="K1710" s="7" t="n">
        <x:v>1739.08</x:v>
      </x:c>
      <x:c r="L1710" s="7" t="n">
        <x:v>893.88</x:v>
      </x:c>
      <x:c r="M1710" s="3" t="str">
        <x:v>Debit Card</x:v>
      </x:c>
      <x:c r="N1710" s="3" t="str">
        <x:f>TEXT(B1710,"yyyy-mm")</x:f>
        <x:v>2025-04</x:v>
      </x:c>
      <x:c r="O1710" s="3" t="str">
        <x:f>IF(J1710=0,"No discount",IF(J1710&lt;=0.1,"1-10%",IF(J1710&lt;=0.15,"11-15%",IF(J1710&lt;=0.2,"16-20%","21%+"))))</x:f>
        <x:v>No discount</x:v>
      </x:c>
      <x:c r="P1710" s="9" t="n">
        <x:f>IF(K1710=0,0,L1710/K1710)</x:f>
        <x:v>0.5139959058812705</x:v>
      </x:c>
      <x:c r="Q1710" s="3" t="str">
        <x:f>IF(L1710&lt;0,"Yes","No")</x:f>
        <x:v>No</x:v>
      </x:c>
    </x:row>
    <x:row r="1711" ht="21" customHeight="1">
      <x:c r="A1711" s="3" t="str">
        <x:v>ORD-100892</x:v>
      </x:c>
      <x:c r="B1711" s="5" t="n">
        <x:v>45759</x:v>
      </x:c>
      <x:c r="C1711" s="3" t="str">
        <x:v>CUST-00446</x:v>
      </x:c>
      <x:c r="D1711" s="3" t="str">
        <x:v>East</x:v>
      </x:c>
      <x:c r="E1711" s="3" t="str">
        <x:v>Home &amp; Kitchen</x:v>
      </x:c>
      <x:c r="F1711" s="3" t="str">
        <x:v>Decor</x:v>
      </x:c>
      <x:c r="G1711" s="3" t="str">
        <x:v>Ceramic Vase Set</x:v>
      </x:c>
      <x:c r="H1711" s="3" t="n">
        <x:v>1</x:v>
      </x:c>
      <x:c r="I1711" s="7" t="n">
        <x:v>1448.45</x:v>
      </x:c>
      <x:c r="J1711" s="9" t="n">
        <x:v>0.05</x:v>
      </x:c>
      <x:c r="K1711" s="7" t="n">
        <x:v>1376.03</x:v>
      </x:c>
      <x:c r="L1711" s="7" t="n">
        <x:v>380.12</x:v>
      </x:c>
      <x:c r="M1711" s="3" t="str">
        <x:v>Credit Card</x:v>
      </x:c>
      <x:c r="N1711" s="3" t="str">
        <x:f>TEXT(B1711,"yyyy-mm")</x:f>
        <x:v>2025-04</x:v>
      </x:c>
      <x:c r="O1711" s="3" t="str">
        <x:f>IF(J1711=0,"No discount",IF(J1711&lt;=0.1,"1-10%",IF(J1711&lt;=0.15,"11-15%",IF(J1711&lt;=0.2,"16-20%","21%+"))))</x:f>
        <x:v>1-10%</x:v>
      </x:c>
      <x:c r="P1711" s="9" t="n">
        <x:f>IF(K1711=0,0,L1711/K1711)</x:f>
        <x:v>0.27624397723886834</x:v>
      </x:c>
      <x:c r="Q1711" s="3" t="str">
        <x:f>IF(L1711&lt;0,"Yes","No")</x:f>
        <x:v>No</x:v>
      </x:c>
    </x:row>
    <x:row r="1712" ht="21" customHeight="1">
      <x:c r="A1712" s="3" t="str">
        <x:v>ORD-101149</x:v>
      </x:c>
      <x:c r="B1712" s="5" t="n">
        <x:v>45759</x:v>
      </x:c>
      <x:c r="C1712" s="3" t="str">
        <x:v>CUST-00341</x:v>
      </x:c>
      <x:c r="D1712" s="3" t="str">
        <x:v>East</x:v>
      </x:c>
      <x:c r="E1712" s="3" t="str">
        <x:v>Beauty</x:v>
      </x:c>
      <x:c r="F1712" s="3" t="str">
        <x:v>Skincare</x:v>
      </x:c>
      <x:c r="G1712" s="3" t="str">
        <x:v>HydraBoost Moisturizer</x:v>
      </x:c>
      <x:c r="H1712" s="3" t="n">
        <x:v>2</x:v>
      </x:c>
      <x:c r="I1712" s="7" t="n">
        <x:v>1143.78</x:v>
      </x:c>
      <x:c r="J1712" s="9" t="n">
        <x:v>0.15</x:v>
      </x:c>
      <x:c r="K1712" s="7" t="n">
        <x:v>1944.43</x:v>
      </x:c>
      <x:c r="L1712" s="7" t="n">
        <x:v>806.22</x:v>
      </x:c>
      <x:c r="M1712" s="3" t="str">
        <x:v>UPI</x:v>
      </x:c>
      <x:c r="N1712" s="3" t="str">
        <x:f>TEXT(B1712,"yyyy-mm")</x:f>
        <x:v>2025-04</x:v>
      </x:c>
      <x:c r="O1712" s="3" t="str">
        <x:f>IF(J1712=0,"No discount",IF(J1712&lt;=0.1,"1-10%",IF(J1712&lt;=0.15,"11-15%",IF(J1712&lt;=0.2,"16-20%","21%+"))))</x:f>
        <x:v>11-15%</x:v>
      </x:c>
      <x:c r="P1712" s="9" t="n">
        <x:f>IF(K1712=0,0,L1712/K1712)</x:f>
        <x:v>0.4146305086837788</x:v>
      </x:c>
      <x:c r="Q1712" s="3" t="str">
        <x:f>IF(L1712&lt;0,"Yes","No")</x:f>
        <x:v>No</x:v>
      </x:c>
    </x:row>
    <x:row r="1713" ht="21" customHeight="1">
      <x:c r="A1713" s="3" t="str">
        <x:v>ORD-101223</x:v>
      </x:c>
      <x:c r="B1713" s="5" t="n">
        <x:v>45759</x:v>
      </x:c>
      <x:c r="C1713" s="3" t="str">
        <x:v>CUST-00535</x:v>
      </x:c>
      <x:c r="D1713" s="3" t="str">
        <x:v>East</x:v>
      </x:c>
      <x:c r="E1713" s="3" t="str">
        <x:v>Beauty</x:v>
      </x:c>
      <x:c r="F1713" s="3" t="str">
        <x:v>Makeup</x:v>
      </x:c>
      <x:c r="G1713" s="3" t="str">
        <x:v>HD Foundation Kit</x:v>
      </x:c>
      <x:c r="H1713" s="3" t="n">
        <x:v>3</x:v>
      </x:c>
      <x:c r="I1713" s="7" t="n">
        <x:v>1548.51</x:v>
      </x:c>
      <x:c r="J1713" s="9" t="n">
        <x:v>0.1</x:v>
      </x:c>
      <x:c r="K1713" s="7" t="n">
        <x:v>4180.98</x:v>
      </x:c>
      <x:c r="L1713" s="7" t="n">
        <x:v>1866.14</x:v>
      </x:c>
      <x:c r="M1713" s="3" t="str">
        <x:v>Debit Card</x:v>
      </x:c>
      <x:c r="N1713" s="3" t="str">
        <x:f>TEXT(B1713,"yyyy-mm")</x:f>
        <x:v>2025-04</x:v>
      </x:c>
      <x:c r="O1713" s="3" t="str">
        <x:f>IF(J1713=0,"No discount",IF(J1713&lt;=0.1,"1-10%",IF(J1713&lt;=0.15,"11-15%",IF(J1713&lt;=0.2,"16-20%","21%+"))))</x:f>
        <x:v>1-10%</x:v>
      </x:c>
      <x:c r="P1713" s="9" t="n">
        <x:f>IF(K1713=0,0,L1713/K1713)</x:f>
        <x:v>0.44634033169256976</x:v>
      </x:c>
      <x:c r="Q1713" s="3" t="str">
        <x:f>IF(L1713&lt;0,"Yes","No")</x:f>
        <x:v>No</x:v>
      </x:c>
    </x:row>
    <x:row r="1714" ht="21" customHeight="1">
      <x:c r="A1714" s="3" t="str">
        <x:v>ORD-100270</x:v>
      </x:c>
      <x:c r="B1714" s="5" t="n">
        <x:v>45760</x:v>
      </x:c>
      <x:c r="C1714" s="3" t="str">
        <x:v>CUST-00185</x:v>
      </x:c>
      <x:c r="D1714" s="3" t="str">
        <x:v>West</x:v>
      </x:c>
      <x:c r="E1714" s="3" t="str">
        <x:v>Beauty</x:v>
      </x:c>
      <x:c r="F1714" s="3" t="str">
        <x:v>Skincare</x:v>
      </x:c>
      <x:c r="G1714" s="3" t="str">
        <x:v>HydraBoost Moisturizer</x:v>
      </x:c>
      <x:c r="H1714" s="3" t="n">
        <x:v>1</x:v>
      </x:c>
      <x:c r="I1714" s="7" t="n">
        <x:v>1243.46</x:v>
      </x:c>
      <x:c r="J1714" s="9" t="n">
        <x:v>0.05</x:v>
      </x:c>
      <x:c r="K1714" s="7" t="n">
        <x:v>1181.29</x:v>
      </x:c>
      <x:c r="L1714" s="7" t="n">
        <x:v>548.78</x:v>
      </x:c>
      <x:c r="M1714" s="3" t="str">
        <x:v>UPI</x:v>
      </x:c>
      <x:c r="N1714" s="3" t="str">
        <x:f>TEXT(B1714,"yyyy-mm")</x:f>
        <x:v>2025-04</x:v>
      </x:c>
      <x:c r="O1714" s="3" t="str">
        <x:f>IF(J1714=0,"No discount",IF(J1714&lt;=0.1,"1-10%",IF(J1714&lt;=0.15,"11-15%",IF(J1714&lt;=0.2,"16-20%","21%+"))))</x:f>
        <x:v>1-10%</x:v>
      </x:c>
      <x:c r="P1714" s="9" t="n">
        <x:f>IF(K1714=0,0,L1714/K1714)</x:f>
        <x:v>0.46455993024574826</x:v>
      </x:c>
      <x:c r="Q1714" s="3" t="str">
        <x:f>IF(L1714&lt;0,"Yes","No")</x:f>
        <x:v>No</x:v>
      </x:c>
    </x:row>
    <x:row r="1715" ht="21" customHeight="1">
      <x:c r="A1715" s="3" t="str">
        <x:v>ORD-100475</x:v>
      </x:c>
      <x:c r="B1715" s="5" t="n">
        <x:v>45760</x:v>
      </x:c>
      <x:c r="C1715" s="3" t="str">
        <x:v>CUST-00401</x:v>
      </x:c>
      <x:c r="D1715" s="3" t="str">
        <x:v>North</x:v>
      </x:c>
      <x:c r="E1715" s="3" t="str">
        <x:v>Home &amp; Kitchen</x:v>
      </x:c>
      <x:c r="F1715" s="3" t="str">
        <x:v>Decor</x:v>
      </x:c>
      <x:c r="G1715" s="3" t="str">
        <x:v>LED Wall Lamp</x:v>
      </x:c>
      <x:c r="H1715" s="3" t="n">
        <x:v>3</x:v>
      </x:c>
      <x:c r="I1715" s="7" t="n">
        <x:v>1029.85</x:v>
      </x:c>
      <x:c r="J1715" s="9" t="n">
        <x:v>0.25</x:v>
      </x:c>
      <x:c r="K1715" s="7" t="n">
        <x:v>2317.16</x:v>
      </x:c>
      <x:c r="L1715" s="7" t="n">
        <x:v>180.21</x:v>
      </x:c>
      <x:c r="M1715" s="3" t="str">
        <x:v>Net Banking</x:v>
      </x:c>
      <x:c r="N1715" s="3" t="str">
        <x:f>TEXT(B1715,"yyyy-mm")</x:f>
        <x:v>2025-04</x:v>
      </x:c>
      <x:c r="O1715" s="3" t="str">
        <x:f>IF(J1715=0,"No discount",IF(J1715&lt;=0.1,"1-10%",IF(J1715&lt;=0.15,"11-15%",IF(J1715&lt;=0.2,"16-20%","21%+"))))</x:f>
        <x:v>21%+</x:v>
      </x:c>
      <x:c r="P1715" s="9" t="n">
        <x:f>IF(K1715=0,0,L1715/K1715)</x:f>
        <x:v>0.07777192770460392</x:v>
      </x:c>
      <x:c r="Q1715" s="3" t="str">
        <x:f>IF(L1715&lt;0,"Yes","No")</x:f>
        <x:v>No</x:v>
      </x:c>
    </x:row>
    <x:row r="1716" ht="21" customHeight="1">
      <x:c r="A1716" s="3" t="str">
        <x:v>ORD-100669</x:v>
      </x:c>
      <x:c r="B1716" s="5" t="n">
        <x:v>45760</x:v>
      </x:c>
      <x:c r="C1716" s="3" t="str">
        <x:v>CUST-00592</x:v>
      </x:c>
      <x:c r="D1716" s="3" t="str">
        <x:v>West</x:v>
      </x:c>
      <x:c r="E1716" s="3" t="str">
        <x:v>Beauty</x:v>
      </x:c>
      <x:c r="F1716" s="3" t="str">
        <x:v>Makeup</x:v>
      </x:c>
      <x:c r="G1716" s="3" t="str">
        <x:v>Matte Lipstick Set</x:v>
      </x:c>
      <x:c r="H1716" s="3" t="n">
        <x:v>1</x:v>
      </x:c>
      <x:c r="I1716" s="7" t="n">
        <x:v>1007.03</x:v>
      </x:c>
      <x:c r="J1716" s="9" t="n">
        <x:v>0.15</x:v>
      </x:c>
      <x:c r="K1716" s="7" t="n">
        <x:v>855.98</x:v>
      </x:c>
      <x:c r="L1716" s="7" t="n">
        <x:v>344.02</x:v>
      </x:c>
      <x:c r="M1716" s="3" t="str">
        <x:v>Debit Card</x:v>
      </x:c>
      <x:c r="N1716" s="3" t="str">
        <x:f>TEXT(B1716,"yyyy-mm")</x:f>
        <x:v>2025-04</x:v>
      </x:c>
      <x:c r="O1716" s="3" t="str">
        <x:f>IF(J1716=0,"No discount",IF(J1716&lt;=0.1,"1-10%",IF(J1716&lt;=0.15,"11-15%",IF(J1716&lt;=0.2,"16-20%","21%+"))))</x:f>
        <x:v>11-15%</x:v>
      </x:c>
      <x:c r="P1716" s="9" t="n">
        <x:f>IF(K1716=0,0,L1716/K1716)</x:f>
        <x:v>0.40190191359611205</x:v>
      </x:c>
      <x:c r="Q1716" s="3" t="str">
        <x:f>IF(L1716&lt;0,"Yes","No")</x:f>
        <x:v>No</x:v>
      </x:c>
    </x:row>
    <x:row r="1717" ht="21" customHeight="1">
      <x:c r="A1717" s="3" t="str">
        <x:v>ORD-101927</x:v>
      </x:c>
      <x:c r="B1717" s="5" t="n">
        <x:v>45761</x:v>
      </x:c>
      <x:c r="C1717" s="3" t="str">
        <x:v>CUST-00292</x:v>
      </x:c>
      <x:c r="D1717" s="3" t="str">
        <x:v>West</x:v>
      </x:c>
      <x:c r="E1717" s="3" t="str">
        <x:v>Beauty</x:v>
      </x:c>
      <x:c r="F1717" s="3" t="str">
        <x:v>Skincare</x:v>
      </x:c>
      <x:c r="G1717" s="3" t="str">
        <x:v>Vitamin C Serum</x:v>
      </x:c>
      <x:c r="H1717" s="3" t="n">
        <x:v>1</x:v>
      </x:c>
      <x:c r="I1717" s="7" t="n">
        <x:v>860.88</x:v>
      </x:c>
      <x:c r="J1717" s="9" t="n">
        <x:v>0</x:v>
      </x:c>
      <x:c r="K1717" s="7" t="n">
        <x:v>860.88</x:v>
      </x:c>
      <x:c r="L1717" s="7" t="n">
        <x:v>456.84</x:v>
      </x:c>
      <x:c r="M1717" s="3" t="str">
        <x:v>Debit Card</x:v>
      </x:c>
      <x:c r="N1717" s="3" t="str">
        <x:f>TEXT(B1717,"yyyy-mm")</x:f>
        <x:v>2025-04</x:v>
      </x:c>
      <x:c r="O1717" s="3" t="str">
        <x:f>IF(J1717=0,"No discount",IF(J1717&lt;=0.1,"1-10%",IF(J1717&lt;=0.15,"11-15%",IF(J1717&lt;=0.2,"16-20%","21%+"))))</x:f>
        <x:v>No discount</x:v>
      </x:c>
      <x:c r="P1717" s="9" t="n">
        <x:f>IF(K1717=0,0,L1717/K1717)</x:f>
        <x:v>0.5306662949540005</x:v>
      </x:c>
      <x:c r="Q1717" s="3" t="str">
        <x:f>IF(L1717&lt;0,"Yes","No")</x:f>
        <x:v>No</x:v>
      </x:c>
    </x:row>
    <x:row r="1718" ht="21" customHeight="1">
      <x:c r="A1718" s="3" t="str">
        <x:v>ORD-100263</x:v>
      </x:c>
      <x:c r="B1718" s="5" t="n">
        <x:v>45762</x:v>
      </x:c>
      <x:c r="C1718" s="3" t="str">
        <x:v>CUST-00478</x:v>
      </x:c>
      <x:c r="D1718" s="3" t="str">
        <x:v>East</x:v>
      </x:c>
      <x:c r="E1718" s="3" t="str">
        <x:v>Fashion</x:v>
      </x:c>
      <x:c r="F1718" s="3" t="str">
        <x:v>Footwear</x:v>
      </x:c>
      <x:c r="G1718" s="3" t="str">
        <x:v>RunFlex Sneakers</x:v>
      </x:c>
      <x:c r="H1718" s="3" t="n">
        <x:v>1</x:v>
      </x:c>
      <x:c r="I1718" s="7" t="n">
        <x:v>3131.86</x:v>
      </x:c>
      <x:c r="J1718" s="9" t="n">
        <x:v>0.1</x:v>
      </x:c>
      <x:c r="K1718" s="7" t="n">
        <x:v>2818.67</x:v>
      </x:c>
      <x:c r="L1718" s="7" t="n">
        <x:v>907.67</x:v>
      </x:c>
      <x:c r="M1718" s="3" t="str">
        <x:v>UPI</x:v>
      </x:c>
      <x:c r="N1718" s="3" t="str">
        <x:f>TEXT(B1718,"yyyy-mm")</x:f>
        <x:v>2025-04</x:v>
      </x:c>
      <x:c r="O1718" s="3" t="str">
        <x:f>IF(J1718=0,"No discount",IF(J1718&lt;=0.1,"1-10%",IF(J1718&lt;=0.15,"11-15%",IF(J1718&lt;=0.2,"16-20%","21%+"))))</x:f>
        <x:v>1-10%</x:v>
      </x:c>
      <x:c r="P1718" s="9" t="n">
        <x:f>IF(K1718=0,0,L1718/K1718)</x:f>
        <x:v>0.3220206693227657</x:v>
      </x:c>
      <x:c r="Q1718" s="3" t="str">
        <x:f>IF(L1718&lt;0,"Yes","No")</x:f>
        <x:v>No</x:v>
      </x:c>
    </x:row>
    <x:row r="1719" ht="21" customHeight="1">
      <x:c r="A1719" s="3" t="str">
        <x:v>ORD-100712</x:v>
      </x:c>
      <x:c r="B1719" s="5" t="n">
        <x:v>45762</x:v>
      </x:c>
      <x:c r="C1719" s="3" t="str">
        <x:v>CUST-00181</x:v>
      </x:c>
      <x:c r="D1719" s="3" t="str">
        <x:v>South</x:v>
      </x:c>
      <x:c r="E1719" s="3" t="str">
        <x:v>Beauty</x:v>
      </x:c>
      <x:c r="F1719" s="3" t="str">
        <x:v>Makeup</x:v>
      </x:c>
      <x:c r="G1719" s="3" t="str">
        <x:v>Matte Lipstick Set</x:v>
      </x:c>
      <x:c r="H1719" s="3" t="n">
        <x:v>1</x:v>
      </x:c>
      <x:c r="I1719" s="7" t="n">
        <x:v>992.4</x:v>
      </x:c>
      <x:c r="J1719" s="9" t="n">
        <x:v>0.15</x:v>
      </x:c>
      <x:c r="K1719" s="7" t="n">
        <x:v>843.54</x:v>
      </x:c>
      <x:c r="L1719" s="7" t="n">
        <x:v>294.7</x:v>
      </x:c>
      <x:c r="M1719" s="3" t="str">
        <x:v>Credit Card</x:v>
      </x:c>
      <x:c r="N1719" s="3" t="str">
        <x:f>TEXT(B1719,"yyyy-mm")</x:f>
        <x:v>2025-04</x:v>
      </x:c>
      <x:c r="O1719" s="3" t="str">
        <x:f>IF(J1719=0,"No discount",IF(J1719&lt;=0.1,"1-10%",IF(J1719&lt;=0.15,"11-15%",IF(J1719&lt;=0.2,"16-20%","21%+"))))</x:f>
        <x:v>11-15%</x:v>
      </x:c>
      <x:c r="P1719" s="9" t="n">
        <x:f>IF(K1719=0,0,L1719/K1719)</x:f>
        <x:v>0.34936102615169407</x:v>
      </x:c>
      <x:c r="Q1719" s="3" t="str">
        <x:f>IF(L1719&lt;0,"Yes","No")</x:f>
        <x:v>No</x:v>
      </x:c>
    </x:row>
    <x:row r="1720" ht="21" customHeight="1">
      <x:c r="A1720" s="3" t="str">
        <x:v>ORD-100026</x:v>
      </x:c>
      <x:c r="B1720" s="5" t="n">
        <x:v>45763</x:v>
      </x:c>
      <x:c r="C1720" s="3" t="str">
        <x:v>CUST-00234</x:v>
      </x:c>
      <x:c r="D1720" s="3" t="str">
        <x:v>South</x:v>
      </x:c>
      <x:c r="E1720" s="3" t="str">
        <x:v>Sports</x:v>
      </x:c>
      <x:c r="F1720" s="3" t="str">
        <x:v>Fitness</x:v>
      </x:c>
      <x:c r="G1720" s="3" t="str">
        <x:v>Adjustable Dumbbell 24kg</x:v>
      </x:c>
      <x:c r="H1720" s="3" t="n">
        <x:v>1</x:v>
      </x:c>
      <x:c r="I1720" s="7" t="n">
        <x:v>9881.55</x:v>
      </x:c>
      <x:c r="J1720" s="9" t="n">
        <x:v>0.15</x:v>
      </x:c>
      <x:c r="K1720" s="7" t="n">
        <x:v>8399.32</x:v>
      </x:c>
      <x:c r="L1720" s="7" t="n">
        <x:v>1432.91</x:v>
      </x:c>
      <x:c r="M1720" s="3" t="str">
        <x:v>UPI</x:v>
      </x:c>
      <x:c r="N1720" s="3" t="str">
        <x:f>TEXT(B1720,"yyyy-mm")</x:f>
        <x:v>2025-04</x:v>
      </x:c>
      <x:c r="O1720" s="3" t="str">
        <x:f>IF(J1720=0,"No discount",IF(J1720&lt;=0.1,"1-10%",IF(J1720&lt;=0.15,"11-15%",IF(J1720&lt;=0.2,"16-20%","21%+"))))</x:f>
        <x:v>11-15%</x:v>
      </x:c>
      <x:c r="P1720" s="9" t="n">
        <x:f>IF(K1720=0,0,L1720/K1720)</x:f>
        <x:v>0.17059833415085984</x:v>
      </x:c>
      <x:c r="Q1720" s="3" t="str">
        <x:f>IF(L1720&lt;0,"Yes","No")</x:f>
        <x:v>No</x:v>
      </x:c>
    </x:row>
    <x:row r="1721" ht="21" customHeight="1">
      <x:c r="A1721" s="3" t="str">
        <x:v>ORD-101128</x:v>
      </x:c>
      <x:c r="B1721" s="5" t="n">
        <x:v>45763</x:v>
      </x:c>
      <x:c r="C1721" s="3" t="str">
        <x:v>CUST-00335</x:v>
      </x:c>
      <x:c r="D1721" s="3" t="str">
        <x:v>South</x:v>
      </x:c>
      <x:c r="E1721" s="3" t="str">
        <x:v>Fashion</x:v>
      </x:c>
      <x:c r="F1721" s="3" t="str">
        <x:v>Footwear</x:v>
      </x:c>
      <x:c r="G1721" s="3" t="str">
        <x:v>UrbanLoafers</x:v>
      </x:c>
      <x:c r="H1721" s="3" t="n">
        <x:v>1</x:v>
      </x:c>
      <x:c r="I1721" s="7" t="n">
        <x:v>3544.72</x:v>
      </x:c>
      <x:c r="J1721" s="9" t="n">
        <x:v>0.05</x:v>
      </x:c>
      <x:c r="K1721" s="7" t="n">
        <x:v>3367.48</x:v>
      </x:c>
      <x:c r="L1721" s="7" t="n">
        <x:v>1186.03</x:v>
      </x:c>
      <x:c r="M1721" s="3" t="str">
        <x:v>UPI</x:v>
      </x:c>
      <x:c r="N1721" s="3" t="str">
        <x:f>TEXT(B1721,"yyyy-mm")</x:f>
        <x:v>2025-04</x:v>
      </x:c>
      <x:c r="O1721" s="3" t="str">
        <x:f>IF(J1721=0,"No discount",IF(J1721&lt;=0.1,"1-10%",IF(J1721&lt;=0.15,"11-15%",IF(J1721&lt;=0.2,"16-20%","21%+"))))</x:f>
        <x:v>1-10%</x:v>
      </x:c>
      <x:c r="P1721" s="9" t="n">
        <x:f>IF(K1721=0,0,L1721/K1721)</x:f>
        <x:v>0.35220105241901956</x:v>
      </x:c>
      <x:c r="Q1721" s="3" t="str">
        <x:f>IF(L1721&lt;0,"Yes","No")</x:f>
        <x:v>No</x:v>
      </x:c>
    </x:row>
    <x:row r="1722" ht="21" customHeight="1">
      <x:c r="A1722" s="3" t="str">
        <x:v>ORD-101199</x:v>
      </x:c>
      <x:c r="B1722" s="5" t="n">
        <x:v>45763</x:v>
      </x:c>
      <x:c r="C1722" s="3" t="str">
        <x:v>CUST-00018</x:v>
      </x:c>
      <x:c r="D1722" s="3" t="str">
        <x:v>North</x:v>
      </x:c>
      <x:c r="E1722" s="3" t="str">
        <x:v>Beauty</x:v>
      </x:c>
      <x:c r="F1722" s="3" t="str">
        <x:v>Makeup</x:v>
      </x:c>
      <x:c r="G1722" s="3" t="str">
        <x:v>Matte Lipstick Set</x:v>
      </x:c>
      <x:c r="H1722" s="3" t="n">
        <x:v>2</x:v>
      </x:c>
      <x:c r="I1722" s="7" t="n">
        <x:v>995.98</x:v>
      </x:c>
      <x:c r="J1722" s="9" t="n">
        <x:v>0</x:v>
      </x:c>
      <x:c r="K1722" s="7" t="n">
        <x:v>1991.96</x:v>
      </x:c>
      <x:c r="L1722" s="7" t="n">
        <x:v>1080.72</x:v>
      </x:c>
      <x:c r="M1722" s="3" t="str">
        <x:v>Credit Card</x:v>
      </x:c>
      <x:c r="N1722" s="3" t="str">
        <x:f>TEXT(B1722,"yyyy-mm")</x:f>
        <x:v>2025-04</x:v>
      </x:c>
      <x:c r="O1722" s="3" t="str">
        <x:f>IF(J1722=0,"No discount",IF(J1722&lt;=0.1,"1-10%",IF(J1722&lt;=0.15,"11-15%",IF(J1722&lt;=0.2,"16-20%","21%+"))))</x:f>
        <x:v>No discount</x:v>
      </x:c>
      <x:c r="P1722" s="9" t="n">
        <x:f>IF(K1722=0,0,L1722/K1722)</x:f>
        <x:v>0.5425410148798169</x:v>
      </x:c>
      <x:c r="Q1722" s="3" t="str">
        <x:f>IF(L1722&lt;0,"Yes","No")</x:f>
        <x:v>No</x:v>
      </x:c>
    </x:row>
    <x:row r="1723" ht="21" customHeight="1">
      <x:c r="A1723" s="3" t="str">
        <x:v>ORD-101286</x:v>
      </x:c>
      <x:c r="B1723" s="5" t="n">
        <x:v>45763</x:v>
      </x:c>
      <x:c r="C1723" s="3" t="str">
        <x:v>CUST-00143</x:v>
      </x:c>
      <x:c r="D1723" s="3" t="str">
        <x:v>North</x:v>
      </x:c>
      <x:c r="E1723" s="3" t="str">
        <x:v>Electronics</x:v>
      </x:c>
      <x:c r="F1723" s="3" t="str">
        <x:v>Audio</x:v>
      </x:c>
      <x:c r="G1723" s="3" t="str">
        <x:v>SoundPods Pro</x:v>
      </x:c>
      <x:c r="H1723" s="3" t="n">
        <x:v>1</x:v>
      </x:c>
      <x:c r="I1723" s="7" t="n">
        <x:v>4824.5</x:v>
      </x:c>
      <x:c r="J1723" s="9" t="n">
        <x:v>0</x:v>
      </x:c>
      <x:c r="K1723" s="7" t="n">
        <x:v>4824.5</x:v>
      </x:c>
      <x:c r="L1723" s="7" t="n">
        <x:v>734.01</x:v>
      </x:c>
      <x:c r="M1723" s="3" t="str">
        <x:v>UPI</x:v>
      </x:c>
      <x:c r="N1723" s="3" t="str">
        <x:f>TEXT(B1723,"yyyy-mm")</x:f>
        <x:v>2025-04</x:v>
      </x:c>
      <x:c r="O1723" s="3" t="str">
        <x:f>IF(J1723=0,"No discount",IF(J1723&lt;=0.1,"1-10%",IF(J1723&lt;=0.15,"11-15%",IF(J1723&lt;=0.2,"16-20%","21%+"))))</x:f>
        <x:v>No discount</x:v>
      </x:c>
      <x:c r="P1723" s="9" t="n">
        <x:f>IF(K1723=0,0,L1723/K1723)</x:f>
        <x:v>0.15214219090061146</x:v>
      </x:c>
      <x:c r="Q1723" s="3" t="str">
        <x:f>IF(L1723&lt;0,"Yes","No")</x:f>
        <x:v>No</x:v>
      </x:c>
    </x:row>
    <x:row r="1724" ht="21" customHeight="1">
      <x:c r="A1724" s="3" t="str">
        <x:v>ORD-101752</x:v>
      </x:c>
      <x:c r="B1724" s="5" t="n">
        <x:v>45763</x:v>
      </x:c>
      <x:c r="C1724" s="3" t="str">
        <x:v>CUST-00192</x:v>
      </x:c>
      <x:c r="D1724" s="3" t="str">
        <x:v>South</x:v>
      </x:c>
      <x:c r="E1724" s="3" t="str">
        <x:v>Fashion</x:v>
      </x:c>
      <x:c r="F1724" s="3" t="str">
        <x:v>Footwear</x:v>
      </x:c>
      <x:c r="G1724" s="3" t="str">
        <x:v>UrbanLoafers</x:v>
      </x:c>
      <x:c r="H1724" s="3" t="n">
        <x:v>1</x:v>
      </x:c>
      <x:c r="I1724" s="7" t="n">
        <x:v>3627.97</x:v>
      </x:c>
      <x:c r="J1724" s="9" t="n">
        <x:v>0</x:v>
      </x:c>
      <x:c r="K1724" s="7" t="n">
        <x:v>3627.97</x:v>
      </x:c>
      <x:c r="L1724" s="7" t="n">
        <x:v>1646.1</x:v>
      </x:c>
      <x:c r="M1724" s="3" t="str">
        <x:v>Debit Card</x:v>
      </x:c>
      <x:c r="N1724" s="3" t="str">
        <x:f>TEXT(B1724,"yyyy-mm")</x:f>
        <x:v>2025-04</x:v>
      </x:c>
      <x:c r="O1724" s="3" t="str">
        <x:f>IF(J1724=0,"No discount",IF(J1724&lt;=0.1,"1-10%",IF(J1724&lt;=0.15,"11-15%",IF(J1724&lt;=0.2,"16-20%","21%+"))))</x:f>
        <x:v>No discount</x:v>
      </x:c>
      <x:c r="P1724" s="9" t="n">
        <x:f>IF(K1724=0,0,L1724/K1724)</x:f>
        <x:v>0.45372481029335965</x:v>
      </x:c>
      <x:c r="Q1724" s="3" t="str">
        <x:f>IF(L1724&lt;0,"Yes","No")</x:f>
        <x:v>No</x:v>
      </x:c>
    </x:row>
    <x:row r="1725" ht="21" customHeight="1">
      <x:c r="A1725" s="3" t="str">
        <x:v>ORD-101844</x:v>
      </x:c>
      <x:c r="B1725" s="5" t="n">
        <x:v>45763</x:v>
      </x:c>
      <x:c r="C1725" s="3" t="str">
        <x:v>CUST-00420</x:v>
      </x:c>
      <x:c r="D1725" s="3" t="str">
        <x:v>South</x:v>
      </x:c>
      <x:c r="E1725" s="3" t="str">
        <x:v>Home &amp; Kitchen</x:v>
      </x:c>
      <x:c r="F1725" s="3" t="str">
        <x:v>Appliances</x:v>
      </x:c>
      <x:c r="G1725" s="3" t="str">
        <x:v>AirFryer Deluxe</x:v>
      </x:c>
      <x:c r="H1725" s="3" t="n">
        <x:v>5</x:v>
      </x:c>
      <x:c r="I1725" s="7" t="n">
        <x:v>8112.61</x:v>
      </x:c>
      <x:c r="J1725" s="9" t="n">
        <x:v>0</x:v>
      </x:c>
      <x:c r="K1725" s="7" t="n">
        <x:v>40563.05</x:v>
      </x:c>
      <x:c r="L1725" s="7" t="n">
        <x:v>14042.98</x:v>
      </x:c>
      <x:c r="M1725" s="3" t="str">
        <x:v>UPI</x:v>
      </x:c>
      <x:c r="N1725" s="3" t="str">
        <x:f>TEXT(B1725,"yyyy-mm")</x:f>
        <x:v>2025-04</x:v>
      </x:c>
      <x:c r="O1725" s="3" t="str">
        <x:f>IF(J1725=0,"No discount",IF(J1725&lt;=0.1,"1-10%",IF(J1725&lt;=0.15,"11-15%",IF(J1725&lt;=0.2,"16-20%","21%+"))))</x:f>
        <x:v>No discount</x:v>
      </x:c>
      <x:c r="P1725" s="9" t="n">
        <x:f>IF(K1725=0,0,L1725/K1725)</x:f>
        <x:v>0.3462012841736506</x:v>
      </x:c>
      <x:c r="Q1725" s="3" t="str">
        <x:f>IF(L1725&lt;0,"Yes","No")</x:f>
        <x:v>No</x:v>
      </x:c>
    </x:row>
    <x:row r="1726" ht="21" customHeight="1">
      <x:c r="A1726" s="3" t="str">
        <x:v>ORD-100310</x:v>
      </x:c>
      <x:c r="B1726" s="5" t="n">
        <x:v>45764</x:v>
      </x:c>
      <x:c r="C1726" s="3" t="str">
        <x:v>CUST-00075</x:v>
      </x:c>
      <x:c r="D1726" s="3" t="str">
        <x:v>East</x:v>
      </x:c>
      <x:c r="E1726" s="3" t="str">
        <x:v>Fashion</x:v>
      </x:c>
      <x:c r="F1726" s="3" t="str">
        <x:v>Men</x:v>
      </x:c>
      <x:c r="G1726" s="3" t="str">
        <x:v>SlimFit Denim Jeans</x:v>
      </x:c>
      <x:c r="H1726" s="3" t="n">
        <x:v>1</x:v>
      </x:c>
      <x:c r="I1726" s="7" t="n">
        <x:v>1937.9</x:v>
      </x:c>
      <x:c r="J1726" s="9" t="n">
        <x:v>0.2</x:v>
      </x:c>
      <x:c r="K1726" s="7" t="n">
        <x:v>1550.32</x:v>
      </x:c>
      <x:c r="L1726" s="7" t="n">
        <x:v>255.04</x:v>
      </x:c>
      <x:c r="M1726" s="3" t="str">
        <x:v>Net Banking</x:v>
      </x:c>
      <x:c r="N1726" s="3" t="str">
        <x:f>TEXT(B1726,"yyyy-mm")</x:f>
        <x:v>2025-04</x:v>
      </x:c>
      <x:c r="O1726" s="3" t="str">
        <x:f>IF(J1726=0,"No discount",IF(J1726&lt;=0.1,"1-10%",IF(J1726&lt;=0.15,"11-15%",IF(J1726&lt;=0.2,"16-20%","21%+"))))</x:f>
        <x:v>16-20%</x:v>
      </x:c>
      <x:c r="P1726" s="9" t="n">
        <x:f>IF(K1726=0,0,L1726/K1726)</x:f>
        <x:v>0.16450797254760308</x:v>
      </x:c>
      <x:c r="Q1726" s="3" t="str">
        <x:f>IF(L1726&lt;0,"Yes","No")</x:f>
        <x:v>No</x:v>
      </x:c>
    </x:row>
    <x:row r="1727" ht="21" customHeight="1">
      <x:c r="A1727" s="3" t="str">
        <x:v>ORD-100618</x:v>
      </x:c>
      <x:c r="B1727" s="5" t="n">
        <x:v>45764</x:v>
      </x:c>
      <x:c r="C1727" s="3" t="str">
        <x:v>CUST-00088</x:v>
      </x:c>
      <x:c r="D1727" s="3" t="str">
        <x:v>East</x:v>
      </x:c>
      <x:c r="E1727" s="3" t="str">
        <x:v>Fashion</x:v>
      </x:c>
      <x:c r="F1727" s="3" t="str">
        <x:v>Women</x:v>
      </x:c>
      <x:c r="G1727" s="3" t="str">
        <x:v>Floral Summer Dress</x:v>
      </x:c>
      <x:c r="H1727" s="3" t="n">
        <x:v>1</x:v>
      </x:c>
      <x:c r="I1727" s="7" t="n">
        <x:v>1794.4</x:v>
      </x:c>
      <x:c r="J1727" s="9" t="n">
        <x:v>0.15</x:v>
      </x:c>
      <x:c r="K1727" s="7" t="n">
        <x:v>1525.24</x:v>
      </x:c>
      <x:c r="L1727" s="7" t="n">
        <x:v>379.43</x:v>
      </x:c>
      <x:c r="M1727" s="3" t="str">
        <x:v>Debit Card</x:v>
      </x:c>
      <x:c r="N1727" s="3" t="str">
        <x:f>TEXT(B1727,"yyyy-mm")</x:f>
        <x:v>2025-04</x:v>
      </x:c>
      <x:c r="O1727" s="3" t="str">
        <x:f>IF(J1727=0,"No discount",IF(J1727&lt;=0.1,"1-10%",IF(J1727&lt;=0.15,"11-15%",IF(J1727&lt;=0.2,"16-20%","21%+"))))</x:f>
        <x:v>11-15%</x:v>
      </x:c>
      <x:c r="P1727" s="9" t="n">
        <x:f>IF(K1727=0,0,L1727/K1727)</x:f>
        <x:v>0.2487674070965881</x:v>
      </x:c>
      <x:c r="Q1727" s="3" t="str">
        <x:f>IF(L1727&lt;0,"Yes","No")</x:f>
        <x:v>No</x:v>
      </x:c>
    </x:row>
    <x:row r="1728" ht="21" customHeight="1">
      <x:c r="A1728" s="3" t="str">
        <x:v>ORD-101624</x:v>
      </x:c>
      <x:c r="B1728" s="5" t="n">
        <x:v>45764</x:v>
      </x:c>
      <x:c r="C1728" s="3" t="str">
        <x:v>CUST-00393</x:v>
      </x:c>
      <x:c r="D1728" s="3" t="str">
        <x:v>North</x:v>
      </x:c>
      <x:c r="E1728" s="3" t="str">
        <x:v>Fashion</x:v>
      </x:c>
      <x:c r="F1728" s="3" t="str">
        <x:v>Men</x:v>
      </x:c>
      <x:c r="G1728" s="3" t="str">
        <x:v>Oxford Casual Shirt</x:v>
      </x:c>
      <x:c r="H1728" s="3" t="n">
        <x:v>2</x:v>
      </x:c>
      <x:c r="I1728" s="7" t="n">
        <x:v>1246.84</x:v>
      </x:c>
      <x:c r="J1728" s="9" t="n">
        <x:v>0.05</x:v>
      </x:c>
      <x:c r="K1728" s="7" t="n">
        <x:v>2369</x:v>
      </x:c>
      <x:c r="L1728" s="7" t="n">
        <x:v>832.66</x:v>
      </x:c>
      <x:c r="M1728" s="3" t="str">
        <x:v>Net Banking</x:v>
      </x:c>
      <x:c r="N1728" s="3" t="str">
        <x:f>TEXT(B1728,"yyyy-mm")</x:f>
        <x:v>2025-04</x:v>
      </x:c>
      <x:c r="O1728" s="3" t="str">
        <x:f>IF(J1728=0,"No discount",IF(J1728&lt;=0.1,"1-10%",IF(J1728&lt;=0.15,"11-15%",IF(J1728&lt;=0.2,"16-20%","21%+"))))</x:f>
        <x:v>1-10%</x:v>
      </x:c>
      <x:c r="P1728" s="9" t="n">
        <x:f>IF(K1728=0,0,L1728/K1728)</x:f>
        <x:v>0.35148163782186576</x:v>
      </x:c>
      <x:c r="Q1728" s="3" t="str">
        <x:f>IF(L1728&lt;0,"Yes","No")</x:f>
        <x:v>No</x:v>
      </x:c>
    </x:row>
    <x:row r="1729" ht="21" customHeight="1">
      <x:c r="A1729" s="3" t="str">
        <x:v>ORD-100061</x:v>
      </x:c>
      <x:c r="B1729" s="5" t="n">
        <x:v>45765</x:v>
      </x:c>
      <x:c r="C1729" s="3" t="str">
        <x:v>CUST-00193</x:v>
      </x:c>
      <x:c r="D1729" s="3" t="str">
        <x:v>South</x:v>
      </x:c>
      <x:c r="E1729" s="3" t="str">
        <x:v>Home &amp; Kitchen</x:v>
      </x:c>
      <x:c r="F1729" s="3" t="str">
        <x:v>Appliances</x:v>
      </x:c>
      <x:c r="G1729" s="3" t="str">
        <x:v>ColdBrew Coffee Maker</x:v>
      </x:c>
      <x:c r="H1729" s="3" t="n">
        <x:v>3</x:v>
      </x:c>
      <x:c r="I1729" s="7" t="n">
        <x:v>6469.64</x:v>
      </x:c>
      <x:c r="J1729" s="9" t="n">
        <x:v>0.1</x:v>
      </x:c>
      <x:c r="K1729" s="7" t="n">
        <x:v>17468.03</x:v>
      </x:c>
      <x:c r="L1729" s="7" t="n">
        <x:v>3496.42</x:v>
      </x:c>
      <x:c r="M1729" s="3" t="str">
        <x:v>Cash on Delivery</x:v>
      </x:c>
      <x:c r="N1729" s="3" t="str">
        <x:f>TEXT(B1729,"yyyy-mm")</x:f>
        <x:v>2025-04</x:v>
      </x:c>
      <x:c r="O1729" s="3" t="str">
        <x:f>IF(J1729=0,"No discount",IF(J1729&lt;=0.1,"1-10%",IF(J1729&lt;=0.15,"11-15%",IF(J1729&lt;=0.2,"16-20%","21%+"))))</x:f>
        <x:v>1-10%</x:v>
      </x:c>
      <x:c r="P1729" s="9" t="n">
        <x:f>IF(K1729=0,0,L1729/K1729)</x:f>
        <x:v>0.20016109429626583</x:v>
      </x:c>
      <x:c r="Q1729" s="3" t="str">
        <x:f>IF(L1729&lt;0,"Yes","No")</x:f>
        <x:v>No</x:v>
      </x:c>
    </x:row>
    <x:row r="1730" ht="21" customHeight="1">
      <x:c r="A1730" s="3" t="str">
        <x:v>ORD-100194</x:v>
      </x:c>
      <x:c r="B1730" s="5" t="n">
        <x:v>45765</x:v>
      </x:c>
      <x:c r="C1730" s="3" t="str">
        <x:v>CUST-00415</x:v>
      </x:c>
      <x:c r="D1730" s="3" t="str">
        <x:v>South</x:v>
      </x:c>
      <x:c r="E1730" s="3" t="str">
        <x:v>Electronics</x:v>
      </x:c>
      <x:c r="F1730" s="3" t="str">
        <x:v>Audio</x:v>
      </x:c>
      <x:c r="G1730" s="3" t="str">
        <x:v>SoundPods Pro</x:v>
      </x:c>
      <x:c r="H1730" s="3" t="n">
        <x:v>4</x:v>
      </x:c>
      <x:c r="I1730" s="7" t="n">
        <x:v>5007</x:v>
      </x:c>
      <x:c r="J1730" s="9" t="n">
        <x:v>0.15</x:v>
      </x:c>
      <x:c r="K1730" s="7" t="n">
        <x:v>17023.8</x:v>
      </x:c>
      <x:c r="L1730" s="7" t="n">
        <x:v>198.38</x:v>
      </x:c>
      <x:c r="M1730" s="3" t="str">
        <x:v>Credit Card</x:v>
      </x:c>
      <x:c r="N1730" s="3" t="str">
        <x:f>TEXT(B1730,"yyyy-mm")</x:f>
        <x:v>2025-04</x:v>
      </x:c>
      <x:c r="O1730" s="3" t="str">
        <x:f>IF(J1730=0,"No discount",IF(J1730&lt;=0.1,"1-10%",IF(J1730&lt;=0.15,"11-15%",IF(J1730&lt;=0.2,"16-20%","21%+"))))</x:f>
        <x:v>11-15%</x:v>
      </x:c>
      <x:c r="P1730" s="9" t="n">
        <x:f>IF(K1730=0,0,L1730/K1730)</x:f>
        <x:v>0.011653097428306254</x:v>
      </x:c>
      <x:c r="Q1730" s="3" t="str">
        <x:f>IF(L1730&lt;0,"Yes","No")</x:f>
        <x:v>No</x:v>
      </x:c>
    </x:row>
    <x:row r="1731" ht="21" customHeight="1">
      <x:c r="A1731" s="3" t="str">
        <x:v>ORD-101512</x:v>
      </x:c>
      <x:c r="B1731" s="5" t="n">
        <x:v>45765</x:v>
      </x:c>
      <x:c r="C1731" s="3" t="str">
        <x:v>CUST-00470</x:v>
      </x:c>
      <x:c r="D1731" s="3" t="str">
        <x:v>West</x:v>
      </x:c>
      <x:c r="E1731" s="3" t="str">
        <x:v>Home &amp; Kitchen</x:v>
      </x:c>
      <x:c r="F1731" s="3" t="str">
        <x:v>Decor</x:v>
      </x:c>
      <x:c r="G1731" s="3" t="str">
        <x:v>LED Wall Lamp</x:v>
      </x:c>
      <x:c r="H1731" s="3" t="n">
        <x:v>1</x:v>
      </x:c>
      <x:c r="I1731" s="7" t="n">
        <x:v>1029.24</x:v>
      </x:c>
      <x:c r="J1731" s="9" t="n">
        <x:v>0.05</x:v>
      </x:c>
      <x:c r="K1731" s="7" t="n">
        <x:v>977.78</x:v>
      </x:c>
      <x:c r="L1731" s="7" t="n">
        <x:v>290.07</x:v>
      </x:c>
      <x:c r="M1731" s="3" t="str">
        <x:v>UPI</x:v>
      </x:c>
      <x:c r="N1731" s="3" t="str">
        <x:f>TEXT(B1731,"yyyy-mm")</x:f>
        <x:v>2025-04</x:v>
      </x:c>
      <x:c r="O1731" s="3" t="str">
        <x:f>IF(J1731=0,"No discount",IF(J1731&lt;=0.1,"1-10%",IF(J1731&lt;=0.15,"11-15%",IF(J1731&lt;=0.2,"16-20%","21%+"))))</x:f>
        <x:v>1-10%</x:v>
      </x:c>
      <x:c r="P1731" s="9" t="n">
        <x:f>IF(K1731=0,0,L1731/K1731)</x:f>
        <x:v>0.2966618257685778</x:v>
      </x:c>
      <x:c r="Q1731" s="3" t="str">
        <x:f>IF(L1731&lt;0,"Yes","No")</x:f>
        <x:v>No</x:v>
      </x:c>
    </x:row>
    <x:row r="1732" ht="21" customHeight="1">
      <x:c r="A1732" s="3" t="str">
        <x:v>ORD-101625</x:v>
      </x:c>
      <x:c r="B1732" s="5" t="n">
        <x:v>45765</x:v>
      </x:c>
      <x:c r="C1732" s="3" t="str">
        <x:v>CUST-00038</x:v>
      </x:c>
      <x:c r="D1732" s="3" t="str">
        <x:v>East</x:v>
      </x:c>
      <x:c r="E1732" s="3" t="str">
        <x:v>Electronics</x:v>
      </x:c>
      <x:c r="F1732" s="3" t="str">
        <x:v>Mobile</x:v>
      </x:c>
      <x:c r="G1732" s="3" t="str">
        <x:v>Pixel Aura 12</x:v>
      </x:c>
      <x:c r="H1732" s="3" t="n">
        <x:v>3</x:v>
      </x:c>
      <x:c r="I1732" s="7" t="n">
        <x:v>33784.86</x:v>
      </x:c>
      <x:c r="J1732" s="9" t="n">
        <x:v>0.05</x:v>
      </x:c>
      <x:c r="K1732" s="7" t="n">
        <x:v>96286.85</x:v>
      </x:c>
      <x:c r="L1732" s="7" t="n">
        <x:v>15575.56</x:v>
      </x:c>
      <x:c r="M1732" s="3" t="str">
        <x:v>Credit Card</x:v>
      </x:c>
      <x:c r="N1732" s="3" t="str">
        <x:f>TEXT(B1732,"yyyy-mm")</x:f>
        <x:v>2025-04</x:v>
      </x:c>
      <x:c r="O1732" s="3" t="str">
        <x:f>IF(J1732=0,"No discount",IF(J1732&lt;=0.1,"1-10%",IF(J1732&lt;=0.15,"11-15%",IF(J1732&lt;=0.2,"16-20%","21%+"))))</x:f>
        <x:v>1-10%</x:v>
      </x:c>
      <x:c r="P1732" s="9" t="n">
        <x:f>IF(K1732=0,0,L1732/K1732)</x:f>
        <x:v>0.1617620682367322</x:v>
      </x:c>
      <x:c r="Q1732" s="3" t="str">
        <x:f>IF(L1732&lt;0,"Yes","No")</x:f>
        <x:v>No</x:v>
      </x:c>
    </x:row>
    <x:row r="1733" ht="21" customHeight="1">
      <x:c r="A1733" s="3" t="str">
        <x:v>ORD-100426</x:v>
      </x:c>
      <x:c r="B1733" s="5" t="n">
        <x:v>45766</x:v>
      </x:c>
      <x:c r="C1733" s="3" t="str">
        <x:v>CUST-00100</x:v>
      </x:c>
      <x:c r="D1733" s="3" t="str">
        <x:v>West</x:v>
      </x:c>
      <x:c r="E1733" s="3" t="str">
        <x:v>Sports</x:v>
      </x:c>
      <x:c r="F1733" s="3" t="str">
        <x:v>Outdoor</x:v>
      </x:c>
      <x:c r="G1733" s="3" t="str">
        <x:v>TrailHike Backpack 60L</x:v>
      </x:c>
      <x:c r="H1733" s="3" t="n">
        <x:v>1</x:v>
      </x:c>
      <x:c r="I1733" s="7" t="n">
        <x:v>3582.75</x:v>
      </x:c>
      <x:c r="J1733" s="9" t="n">
        <x:v>0.1</x:v>
      </x:c>
      <x:c r="K1733" s="7" t="n">
        <x:v>3224.47</x:v>
      </x:c>
      <x:c r="L1733" s="7" t="n">
        <x:v>909.15</x:v>
      </x:c>
      <x:c r="M1733" s="3" t="str">
        <x:v>UPI</x:v>
      </x:c>
      <x:c r="N1733" s="3" t="str">
        <x:f>TEXT(B1733,"yyyy-mm")</x:f>
        <x:v>2025-04</x:v>
      </x:c>
      <x:c r="O1733" s="3" t="str">
        <x:f>IF(J1733=0,"No discount",IF(J1733&lt;=0.1,"1-10%",IF(J1733&lt;=0.15,"11-15%",IF(J1733&lt;=0.2,"16-20%","21%+"))))</x:f>
        <x:v>1-10%</x:v>
      </x:c>
      <x:c r="P1733" s="9" t="n">
        <x:f>IF(K1733=0,0,L1733/K1733)</x:f>
        <x:v>0.2819533132576827</x:v>
      </x:c>
      <x:c r="Q1733" s="3" t="str">
        <x:f>IF(L1733&lt;0,"Yes","No")</x:f>
        <x:v>No</x:v>
      </x:c>
    </x:row>
    <x:row r="1734" ht="21" customHeight="1">
      <x:c r="A1734" s="3" t="str">
        <x:v>ORD-100826</x:v>
      </x:c>
      <x:c r="B1734" s="5" t="n">
        <x:v>45766</x:v>
      </x:c>
      <x:c r="C1734" s="3" t="str">
        <x:v>CUST-00582</x:v>
      </x:c>
      <x:c r="D1734" s="3" t="str">
        <x:v>East</x:v>
      </x:c>
      <x:c r="E1734" s="3" t="str">
        <x:v>Beauty</x:v>
      </x:c>
      <x:c r="F1734" s="3" t="str">
        <x:v>Skincare</x:v>
      </x:c>
      <x:c r="G1734" s="3" t="str">
        <x:v>Vitamin C Serum</x:v>
      </x:c>
      <x:c r="H1734" s="3" t="n">
        <x:v>1</x:v>
      </x:c>
      <x:c r="I1734" s="7" t="n">
        <x:v>893.07</x:v>
      </x:c>
      <x:c r="J1734" s="9" t="n">
        <x:v>0.2</x:v>
      </x:c>
      <x:c r="K1734" s="7" t="n">
        <x:v>714.46</x:v>
      </x:c>
      <x:c r="L1734" s="7" t="n">
        <x:v>224.49</x:v>
      </x:c>
      <x:c r="M1734" s="3" t="str">
        <x:v>Debit Card</x:v>
      </x:c>
      <x:c r="N1734" s="3" t="str">
        <x:f>TEXT(B1734,"yyyy-mm")</x:f>
        <x:v>2025-04</x:v>
      </x:c>
      <x:c r="O1734" s="3" t="str">
        <x:f>IF(J1734=0,"No discount",IF(J1734&lt;=0.1,"1-10%",IF(J1734&lt;=0.15,"11-15%",IF(J1734&lt;=0.2,"16-20%","21%+"))))</x:f>
        <x:v>16-20%</x:v>
      </x:c>
      <x:c r="P1734" s="9" t="n">
        <x:f>IF(K1734=0,0,L1734/K1734)</x:f>
        <x:v>0.3142093329227668</x:v>
      </x:c>
      <x:c r="Q1734" s="3" t="str">
        <x:f>IF(L1734&lt;0,"Yes","No")</x:f>
        <x:v>No</x:v>
      </x:c>
    </x:row>
    <x:row r="1735" ht="21" customHeight="1">
      <x:c r="A1735" s="3" t="str">
        <x:v>ORD-100885</x:v>
      </x:c>
      <x:c r="B1735" s="5" t="n">
        <x:v>45766</x:v>
      </x:c>
      <x:c r="C1735" s="3" t="str">
        <x:v>CUST-00093</x:v>
      </x:c>
      <x:c r="D1735" s="3" t="str">
        <x:v>West</x:v>
      </x:c>
      <x:c r="E1735" s="3" t="str">
        <x:v>Fashion</x:v>
      </x:c>
      <x:c r="F1735" s="3" t="str">
        <x:v>Footwear</x:v>
      </x:c>
      <x:c r="G1735" s="3" t="str">
        <x:v>RunFlex Sneakers</x:v>
      </x:c>
      <x:c r="H1735" s="3" t="n">
        <x:v>1</x:v>
      </x:c>
      <x:c r="I1735" s="7" t="n">
        <x:v>2884.35</x:v>
      </x:c>
      <x:c r="J1735" s="9" t="n">
        <x:v>0.1</x:v>
      </x:c>
      <x:c r="K1735" s="7" t="n">
        <x:v>2595.91</x:v>
      </x:c>
      <x:c r="L1735" s="7" t="n">
        <x:v>784.74</x:v>
      </x:c>
      <x:c r="M1735" s="3" t="str">
        <x:v>UPI</x:v>
      </x:c>
      <x:c r="N1735" s="3" t="str">
        <x:f>TEXT(B1735,"yyyy-mm")</x:f>
        <x:v>2025-04</x:v>
      </x:c>
      <x:c r="O1735" s="3" t="str">
        <x:f>IF(J1735=0,"No discount",IF(J1735&lt;=0.1,"1-10%",IF(J1735&lt;=0.15,"11-15%",IF(J1735&lt;=0.2,"16-20%","21%+"))))</x:f>
        <x:v>1-10%</x:v>
      </x:c>
      <x:c r="P1735" s="9" t="n">
        <x:f>IF(K1735=0,0,L1735/K1735)</x:f>
        <x:v>0.30229861589962675</x:v>
      </x:c>
      <x:c r="Q1735" s="3" t="str">
        <x:f>IF(L1735&lt;0,"Yes","No")</x:f>
        <x:v>No</x:v>
      </x:c>
    </x:row>
    <x:row r="1736" ht="21" customHeight="1">
      <x:c r="A1736" s="3" t="str">
        <x:v>ORD-101160</x:v>
      </x:c>
      <x:c r="B1736" s="5" t="n">
        <x:v>45766</x:v>
      </x:c>
      <x:c r="C1736" s="3" t="str">
        <x:v>CUST-00099</x:v>
      </x:c>
      <x:c r="D1736" s="3" t="str">
        <x:v>South</x:v>
      </x:c>
      <x:c r="E1736" s="3" t="str">
        <x:v>Sports</x:v>
      </x:c>
      <x:c r="F1736" s="3" t="str">
        <x:v>Outdoor</x:v>
      </x:c>
      <x:c r="G1736" s="3" t="str">
        <x:v>AllWeather Tent 4P</x:v>
      </x:c>
      <x:c r="H1736" s="3" t="n">
        <x:v>1</x:v>
      </x:c>
      <x:c r="I1736" s="7" t="n">
        <x:v>11942.5</x:v>
      </x:c>
      <x:c r="J1736" s="9" t="n">
        <x:v>0</x:v>
      </x:c>
      <x:c r="K1736" s="7" t="n">
        <x:v>11942.5</x:v>
      </x:c>
      <x:c r="L1736" s="7" t="n">
        <x:v>4064.01</x:v>
      </x:c>
      <x:c r="M1736" s="3" t="str">
        <x:v>Cash on Delivery</x:v>
      </x:c>
      <x:c r="N1736" s="3" t="str">
        <x:f>TEXT(B1736,"yyyy-mm")</x:f>
        <x:v>2025-04</x:v>
      </x:c>
      <x:c r="O1736" s="3" t="str">
        <x:f>IF(J1736=0,"No discount",IF(J1736&lt;=0.1,"1-10%",IF(J1736&lt;=0.15,"11-15%",IF(J1736&lt;=0.2,"16-20%","21%+"))))</x:f>
        <x:v>No discount</x:v>
      </x:c>
      <x:c r="P1736" s="9" t="n">
        <x:f>IF(K1736=0,0,L1736/K1736)</x:f>
        <x:v>0.34029809503872727</x:v>
      </x:c>
      <x:c r="Q1736" s="3" t="str">
        <x:f>IF(L1736&lt;0,"Yes","No")</x:f>
        <x:v>No</x:v>
      </x:c>
    </x:row>
    <x:row r="1737" ht="21" customHeight="1">
      <x:c r="A1737" s="3" t="str">
        <x:v>ORD-101385</x:v>
      </x:c>
      <x:c r="B1737" s="5" t="n">
        <x:v>45766</x:v>
      </x:c>
      <x:c r="C1737" s="3" t="str">
        <x:v>CUST-00051</x:v>
      </x:c>
      <x:c r="D1737" s="3" t="str">
        <x:v>North</x:v>
      </x:c>
      <x:c r="E1737" s="3" t="str">
        <x:v>Home &amp; Kitchen</x:v>
      </x:c>
      <x:c r="F1737" s="3" t="str">
        <x:v>Appliances</x:v>
      </x:c>
      <x:c r="G1737" s="3" t="str">
        <x:v>ColdBrew Coffee Maker</x:v>
      </x:c>
      <x:c r="H1737" s="3" t="n">
        <x:v>1</x:v>
      </x:c>
      <x:c r="I1737" s="7" t="n">
        <x:v>6394.88</x:v>
      </x:c>
      <x:c r="J1737" s="9" t="n">
        <x:v>0.2</x:v>
      </x:c>
      <x:c r="K1737" s="7" t="n">
        <x:v>5115.9</x:v>
      </x:c>
      <x:c r="L1737" s="7" t="n">
        <x:v>486.24</x:v>
      </x:c>
      <x:c r="M1737" s="3" t="str">
        <x:v>Debit Card</x:v>
      </x:c>
      <x:c r="N1737" s="3" t="str">
        <x:f>TEXT(B1737,"yyyy-mm")</x:f>
        <x:v>2025-04</x:v>
      </x:c>
      <x:c r="O1737" s="3" t="str">
        <x:f>IF(J1737=0,"No discount",IF(J1737&lt;=0.1,"1-10%",IF(J1737&lt;=0.15,"11-15%",IF(J1737&lt;=0.2,"16-20%","21%+"))))</x:f>
        <x:v>16-20%</x:v>
      </x:c>
      <x:c r="P1737" s="9" t="n">
        <x:f>IF(K1737=0,0,L1737/K1737)</x:f>
        <x:v>0.09504486014191052</x:v>
      </x:c>
      <x:c r="Q1737" s="3" t="str">
        <x:f>IF(L1737&lt;0,"Yes","No")</x:f>
        <x:v>No</x:v>
      </x:c>
    </x:row>
    <x:row r="1738" ht="21" customHeight="1">
      <x:c r="A1738" s="3" t="str">
        <x:v>ORD-101453</x:v>
      </x:c>
      <x:c r="B1738" s="5" t="n">
        <x:v>45767</x:v>
      </x:c>
      <x:c r="C1738" s="3" t="str">
        <x:v>CUST-00113</x:v>
      </x:c>
      <x:c r="D1738" s="3" t="str">
        <x:v>South</x:v>
      </x:c>
      <x:c r="E1738" s="3" t="str">
        <x:v>Home &amp; Kitchen</x:v>
      </x:c>
      <x:c r="F1738" s="3" t="str">
        <x:v>Decor</x:v>
      </x:c>
      <x:c r="G1738" s="3" t="str">
        <x:v>Ceramic Vase Set</x:v>
      </x:c>
      <x:c r="H1738" s="3" t="n">
        <x:v>1</x:v>
      </x:c>
      <x:c r="I1738" s="7" t="n">
        <x:v>1534.84</x:v>
      </x:c>
      <x:c r="J1738" s="9" t="n">
        <x:v>0</x:v>
      </x:c>
      <x:c r="K1738" s="7" t="n">
        <x:v>1534.84</x:v>
      </x:c>
      <x:c r="L1738" s="7" t="n">
        <x:v>564.83</x:v>
      </x:c>
      <x:c r="M1738" s="3" t="str">
        <x:v>Credit Card</x:v>
      </x:c>
      <x:c r="N1738" s="3" t="str">
        <x:f>TEXT(B1738,"yyyy-mm")</x:f>
        <x:v>2025-04</x:v>
      </x:c>
      <x:c r="O1738" s="3" t="str">
        <x:f>IF(J1738=0,"No discount",IF(J1738&lt;=0.1,"1-10%",IF(J1738&lt;=0.15,"11-15%",IF(J1738&lt;=0.2,"16-20%","21%+"))))</x:f>
        <x:v>No discount</x:v>
      </x:c>
      <x:c r="P1738" s="9" t="n">
        <x:f>IF(K1738=0,0,L1738/K1738)</x:f>
        <x:v>0.368005785619348</x:v>
      </x:c>
      <x:c r="Q1738" s="3" t="str">
        <x:f>IF(L1738&lt;0,"Yes","No")</x:f>
        <x:v>No</x:v>
      </x:c>
    </x:row>
    <x:row r="1739" ht="21" customHeight="1">
      <x:c r="A1739" s="3" t="str">
        <x:v>ORD-101779</x:v>
      </x:c>
      <x:c r="B1739" s="5" t="n">
        <x:v>45767</x:v>
      </x:c>
      <x:c r="C1739" s="3" t="str">
        <x:v>CUST-00387</x:v>
      </x:c>
      <x:c r="D1739" s="3" t="str">
        <x:v>North</x:v>
      </x:c>
      <x:c r="E1739" s="3" t="str">
        <x:v>Home &amp; Kitchen</x:v>
      </x:c>
      <x:c r="F1739" s="3" t="str">
        <x:v>Furniture</x:v>
      </x:c>
      <x:c r="G1739" s="3" t="str">
        <x:v>ErgoComfort Chair</x:v>
      </x:c>
      <x:c r="H1739" s="3" t="n">
        <x:v>1</x:v>
      </x:c>
      <x:c r="I1739" s="7" t="n">
        <x:v>9097.44</x:v>
      </x:c>
      <x:c r="J1739" s="9" t="n">
        <x:v>0.05</x:v>
      </x:c>
      <x:c r="K1739" s="7" t="n">
        <x:v>8642.57</x:v>
      </x:c>
      <x:c r="L1739" s="7" t="n">
        <x:v>2373.51</x:v>
      </x:c>
      <x:c r="M1739" s="3" t="str">
        <x:v>Net Banking</x:v>
      </x:c>
      <x:c r="N1739" s="3" t="str">
        <x:f>TEXT(B1739,"yyyy-mm")</x:f>
        <x:v>2025-04</x:v>
      </x:c>
      <x:c r="O1739" s="3" t="str">
        <x:f>IF(J1739=0,"No discount",IF(J1739&lt;=0.1,"1-10%",IF(J1739&lt;=0.15,"11-15%",IF(J1739&lt;=0.2,"16-20%","21%+"))))</x:f>
        <x:v>1-10%</x:v>
      </x:c>
      <x:c r="P1739" s="9" t="n">
        <x:f>IF(K1739=0,0,L1739/K1739)</x:f>
        <x:v>0.2746301158104592</x:v>
      </x:c>
      <x:c r="Q1739" s="3" t="str">
        <x:f>IF(L1739&lt;0,"Yes","No")</x:f>
        <x:v>No</x:v>
      </x:c>
    </x:row>
    <x:row r="1740" ht="21" customHeight="1">
      <x:c r="A1740" s="3" t="str">
        <x:v>ORD-101867</x:v>
      </x:c>
      <x:c r="B1740" s="5" t="n">
        <x:v>45767</x:v>
      </x:c>
      <x:c r="C1740" s="3" t="str">
        <x:v>CUST-00030</x:v>
      </x:c>
      <x:c r="D1740" s="3" t="str">
        <x:v>West</x:v>
      </x:c>
      <x:c r="E1740" s="3" t="str">
        <x:v>Sports</x:v>
      </x:c>
      <x:c r="F1740" s="3" t="str">
        <x:v>Outdoor</x:v>
      </x:c>
      <x:c r="G1740" s="3" t="str">
        <x:v>TrailHike Backpack 60L</x:v>
      </x:c>
      <x:c r="H1740" s="3" t="n">
        <x:v>2</x:v>
      </x:c>
      <x:c r="I1740" s="7" t="n">
        <x:v>3449.8</x:v>
      </x:c>
      <x:c r="J1740" s="9" t="n">
        <x:v>0.25</x:v>
      </x:c>
      <x:c r="K1740" s="7" t="n">
        <x:v>5174.7</x:v>
      </x:c>
      <x:c r="L1740" s="7" t="n">
        <x:v>474.26</x:v>
      </x:c>
      <x:c r="M1740" s="3" t="str">
        <x:v>Credit Card</x:v>
      </x:c>
      <x:c r="N1740" s="3" t="str">
        <x:f>TEXT(B1740,"yyyy-mm")</x:f>
        <x:v>2025-04</x:v>
      </x:c>
      <x:c r="O1740" s="3" t="str">
        <x:f>IF(J1740=0,"No discount",IF(J1740&lt;=0.1,"1-10%",IF(J1740&lt;=0.15,"11-15%",IF(J1740&lt;=0.2,"16-20%","21%+"))))</x:f>
        <x:v>21%+</x:v>
      </x:c>
      <x:c r="P1740" s="9" t="n">
        <x:f>IF(K1740=0,0,L1740/K1740)</x:f>
        <x:v>0.09164975747386322</x:v>
      </x:c>
      <x:c r="Q1740" s="3" t="str">
        <x:f>IF(L1740&lt;0,"Yes","No")</x:f>
        <x:v>No</x:v>
      </x:c>
    </x:row>
    <x:row r="1741" ht="21" customHeight="1">
      <x:c r="A1741" s="3" t="str">
        <x:v>ORD-101962</x:v>
      </x:c>
      <x:c r="B1741" s="5" t="n">
        <x:v>45767</x:v>
      </x:c>
      <x:c r="C1741" s="3" t="str">
        <x:v>CUST-00239</x:v>
      </x:c>
      <x:c r="D1741" s="3" t="str">
        <x:v>North</x:v>
      </x:c>
      <x:c r="E1741" s="3" t="str">
        <x:v>Home &amp; Kitchen</x:v>
      </x:c>
      <x:c r="F1741" s="3" t="str">
        <x:v>Decor</x:v>
      </x:c>
      <x:c r="G1741" s="3" t="str">
        <x:v>Ceramic Vase Set</x:v>
      </x:c>
      <x:c r="H1741" s="3" t="n">
        <x:v>2</x:v>
      </x:c>
      <x:c r="I1741" s="7" t="n">
        <x:v>1438.17</x:v>
      </x:c>
      <x:c r="J1741" s="9" t="n">
        <x:v>0.3</x:v>
      </x:c>
      <x:c r="K1741" s="7" t="n">
        <x:v>2013.44</x:v>
      </x:c>
      <x:c r="L1741" s="7" t="n">
        <x:v>-76.96</x:v>
      </x:c>
      <x:c r="M1741" s="3" t="str">
        <x:v>UPI</x:v>
      </x:c>
      <x:c r="N1741" s="3" t="str">
        <x:f>TEXT(B1741,"yyyy-mm")</x:f>
        <x:v>2025-04</x:v>
      </x:c>
      <x:c r="O1741" s="3" t="str">
        <x:f>IF(J1741=0,"No discount",IF(J1741&lt;=0.1,"1-10%",IF(J1741&lt;=0.15,"11-15%",IF(J1741&lt;=0.2,"16-20%","21%+"))))</x:f>
        <x:v>21%+</x:v>
      </x:c>
      <x:c r="P1741" s="9" t="n">
        <x:f>IF(K1741=0,0,L1741/K1741)</x:f>
        <x:v>-0.038223140495867766</x:v>
      </x:c>
      <x:c r="Q1741" s="3" t="str">
        <x:f>IF(L1741&lt;0,"Yes","No")</x:f>
        <x:v>Yes</x:v>
      </x:c>
    </x:row>
    <x:row r="1742" ht="21" customHeight="1">
      <x:c r="A1742" s="3" t="str">
        <x:v>ORD-100046</x:v>
      </x:c>
      <x:c r="B1742" s="5" t="n">
        <x:v>45768</x:v>
      </x:c>
      <x:c r="C1742" s="3" t="str">
        <x:v>CUST-00275</x:v>
      </x:c>
      <x:c r="D1742" s="3" t="str">
        <x:v>West</x:v>
      </x:c>
      <x:c r="E1742" s="3" t="str">
        <x:v>Sports</x:v>
      </x:c>
      <x:c r="F1742" s="3" t="str">
        <x:v>Fitness</x:v>
      </x:c>
      <x:c r="G1742" s="3" t="str">
        <x:v>Adjustable Dumbbell 24kg</x:v>
      </x:c>
      <x:c r="H1742" s="3" t="n">
        <x:v>1</x:v>
      </x:c>
      <x:c r="I1742" s="7" t="n">
        <x:v>10149.44</x:v>
      </x:c>
      <x:c r="J1742" s="9" t="n">
        <x:v>0.1</x:v>
      </x:c>
      <x:c r="K1742" s="7" t="n">
        <x:v>9134.5</x:v>
      </x:c>
      <x:c r="L1742" s="7" t="n">
        <x:v>2505.35</x:v>
      </x:c>
      <x:c r="M1742" s="3" t="str">
        <x:v>Debit Card</x:v>
      </x:c>
      <x:c r="N1742" s="3" t="str">
        <x:f>TEXT(B1742,"yyyy-mm")</x:f>
        <x:v>2025-04</x:v>
      </x:c>
      <x:c r="O1742" s="3" t="str">
        <x:f>IF(J1742=0,"No discount",IF(J1742&lt;=0.1,"1-10%",IF(J1742&lt;=0.15,"11-15%",IF(J1742&lt;=0.2,"16-20%","21%+"))))</x:f>
        <x:v>1-10%</x:v>
      </x:c>
      <x:c r="P1742" s="9" t="n">
        <x:f>IF(K1742=0,0,L1742/K1742)</x:f>
        <x:v>0.2742733592424325</x:v>
      </x:c>
      <x:c r="Q1742" s="3" t="str">
        <x:f>IF(L1742&lt;0,"Yes","No")</x:f>
        <x:v>No</x:v>
      </x:c>
    </x:row>
    <x:row r="1743" ht="21" customHeight="1">
      <x:c r="A1743" s="3" t="str">
        <x:v>ORD-100422</x:v>
      </x:c>
      <x:c r="B1743" s="5" t="n">
        <x:v>45768</x:v>
      </x:c>
      <x:c r="C1743" s="3" t="str">
        <x:v>CUST-00230</x:v>
      </x:c>
      <x:c r="D1743" s="3" t="str">
        <x:v>North</x:v>
      </x:c>
      <x:c r="E1743" s="3" t="str">
        <x:v>Beauty</x:v>
      </x:c>
      <x:c r="F1743" s="3" t="str">
        <x:v>Skincare</x:v>
      </x:c>
      <x:c r="G1743" s="3" t="str">
        <x:v>HydraBoost Moisturizer</x:v>
      </x:c>
      <x:c r="H1743" s="3" t="n">
        <x:v>2</x:v>
      </x:c>
      <x:c r="I1743" s="7" t="n">
        <x:v>1235.25</x:v>
      </x:c>
      <x:c r="J1743" s="9" t="n">
        <x:v>0</x:v>
      </x:c>
      <x:c r="K1743" s="7" t="n">
        <x:v>2470.5</x:v>
      </x:c>
      <x:c r="L1743" s="7" t="n">
        <x:v>1398.03</x:v>
      </x:c>
      <x:c r="M1743" s="3" t="str">
        <x:v>UPI</x:v>
      </x:c>
      <x:c r="N1743" s="3" t="str">
        <x:f>TEXT(B1743,"yyyy-mm")</x:f>
        <x:v>2025-04</x:v>
      </x:c>
      <x:c r="O1743" s="3" t="str">
        <x:f>IF(J1743=0,"No discount",IF(J1743&lt;=0.1,"1-10%",IF(J1743&lt;=0.15,"11-15%",IF(J1743&lt;=0.2,"16-20%","21%+"))))</x:f>
        <x:v>No discount</x:v>
      </x:c>
      <x:c r="P1743" s="9" t="n">
        <x:f>IF(K1743=0,0,L1743/K1743)</x:f>
        <x:v>0.5658894960534304</x:v>
      </x:c>
      <x:c r="Q1743" s="3" t="str">
        <x:f>IF(L1743&lt;0,"Yes","No")</x:f>
        <x:v>No</x:v>
      </x:c>
    </x:row>
    <x:row r="1744" ht="21" customHeight="1">
      <x:c r="A1744" s="3" t="str">
        <x:v>ORD-100605</x:v>
      </x:c>
      <x:c r="B1744" s="5" t="n">
        <x:v>45769</x:v>
      </x:c>
      <x:c r="C1744" s="3" t="str">
        <x:v>CUST-00245</x:v>
      </x:c>
      <x:c r="D1744" s="3" t="str">
        <x:v>East</x:v>
      </x:c>
      <x:c r="E1744" s="3" t="str">
        <x:v>Sports</x:v>
      </x:c>
      <x:c r="F1744" s="3" t="str">
        <x:v>Outdoor</x:v>
      </x:c>
      <x:c r="G1744" s="3" t="str">
        <x:v>AllWeather Tent 4P</x:v>
      </x:c>
      <x:c r="H1744" s="3" t="n">
        <x:v>2</x:v>
      </x:c>
      <x:c r="I1744" s="7" t="n">
        <x:v>11593.77</x:v>
      </x:c>
      <x:c r="J1744" s="9" t="n">
        <x:v>0.05</x:v>
      </x:c>
      <x:c r="K1744" s="7" t="n">
        <x:v>22028.16</x:v>
      </x:c>
      <x:c r="L1744" s="7" t="n">
        <x:v>7023.55</x:v>
      </x:c>
      <x:c r="M1744" s="3" t="str">
        <x:v>UPI</x:v>
      </x:c>
      <x:c r="N1744" s="3" t="str">
        <x:f>TEXT(B1744,"yyyy-mm")</x:f>
        <x:v>2025-04</x:v>
      </x:c>
      <x:c r="O1744" s="3" t="str">
        <x:f>IF(J1744=0,"No discount",IF(J1744&lt;=0.1,"1-10%",IF(J1744&lt;=0.15,"11-15%",IF(J1744&lt;=0.2,"16-20%","21%+"))))</x:f>
        <x:v>1-10%</x:v>
      </x:c>
      <x:c r="P1744" s="9" t="n">
        <x:f>IF(K1744=0,0,L1744/K1744)</x:f>
        <x:v>0.31884415221244083</x:v>
      </x:c>
      <x:c r="Q1744" s="3" t="str">
        <x:f>IF(L1744&lt;0,"Yes","No")</x:f>
        <x:v>No</x:v>
      </x:c>
    </x:row>
    <x:row r="1745" ht="21" customHeight="1">
      <x:c r="A1745" s="3" t="str">
        <x:v>ORD-100614</x:v>
      </x:c>
      <x:c r="B1745" s="5" t="n">
        <x:v>45770</x:v>
      </x:c>
      <x:c r="C1745" s="3" t="str">
        <x:v>CUST-00377</x:v>
      </x:c>
      <x:c r="D1745" s="3" t="str">
        <x:v>East</x:v>
      </x:c>
      <x:c r="E1745" s="3" t="str">
        <x:v>Fashion</x:v>
      </x:c>
      <x:c r="F1745" s="3" t="str">
        <x:v>Men</x:v>
      </x:c>
      <x:c r="G1745" s="3" t="str">
        <x:v>Oxford Casual Shirt</x:v>
      </x:c>
      <x:c r="H1745" s="3" t="n">
        <x:v>1</x:v>
      </x:c>
      <x:c r="I1745" s="7" t="n">
        <x:v>1309.91</x:v>
      </x:c>
      <x:c r="J1745" s="9" t="n">
        <x:v>0.05</x:v>
      </x:c>
      <x:c r="K1745" s="7" t="n">
        <x:v>1244.41</x:v>
      </x:c>
      <x:c r="L1745" s="7" t="n">
        <x:v>447.64</x:v>
      </x:c>
      <x:c r="M1745" s="3" t="str">
        <x:v>Credit Card</x:v>
      </x:c>
      <x:c r="N1745" s="3" t="str">
        <x:f>TEXT(B1745,"yyyy-mm")</x:f>
        <x:v>2025-04</x:v>
      </x:c>
      <x:c r="O1745" s="3" t="str">
        <x:f>IF(J1745=0,"No discount",IF(J1745&lt;=0.1,"1-10%",IF(J1745&lt;=0.15,"11-15%",IF(J1745&lt;=0.2,"16-20%","21%+"))))</x:f>
        <x:v>1-10%</x:v>
      </x:c>
      <x:c r="P1745" s="9" t="n">
        <x:f>IF(K1745=0,0,L1745/K1745)</x:f>
        <x:v>0.3597206708399964</x:v>
      </x:c>
      <x:c r="Q1745" s="3" t="str">
        <x:f>IF(L1745&lt;0,"Yes","No")</x:f>
        <x:v>No</x:v>
      </x:c>
    </x:row>
    <x:row r="1746" ht="21" customHeight="1">
      <x:c r="A1746" s="3" t="str">
        <x:v>ORD-101506</x:v>
      </x:c>
      <x:c r="B1746" s="5" t="n">
        <x:v>45770</x:v>
      </x:c>
      <x:c r="C1746" s="3" t="str">
        <x:v>CUST-00420</x:v>
      </x:c>
      <x:c r="D1746" s="3" t="str">
        <x:v>East</x:v>
      </x:c>
      <x:c r="E1746" s="3" t="str">
        <x:v>Sports</x:v>
      </x:c>
      <x:c r="F1746" s="3" t="str">
        <x:v>Outdoor</x:v>
      </x:c>
      <x:c r="G1746" s="3" t="str">
        <x:v>TrailHike Backpack 60L</x:v>
      </x:c>
      <x:c r="H1746" s="3" t="n">
        <x:v>1</x:v>
      </x:c>
      <x:c r="I1746" s="7" t="n">
        <x:v>3512.38</x:v>
      </x:c>
      <x:c r="J1746" s="9" t="n">
        <x:v>0.2</x:v>
      </x:c>
      <x:c r="K1746" s="7" t="n">
        <x:v>2809.9</x:v>
      </x:c>
      <x:c r="L1746" s="7" t="n">
        <x:v>331.67</x:v>
      </x:c>
      <x:c r="M1746" s="3" t="str">
        <x:v>UPI</x:v>
      </x:c>
      <x:c r="N1746" s="3" t="str">
        <x:f>TEXT(B1746,"yyyy-mm")</x:f>
        <x:v>2025-04</x:v>
      </x:c>
      <x:c r="O1746" s="3" t="str">
        <x:f>IF(J1746=0,"No discount",IF(J1746&lt;=0.1,"1-10%",IF(J1746&lt;=0.15,"11-15%",IF(J1746&lt;=0.2,"16-20%","21%+"))))</x:f>
        <x:v>16-20%</x:v>
      </x:c>
      <x:c r="P1746" s="9" t="n">
        <x:f>IF(K1746=0,0,L1746/K1746)</x:f>
        <x:v>0.11803622904729706</x:v>
      </x:c>
      <x:c r="Q1746" s="3" t="str">
        <x:f>IF(L1746&lt;0,"Yes","No")</x:f>
        <x:v>No</x:v>
      </x:c>
    </x:row>
    <x:row r="1747" ht="21" customHeight="1">
      <x:c r="A1747" s="3" t="str">
        <x:v>ORD-101747</x:v>
      </x:c>
      <x:c r="B1747" s="5" t="n">
        <x:v>45770</x:v>
      </x:c>
      <x:c r="C1747" s="3" t="str">
        <x:v>CUST-00327</x:v>
      </x:c>
      <x:c r="D1747" s="3" t="str">
        <x:v>North</x:v>
      </x:c>
      <x:c r="E1747" s="3" t="str">
        <x:v>Sports</x:v>
      </x:c>
      <x:c r="F1747" s="3" t="str">
        <x:v>Outdoor</x:v>
      </x:c>
      <x:c r="G1747" s="3" t="str">
        <x:v>TrailHike Backpack 60L</x:v>
      </x:c>
      <x:c r="H1747" s="3" t="n">
        <x:v>2</x:v>
      </x:c>
      <x:c r="I1747" s="7" t="n">
        <x:v>3580.15</x:v>
      </x:c>
      <x:c r="J1747" s="9" t="n">
        <x:v>0.3</x:v>
      </x:c>
      <x:c r="K1747" s="7" t="n">
        <x:v>5012.21</x:v>
      </x:c>
      <x:c r="L1747" s="7" t="n">
        <x:v>121.44</x:v>
      </x:c>
      <x:c r="M1747" s="3" t="str">
        <x:v>Debit Card</x:v>
      </x:c>
      <x:c r="N1747" s="3" t="str">
        <x:f>TEXT(B1747,"yyyy-mm")</x:f>
        <x:v>2025-04</x:v>
      </x:c>
      <x:c r="O1747" s="3" t="str">
        <x:f>IF(J1747=0,"No discount",IF(J1747&lt;=0.1,"1-10%",IF(J1747&lt;=0.15,"11-15%",IF(J1747&lt;=0.2,"16-20%","21%+"))))</x:f>
        <x:v>21%+</x:v>
      </x:c>
      <x:c r="P1747" s="9" t="n">
        <x:f>IF(K1747=0,0,L1747/K1747)</x:f>
        <x:v>0.024228833189351602</x:v>
      </x:c>
      <x:c r="Q1747" s="3" t="str">
        <x:f>IF(L1747&lt;0,"Yes","No")</x:f>
        <x:v>No</x:v>
      </x:c>
    </x:row>
    <x:row r="1748" ht="21" customHeight="1">
      <x:c r="A1748" s="3" t="str">
        <x:v>ORD-101976</x:v>
      </x:c>
      <x:c r="B1748" s="5" t="n">
        <x:v>45770</x:v>
      </x:c>
      <x:c r="C1748" s="3" t="str">
        <x:v>CUST-00400</x:v>
      </x:c>
      <x:c r="D1748" s="3" t="str">
        <x:v>East</x:v>
      </x:c>
      <x:c r="E1748" s="3" t="str">
        <x:v>Sports</x:v>
      </x:c>
      <x:c r="F1748" s="3" t="str">
        <x:v>Outdoor</x:v>
      </x:c>
      <x:c r="G1748" s="3" t="str">
        <x:v>TrailHike Backpack 60L</x:v>
      </x:c>
      <x:c r="H1748" s="3" t="n">
        <x:v>2</x:v>
      </x:c>
      <x:c r="I1748" s="7" t="n">
        <x:v>3329.58</x:v>
      </x:c>
      <x:c r="J1748" s="9" t="n">
        <x:v>0</x:v>
      </x:c>
      <x:c r="K1748" s="7" t="n">
        <x:v>6659.16</x:v>
      </x:c>
      <x:c r="L1748" s="7" t="n">
        <x:v>2342.47</x:v>
      </x:c>
      <x:c r="M1748" s="3" t="str">
        <x:v>Cash on Delivery</x:v>
      </x:c>
      <x:c r="N1748" s="3" t="str">
        <x:f>TEXT(B1748,"yyyy-mm")</x:f>
        <x:v>2025-04</x:v>
      </x:c>
      <x:c r="O1748" s="3" t="str">
        <x:f>IF(J1748=0,"No discount",IF(J1748&lt;=0.1,"1-10%",IF(J1748&lt;=0.15,"11-15%",IF(J1748&lt;=0.2,"16-20%","21%+"))))</x:f>
        <x:v>No discount</x:v>
      </x:c>
      <x:c r="P1748" s="9" t="n">
        <x:f>IF(K1748=0,0,L1748/K1748)</x:f>
        <x:v>0.351766589179416</x:v>
      </x:c>
      <x:c r="Q1748" s="3" t="str">
        <x:f>IF(L1748&lt;0,"Yes","No")</x:f>
        <x:v>No</x:v>
      </x:c>
    </x:row>
    <x:row r="1749" ht="21" customHeight="1">
      <x:c r="A1749" s="3" t="str">
        <x:v>ORD-100685</x:v>
      </x:c>
      <x:c r="B1749" s="5" t="n">
        <x:v>45771</x:v>
      </x:c>
      <x:c r="C1749" s="3" t="str">
        <x:v>CUST-00283</x:v>
      </x:c>
      <x:c r="D1749" s="3" t="str">
        <x:v>North</x:v>
      </x:c>
      <x:c r="E1749" s="3" t="str">
        <x:v>Electronics</x:v>
      </x:c>
      <x:c r="F1749" s="3" t="str">
        <x:v>Audio</x:v>
      </x:c>
      <x:c r="G1749" s="3" t="str">
        <x:v>BassBoom Speaker</x:v>
      </x:c>
      <x:c r="H1749" s="3" t="n">
        <x:v>2</x:v>
      </x:c>
      <x:c r="I1749" s="7" t="n">
        <x:v>9096.82</x:v>
      </x:c>
      <x:c r="J1749" s="9" t="n">
        <x:v>0</x:v>
      </x:c>
      <x:c r="K1749" s="7" t="n">
        <x:v>18193.64</x:v>
      </x:c>
      <x:c r="L1749" s="7" t="n">
        <x:v>3575.83</x:v>
      </x:c>
      <x:c r="M1749" s="3" t="str">
        <x:v>Cash on Delivery</x:v>
      </x:c>
      <x:c r="N1749" s="3" t="str">
        <x:f>TEXT(B1749,"yyyy-mm")</x:f>
        <x:v>2025-04</x:v>
      </x:c>
      <x:c r="O1749" s="3" t="str">
        <x:f>IF(J1749=0,"No discount",IF(J1749&lt;=0.1,"1-10%",IF(J1749&lt;=0.15,"11-15%",IF(J1749&lt;=0.2,"16-20%","21%+"))))</x:f>
        <x:v>No discount</x:v>
      </x:c>
      <x:c r="P1749" s="9" t="n">
        <x:f>IF(K1749=0,0,L1749/K1749)</x:f>
        <x:v>0.19654285783383643</x:v>
      </x:c>
      <x:c r="Q1749" s="3" t="str">
        <x:f>IF(L1749&lt;0,"Yes","No")</x:f>
        <x:v>No</x:v>
      </x:c>
    </x:row>
    <x:row r="1750" ht="21" customHeight="1">
      <x:c r="A1750" s="3" t="str">
        <x:v>ORD-100729</x:v>
      </x:c>
      <x:c r="B1750" s="5" t="n">
        <x:v>45771</x:v>
      </x:c>
      <x:c r="C1750" s="3" t="str">
        <x:v>CUST-00415</x:v>
      </x:c>
      <x:c r="D1750" s="3" t="str">
        <x:v>West</x:v>
      </x:c>
      <x:c r="E1750" s="3" t="str">
        <x:v>Beauty</x:v>
      </x:c>
      <x:c r="F1750" s="3" t="str">
        <x:v>Makeup</x:v>
      </x:c>
      <x:c r="G1750" s="3" t="str">
        <x:v>Matte Lipstick Set</x:v>
      </x:c>
      <x:c r="H1750" s="3" t="n">
        <x:v>2</x:v>
      </x:c>
      <x:c r="I1750" s="7" t="n">
        <x:v>954.64</x:v>
      </x:c>
      <x:c r="J1750" s="9" t="n">
        <x:v>0.05</x:v>
      </x:c>
      <x:c r="K1750" s="7" t="n">
        <x:v>1813.82</x:v>
      </x:c>
      <x:c r="L1750" s="7" t="n">
        <x:v>877.68</x:v>
      </x:c>
      <x:c r="M1750" s="3" t="str">
        <x:v>Cash on Delivery</x:v>
      </x:c>
      <x:c r="N1750" s="3" t="str">
        <x:f>TEXT(B1750,"yyyy-mm")</x:f>
        <x:v>2025-04</x:v>
      </x:c>
      <x:c r="O1750" s="3" t="str">
        <x:f>IF(J1750=0,"No discount",IF(J1750&lt;=0.1,"1-10%",IF(J1750&lt;=0.15,"11-15%",IF(J1750&lt;=0.2,"16-20%","21%+"))))</x:f>
        <x:v>1-10%</x:v>
      </x:c>
      <x:c r="P1750" s="9" t="n">
        <x:f>IF(K1750=0,0,L1750/K1750)</x:f>
        <x:v>0.4838848397305135</x:v>
      </x:c>
      <x:c r="Q1750" s="3" t="str">
        <x:f>IF(L1750&lt;0,"Yes","No")</x:f>
        <x:v>No</x:v>
      </x:c>
    </x:row>
    <x:row r="1751" ht="21" customHeight="1">
      <x:c r="A1751" s="3" t="str">
        <x:v>ORD-100973</x:v>
      </x:c>
      <x:c r="B1751" s="5" t="n">
        <x:v>45771</x:v>
      </x:c>
      <x:c r="C1751" s="3" t="str">
        <x:v>CUST-00308</x:v>
      </x:c>
      <x:c r="D1751" s="3" t="str">
        <x:v>West</x:v>
      </x:c>
      <x:c r="E1751" s="3" t="str">
        <x:v>Fashion</x:v>
      </x:c>
      <x:c r="F1751" s="3" t="str">
        <x:v>Women</x:v>
      </x:c>
      <x:c r="G1751" s="3" t="str">
        <x:v>Floral Summer Dress</x:v>
      </x:c>
      <x:c r="H1751" s="3" t="n">
        <x:v>4</x:v>
      </x:c>
      <x:c r="I1751" s="7" t="n">
        <x:v>1762.39</x:v>
      </x:c>
      <x:c r="J1751" s="9" t="n">
        <x:v>0.25</x:v>
      </x:c>
      <x:c r="K1751" s="7" t="n">
        <x:v>5287.17</x:v>
      </x:c>
      <x:c r="L1751" s="7" t="n">
        <x:v>870.14</x:v>
      </x:c>
      <x:c r="M1751" s="3" t="str">
        <x:v>Net Banking</x:v>
      </x:c>
      <x:c r="N1751" s="3" t="str">
        <x:f>TEXT(B1751,"yyyy-mm")</x:f>
        <x:v>2025-04</x:v>
      </x:c>
      <x:c r="O1751" s="3" t="str">
        <x:f>IF(J1751=0,"No discount",IF(J1751&lt;=0.1,"1-10%",IF(J1751&lt;=0.15,"11-15%",IF(J1751&lt;=0.2,"16-20%","21%+"))))</x:f>
        <x:v>21%+</x:v>
      </x:c>
      <x:c r="P1751" s="9" t="n">
        <x:f>IF(K1751=0,0,L1751/K1751)</x:f>
        <x:v>0.1645757560282722</x:v>
      </x:c>
      <x:c r="Q1751" s="3" t="str">
        <x:f>IF(L1751&lt;0,"Yes","No")</x:f>
        <x:v>No</x:v>
      </x:c>
    </x:row>
    <x:row r="1752" ht="21" customHeight="1">
      <x:c r="A1752" s="3" t="str">
        <x:v>ORD-101359</x:v>
      </x:c>
      <x:c r="B1752" s="5" t="n">
        <x:v>45772</x:v>
      </x:c>
      <x:c r="C1752" s="3" t="str">
        <x:v>CUST-00016</x:v>
      </x:c>
      <x:c r="D1752" s="3" t="str">
        <x:v>West</x:v>
      </x:c>
      <x:c r="E1752" s="3" t="str">
        <x:v>Fashion</x:v>
      </x:c>
      <x:c r="F1752" s="3" t="str">
        <x:v>Women</x:v>
      </x:c>
      <x:c r="G1752" s="3" t="str">
        <x:v>Floral Summer Dress</x:v>
      </x:c>
      <x:c r="H1752" s="3" t="n">
        <x:v>3</x:v>
      </x:c>
      <x:c r="I1752" s="7" t="n">
        <x:v>1727.14</x:v>
      </x:c>
      <x:c r="J1752" s="9" t="n">
        <x:v>0.1</x:v>
      </x:c>
      <x:c r="K1752" s="7" t="n">
        <x:v>4663.28</x:v>
      </x:c>
      <x:c r="L1752" s="7" t="n">
        <x:v>1464.87</x:v>
      </x:c>
      <x:c r="M1752" s="3" t="str">
        <x:v>Credit Card</x:v>
      </x:c>
      <x:c r="N1752" s="3" t="str">
        <x:f>TEXT(B1752,"yyyy-mm")</x:f>
        <x:v>2025-04</x:v>
      </x:c>
      <x:c r="O1752" s="3" t="str">
        <x:f>IF(J1752=0,"No discount",IF(J1752&lt;=0.1,"1-10%",IF(J1752&lt;=0.15,"11-15%",IF(J1752&lt;=0.2,"16-20%","21%+"))))</x:f>
        <x:v>1-10%</x:v>
      </x:c>
      <x:c r="P1752" s="9" t="n">
        <x:f>IF(K1752=0,0,L1752/K1752)</x:f>
        <x:v>0.3141286819577636</x:v>
      </x:c>
      <x:c r="Q1752" s="3" t="str">
        <x:f>IF(L1752&lt;0,"Yes","No")</x:f>
        <x:v>No</x:v>
      </x:c>
    </x:row>
    <x:row r="1753" ht="21" customHeight="1">
      <x:c r="A1753" s="3" t="str">
        <x:v>ORD-101401</x:v>
      </x:c>
      <x:c r="B1753" s="5" t="n">
        <x:v>45773</x:v>
      </x:c>
      <x:c r="C1753" s="3" t="str">
        <x:v>CUST-00097</x:v>
      </x:c>
      <x:c r="D1753" s="3" t="str">
        <x:v>East</x:v>
      </x:c>
      <x:c r="E1753" s="3" t="str">
        <x:v>Beauty</x:v>
      </x:c>
      <x:c r="F1753" s="3" t="str">
        <x:v>Makeup</x:v>
      </x:c>
      <x:c r="G1753" s="3" t="str">
        <x:v>HD Foundation Kit</x:v>
      </x:c>
      <x:c r="H1753" s="3" t="n">
        <x:v>2</x:v>
      </x:c>
      <x:c r="I1753" s="7" t="n">
        <x:v>1512.27</x:v>
      </x:c>
      <x:c r="J1753" s="9" t="n">
        <x:v>0</x:v>
      </x:c>
      <x:c r="K1753" s="7" t="n">
        <x:v>3024.54</x:v>
      </x:c>
      <x:c r="L1753" s="7" t="n">
        <x:v>1618.24</x:v>
      </x:c>
      <x:c r="M1753" s="3" t="str">
        <x:v>Credit Card</x:v>
      </x:c>
      <x:c r="N1753" s="3" t="str">
        <x:f>TEXT(B1753,"yyyy-mm")</x:f>
        <x:v>2025-04</x:v>
      </x:c>
      <x:c r="O1753" s="3" t="str">
        <x:f>IF(J1753=0,"No discount",IF(J1753&lt;=0.1,"1-10%",IF(J1753&lt;=0.15,"11-15%",IF(J1753&lt;=0.2,"16-20%","21%+"))))</x:f>
        <x:v>No discount</x:v>
      </x:c>
      <x:c r="P1753" s="9" t="n">
        <x:f>IF(K1753=0,0,L1753/K1753)</x:f>
        <x:v>0.5350367328585504</x:v>
      </x:c>
      <x:c r="Q1753" s="3" t="str">
        <x:f>IF(L1753&lt;0,"Yes","No")</x:f>
        <x:v>No</x:v>
      </x:c>
    </x:row>
    <x:row r="1754" ht="21" customHeight="1">
      <x:c r="A1754" s="3" t="str">
        <x:v>ORD-101713</x:v>
      </x:c>
      <x:c r="B1754" s="5" t="n">
        <x:v>45773</x:v>
      </x:c>
      <x:c r="C1754" s="3" t="str">
        <x:v>CUST-00554</x:v>
      </x:c>
      <x:c r="D1754" s="3" t="str">
        <x:v>South</x:v>
      </x:c>
      <x:c r="E1754" s="3" t="str">
        <x:v>Electronics</x:v>
      </x:c>
      <x:c r="F1754" s="3" t="str">
        <x:v>Laptop</x:v>
      </x:c>
      <x:c r="G1754" s="3" t="str">
        <x:v>ThinkPro 14</x:v>
      </x:c>
      <x:c r="H1754" s="3" t="n">
        <x:v>1</x:v>
      </x:c>
      <x:c r="I1754" s="7" t="n">
        <x:v>53371.72</x:v>
      </x:c>
      <x:c r="J1754" s="9" t="n">
        <x:v>0</x:v>
      </x:c>
      <x:c r="K1754" s="7" t="n">
        <x:v>53371.72</x:v>
      </x:c>
      <x:c r="L1754" s="7" t="n">
        <x:v>10937.05</x:v>
      </x:c>
      <x:c r="M1754" s="3" t="str">
        <x:v>UPI</x:v>
      </x:c>
      <x:c r="N1754" s="3" t="str">
        <x:f>TEXT(B1754,"yyyy-mm")</x:f>
        <x:v>2025-04</x:v>
      </x:c>
      <x:c r="O1754" s="3" t="str">
        <x:f>IF(J1754=0,"No discount",IF(J1754&lt;=0.1,"1-10%",IF(J1754&lt;=0.15,"11-15%",IF(J1754&lt;=0.2,"16-20%","21%+"))))</x:f>
        <x:v>No discount</x:v>
      </x:c>
      <x:c r="P1754" s="9" t="n">
        <x:f>IF(K1754=0,0,L1754/K1754)</x:f>
        <x:v>0.20492219475032844</x:v>
      </x:c>
      <x:c r="Q1754" s="3" t="str">
        <x:f>IF(L1754&lt;0,"Yes","No")</x:f>
        <x:v>No</x:v>
      </x:c>
    </x:row>
    <x:row r="1755" ht="21" customHeight="1">
      <x:c r="A1755" s="3" t="str">
        <x:v>ORD-101721</x:v>
      </x:c>
      <x:c r="B1755" s="5" t="n">
        <x:v>45773</x:v>
      </x:c>
      <x:c r="C1755" s="3" t="str">
        <x:v>CUST-00079</x:v>
      </x:c>
      <x:c r="D1755" s="3" t="str">
        <x:v>East</x:v>
      </x:c>
      <x:c r="E1755" s="3" t="str">
        <x:v>Home &amp; Kitchen</x:v>
      </x:c>
      <x:c r="F1755" s="3" t="str">
        <x:v>Decor</x:v>
      </x:c>
      <x:c r="G1755" s="3" t="str">
        <x:v>LED Wall Lamp</x:v>
      </x:c>
      <x:c r="H1755" s="3" t="n">
        <x:v>1</x:v>
      </x:c>
      <x:c r="I1755" s="7" t="n">
        <x:v>1002.45</x:v>
      </x:c>
      <x:c r="J1755" s="9" t="n">
        <x:v>0.15</x:v>
      </x:c>
      <x:c r="K1755" s="7" t="n">
        <x:v>852.08</x:v>
      </x:c>
      <x:c r="L1755" s="7" t="n">
        <x:v>159.15</x:v>
      </x:c>
      <x:c r="M1755" s="3" t="str">
        <x:v>UPI</x:v>
      </x:c>
      <x:c r="N1755" s="3" t="str">
        <x:f>TEXT(B1755,"yyyy-mm")</x:f>
        <x:v>2025-04</x:v>
      </x:c>
      <x:c r="O1755" s="3" t="str">
        <x:f>IF(J1755=0,"No discount",IF(J1755&lt;=0.1,"1-10%",IF(J1755&lt;=0.15,"11-15%",IF(J1755&lt;=0.2,"16-20%","21%+"))))</x:f>
        <x:v>11-15%</x:v>
      </x:c>
      <x:c r="P1755" s="9" t="n">
        <x:f>IF(K1755=0,0,L1755/K1755)</x:f>
        <x:v>0.18677823678527838</x:v>
      </x:c>
      <x:c r="Q1755" s="3" t="str">
        <x:f>IF(L1755&lt;0,"Yes","No")</x:f>
        <x:v>No</x:v>
      </x:c>
    </x:row>
    <x:row r="1756" ht="21" customHeight="1">
      <x:c r="A1756" s="3" t="str">
        <x:v>ORD-100078</x:v>
      </x:c>
      <x:c r="B1756" s="5" t="n">
        <x:v>45774</x:v>
      </x:c>
      <x:c r="C1756" s="3" t="str">
        <x:v>CUST-00575</x:v>
      </x:c>
      <x:c r="D1756" s="3" t="str">
        <x:v>West</x:v>
      </x:c>
      <x:c r="E1756" s="3" t="str">
        <x:v>Electronics</x:v>
      </x:c>
      <x:c r="F1756" s="3" t="str">
        <x:v>Laptop</x:v>
      </x:c>
      <x:c r="G1756" s="3" t="str">
        <x:v>ThinkPro 14</x:v>
      </x:c>
      <x:c r="H1756" s="3" t="n">
        <x:v>1</x:v>
      </x:c>
      <x:c r="I1756" s="7" t="n">
        <x:v>55946.86</x:v>
      </x:c>
      <x:c r="J1756" s="9" t="n">
        <x:v>0.1</x:v>
      </x:c>
      <x:c r="K1756" s="7" t="n">
        <x:v>50352.17</x:v>
      </x:c>
      <x:c r="L1756" s="7" t="n">
        <x:v>3613.51</x:v>
      </x:c>
      <x:c r="M1756" s="3" t="str">
        <x:v>Cash on Delivery</x:v>
      </x:c>
      <x:c r="N1756" s="3" t="str">
        <x:f>TEXT(B1756,"yyyy-mm")</x:f>
        <x:v>2025-04</x:v>
      </x:c>
      <x:c r="O1756" s="3" t="str">
        <x:f>IF(J1756=0,"No discount",IF(J1756&lt;=0.1,"1-10%",IF(J1756&lt;=0.15,"11-15%",IF(J1756&lt;=0.2,"16-20%","21%+"))))</x:f>
        <x:v>1-10%</x:v>
      </x:c>
      <x:c r="P1756" s="9" t="n">
        <x:f>IF(K1756=0,0,L1756/K1756)</x:f>
        <x:v>0.07176473228462647</x:v>
      </x:c>
      <x:c r="Q1756" s="3" t="str">
        <x:f>IF(L1756&lt;0,"Yes","No")</x:f>
        <x:v>No</x:v>
      </x:c>
    </x:row>
    <x:row r="1757" ht="21" customHeight="1">
      <x:c r="A1757" s="3" t="str">
        <x:v>ORD-100552</x:v>
      </x:c>
      <x:c r="B1757" s="5" t="n">
        <x:v>45774</x:v>
      </x:c>
      <x:c r="C1757" s="3" t="str">
        <x:v>CUST-00461</x:v>
      </x:c>
      <x:c r="D1757" s="3" t="str">
        <x:v>North</x:v>
      </x:c>
      <x:c r="E1757" s="3" t="str">
        <x:v>Fashion</x:v>
      </x:c>
      <x:c r="F1757" s="3" t="str">
        <x:v>Women</x:v>
      </x:c>
      <x:c r="G1757" s="3" t="str">
        <x:v>Floral Summer Dress</x:v>
      </x:c>
      <x:c r="H1757" s="3" t="n">
        <x:v>1</x:v>
      </x:c>
      <x:c r="I1757" s="7" t="n">
        <x:v>1735.7</x:v>
      </x:c>
      <x:c r="J1757" s="9" t="n">
        <x:v>0.15</x:v>
      </x:c>
      <x:c r="K1757" s="7" t="n">
        <x:v>1475.35</x:v>
      </x:c>
      <x:c r="L1757" s="7" t="n">
        <x:v>355.93</x:v>
      </x:c>
      <x:c r="M1757" s="3" t="str">
        <x:v>Net Banking</x:v>
      </x:c>
      <x:c r="N1757" s="3" t="str">
        <x:f>TEXT(B1757,"yyyy-mm")</x:f>
        <x:v>2025-04</x:v>
      </x:c>
      <x:c r="O1757" s="3" t="str">
        <x:f>IF(J1757=0,"No discount",IF(J1757&lt;=0.1,"1-10%",IF(J1757&lt;=0.15,"11-15%",IF(J1757&lt;=0.2,"16-20%","21%+"))))</x:f>
        <x:v>11-15%</x:v>
      </x:c>
      <x:c r="P1757" s="9" t="n">
        <x:f>IF(K1757=0,0,L1757/K1757)</x:f>
        <x:v>0.24125122852204564</x:v>
      </x:c>
      <x:c r="Q1757" s="3" t="str">
        <x:f>IF(L1757&lt;0,"Yes","No")</x:f>
        <x:v>No</x:v>
      </x:c>
    </x:row>
    <x:row r="1758" ht="21" customHeight="1">
      <x:c r="A1758" s="3" t="str">
        <x:v>ORD-101272</x:v>
      </x:c>
      <x:c r="B1758" s="5" t="n">
        <x:v>45774</x:v>
      </x:c>
      <x:c r="C1758" s="3" t="str">
        <x:v>CUST-00090</x:v>
      </x:c>
      <x:c r="D1758" s="3" t="str">
        <x:v>South</x:v>
      </x:c>
      <x:c r="E1758" s="3" t="str">
        <x:v>Electronics</x:v>
      </x:c>
      <x:c r="F1758" s="3" t="str">
        <x:v>Audio</x:v>
      </x:c>
      <x:c r="G1758" s="3" t="str">
        <x:v>SoundPods Pro</x:v>
      </x:c>
      <x:c r="H1758" s="3" t="n">
        <x:v>1</x:v>
      </x:c>
      <x:c r="I1758" s="7" t="n">
        <x:v>4851.01</x:v>
      </x:c>
      <x:c r="J1758" s="9" t="n">
        <x:v>0.05</x:v>
      </x:c>
      <x:c r="K1758" s="7" t="n">
        <x:v>4608.46</x:v>
      </x:c>
      <x:c r="L1758" s="7" t="n">
        <x:v>583.98</x:v>
      </x:c>
      <x:c r="M1758" s="3" t="str">
        <x:v>Credit Card</x:v>
      </x:c>
      <x:c r="N1758" s="3" t="str">
        <x:f>TEXT(B1758,"yyyy-mm")</x:f>
        <x:v>2025-04</x:v>
      </x:c>
      <x:c r="O1758" s="3" t="str">
        <x:f>IF(J1758=0,"No discount",IF(J1758&lt;=0.1,"1-10%",IF(J1758&lt;=0.15,"11-15%",IF(J1758&lt;=0.2,"16-20%","21%+"))))</x:f>
        <x:v>1-10%</x:v>
      </x:c>
      <x:c r="P1758" s="9" t="n">
        <x:f>IF(K1758=0,0,L1758/K1758)</x:f>
        <x:v>0.1267191209210886</x:v>
      </x:c>
      <x:c r="Q1758" s="3" t="str">
        <x:f>IF(L1758&lt;0,"Yes","No")</x:f>
        <x:v>No</x:v>
      </x:c>
    </x:row>
    <x:row r="1759" ht="21" customHeight="1">
      <x:c r="A1759" s="3" t="str">
        <x:v>ORD-101552</x:v>
      </x:c>
      <x:c r="B1759" s="5" t="n">
        <x:v>45774</x:v>
      </x:c>
      <x:c r="C1759" s="3" t="str">
        <x:v>CUST-00468</x:v>
      </x:c>
      <x:c r="D1759" s="3" t="str">
        <x:v>West</x:v>
      </x:c>
      <x:c r="E1759" s="3" t="str">
        <x:v>Electronics</x:v>
      </x:c>
      <x:c r="F1759" s="3" t="str">
        <x:v>Laptop</x:v>
      </x:c>
      <x:c r="G1759" s="3" t="str">
        <x:v>AirBook Slim</x:v>
      </x:c>
      <x:c r="H1759" s="3" t="n">
        <x:v>1</x:v>
      </x:c>
      <x:c r="I1759" s="7" t="n">
        <x:v>79895.2</x:v>
      </x:c>
      <x:c r="J1759" s="9" t="n">
        <x:v>0.3</x:v>
      </x:c>
      <x:c r="K1759" s="7" t="n">
        <x:v>55926.64</x:v>
      </x:c>
      <x:c r="L1759" s="7" t="n">
        <x:v>-8511.92</x:v>
      </x:c>
      <x:c r="M1759" s="3" t="str">
        <x:v>Net Banking</x:v>
      </x:c>
      <x:c r="N1759" s="3" t="str">
        <x:f>TEXT(B1759,"yyyy-mm")</x:f>
        <x:v>2025-04</x:v>
      </x:c>
      <x:c r="O1759" s="3" t="str">
        <x:f>IF(J1759=0,"No discount",IF(J1759&lt;=0.1,"1-10%",IF(J1759&lt;=0.15,"11-15%",IF(J1759&lt;=0.2,"16-20%","21%+"))))</x:f>
        <x:v>21%+</x:v>
      </x:c>
      <x:c r="P1759" s="9" t="n">
        <x:f>IF(K1759=0,0,L1759/K1759)</x:f>
        <x:v>-0.15219795074404613</x:v>
      </x:c>
      <x:c r="Q1759" s="3" t="str">
        <x:f>IF(L1759&lt;0,"Yes","No")</x:f>
        <x:v>Yes</x:v>
      </x:c>
    </x:row>
    <x:row r="1760" ht="21" customHeight="1">
      <x:c r="A1760" s="3" t="str">
        <x:v>ORD-101694</x:v>
      </x:c>
      <x:c r="B1760" s="5" t="n">
        <x:v>45774</x:v>
      </x:c>
      <x:c r="C1760" s="3" t="str">
        <x:v>CUST-00006</x:v>
      </x:c>
      <x:c r="D1760" s="3" t="str">
        <x:v>East</x:v>
      </x:c>
      <x:c r="E1760" s="3" t="str">
        <x:v>Electronics</x:v>
      </x:c>
      <x:c r="F1760" s="3" t="str">
        <x:v>Audio</x:v>
      </x:c>
      <x:c r="G1760" s="3" t="str">
        <x:v>SoundPods Pro</x:v>
      </x:c>
      <x:c r="H1760" s="3" t="n">
        <x:v>3</x:v>
      </x:c>
      <x:c r="I1760" s="7" t="n">
        <x:v>5159.98</x:v>
      </x:c>
      <x:c r="J1760" s="9" t="n">
        <x:v>0.1</x:v>
      </x:c>
      <x:c r="K1760" s="7" t="n">
        <x:v>13931.95</x:v>
      </x:c>
      <x:c r="L1760" s="7" t="n">
        <x:v>432.27</x:v>
      </x:c>
      <x:c r="M1760" s="3" t="str">
        <x:v>UPI</x:v>
      </x:c>
      <x:c r="N1760" s="3" t="str">
        <x:f>TEXT(B1760,"yyyy-mm")</x:f>
        <x:v>2025-04</x:v>
      </x:c>
      <x:c r="O1760" s="3" t="str">
        <x:f>IF(J1760=0,"No discount",IF(J1760&lt;=0.1,"1-10%",IF(J1760&lt;=0.15,"11-15%",IF(J1760&lt;=0.2,"16-20%","21%+"))))</x:f>
        <x:v>1-10%</x:v>
      </x:c>
      <x:c r="P1760" s="9" t="n">
        <x:f>IF(K1760=0,0,L1760/K1760)</x:f>
        <x:v>0.031027243135383055</x:v>
      </x:c>
      <x:c r="Q1760" s="3" t="str">
        <x:f>IF(L1760&lt;0,"Yes","No")</x:f>
        <x:v>No</x:v>
      </x:c>
    </x:row>
    <x:row r="1761" ht="21" customHeight="1">
      <x:c r="A1761" s="3" t="str">
        <x:v>ORD-100158</x:v>
      </x:c>
      <x:c r="B1761" s="5" t="n">
        <x:v>45775</x:v>
      </x:c>
      <x:c r="C1761" s="3" t="str">
        <x:v>CUST-00419</x:v>
      </x:c>
      <x:c r="D1761" s="3" t="str">
        <x:v>West</x:v>
      </x:c>
      <x:c r="E1761" s="3" t="str">
        <x:v>Home &amp; Kitchen</x:v>
      </x:c>
      <x:c r="F1761" s="3" t="str">
        <x:v>Furniture</x:v>
      </x:c>
      <x:c r="G1761" s="3" t="str">
        <x:v>Oakwood Study Desk</x:v>
      </x:c>
      <x:c r="H1761" s="3" t="n">
        <x:v>2</x:v>
      </x:c>
      <x:c r="I1761" s="7" t="n">
        <x:v>12796.9</x:v>
      </x:c>
      <x:c r="J1761" s="9" t="n">
        <x:v>0</x:v>
      </x:c>
      <x:c r="K1761" s="7" t="n">
        <x:v>25593.8</x:v>
      </x:c>
      <x:c r="L1761" s="7" t="n">
        <x:v>7552.75</x:v>
      </x:c>
      <x:c r="M1761" s="3" t="str">
        <x:v>Cash on Delivery</x:v>
      </x:c>
      <x:c r="N1761" s="3" t="str">
        <x:f>TEXT(B1761,"yyyy-mm")</x:f>
        <x:v>2025-04</x:v>
      </x:c>
      <x:c r="O1761" s="3" t="str">
        <x:f>IF(J1761=0,"No discount",IF(J1761&lt;=0.1,"1-10%",IF(J1761&lt;=0.15,"11-15%",IF(J1761&lt;=0.2,"16-20%","21%+"))))</x:f>
        <x:v>No discount</x:v>
      </x:c>
      <x:c r="P1761" s="9" t="n">
        <x:f>IF(K1761=0,0,L1761/K1761)</x:f>
        <x:v>0.295100766591909</x:v>
      </x:c>
      <x:c r="Q1761" s="3" t="str">
        <x:f>IF(L1761&lt;0,"Yes","No")</x:f>
        <x:v>No</x:v>
      </x:c>
    </x:row>
    <x:row r="1762" ht="21" customHeight="1">
      <x:c r="A1762" s="3" t="str">
        <x:v>ORD-100784</x:v>
      </x:c>
      <x:c r="B1762" s="5" t="n">
        <x:v>45775</x:v>
      </x:c>
      <x:c r="C1762" s="3" t="str">
        <x:v>CUST-00018</x:v>
      </x:c>
      <x:c r="D1762" s="3" t="str">
        <x:v>North</x:v>
      </x:c>
      <x:c r="E1762" s="3" t="str">
        <x:v>Electronics</x:v>
      </x:c>
      <x:c r="F1762" s="3" t="str">
        <x:v>Mobile</x:v>
      </x:c>
      <x:c r="G1762" s="3" t="str">
        <x:v>iPhone Zeta</x:v>
      </x:c>
      <x:c r="H1762" s="3" t="n">
        <x:v>2</x:v>
      </x:c>
      <x:c r="I1762" s="7" t="n">
        <x:v>68964.02</x:v>
      </x:c>
      <x:c r="J1762" s="9" t="n">
        <x:v>0</x:v>
      </x:c>
      <x:c r="K1762" s="7" t="n">
        <x:v>137928.04</x:v>
      </x:c>
      <x:c r="L1762" s="7" t="n">
        <x:v>24538.28</x:v>
      </x:c>
      <x:c r="M1762" s="3" t="str">
        <x:v>Net Banking</x:v>
      </x:c>
      <x:c r="N1762" s="3" t="str">
        <x:f>TEXT(B1762,"yyyy-mm")</x:f>
        <x:v>2025-04</x:v>
      </x:c>
      <x:c r="O1762" s="3" t="str">
        <x:f>IF(J1762=0,"No discount",IF(J1762&lt;=0.1,"1-10%",IF(J1762&lt;=0.15,"11-15%",IF(J1762&lt;=0.2,"16-20%","21%+"))))</x:f>
        <x:v>No discount</x:v>
      </x:c>
      <x:c r="P1762" s="9" t="n">
        <x:f>IF(K1762=0,0,L1762/K1762)</x:f>
        <x:v>0.17790639234777786</x:v>
      </x:c>
      <x:c r="Q1762" s="3" t="str">
        <x:f>IF(L1762&lt;0,"Yes","No")</x:f>
        <x:v>No</x:v>
      </x:c>
    </x:row>
    <x:row r="1763" ht="21" customHeight="1">
      <x:c r="A1763" s="3" t="str">
        <x:v>ORD-101526</x:v>
      </x:c>
      <x:c r="B1763" s="5" t="n">
        <x:v>45775</x:v>
      </x:c>
      <x:c r="C1763" s="3" t="str">
        <x:v>CUST-00147</x:v>
      </x:c>
      <x:c r="D1763" s="3" t="str">
        <x:v>West</x:v>
      </x:c>
      <x:c r="E1763" s="3" t="str">
        <x:v>Beauty</x:v>
      </x:c>
      <x:c r="F1763" s="3" t="str">
        <x:v>Skincare</x:v>
      </x:c>
      <x:c r="G1763" s="3" t="str">
        <x:v>Vitamin C Serum</x:v>
      </x:c>
      <x:c r="H1763" s="3" t="n">
        <x:v>2</x:v>
      </x:c>
      <x:c r="I1763" s="7" t="n">
        <x:v>913.24</x:v>
      </x:c>
      <x:c r="J1763" s="9" t="n">
        <x:v>0.05</x:v>
      </x:c>
      <x:c r="K1763" s="7" t="n">
        <x:v>1735.16</x:v>
      </x:c>
      <x:c r="L1763" s="7" t="n">
        <x:v>916.55</x:v>
      </x:c>
      <x:c r="M1763" s="3" t="str">
        <x:v>UPI</x:v>
      </x:c>
      <x:c r="N1763" s="3" t="str">
        <x:f>TEXT(B1763,"yyyy-mm")</x:f>
        <x:v>2025-04</x:v>
      </x:c>
      <x:c r="O1763" s="3" t="str">
        <x:f>IF(J1763=0,"No discount",IF(J1763&lt;=0.1,"1-10%",IF(J1763&lt;=0.15,"11-15%",IF(J1763&lt;=0.2,"16-20%","21%+"))))</x:f>
        <x:v>1-10%</x:v>
      </x:c>
      <x:c r="P1763" s="9" t="n">
        <x:f>IF(K1763=0,0,L1763/K1763)</x:f>
        <x:v>0.5282221812397704</x:v>
      </x:c>
      <x:c r="Q1763" s="3" t="str">
        <x:f>IF(L1763&lt;0,"Yes","No")</x:f>
        <x:v>No</x:v>
      </x:c>
    </x:row>
    <x:row r="1764" ht="21" customHeight="1">
      <x:c r="A1764" s="3" t="str">
        <x:v>ORD-101700</x:v>
      </x:c>
      <x:c r="B1764" s="5" t="n">
        <x:v>45775</x:v>
      </x:c>
      <x:c r="C1764" s="3" t="str">
        <x:v>CUST-00136</x:v>
      </x:c>
      <x:c r="D1764" s="3" t="str">
        <x:v>South</x:v>
      </x:c>
      <x:c r="E1764" s="3" t="str">
        <x:v>Beauty</x:v>
      </x:c>
      <x:c r="F1764" s="3" t="str">
        <x:v>Skincare</x:v>
      </x:c>
      <x:c r="G1764" s="3" t="str">
        <x:v>HydraBoost Moisturizer</x:v>
      </x:c>
      <x:c r="H1764" s="3" t="n">
        <x:v>4</x:v>
      </x:c>
      <x:c r="I1764" s="7" t="n">
        <x:v>1225.29</x:v>
      </x:c>
      <x:c r="J1764" s="9" t="n">
        <x:v>0.1</x:v>
      </x:c>
      <x:c r="K1764" s="7" t="n">
        <x:v>4411.04</x:v>
      </x:c>
      <x:c r="L1764" s="7" t="n">
        <x:v>2054.51</x:v>
      </x:c>
      <x:c r="M1764" s="3" t="str">
        <x:v>UPI</x:v>
      </x:c>
      <x:c r="N1764" s="3" t="str">
        <x:f>TEXT(B1764,"yyyy-mm")</x:f>
        <x:v>2025-04</x:v>
      </x:c>
      <x:c r="O1764" s="3" t="str">
        <x:f>IF(J1764=0,"No discount",IF(J1764&lt;=0.1,"1-10%",IF(J1764&lt;=0.15,"11-15%",IF(J1764&lt;=0.2,"16-20%","21%+"))))</x:f>
        <x:v>1-10%</x:v>
      </x:c>
      <x:c r="P1764" s="9" t="n">
        <x:f>IF(K1764=0,0,L1764/K1764)</x:f>
        <x:v>0.465765443070115</x:v>
      </x:c>
      <x:c r="Q1764" s="3" t="str">
        <x:f>IF(L1764&lt;0,"Yes","No")</x:f>
        <x:v>No</x:v>
      </x:c>
    </x:row>
    <x:row r="1765" ht="21" customHeight="1">
      <x:c r="A1765" s="3" t="str">
        <x:v>ORD-100049</x:v>
      </x:c>
      <x:c r="B1765" s="5" t="n">
        <x:v>45776</x:v>
      </x:c>
      <x:c r="C1765" s="3" t="str">
        <x:v>CUST-00353</x:v>
      </x:c>
      <x:c r="D1765" s="3" t="str">
        <x:v>South</x:v>
      </x:c>
      <x:c r="E1765" s="3" t="str">
        <x:v>Sports</x:v>
      </x:c>
      <x:c r="F1765" s="3" t="str">
        <x:v>Outdoor</x:v>
      </x:c>
      <x:c r="G1765" s="3" t="str">
        <x:v>AllWeather Tent 4P</x:v>
      </x:c>
      <x:c r="H1765" s="3" t="n">
        <x:v>3</x:v>
      </x:c>
      <x:c r="I1765" s="7" t="n">
        <x:v>11664.94</x:v>
      </x:c>
      <x:c r="J1765" s="9" t="n">
        <x:v>0</x:v>
      </x:c>
      <x:c r="K1765" s="7" t="n">
        <x:v>34994.82</x:v>
      </x:c>
      <x:c r="L1765" s="7" t="n">
        <x:v>13834.96</x:v>
      </x:c>
      <x:c r="M1765" s="3" t="str">
        <x:v>Credit Card</x:v>
      </x:c>
      <x:c r="N1765" s="3" t="str">
        <x:f>TEXT(B1765,"yyyy-mm")</x:f>
        <x:v>2025-04</x:v>
      </x:c>
      <x:c r="O1765" s="3" t="str">
        <x:f>IF(J1765=0,"No discount",IF(J1765&lt;=0.1,"1-10%",IF(J1765&lt;=0.15,"11-15%",IF(J1765&lt;=0.2,"16-20%","21%+"))))</x:f>
        <x:v>No discount</x:v>
      </x:c>
      <x:c r="P1765" s="9" t="n">
        <x:f>IF(K1765=0,0,L1765/K1765)</x:f>
        <x:v>0.3953430822047377</x:v>
      </x:c>
      <x:c r="Q1765" s="3" t="str">
        <x:f>IF(L1765&lt;0,"Yes","No")</x:f>
        <x:v>No</x:v>
      </x:c>
    </x:row>
    <x:row r="1766" ht="21" customHeight="1">
      <x:c r="A1766" s="3" t="str">
        <x:v>ORD-100119</x:v>
      </x:c>
      <x:c r="B1766" s="5" t="n">
        <x:v>45776</x:v>
      </x:c>
      <x:c r="C1766" s="3" t="str">
        <x:v>CUST-00196</x:v>
      </x:c>
      <x:c r="D1766" s="3" t="str">
        <x:v>South</x:v>
      </x:c>
      <x:c r="E1766" s="3" t="str">
        <x:v>Electronics</x:v>
      </x:c>
      <x:c r="F1766" s="3" t="str">
        <x:v>Audio</x:v>
      </x:c>
      <x:c r="G1766" s="3" t="str">
        <x:v>BassBoom Speaker</x:v>
      </x:c>
      <x:c r="H1766" s="3" t="n">
        <x:v>1</x:v>
      </x:c>
      <x:c r="I1766" s="7" t="n">
        <x:v>9260.97</x:v>
      </x:c>
      <x:c r="J1766" s="9" t="n">
        <x:v>0</x:v>
      </x:c>
      <x:c r="K1766" s="7" t="n">
        <x:v>9260.97</x:v>
      </x:c>
      <x:c r="L1766" s="7" t="n">
        <x:v>1952.8</x:v>
      </x:c>
      <x:c r="M1766" s="3" t="str">
        <x:v>UPI</x:v>
      </x:c>
      <x:c r="N1766" s="3" t="str">
        <x:f>TEXT(B1766,"yyyy-mm")</x:f>
        <x:v>2025-04</x:v>
      </x:c>
      <x:c r="O1766" s="3" t="str">
        <x:f>IF(J1766=0,"No discount",IF(J1766&lt;=0.1,"1-10%",IF(J1766&lt;=0.15,"11-15%",IF(J1766&lt;=0.2,"16-20%","21%+"))))</x:f>
        <x:v>No discount</x:v>
      </x:c>
      <x:c r="P1766" s="9" t="n">
        <x:f>IF(K1766=0,0,L1766/K1766)</x:f>
        <x:v>0.21086344087066475</x:v>
      </x:c>
      <x:c r="Q1766" s="3" t="str">
        <x:f>IF(L1766&lt;0,"Yes","No")</x:f>
        <x:v>No</x:v>
      </x:c>
    </x:row>
    <x:row r="1767" ht="21" customHeight="1">
      <x:c r="A1767" s="3" t="str">
        <x:v>ORD-100255</x:v>
      </x:c>
      <x:c r="B1767" s="5" t="n">
        <x:v>45776</x:v>
      </x:c>
      <x:c r="C1767" s="3" t="str">
        <x:v>CUST-00283</x:v>
      </x:c>
      <x:c r="D1767" s="3" t="str">
        <x:v>South</x:v>
      </x:c>
      <x:c r="E1767" s="3" t="str">
        <x:v>Beauty</x:v>
      </x:c>
      <x:c r="F1767" s="3" t="str">
        <x:v>Skincare</x:v>
      </x:c>
      <x:c r="G1767" s="3" t="str">
        <x:v>Vitamin C Serum</x:v>
      </x:c>
      <x:c r="H1767" s="3" t="n">
        <x:v>2</x:v>
      </x:c>
      <x:c r="I1767" s="7" t="n">
        <x:v>879.77</x:v>
      </x:c>
      <x:c r="J1767" s="9" t="n">
        <x:v>0</x:v>
      </x:c>
      <x:c r="K1767" s="7" t="n">
        <x:v>1759.54</x:v>
      </x:c>
      <x:c r="L1767" s="7" t="n">
        <x:v>972.76</x:v>
      </x:c>
      <x:c r="M1767" s="3" t="str">
        <x:v>UPI</x:v>
      </x:c>
      <x:c r="N1767" s="3" t="str">
        <x:f>TEXT(B1767,"yyyy-mm")</x:f>
        <x:v>2025-04</x:v>
      </x:c>
      <x:c r="O1767" s="3" t="str">
        <x:f>IF(J1767=0,"No discount",IF(J1767&lt;=0.1,"1-10%",IF(J1767&lt;=0.15,"11-15%",IF(J1767&lt;=0.2,"16-20%","21%+"))))</x:f>
        <x:v>No discount</x:v>
      </x:c>
      <x:c r="P1767" s="9" t="n">
        <x:f>IF(K1767=0,0,L1767/K1767)</x:f>
        <x:v>0.5528490400900236</x:v>
      </x:c>
      <x:c r="Q1767" s="3" t="str">
        <x:f>IF(L1767&lt;0,"Yes","No")</x:f>
        <x:v>No</x:v>
      </x:c>
    </x:row>
    <x:row r="1768" ht="21" customHeight="1">
      <x:c r="A1768" s="3" t="str">
        <x:v>ORD-100350</x:v>
      </x:c>
      <x:c r="B1768" s="5" t="n">
        <x:v>45776</x:v>
      </x:c>
      <x:c r="C1768" s="3" t="str">
        <x:v>CUST-00027</x:v>
      </x:c>
      <x:c r="D1768" s="3" t="str">
        <x:v>North</x:v>
      </x:c>
      <x:c r="E1768" s="3" t="str">
        <x:v>Fashion</x:v>
      </x:c>
      <x:c r="F1768" s="3" t="str">
        <x:v>Footwear</x:v>
      </x:c>
      <x:c r="G1768" s="3" t="str">
        <x:v>RunFlex Sneakers</x:v>
      </x:c>
      <x:c r="H1768" s="3" t="n">
        <x:v>2</x:v>
      </x:c>
      <x:c r="I1768" s="7" t="n">
        <x:v>3059.19</x:v>
      </x:c>
      <x:c r="J1768" s="9" t="n">
        <x:v>0.25</x:v>
      </x:c>
      <x:c r="K1768" s="7" t="n">
        <x:v>4588.78</x:v>
      </x:c>
      <x:c r="L1768" s="7" t="n">
        <x:v>453.85</x:v>
      </x:c>
      <x:c r="M1768" s="3" t="str">
        <x:v>UPI</x:v>
      </x:c>
      <x:c r="N1768" s="3" t="str">
        <x:f>TEXT(B1768,"yyyy-mm")</x:f>
        <x:v>2025-04</x:v>
      </x:c>
      <x:c r="O1768" s="3" t="str">
        <x:f>IF(J1768=0,"No discount",IF(J1768&lt;=0.1,"1-10%",IF(J1768&lt;=0.15,"11-15%",IF(J1768&lt;=0.2,"16-20%","21%+"))))</x:f>
        <x:v>21%+</x:v>
      </x:c>
      <x:c r="P1768" s="9" t="n">
        <x:f>IF(K1768=0,0,L1768/K1768)</x:f>
        <x:v>0.09890428392731838</x:v>
      </x:c>
      <x:c r="Q1768" s="3" t="str">
        <x:f>IF(L1768&lt;0,"Yes","No")</x:f>
        <x:v>No</x:v>
      </x:c>
    </x:row>
    <x:row r="1769" ht="21" customHeight="1">
      <x:c r="A1769" s="3" t="str">
        <x:v>ORD-101225</x:v>
      </x:c>
      <x:c r="B1769" s="5" t="n">
        <x:v>45776</x:v>
      </x:c>
      <x:c r="C1769" s="3" t="str">
        <x:v>CUST-00121</x:v>
      </x:c>
      <x:c r="D1769" s="3" t="str">
        <x:v>East</x:v>
      </x:c>
      <x:c r="E1769" s="3" t="str">
        <x:v>Home &amp; Kitchen</x:v>
      </x:c>
      <x:c r="F1769" s="3" t="str">
        <x:v>Furniture</x:v>
      </x:c>
      <x:c r="G1769" s="3" t="str">
        <x:v>ErgoComfort Chair</x:v>
      </x:c>
      <x:c r="H1769" s="3" t="n">
        <x:v>1</x:v>
      </x:c>
      <x:c r="I1769" s="7" t="n">
        <x:v>9392.73</x:v>
      </x:c>
      <x:c r="J1769" s="9" t="n">
        <x:v>0.1</x:v>
      </x:c>
      <x:c r="K1769" s="7" t="n">
        <x:v>8453.46</x:v>
      </x:c>
      <x:c r="L1769" s="7" t="n">
        <x:v>1755.15</x:v>
      </x:c>
      <x:c r="M1769" s="3" t="str">
        <x:v>Cash on Delivery</x:v>
      </x:c>
      <x:c r="N1769" s="3" t="str">
        <x:f>TEXT(B1769,"yyyy-mm")</x:f>
        <x:v>2025-04</x:v>
      </x:c>
      <x:c r="O1769" s="3" t="str">
        <x:f>IF(J1769=0,"No discount",IF(J1769&lt;=0.1,"1-10%",IF(J1769&lt;=0.15,"11-15%",IF(J1769&lt;=0.2,"16-20%","21%+"))))</x:f>
        <x:v>1-10%</x:v>
      </x:c>
      <x:c r="P1769" s="9" t="n">
        <x:f>IF(K1769=0,0,L1769/K1769)</x:f>
        <x:v>0.2076250434733234</x:v>
      </x:c>
      <x:c r="Q1769" s="3" t="str">
        <x:f>IF(L1769&lt;0,"Yes","No")</x:f>
        <x:v>No</x:v>
      </x:c>
    </x:row>
    <x:row r="1770" ht="21" customHeight="1">
      <x:c r="A1770" s="3" t="str">
        <x:v>ORD-101724</x:v>
      </x:c>
      <x:c r="B1770" s="5" t="n">
        <x:v>45776</x:v>
      </x:c>
      <x:c r="C1770" s="3" t="str">
        <x:v>CUST-00292</x:v>
      </x:c>
      <x:c r="D1770" s="3" t="str">
        <x:v>North</x:v>
      </x:c>
      <x:c r="E1770" s="3" t="str">
        <x:v>Home &amp; Kitchen</x:v>
      </x:c>
      <x:c r="F1770" s="3" t="str">
        <x:v>Decor</x:v>
      </x:c>
      <x:c r="G1770" s="3" t="str">
        <x:v>LED Wall Lamp</x:v>
      </x:c>
      <x:c r="H1770" s="3" t="n">
        <x:v>2</x:v>
      </x:c>
      <x:c r="I1770" s="7" t="n">
        <x:v>1015.62</x:v>
      </x:c>
      <x:c r="J1770" s="9" t="n">
        <x:v>0</x:v>
      </x:c>
      <x:c r="K1770" s="7" t="n">
        <x:v>2031.24</x:v>
      </x:c>
      <x:c r="L1770" s="7" t="n">
        <x:v>738.86</x:v>
      </x:c>
      <x:c r="M1770" s="3" t="str">
        <x:v>Credit Card</x:v>
      </x:c>
      <x:c r="N1770" s="3" t="str">
        <x:f>TEXT(B1770,"yyyy-mm")</x:f>
        <x:v>2025-04</x:v>
      </x:c>
      <x:c r="O1770" s="3" t="str">
        <x:f>IF(J1770=0,"No discount",IF(J1770&lt;=0.1,"1-10%",IF(J1770&lt;=0.15,"11-15%",IF(J1770&lt;=0.2,"16-20%","21%+"))))</x:f>
        <x:v>No discount</x:v>
      </x:c>
      <x:c r="P1770" s="9" t="n">
        <x:f>IF(K1770=0,0,L1770/K1770)</x:f>
        <x:v>0.36374825229908825</x:v>
      </x:c>
      <x:c r="Q1770" s="3" t="str">
        <x:f>IF(L1770&lt;0,"Yes","No")</x:f>
        <x:v>No</x:v>
      </x:c>
    </x:row>
    <x:row r="1771" ht="21" customHeight="1">
      <x:c r="A1771" s="3" t="str">
        <x:v>ORD-101831</x:v>
      </x:c>
      <x:c r="B1771" s="5" t="n">
        <x:v>45776</x:v>
      </x:c>
      <x:c r="C1771" s="3" t="str">
        <x:v>CUST-00249</x:v>
      </x:c>
      <x:c r="D1771" s="3" t="str">
        <x:v>East</x:v>
      </x:c>
      <x:c r="E1771" s="3" t="str">
        <x:v>Fashion</x:v>
      </x:c>
      <x:c r="F1771" s="3" t="str">
        <x:v>Women</x:v>
      </x:c>
      <x:c r="G1771" s="3" t="str">
        <x:v>Knit Winter Sweater</x:v>
      </x:c>
      <x:c r="H1771" s="3" t="n">
        <x:v>1</x:v>
      </x:c>
      <x:c r="I1771" s="7" t="n">
        <x:v>2252.97</x:v>
      </x:c>
      <x:c r="J1771" s="9" t="n">
        <x:v>0</x:v>
      </x:c>
      <x:c r="K1771" s="7" t="n">
        <x:v>2252.97</x:v>
      </x:c>
      <x:c r="L1771" s="7" t="n">
        <x:v>987.64</x:v>
      </x:c>
      <x:c r="M1771" s="3" t="str">
        <x:v>UPI</x:v>
      </x:c>
      <x:c r="N1771" s="3" t="str">
        <x:f>TEXT(B1771,"yyyy-mm")</x:f>
        <x:v>2025-04</x:v>
      </x:c>
      <x:c r="O1771" s="3" t="str">
        <x:f>IF(J1771=0,"No discount",IF(J1771&lt;=0.1,"1-10%",IF(J1771&lt;=0.15,"11-15%",IF(J1771&lt;=0.2,"16-20%","21%+"))))</x:f>
        <x:v>No discount</x:v>
      </x:c>
      <x:c r="P1771" s="9" t="n">
        <x:f>IF(K1771=0,0,L1771/K1771)</x:f>
        <x:v>0.43837245946461784</x:v>
      </x:c>
      <x:c r="Q1771" s="3" t="str">
        <x:f>IF(L1771&lt;0,"Yes","No")</x:f>
        <x:v>No</x:v>
      </x:c>
    </x:row>
    <x:row r="1772" ht="21" customHeight="1">
      <x:c r="A1772" s="3" t="str">
        <x:v>ORD-100088</x:v>
      </x:c>
      <x:c r="B1772" s="5" t="n">
        <x:v>45777</x:v>
      </x:c>
      <x:c r="C1772" s="3" t="str">
        <x:v>CUST-00088</x:v>
      </x:c>
      <x:c r="D1772" s="3" t="str">
        <x:v>North</x:v>
      </x:c>
      <x:c r="E1772" s="3" t="str">
        <x:v>Sports</x:v>
      </x:c>
      <x:c r="F1772" s="3" t="str">
        <x:v>Outdoor</x:v>
      </x:c>
      <x:c r="G1772" s="3" t="str">
        <x:v>AllWeather Tent 4P</x:v>
      </x:c>
      <x:c r="H1772" s="3" t="n">
        <x:v>1</x:v>
      </x:c>
      <x:c r="I1772" s="7" t="n">
        <x:v>11774.08</x:v>
      </x:c>
      <x:c r="J1772" s="9" t="n">
        <x:v>0.15</x:v>
      </x:c>
      <x:c r="K1772" s="7" t="n">
        <x:v>10007.97</x:v>
      </x:c>
      <x:c r="L1772" s="7" t="n">
        <x:v>1926.55</x:v>
      </x:c>
      <x:c r="M1772" s="3" t="str">
        <x:v>Cash on Delivery</x:v>
      </x:c>
      <x:c r="N1772" s="3" t="str">
        <x:f>TEXT(B1772,"yyyy-mm")</x:f>
        <x:v>2025-04</x:v>
      </x:c>
      <x:c r="O1772" s="3" t="str">
        <x:f>IF(J1772=0,"No discount",IF(J1772&lt;=0.1,"1-10%",IF(J1772&lt;=0.15,"11-15%",IF(J1772&lt;=0.2,"16-20%","21%+"))))</x:f>
        <x:v>11-15%</x:v>
      </x:c>
      <x:c r="P1772" s="9" t="n">
        <x:f>IF(K1772=0,0,L1772/K1772)</x:f>
        <x:v>0.19250157624373376</x:v>
      </x:c>
      <x:c r="Q1772" s="3" t="str">
        <x:f>IF(L1772&lt;0,"Yes","No")</x:f>
        <x:v>No</x:v>
      </x:c>
    </x:row>
    <x:row r="1773" ht="21" customHeight="1">
      <x:c r="A1773" s="3" t="str">
        <x:v>ORD-100612</x:v>
      </x:c>
      <x:c r="B1773" s="5" t="n">
        <x:v>45777</x:v>
      </x:c>
      <x:c r="C1773" s="3" t="str">
        <x:v>CUST-00411</x:v>
      </x:c>
      <x:c r="D1773" s="3" t="str">
        <x:v>South</x:v>
      </x:c>
      <x:c r="E1773" s="3" t="str">
        <x:v>Beauty</x:v>
      </x:c>
      <x:c r="F1773" s="3" t="str">
        <x:v>Makeup</x:v>
      </x:c>
      <x:c r="G1773" s="3" t="str">
        <x:v>HD Foundation Kit</x:v>
      </x:c>
      <x:c r="H1773" s="3" t="n">
        <x:v>1</x:v>
      </x:c>
      <x:c r="I1773" s="7" t="n">
        <x:v>1530.85</x:v>
      </x:c>
      <x:c r="J1773" s="9" t="n">
        <x:v>0</x:v>
      </x:c>
      <x:c r="K1773" s="7" t="n">
        <x:v>1530.85</x:v>
      </x:c>
      <x:c r="L1773" s="7" t="n">
        <x:v>845.09</x:v>
      </x:c>
      <x:c r="M1773" s="3" t="str">
        <x:v>Cash on Delivery</x:v>
      </x:c>
      <x:c r="N1773" s="3" t="str">
        <x:f>TEXT(B1773,"yyyy-mm")</x:f>
        <x:v>2025-04</x:v>
      </x:c>
      <x:c r="O1773" s="3" t="str">
        <x:f>IF(J1773=0,"No discount",IF(J1773&lt;=0.1,"1-10%",IF(J1773&lt;=0.15,"11-15%",IF(J1773&lt;=0.2,"16-20%","21%+"))))</x:f>
        <x:v>No discount</x:v>
      </x:c>
      <x:c r="P1773" s="9" t="n">
        <x:f>IF(K1773=0,0,L1773/K1773)</x:f>
        <x:v>0.5520397164973708</x:v>
      </x:c>
      <x:c r="Q1773" s="3" t="str">
        <x:f>IF(L1773&lt;0,"Yes","No")</x:f>
        <x:v>No</x:v>
      </x:c>
    </x:row>
    <x:row r="1774" ht="21" customHeight="1">
      <x:c r="A1774" s="3" t="str">
        <x:v>ORD-100800</x:v>
      </x:c>
      <x:c r="B1774" s="5" t="n">
        <x:v>45777</x:v>
      </x:c>
      <x:c r="C1774" s="3" t="str">
        <x:v>CUST-00518</x:v>
      </x:c>
      <x:c r="D1774" s="3" t="str">
        <x:v>North</x:v>
      </x:c>
      <x:c r="E1774" s="3" t="str">
        <x:v>Electronics</x:v>
      </x:c>
      <x:c r="F1774" s="3" t="str">
        <x:v>Laptop</x:v>
      </x:c>
      <x:c r="G1774" s="3" t="str">
        <x:v>ThinkPro 14</x:v>
      </x:c>
      <x:c r="H1774" s="3" t="n">
        <x:v>1</x:v>
      </x:c>
      <x:c r="I1774" s="7" t="n">
        <x:v>55569.84</x:v>
      </x:c>
      <x:c r="J1774" s="9" t="n">
        <x:v>0</x:v>
      </x:c>
      <x:c r="K1774" s="7" t="n">
        <x:v>55569.84</x:v>
      </x:c>
      <x:c r="L1774" s="7" t="n">
        <x:v>8317.85</x:v>
      </x:c>
      <x:c r="M1774" s="3" t="str">
        <x:v>UPI</x:v>
      </x:c>
      <x:c r="N1774" s="3" t="str">
        <x:f>TEXT(B1774,"yyyy-mm")</x:f>
        <x:v>2025-04</x:v>
      </x:c>
      <x:c r="O1774" s="3" t="str">
        <x:f>IF(J1774=0,"No discount",IF(J1774&lt;=0.1,"1-10%",IF(J1774&lt;=0.15,"11-15%",IF(J1774&lt;=0.2,"16-20%","21%+"))))</x:f>
        <x:v>No discount</x:v>
      </x:c>
      <x:c r="P1774" s="9" t="n">
        <x:f>IF(K1774=0,0,L1774/K1774)</x:f>
        <x:v>0.14968281355497876</x:v>
      </x:c>
      <x:c r="Q1774" s="3" t="str">
        <x:f>IF(L1774&lt;0,"Yes","No")</x:f>
        <x:v>No</x:v>
      </x:c>
    </x:row>
    <x:row r="1775" ht="21" customHeight="1">
      <x:c r="A1775" s="3" t="str">
        <x:v>ORD-101336</x:v>
      </x:c>
      <x:c r="B1775" s="5" t="n">
        <x:v>45777</x:v>
      </x:c>
      <x:c r="C1775" s="3" t="str">
        <x:v>CUST-00138</x:v>
      </x:c>
      <x:c r="D1775" s="3" t="str">
        <x:v>West</x:v>
      </x:c>
      <x:c r="E1775" s="3" t="str">
        <x:v>Electronics</x:v>
      </x:c>
      <x:c r="F1775" s="3" t="str">
        <x:v>Audio</x:v>
      </x:c>
      <x:c r="G1775" s="3" t="str">
        <x:v>BassBoom Speaker</x:v>
      </x:c>
      <x:c r="H1775" s="3" t="n">
        <x:v>1</x:v>
      </x:c>
      <x:c r="I1775" s="7" t="n">
        <x:v>8706.45</x:v>
      </x:c>
      <x:c r="J1775" s="9" t="n">
        <x:v>0</x:v>
      </x:c>
      <x:c r="K1775" s="7" t="n">
        <x:v>8706.45</x:v>
      </x:c>
      <x:c r="L1775" s="7" t="n">
        <x:v>1423.76</x:v>
      </x:c>
      <x:c r="M1775" s="3" t="str">
        <x:v>Debit Card</x:v>
      </x:c>
      <x:c r="N1775" s="3" t="str">
        <x:f>TEXT(B1775,"yyyy-mm")</x:f>
        <x:v>2025-04</x:v>
      </x:c>
      <x:c r="O1775" s="3" t="str">
        <x:f>IF(J1775=0,"No discount",IF(J1775&lt;=0.1,"1-10%",IF(J1775&lt;=0.15,"11-15%",IF(J1775&lt;=0.2,"16-20%","21%+"))))</x:f>
        <x:v>No discount</x:v>
      </x:c>
      <x:c r="P1775" s="9" t="n">
        <x:f>IF(K1775=0,0,L1775/K1775)</x:f>
        <x:v>0.16352933744522738</x:v>
      </x:c>
      <x:c r="Q1775" s="3" t="str">
        <x:f>IF(L1775&lt;0,"Yes","No")</x:f>
        <x:v>No</x:v>
      </x:c>
    </x:row>
    <x:row r="1776" ht="21" customHeight="1">
      <x:c r="A1776" s="3" t="str">
        <x:v>ORD-101375</x:v>
      </x:c>
      <x:c r="B1776" s="5" t="n">
        <x:v>45777</x:v>
      </x:c>
      <x:c r="C1776" s="3" t="str">
        <x:v>CUST-00319</x:v>
      </x:c>
      <x:c r="D1776" s="3" t="str">
        <x:v>South</x:v>
      </x:c>
      <x:c r="E1776" s="3" t="str">
        <x:v>Home &amp; Kitchen</x:v>
      </x:c>
      <x:c r="F1776" s="3" t="str">
        <x:v>Decor</x:v>
      </x:c>
      <x:c r="G1776" s="3" t="str">
        <x:v>Ceramic Vase Set</x:v>
      </x:c>
      <x:c r="H1776" s="3" t="n">
        <x:v>1</x:v>
      </x:c>
      <x:c r="I1776" s="7" t="n">
        <x:v>1567.85</x:v>
      </x:c>
      <x:c r="J1776" s="9" t="n">
        <x:v>0.15</x:v>
      </x:c>
      <x:c r="K1776" s="7" t="n">
        <x:v>1332.67</x:v>
      </x:c>
      <x:c r="L1776" s="7" t="n">
        <x:v>241.14</x:v>
      </x:c>
      <x:c r="M1776" s="3" t="str">
        <x:v>UPI</x:v>
      </x:c>
      <x:c r="N1776" s="3" t="str">
        <x:f>TEXT(B1776,"yyyy-mm")</x:f>
        <x:v>2025-04</x:v>
      </x:c>
      <x:c r="O1776" s="3" t="str">
        <x:f>IF(J1776=0,"No discount",IF(J1776&lt;=0.1,"1-10%",IF(J1776&lt;=0.15,"11-15%",IF(J1776&lt;=0.2,"16-20%","21%+"))))</x:f>
        <x:v>11-15%</x:v>
      </x:c>
      <x:c r="P1776" s="9" t="n">
        <x:f>IF(K1776=0,0,L1776/K1776)</x:f>
        <x:v>0.18094502014752337</x:v>
      </x:c>
      <x:c r="Q1776" s="3" t="str">
        <x:f>IF(L1776&lt;0,"Yes","No")</x:f>
        <x:v>No</x:v>
      </x:c>
    </x:row>
    <x:row r="1777" ht="21" customHeight="1">
      <x:c r="A1777" s="3" t="str">
        <x:v>ORD-101516</x:v>
      </x:c>
      <x:c r="B1777" s="5" t="n">
        <x:v>45777</x:v>
      </x:c>
      <x:c r="C1777" s="3" t="str">
        <x:v>CUST-00109</x:v>
      </x:c>
      <x:c r="D1777" s="3" t="str">
        <x:v>West</x:v>
      </x:c>
      <x:c r="E1777" s="3" t="str">
        <x:v>Fashion</x:v>
      </x:c>
      <x:c r="F1777" s="3" t="str">
        <x:v>Men</x:v>
      </x:c>
      <x:c r="G1777" s="3" t="str">
        <x:v>SlimFit Denim Jeans</x:v>
      </x:c>
      <x:c r="H1777" s="3" t="n">
        <x:v>3</x:v>
      </x:c>
      <x:c r="I1777" s="7" t="n">
        <x:v>1964.99</x:v>
      </x:c>
      <x:c r="J1777" s="9" t="n">
        <x:v>0.15</x:v>
      </x:c>
      <x:c r="K1777" s="7" t="n">
        <x:v>5010.72</x:v>
      </x:c>
      <x:c r="L1777" s="7" t="n">
        <x:v>1162.03</x:v>
      </x:c>
      <x:c r="M1777" s="3" t="str">
        <x:v>Credit Card</x:v>
      </x:c>
      <x:c r="N1777" s="3" t="str">
        <x:f>TEXT(B1777,"yyyy-mm")</x:f>
        <x:v>2025-04</x:v>
      </x:c>
      <x:c r="O1777" s="3" t="str">
        <x:f>IF(J1777=0,"No discount",IF(J1777&lt;=0.1,"1-10%",IF(J1777&lt;=0.15,"11-15%",IF(J1777&lt;=0.2,"16-20%","21%+"))))</x:f>
        <x:v>11-15%</x:v>
      </x:c>
      <x:c r="P1777" s="9" t="n">
        <x:f>IF(K1777=0,0,L1777/K1777)</x:f>
        <x:v>0.23190878755947247</x:v>
      </x:c>
      <x:c r="Q1777" s="3" t="str">
        <x:f>IF(L1777&lt;0,"Yes","No")</x:f>
        <x:v>No</x:v>
      </x:c>
    </x:row>
    <x:row r="1778" ht="21" customHeight="1">
      <x:c r="A1778" s="3" t="str">
        <x:v>ORD-101689</x:v>
      </x:c>
      <x:c r="B1778" s="5" t="n">
        <x:v>45777</x:v>
      </x:c>
      <x:c r="C1778" s="3" t="str">
        <x:v>CUST-00595</x:v>
      </x:c>
      <x:c r="D1778" s="3" t="str">
        <x:v>East</x:v>
      </x:c>
      <x:c r="E1778" s="3" t="str">
        <x:v>Fashion</x:v>
      </x:c>
      <x:c r="F1778" s="3" t="str">
        <x:v>Men</x:v>
      </x:c>
      <x:c r="G1778" s="3" t="str">
        <x:v>SlimFit Denim Jeans</x:v>
      </x:c>
      <x:c r="H1778" s="3" t="n">
        <x:v>2</x:v>
      </x:c>
      <x:c r="I1778" s="7" t="n">
        <x:v>1931.61</x:v>
      </x:c>
      <x:c r="J1778" s="9" t="n">
        <x:v>0.05</x:v>
      </x:c>
      <x:c r="K1778" s="7" t="n">
        <x:v>3670.06</x:v>
      </x:c>
      <x:c r="L1778" s="7" t="n">
        <x:v>1456.92</x:v>
      </x:c>
      <x:c r="M1778" s="3" t="str">
        <x:v>Net Banking</x:v>
      </x:c>
      <x:c r="N1778" s="3" t="str">
        <x:f>TEXT(B1778,"yyyy-mm")</x:f>
        <x:v>2025-04</x:v>
      </x:c>
      <x:c r="O1778" s="3" t="str">
        <x:f>IF(J1778=0,"No discount",IF(J1778&lt;=0.1,"1-10%",IF(J1778&lt;=0.15,"11-15%",IF(J1778&lt;=0.2,"16-20%","21%+"))))</x:f>
        <x:v>1-10%</x:v>
      </x:c>
      <x:c r="P1778" s="9" t="n">
        <x:f>IF(K1778=0,0,L1778/K1778)</x:f>
        <x:v>0.3969744363852362</x:v>
      </x:c>
      <x:c r="Q1778" s="3" t="str">
        <x:f>IF(L1778&lt;0,"Yes","No")</x:f>
        <x:v>No</x:v>
      </x:c>
    </x:row>
    <x:row r="1779" ht="21" customHeight="1">
      <x:c r="A1779" s="3" t="str">
        <x:v>ORD-100499</x:v>
      </x:c>
      <x:c r="B1779" s="5" t="n">
        <x:v>45778</x:v>
      </x:c>
      <x:c r="C1779" s="3" t="str">
        <x:v>CUST-00190</x:v>
      </x:c>
      <x:c r="D1779" s="3" t="str">
        <x:v>North</x:v>
      </x:c>
      <x:c r="E1779" s="3" t="str">
        <x:v>Beauty</x:v>
      </x:c>
      <x:c r="F1779" s="3" t="str">
        <x:v>Skincare</x:v>
      </x:c>
      <x:c r="G1779" s="3" t="str">
        <x:v>Vitamin C Serum</x:v>
      </x:c>
      <x:c r="H1779" s="3" t="n">
        <x:v>1</x:v>
      </x:c>
      <x:c r="I1779" s="7" t="n">
        <x:v>855.31</x:v>
      </x:c>
      <x:c r="J1779" s="9" t="n">
        <x:v>0.1</x:v>
      </x:c>
      <x:c r="K1779" s="7" t="n">
        <x:v>769.78</x:v>
      </x:c>
      <x:c r="L1779" s="7" t="n">
        <x:v>317.43</x:v>
      </x:c>
      <x:c r="M1779" s="3" t="str">
        <x:v>UPI</x:v>
      </x:c>
      <x:c r="N1779" s="3" t="str">
        <x:f>TEXT(B1779,"yyyy-mm")</x:f>
        <x:v>2025-05</x:v>
      </x:c>
      <x:c r="O1779" s="3" t="str">
        <x:f>IF(J1779=0,"No discount",IF(J1779&lt;=0.1,"1-10%",IF(J1779&lt;=0.15,"11-15%",IF(J1779&lt;=0.2,"16-20%","21%+"))))</x:f>
        <x:v>1-10%</x:v>
      </x:c>
      <x:c r="P1779" s="9" t="n">
        <x:f>IF(K1779=0,0,L1779/K1779)</x:f>
        <x:v>0.4123645716958092</x:v>
      </x:c>
      <x:c r="Q1779" s="3" t="str">
        <x:f>IF(L1779&lt;0,"Yes","No")</x:f>
        <x:v>No</x:v>
      </x:c>
    </x:row>
    <x:row r="1780" ht="21" customHeight="1">
      <x:c r="A1780" s="3" t="str">
        <x:v>ORD-101304</x:v>
      </x:c>
      <x:c r="B1780" s="5" t="n">
        <x:v>45778</x:v>
      </x:c>
      <x:c r="C1780" s="3" t="str">
        <x:v>CUST-00059</x:v>
      </x:c>
      <x:c r="D1780" s="3" t="str">
        <x:v>North</x:v>
      </x:c>
      <x:c r="E1780" s="3" t="str">
        <x:v>Sports</x:v>
      </x:c>
      <x:c r="F1780" s="3" t="str">
        <x:v>Outdoor</x:v>
      </x:c>
      <x:c r="G1780" s="3" t="str">
        <x:v>AllWeather Tent 4P</x:v>
      </x:c>
      <x:c r="H1780" s="3" t="n">
        <x:v>3</x:v>
      </x:c>
      <x:c r="I1780" s="7" t="n">
        <x:v>11577.73</x:v>
      </x:c>
      <x:c r="J1780" s="9" t="n">
        <x:v>0.05</x:v>
      </x:c>
      <x:c r="K1780" s="7" t="n">
        <x:v>32996.53</x:v>
      </x:c>
      <x:c r="L1780" s="7" t="n">
        <x:v>10253.96</x:v>
      </x:c>
      <x:c r="M1780" s="3" t="str">
        <x:v>UPI</x:v>
      </x:c>
      <x:c r="N1780" s="3" t="str">
        <x:f>TEXT(B1780,"yyyy-mm")</x:f>
        <x:v>2025-05</x:v>
      </x:c>
      <x:c r="O1780" s="3" t="str">
        <x:f>IF(J1780=0,"No discount",IF(J1780&lt;=0.1,"1-10%",IF(J1780&lt;=0.15,"11-15%",IF(J1780&lt;=0.2,"16-20%","21%+"))))</x:f>
        <x:v>1-10%</x:v>
      </x:c>
      <x:c r="P1780" s="9" t="n">
        <x:f>IF(K1780=0,0,L1780/K1780)</x:f>
        <x:v>0.31075873735814036</x:v>
      </x:c>
      <x:c r="Q1780" s="3" t="str">
        <x:f>IF(L1780&lt;0,"Yes","No")</x:f>
        <x:v>No</x:v>
      </x:c>
    </x:row>
    <x:row r="1781" ht="21" customHeight="1">
      <x:c r="A1781" s="3" t="str">
        <x:v>ORD-101630</x:v>
      </x:c>
      <x:c r="B1781" s="5" t="n">
        <x:v>45778</x:v>
      </x:c>
      <x:c r="C1781" s="3" t="str">
        <x:v>CUST-00417</x:v>
      </x:c>
      <x:c r="D1781" s="3" t="str">
        <x:v>North</x:v>
      </x:c>
      <x:c r="E1781" s="3" t="str">
        <x:v>Fashion</x:v>
      </x:c>
      <x:c r="F1781" s="3" t="str">
        <x:v>Women</x:v>
      </x:c>
      <x:c r="G1781" s="3" t="str">
        <x:v>Floral Summer Dress</x:v>
      </x:c>
      <x:c r="H1781" s="3" t="n">
        <x:v>2</x:v>
      </x:c>
      <x:c r="I1781" s="7" t="n">
        <x:v>1781.17</x:v>
      </x:c>
      <x:c r="J1781" s="9" t="n">
        <x:v>0.3</x:v>
      </x:c>
      <x:c r="K1781" s="7" t="n">
        <x:v>2493.64</x:v>
      </x:c>
      <x:c r="L1781" s="7" t="n">
        <x:v>170.58</x:v>
      </x:c>
      <x:c r="M1781" s="3" t="str">
        <x:v>Credit Card</x:v>
      </x:c>
      <x:c r="N1781" s="3" t="str">
        <x:f>TEXT(B1781,"yyyy-mm")</x:f>
        <x:v>2025-05</x:v>
      </x:c>
      <x:c r="O1781" s="3" t="str">
        <x:f>IF(J1781=0,"No discount",IF(J1781&lt;=0.1,"1-10%",IF(J1781&lt;=0.15,"11-15%",IF(J1781&lt;=0.2,"16-20%","21%+"))))</x:f>
        <x:v>21%+</x:v>
      </x:c>
      <x:c r="P1781" s="9" t="n">
        <x:f>IF(K1781=0,0,L1781/K1781)</x:f>
        <x:v>0.06840602492741535</x:v>
      </x:c>
      <x:c r="Q1781" s="3" t="str">
        <x:f>IF(L1781&lt;0,"Yes","No")</x:f>
        <x:v>No</x:v>
      </x:c>
    </x:row>
    <x:row r="1782" ht="21" customHeight="1">
      <x:c r="A1782" s="3" t="str">
        <x:v>ORD-101921</x:v>
      </x:c>
      <x:c r="B1782" s="5" t="n">
        <x:v>45778</x:v>
      </x:c>
      <x:c r="C1782" s="3" t="str">
        <x:v>CUST-00119</x:v>
      </x:c>
      <x:c r="D1782" s="3" t="str">
        <x:v>West</x:v>
      </x:c>
      <x:c r="E1782" s="3" t="str">
        <x:v>Sports</x:v>
      </x:c>
      <x:c r="F1782" s="3" t="str">
        <x:v>Fitness</x:v>
      </x:c>
      <x:c r="G1782" s="3" t="str">
        <x:v>ProYoga Mat</x:v>
      </x:c>
      <x:c r="H1782" s="3" t="n">
        <x:v>2</x:v>
      </x:c>
      <x:c r="I1782" s="7" t="n">
        <x:v>1263.12</x:v>
      </x:c>
      <x:c r="J1782" s="9" t="n">
        <x:v>0.15</x:v>
      </x:c>
      <x:c r="K1782" s="7" t="n">
        <x:v>2147.3</x:v>
      </x:c>
      <x:c r="L1782" s="7" t="n">
        <x:v>508.27</x:v>
      </x:c>
      <x:c r="M1782" s="3" t="str">
        <x:v>Cash on Delivery</x:v>
      </x:c>
      <x:c r="N1782" s="3" t="str">
        <x:f>TEXT(B1782,"yyyy-mm")</x:f>
        <x:v>2025-05</x:v>
      </x:c>
      <x:c r="O1782" s="3" t="str">
        <x:f>IF(J1782=0,"No discount",IF(J1782&lt;=0.1,"1-10%",IF(J1782&lt;=0.15,"11-15%",IF(J1782&lt;=0.2,"16-20%","21%+"))))</x:f>
        <x:v>11-15%</x:v>
      </x:c>
      <x:c r="P1782" s="9" t="n">
        <x:f>IF(K1782=0,0,L1782/K1782)</x:f>
        <x:v>0.23670190471755226</x:v>
      </x:c>
      <x:c r="Q1782" s="3" t="str">
        <x:f>IF(L1782&lt;0,"Yes","No")</x:f>
        <x:v>No</x:v>
      </x:c>
    </x:row>
    <x:row r="1783" ht="21" customHeight="1">
      <x:c r="A1783" s="3" t="str">
        <x:v>ORD-101924</x:v>
      </x:c>
      <x:c r="B1783" s="5" t="n">
        <x:v>45778</x:v>
      </x:c>
      <x:c r="C1783" s="3" t="str">
        <x:v>CUST-00374</x:v>
      </x:c>
      <x:c r="D1783" s="3" t="str">
        <x:v>West</x:v>
      </x:c>
      <x:c r="E1783" s="3" t="str">
        <x:v>Sports</x:v>
      </x:c>
      <x:c r="F1783" s="3" t="str">
        <x:v>Outdoor</x:v>
      </x:c>
      <x:c r="G1783" s="3" t="str">
        <x:v>TrailHike Backpack 60L</x:v>
      </x:c>
      <x:c r="H1783" s="3" t="n">
        <x:v>2</x:v>
      </x:c>
      <x:c r="I1783" s="7" t="n">
        <x:v>3598.27</x:v>
      </x:c>
      <x:c r="J1783" s="9" t="n">
        <x:v>0.2</x:v>
      </x:c>
      <x:c r="K1783" s="7" t="n">
        <x:v>5757.23</x:v>
      </x:c>
      <x:c r="L1783" s="7" t="n">
        <x:v>1049.33</x:v>
      </x:c>
      <x:c r="M1783" s="3" t="str">
        <x:v>Credit Card</x:v>
      </x:c>
      <x:c r="N1783" s="3" t="str">
        <x:f>TEXT(B1783,"yyyy-mm")</x:f>
        <x:v>2025-05</x:v>
      </x:c>
      <x:c r="O1783" s="3" t="str">
        <x:f>IF(J1783=0,"No discount",IF(J1783&lt;=0.1,"1-10%",IF(J1783&lt;=0.15,"11-15%",IF(J1783&lt;=0.2,"16-20%","21%+"))))</x:f>
        <x:v>16-20%</x:v>
      </x:c>
      <x:c r="P1783" s="9" t="n">
        <x:f>IF(K1783=0,0,L1783/K1783)</x:f>
        <x:v>0.18226299800424858</x:v>
      </x:c>
      <x:c r="Q1783" s="3" t="str">
        <x:f>IF(L1783&lt;0,"Yes","No")</x:f>
        <x:v>No</x:v>
      </x:c>
    </x:row>
    <x:row r="1784" ht="21" customHeight="1">
      <x:c r="A1784" s="3" t="str">
        <x:v>ORD-100807</x:v>
      </x:c>
      <x:c r="B1784" s="5" t="n">
        <x:v>45779</x:v>
      </x:c>
      <x:c r="C1784" s="3" t="str">
        <x:v>CUST-00238</x:v>
      </x:c>
      <x:c r="D1784" s="3" t="str">
        <x:v>East</x:v>
      </x:c>
      <x:c r="E1784" s="3" t="str">
        <x:v>Beauty</x:v>
      </x:c>
      <x:c r="F1784" s="3" t="str">
        <x:v>Makeup</x:v>
      </x:c>
      <x:c r="G1784" s="3" t="str">
        <x:v>HD Foundation Kit</x:v>
      </x:c>
      <x:c r="H1784" s="3" t="n">
        <x:v>1</x:v>
      </x:c>
      <x:c r="I1784" s="7" t="n">
        <x:v>1533.91</x:v>
      </x:c>
      <x:c r="J1784" s="9" t="n">
        <x:v>0</x:v>
      </x:c>
      <x:c r="K1784" s="7" t="n">
        <x:v>1533.91</x:v>
      </x:c>
      <x:c r="L1784" s="7" t="n">
        <x:v>810.73</x:v>
      </x:c>
      <x:c r="M1784" s="3" t="str">
        <x:v>Credit Card</x:v>
      </x:c>
      <x:c r="N1784" s="3" t="str">
        <x:f>TEXT(B1784,"yyyy-mm")</x:f>
        <x:v>2025-05</x:v>
      </x:c>
      <x:c r="O1784" s="3" t="str">
        <x:f>IF(J1784=0,"No discount",IF(J1784&lt;=0.1,"1-10%",IF(J1784&lt;=0.15,"11-15%",IF(J1784&lt;=0.2,"16-20%","21%+"))))</x:f>
        <x:v>No discount</x:v>
      </x:c>
      <x:c r="P1784" s="9" t="n">
        <x:f>IF(K1784=0,0,L1784/K1784)</x:f>
        <x:v>0.5285381802061399</x:v>
      </x:c>
      <x:c r="Q1784" s="3" t="str">
        <x:f>IF(L1784&lt;0,"Yes","No")</x:f>
        <x:v>No</x:v>
      </x:c>
    </x:row>
    <x:row r="1785" ht="21" customHeight="1">
      <x:c r="A1785" s="3" t="str">
        <x:v>ORD-101072</x:v>
      </x:c>
      <x:c r="B1785" s="5" t="n">
        <x:v>45779</x:v>
      </x:c>
      <x:c r="C1785" s="3" t="str">
        <x:v>CUST-00116</x:v>
      </x:c>
      <x:c r="D1785" s="3" t="str">
        <x:v>North</x:v>
      </x:c>
      <x:c r="E1785" s="3" t="str">
        <x:v>Home &amp; Kitchen</x:v>
      </x:c>
      <x:c r="F1785" s="3" t="str">
        <x:v>Furniture</x:v>
      </x:c>
      <x:c r="G1785" s="3" t="str">
        <x:v>ErgoComfort Chair</x:v>
      </x:c>
      <x:c r="H1785" s="3" t="n">
        <x:v>1</x:v>
      </x:c>
      <x:c r="I1785" s="7" t="n">
        <x:v>9433.91</x:v>
      </x:c>
      <x:c r="J1785" s="9" t="n">
        <x:v>0.25</x:v>
      </x:c>
      <x:c r="K1785" s="7" t="n">
        <x:v>7075.43</x:v>
      </x:c>
      <x:c r="L1785" s="7" t="n">
        <x:v>535.36</x:v>
      </x:c>
      <x:c r="M1785" s="3" t="str">
        <x:v>Credit Card</x:v>
      </x:c>
      <x:c r="N1785" s="3" t="str">
        <x:f>TEXT(B1785,"yyyy-mm")</x:f>
        <x:v>2025-05</x:v>
      </x:c>
      <x:c r="O1785" s="3" t="str">
        <x:f>IF(J1785=0,"No discount",IF(J1785&lt;=0.1,"1-10%",IF(J1785&lt;=0.15,"11-15%",IF(J1785&lt;=0.2,"16-20%","21%+"))))</x:f>
        <x:v>21%+</x:v>
      </x:c>
      <x:c r="P1785" s="9" t="n">
        <x:f>IF(K1785=0,0,L1785/K1785)</x:f>
        <x:v>0.07566465925039184</x:v>
      </x:c>
      <x:c r="Q1785" s="3" t="str">
        <x:f>IF(L1785&lt;0,"Yes","No")</x:f>
        <x:v>No</x:v>
      </x:c>
    </x:row>
    <x:row r="1786" ht="21" customHeight="1">
      <x:c r="A1786" s="3" t="str">
        <x:v>ORD-101365</x:v>
      </x:c>
      <x:c r="B1786" s="5" t="n">
        <x:v>45780</x:v>
      </x:c>
      <x:c r="C1786" s="3" t="str">
        <x:v>CUST-00077</x:v>
      </x:c>
      <x:c r="D1786" s="3" t="str">
        <x:v>North</x:v>
      </x:c>
      <x:c r="E1786" s="3" t="str">
        <x:v>Fashion</x:v>
      </x:c>
      <x:c r="F1786" s="3" t="str">
        <x:v>Women</x:v>
      </x:c>
      <x:c r="G1786" s="3" t="str">
        <x:v>Floral Summer Dress</x:v>
      </x:c>
      <x:c r="H1786" s="3" t="n">
        <x:v>2</x:v>
      </x:c>
      <x:c r="I1786" s="7" t="n">
        <x:v>1878.15</x:v>
      </x:c>
      <x:c r="J1786" s="9" t="n">
        <x:v>0.1</x:v>
      </x:c>
      <x:c r="K1786" s="7" t="n">
        <x:v>3380.67</x:v>
      </x:c>
      <x:c r="L1786" s="7" t="n">
        <x:v>1013.73</x:v>
      </x:c>
      <x:c r="M1786" s="3" t="str">
        <x:v>UPI</x:v>
      </x:c>
      <x:c r="N1786" s="3" t="str">
        <x:f>TEXT(B1786,"yyyy-mm")</x:f>
        <x:v>2025-05</x:v>
      </x:c>
      <x:c r="O1786" s="3" t="str">
        <x:f>IF(J1786=0,"No discount",IF(J1786&lt;=0.1,"1-10%",IF(J1786&lt;=0.15,"11-15%",IF(J1786&lt;=0.2,"16-20%","21%+"))))</x:f>
        <x:v>1-10%</x:v>
      </x:c>
      <x:c r="P1786" s="9" t="n">
        <x:f>IF(K1786=0,0,L1786/K1786)</x:f>
        <x:v>0.2998606785045568</x:v>
      </x:c>
      <x:c r="Q1786" s="3" t="str">
        <x:f>IF(L1786&lt;0,"Yes","No")</x:f>
        <x:v>No</x:v>
      </x:c>
    </x:row>
    <x:row r="1787" ht="21" customHeight="1">
      <x:c r="A1787" s="3" t="str">
        <x:v>ORD-100210</x:v>
      </x:c>
      <x:c r="B1787" s="5" t="n">
        <x:v>45781</x:v>
      </x:c>
      <x:c r="C1787" s="3" t="str">
        <x:v>CUST-00393</x:v>
      </x:c>
      <x:c r="D1787" s="3" t="str">
        <x:v>North</x:v>
      </x:c>
      <x:c r="E1787" s="3" t="str">
        <x:v>Electronics</x:v>
      </x:c>
      <x:c r="F1787" s="3" t="str">
        <x:v>Mobile</x:v>
      </x:c>
      <x:c r="G1787" s="3" t="str">
        <x:v>Galaxy Nova X5</x:v>
      </x:c>
      <x:c r="H1787" s="3" t="n">
        <x:v>1</x:v>
      </x:c>
      <x:c r="I1787" s="7" t="n">
        <x:v>24314.5</x:v>
      </x:c>
      <x:c r="J1787" s="9" t="n">
        <x:v>0</x:v>
      </x:c>
      <x:c r="K1787" s="7" t="n">
        <x:v>24314.5</x:v>
      </x:c>
      <x:c r="L1787" s="7" t="n">
        <x:v>4726.71</x:v>
      </x:c>
      <x:c r="M1787" s="3" t="str">
        <x:v>Credit Card</x:v>
      </x:c>
      <x:c r="N1787" s="3" t="str">
        <x:f>TEXT(B1787,"yyyy-mm")</x:f>
        <x:v>2025-05</x:v>
      </x:c>
      <x:c r="O1787" s="3" t="str">
        <x:f>IF(J1787=0,"No discount",IF(J1787&lt;=0.1,"1-10%",IF(J1787&lt;=0.15,"11-15%",IF(J1787&lt;=0.2,"16-20%","21%+"))))</x:f>
        <x:v>No discount</x:v>
      </x:c>
      <x:c r="P1787" s="9" t="n">
        <x:f>IF(K1787=0,0,L1787/K1787)</x:f>
        <x:v>0.19439881552160235</x:v>
      </x:c>
      <x:c r="Q1787" s="3" t="str">
        <x:f>IF(L1787&lt;0,"Yes","No")</x:f>
        <x:v>No</x:v>
      </x:c>
    </x:row>
    <x:row r="1788" ht="21" customHeight="1">
      <x:c r="A1788" s="3" t="str">
        <x:v>ORD-100546</x:v>
      </x:c>
      <x:c r="B1788" s="5" t="n">
        <x:v>45781</x:v>
      </x:c>
      <x:c r="C1788" s="3" t="str">
        <x:v>CUST-00131</x:v>
      </x:c>
      <x:c r="D1788" s="3" t="str">
        <x:v>South</x:v>
      </x:c>
      <x:c r="E1788" s="3" t="str">
        <x:v>Sports</x:v>
      </x:c>
      <x:c r="F1788" s="3" t="str">
        <x:v>Fitness</x:v>
      </x:c>
      <x:c r="G1788" s="3" t="str">
        <x:v>ProYoga Mat</x:v>
      </x:c>
      <x:c r="H1788" s="3" t="n">
        <x:v>4</x:v>
      </x:c>
      <x:c r="I1788" s="7" t="n">
        <x:v>1318.12</x:v>
      </x:c>
      <x:c r="J1788" s="9" t="n">
        <x:v>0.1</x:v>
      </x:c>
      <x:c r="K1788" s="7" t="n">
        <x:v>4745.23</x:v>
      </x:c>
      <x:c r="L1788" s="7" t="n">
        <x:v>1099.55</x:v>
      </x:c>
      <x:c r="M1788" s="3" t="str">
        <x:v>UPI</x:v>
      </x:c>
      <x:c r="N1788" s="3" t="str">
        <x:f>TEXT(B1788,"yyyy-mm")</x:f>
        <x:v>2025-05</x:v>
      </x:c>
      <x:c r="O1788" s="3" t="str">
        <x:f>IF(J1788=0,"No discount",IF(J1788&lt;=0.1,"1-10%",IF(J1788&lt;=0.15,"11-15%",IF(J1788&lt;=0.2,"16-20%","21%+"))))</x:f>
        <x:v>1-10%</x:v>
      </x:c>
      <x:c r="P1788" s="9" t="n">
        <x:f>IF(K1788=0,0,L1788/K1788)</x:f>
        <x:v>0.23171690307951354</x:v>
      </x:c>
      <x:c r="Q1788" s="3" t="str">
        <x:f>IF(L1788&lt;0,"Yes","No")</x:f>
        <x:v>No</x:v>
      </x:c>
    </x:row>
    <x:row r="1789" ht="21" customHeight="1">
      <x:c r="A1789" s="3" t="str">
        <x:v>ORD-101758</x:v>
      </x:c>
      <x:c r="B1789" s="5" t="n">
        <x:v>45781</x:v>
      </x:c>
      <x:c r="C1789" s="3" t="str">
        <x:v>CUST-00454</x:v>
      </x:c>
      <x:c r="D1789" s="3" t="str">
        <x:v>South</x:v>
      </x:c>
      <x:c r="E1789" s="3" t="str">
        <x:v>Fashion</x:v>
      </x:c>
      <x:c r="F1789" s="3" t="str">
        <x:v>Men</x:v>
      </x:c>
      <x:c r="G1789" s="3" t="str">
        <x:v>SlimFit Denim Jeans</x:v>
      </x:c>
      <x:c r="H1789" s="3" t="n">
        <x:v>1</x:v>
      </x:c>
      <x:c r="I1789" s="7" t="n">
        <x:v>2038.95</x:v>
      </x:c>
      <x:c r="J1789" s="9" t="n">
        <x:v>0.15</x:v>
      </x:c>
      <x:c r="K1789" s="7" t="n">
        <x:v>1733.11</x:v>
      </x:c>
      <x:c r="L1789" s="7" t="n">
        <x:v>364.3</x:v>
      </x:c>
      <x:c r="M1789" s="3" t="str">
        <x:v>Net Banking</x:v>
      </x:c>
      <x:c r="N1789" s="3" t="str">
        <x:f>TEXT(B1789,"yyyy-mm")</x:f>
        <x:v>2025-05</x:v>
      </x:c>
      <x:c r="O1789" s="3" t="str">
        <x:f>IF(J1789=0,"No discount",IF(J1789&lt;=0.1,"1-10%",IF(J1789&lt;=0.15,"11-15%",IF(J1789&lt;=0.2,"16-20%","21%+"))))</x:f>
        <x:v>11-15%</x:v>
      </x:c>
      <x:c r="P1789" s="9" t="n">
        <x:f>IF(K1789=0,0,L1789/K1789)</x:f>
        <x:v>0.210200160405283</x:v>
      </x:c>
      <x:c r="Q1789" s="3" t="str">
        <x:f>IF(L1789&lt;0,"Yes","No")</x:f>
        <x:v>No</x:v>
      </x:c>
    </x:row>
    <x:row r="1790" ht="21" customHeight="1">
      <x:c r="A1790" s="3" t="str">
        <x:v>ORD-100118</x:v>
      </x:c>
      <x:c r="B1790" s="5" t="n">
        <x:v>45782</x:v>
      </x:c>
      <x:c r="C1790" s="3" t="str">
        <x:v>CUST-00139</x:v>
      </x:c>
      <x:c r="D1790" s="3" t="str">
        <x:v>East</x:v>
      </x:c>
      <x:c r="E1790" s="3" t="str">
        <x:v>Beauty</x:v>
      </x:c>
      <x:c r="F1790" s="3" t="str">
        <x:v>Makeup</x:v>
      </x:c>
      <x:c r="G1790" s="3" t="str">
        <x:v>Matte Lipstick Set</x:v>
      </x:c>
      <x:c r="H1790" s="3" t="n">
        <x:v>1</x:v>
      </x:c>
      <x:c r="I1790" s="7" t="n">
        <x:v>1030.32</x:v>
      </x:c>
      <x:c r="J1790" s="9" t="n">
        <x:v>0.1</x:v>
      </x:c>
      <x:c r="K1790" s="7" t="n">
        <x:v>927.29</x:v>
      </x:c>
      <x:c r="L1790" s="7" t="n">
        <x:v>379.27</x:v>
      </x:c>
      <x:c r="M1790" s="3" t="str">
        <x:v>Credit Card</x:v>
      </x:c>
      <x:c r="N1790" s="3" t="str">
        <x:f>TEXT(B1790,"yyyy-mm")</x:f>
        <x:v>2025-05</x:v>
      </x:c>
      <x:c r="O1790" s="3" t="str">
        <x:f>IF(J1790=0,"No discount",IF(J1790&lt;=0.1,"1-10%",IF(J1790&lt;=0.15,"11-15%",IF(J1790&lt;=0.2,"16-20%","21%+"))))</x:f>
        <x:v>1-10%</x:v>
      </x:c>
      <x:c r="P1790" s="9" t="n">
        <x:f>IF(K1790=0,0,L1790/K1790)</x:f>
        <x:v>0.40900904787067693</x:v>
      </x:c>
      <x:c r="Q1790" s="3" t="str">
        <x:f>IF(L1790&lt;0,"Yes","No")</x:f>
        <x:v>No</x:v>
      </x:c>
    </x:row>
    <x:row r="1791" ht="21" customHeight="1">
      <x:c r="A1791" s="3" t="str">
        <x:v>ORD-100128</x:v>
      </x:c>
      <x:c r="B1791" s="5" t="n">
        <x:v>45782</x:v>
      </x:c>
      <x:c r="C1791" s="3" t="str">
        <x:v>CUST-00420</x:v>
      </x:c>
      <x:c r="D1791" s="3" t="str">
        <x:v>North</x:v>
      </x:c>
      <x:c r="E1791" s="3" t="str">
        <x:v>Electronics</x:v>
      </x:c>
      <x:c r="F1791" s="3" t="str">
        <x:v>Laptop</x:v>
      </x:c>
      <x:c r="G1791" s="3" t="str">
        <x:v>AirBook Slim</x:v>
      </x:c>
      <x:c r="H1791" s="3" t="n">
        <x:v>1</x:v>
      </x:c>
      <x:c r="I1791" s="7" t="n">
        <x:v>76074.23</x:v>
      </x:c>
      <x:c r="J1791" s="9" t="n">
        <x:v>0.4</x:v>
      </x:c>
      <x:c r="K1791" s="7" t="n">
        <x:v>45644.54</x:v>
      </x:c>
      <x:c r="L1791" s="7" t="n">
        <x:v>-11377.37</x:v>
      </x:c>
      <x:c r="M1791" s="3" t="str">
        <x:v>UPI</x:v>
      </x:c>
      <x:c r="N1791" s="3" t="str">
        <x:f>TEXT(B1791,"yyyy-mm")</x:f>
        <x:v>2025-05</x:v>
      </x:c>
      <x:c r="O1791" s="3" t="str">
        <x:f>IF(J1791=0,"No discount",IF(J1791&lt;=0.1,"1-10%",IF(J1791&lt;=0.15,"11-15%",IF(J1791&lt;=0.2,"16-20%","21%+"))))</x:f>
        <x:v>21%+</x:v>
      </x:c>
      <x:c r="P1791" s="9" t="n">
        <x:f>IF(K1791=0,0,L1791/K1791)</x:f>
        <x:v>-0.24926026201600457</x:v>
      </x:c>
      <x:c r="Q1791" s="3" t="str">
        <x:f>IF(L1791&lt;0,"Yes","No")</x:f>
        <x:v>Yes</x:v>
      </x:c>
    </x:row>
    <x:row r="1792" ht="21" customHeight="1">
      <x:c r="A1792" s="3" t="str">
        <x:v>ORD-101751</x:v>
      </x:c>
      <x:c r="B1792" s="5" t="n">
        <x:v>45782</x:v>
      </x:c>
      <x:c r="C1792" s="3" t="str">
        <x:v>CUST-00137</x:v>
      </x:c>
      <x:c r="D1792" s="3" t="str">
        <x:v>North</x:v>
      </x:c>
      <x:c r="E1792" s="3" t="str">
        <x:v>Electronics</x:v>
      </x:c>
      <x:c r="F1792" s="3" t="str">
        <x:v>Audio</x:v>
      </x:c>
      <x:c r="G1792" s="3" t="str">
        <x:v>SoundPods Pro</x:v>
      </x:c>
      <x:c r="H1792" s="3" t="n">
        <x:v>2</x:v>
      </x:c>
      <x:c r="I1792" s="7" t="n">
        <x:v>5050.72</x:v>
      </x:c>
      <x:c r="J1792" s="9" t="n">
        <x:v>0</x:v>
      </x:c>
      <x:c r="K1792" s="7" t="n">
        <x:v>10101.44</x:v>
      </x:c>
      <x:c r="L1792" s="7" t="n">
        <x:v>1763.7</x:v>
      </x:c>
      <x:c r="M1792" s="3" t="str">
        <x:v>UPI</x:v>
      </x:c>
      <x:c r="N1792" s="3" t="str">
        <x:f>TEXT(B1792,"yyyy-mm")</x:f>
        <x:v>2025-05</x:v>
      </x:c>
      <x:c r="O1792" s="3" t="str">
        <x:f>IF(J1792=0,"No discount",IF(J1792&lt;=0.1,"1-10%",IF(J1792&lt;=0.15,"11-15%",IF(J1792&lt;=0.2,"16-20%","21%+"))))</x:f>
        <x:v>No discount</x:v>
      </x:c>
      <x:c r="P1792" s="9" t="n">
        <x:f>IF(K1792=0,0,L1792/K1792)</x:f>
        <x:v>0.1745988690721323</x:v>
      </x:c>
      <x:c r="Q1792" s="3" t="str">
        <x:f>IF(L1792&lt;0,"Yes","No")</x:f>
        <x:v>No</x:v>
      </x:c>
    </x:row>
    <x:row r="1793" ht="21" customHeight="1">
      <x:c r="A1793" s="3" t="str">
        <x:v>ORD-100248</x:v>
      </x:c>
      <x:c r="B1793" s="5" t="n">
        <x:v>45783</x:v>
      </x:c>
      <x:c r="C1793" s="3" t="str">
        <x:v>CUST-00027</x:v>
      </x:c>
      <x:c r="D1793" s="3" t="str">
        <x:v>North</x:v>
      </x:c>
      <x:c r="E1793" s="3" t="str">
        <x:v>Fashion</x:v>
      </x:c>
      <x:c r="F1793" s="3" t="str">
        <x:v>Men</x:v>
      </x:c>
      <x:c r="G1793" s="3" t="str">
        <x:v>SlimFit Denim Jeans</x:v>
      </x:c>
      <x:c r="H1793" s="3" t="n">
        <x:v>1</x:v>
      </x:c>
      <x:c r="I1793" s="7" t="n">
        <x:v>1997.19</x:v>
      </x:c>
      <x:c r="J1793" s="9" t="n">
        <x:v>0.1</x:v>
      </x:c>
      <x:c r="K1793" s="7" t="n">
        <x:v>1797.47</x:v>
      </x:c>
      <x:c r="L1793" s="7" t="n">
        <x:v>484.17</x:v>
      </x:c>
      <x:c r="M1793" s="3" t="str">
        <x:v>UPI</x:v>
      </x:c>
      <x:c r="N1793" s="3" t="str">
        <x:f>TEXT(B1793,"yyyy-mm")</x:f>
        <x:v>2025-05</x:v>
      </x:c>
      <x:c r="O1793" s="3" t="str">
        <x:f>IF(J1793=0,"No discount",IF(J1793&lt;=0.1,"1-10%",IF(J1793&lt;=0.15,"11-15%",IF(J1793&lt;=0.2,"16-20%","21%+"))))</x:f>
        <x:v>1-10%</x:v>
      </x:c>
      <x:c r="P1793" s="9" t="n">
        <x:f>IF(K1793=0,0,L1793/K1793)</x:f>
        <x:v>0.2693619364996356</x:v>
      </x:c>
      <x:c r="Q1793" s="3" t="str">
        <x:f>IF(L1793&lt;0,"Yes","No")</x:f>
        <x:v>No</x:v>
      </x:c>
    </x:row>
    <x:row r="1794" ht="21" customHeight="1">
      <x:c r="A1794" s="3" t="str">
        <x:v>ORD-100673</x:v>
      </x:c>
      <x:c r="B1794" s="5" t="n">
        <x:v>45783</x:v>
      </x:c>
      <x:c r="C1794" s="3" t="str">
        <x:v>CUST-00097</x:v>
      </x:c>
      <x:c r="D1794" s="3" t="str">
        <x:v>North</x:v>
      </x:c>
      <x:c r="E1794" s="3" t="str">
        <x:v>Home &amp; Kitchen</x:v>
      </x:c>
      <x:c r="F1794" s="3" t="str">
        <x:v>Furniture</x:v>
      </x:c>
      <x:c r="G1794" s="3" t="str">
        <x:v>Oakwood Study Desk</x:v>
      </x:c>
      <x:c r="H1794" s="3" t="n">
        <x:v>1</x:v>
      </x:c>
      <x:c r="I1794" s="7" t="n">
        <x:v>13182.82</x:v>
      </x:c>
      <x:c r="J1794" s="9" t="n">
        <x:v>0</x:v>
      </x:c>
      <x:c r="K1794" s="7" t="n">
        <x:v>13182.82</x:v>
      </x:c>
      <x:c r="L1794" s="7" t="n">
        <x:v>4781.12</x:v>
      </x:c>
      <x:c r="M1794" s="3" t="str">
        <x:v>Credit Card</x:v>
      </x:c>
      <x:c r="N1794" s="3" t="str">
        <x:f>TEXT(B1794,"yyyy-mm")</x:f>
        <x:v>2025-05</x:v>
      </x:c>
      <x:c r="O1794" s="3" t="str">
        <x:f>IF(J1794=0,"No discount",IF(J1794&lt;=0.1,"1-10%",IF(J1794&lt;=0.15,"11-15%",IF(J1794&lt;=0.2,"16-20%","21%+"))))</x:f>
        <x:v>No discount</x:v>
      </x:c>
      <x:c r="P1794" s="9" t="n">
        <x:f>IF(K1794=0,0,L1794/K1794)</x:f>
        <x:v>0.36267809163744935</x:v>
      </x:c>
      <x:c r="Q1794" s="3" t="str">
        <x:f>IF(L1794&lt;0,"Yes","No")</x:f>
        <x:v>No</x:v>
      </x:c>
    </x:row>
    <x:row r="1795" ht="21" customHeight="1">
      <x:c r="A1795" s="3" t="str">
        <x:v>ORD-101999</x:v>
      </x:c>
      <x:c r="B1795" s="5" t="n">
        <x:v>45783</x:v>
      </x:c>
      <x:c r="C1795" s="3" t="str">
        <x:v>CUST-00459</x:v>
      </x:c>
      <x:c r="D1795" s="3" t="str">
        <x:v>North</x:v>
      </x:c>
      <x:c r="E1795" s="3" t="str">
        <x:v>Fashion</x:v>
      </x:c>
      <x:c r="F1795" s="3" t="str">
        <x:v>Men</x:v>
      </x:c>
      <x:c r="G1795" s="3" t="str">
        <x:v>SlimFit Denim Jeans</x:v>
      </x:c>
      <x:c r="H1795" s="3" t="n">
        <x:v>1</x:v>
      </x:c>
      <x:c r="I1795" s="7" t="n">
        <x:v>1937.55</x:v>
      </x:c>
      <x:c r="J1795" s="9" t="n">
        <x:v>0</x:v>
      </x:c>
      <x:c r="K1795" s="7" t="n">
        <x:v>1937.55</x:v>
      </x:c>
      <x:c r="L1795" s="7" t="n">
        <x:v>749.83</x:v>
      </x:c>
      <x:c r="M1795" s="3" t="str">
        <x:v>Credit Card</x:v>
      </x:c>
      <x:c r="N1795" s="3" t="str">
        <x:f>TEXT(B1795,"yyyy-mm")</x:f>
        <x:v>2025-05</x:v>
      </x:c>
      <x:c r="O1795" s="3" t="str">
        <x:f>IF(J1795=0,"No discount",IF(J1795&lt;=0.1,"1-10%",IF(J1795&lt;=0.15,"11-15%",IF(J1795&lt;=0.2,"16-20%","21%+"))))</x:f>
        <x:v>No discount</x:v>
      </x:c>
      <x:c r="P1795" s="9" t="n">
        <x:f>IF(K1795=0,0,L1795/K1795)</x:f>
        <x:v>0.3869990451859307</x:v>
      </x:c>
      <x:c r="Q1795" s="3" t="str">
        <x:f>IF(L1795&lt;0,"Yes","No")</x:f>
        <x:v>No</x:v>
      </x:c>
    </x:row>
    <x:row r="1796" ht="21" customHeight="1">
      <x:c r="A1796" s="3" t="str">
        <x:v>ORD-100900</x:v>
      </x:c>
      <x:c r="B1796" s="5" t="n">
        <x:v>45784</x:v>
      </x:c>
      <x:c r="C1796" s="3" t="str">
        <x:v>CUST-00432</x:v>
      </x:c>
      <x:c r="D1796" s="3" t="str">
        <x:v>South</x:v>
      </x:c>
      <x:c r="E1796" s="3" t="str">
        <x:v>Fashion</x:v>
      </x:c>
      <x:c r="F1796" s="3" t="str">
        <x:v>Women</x:v>
      </x:c>
      <x:c r="G1796" s="3" t="str">
        <x:v>Knit Winter Sweater</x:v>
      </x:c>
      <x:c r="H1796" s="3" t="n">
        <x:v>1</x:v>
      </x:c>
      <x:c r="I1796" s="7" t="n">
        <x:v>2128.6</x:v>
      </x:c>
      <x:c r="J1796" s="9" t="n">
        <x:v>0.05</x:v>
      </x:c>
      <x:c r="K1796" s="7" t="n">
        <x:v>2022.17</x:v>
      </x:c>
      <x:c r="L1796" s="7" t="n">
        <x:v>676.54</x:v>
      </x:c>
      <x:c r="M1796" s="3" t="str">
        <x:v>Credit Card</x:v>
      </x:c>
      <x:c r="N1796" s="3" t="str">
        <x:f>TEXT(B1796,"yyyy-mm")</x:f>
        <x:v>2025-05</x:v>
      </x:c>
      <x:c r="O1796" s="3" t="str">
        <x:f>IF(J1796=0,"No discount",IF(J1796&lt;=0.1,"1-10%",IF(J1796&lt;=0.15,"11-15%",IF(J1796&lt;=0.2,"16-20%","21%+"))))</x:f>
        <x:v>1-10%</x:v>
      </x:c>
      <x:c r="P1796" s="9" t="n">
        <x:f>IF(K1796=0,0,L1796/K1796)</x:f>
        <x:v>0.33456138702482974</x:v>
      </x:c>
      <x:c r="Q1796" s="3" t="str">
        <x:f>IF(L1796&lt;0,"Yes","No")</x:f>
        <x:v>No</x:v>
      </x:c>
    </x:row>
    <x:row r="1797" ht="21" customHeight="1">
      <x:c r="A1797" s="3" t="str">
        <x:v>ORD-101626</x:v>
      </x:c>
      <x:c r="B1797" s="5" t="n">
        <x:v>45784</x:v>
      </x:c>
      <x:c r="C1797" s="3" t="str">
        <x:v>CUST-00236</x:v>
      </x:c>
      <x:c r="D1797" s="3" t="str">
        <x:v>North</x:v>
      </x:c>
      <x:c r="E1797" s="3" t="str">
        <x:v>Home &amp; Kitchen</x:v>
      </x:c>
      <x:c r="F1797" s="3" t="str">
        <x:v>Furniture</x:v>
      </x:c>
      <x:c r="G1797" s="3" t="str">
        <x:v>ErgoComfort Chair</x:v>
      </x:c>
      <x:c r="H1797" s="3" t="n">
        <x:v>1</x:v>
      </x:c>
      <x:c r="I1797" s="7" t="n">
        <x:v>8604.08</x:v>
      </x:c>
      <x:c r="J1797" s="9" t="n">
        <x:v>0.05</x:v>
      </x:c>
      <x:c r="K1797" s="7" t="n">
        <x:v>8173.88</x:v>
      </x:c>
      <x:c r="L1797" s="7" t="n">
        <x:v>2227.41</x:v>
      </x:c>
      <x:c r="M1797" s="3" t="str">
        <x:v>UPI</x:v>
      </x:c>
      <x:c r="N1797" s="3" t="str">
        <x:f>TEXT(B1797,"yyyy-mm")</x:f>
        <x:v>2025-05</x:v>
      </x:c>
      <x:c r="O1797" s="3" t="str">
        <x:f>IF(J1797=0,"No discount",IF(J1797&lt;=0.1,"1-10%",IF(J1797&lt;=0.15,"11-15%",IF(J1797&lt;=0.2,"16-20%","21%+"))))</x:f>
        <x:v>1-10%</x:v>
      </x:c>
      <x:c r="P1797" s="9" t="n">
        <x:f>IF(K1797=0,0,L1797/K1797)</x:f>
        <x:v>0.2725033888434868</x:v>
      </x:c>
      <x:c r="Q1797" s="3" t="str">
        <x:f>IF(L1797&lt;0,"Yes","No")</x:f>
        <x:v>No</x:v>
      </x:c>
    </x:row>
    <x:row r="1798" ht="21" customHeight="1">
      <x:c r="A1798" s="3" t="str">
        <x:v>ORD-100450</x:v>
      </x:c>
      <x:c r="B1798" s="5" t="n">
        <x:v>45785</x:v>
      </x:c>
      <x:c r="C1798" s="3" t="str">
        <x:v>CUST-00549</x:v>
      </x:c>
      <x:c r="D1798" s="3" t="str">
        <x:v>North</x:v>
      </x:c>
      <x:c r="E1798" s="3" t="str">
        <x:v>Beauty</x:v>
      </x:c>
      <x:c r="F1798" s="3" t="str">
        <x:v>Skincare</x:v>
      </x:c>
      <x:c r="G1798" s="3" t="str">
        <x:v>HydraBoost Moisturizer</x:v>
      </x:c>
      <x:c r="H1798" s="3" t="n">
        <x:v>1</x:v>
      </x:c>
      <x:c r="I1798" s="7" t="n">
        <x:v>1226.31</x:v>
      </x:c>
      <x:c r="J1798" s="9" t="n">
        <x:v>0.05</x:v>
      </x:c>
      <x:c r="K1798" s="7" t="n">
        <x:v>1164.99</x:v>
      </x:c>
      <x:c r="L1798" s="7" t="n">
        <x:v>602.86</x:v>
      </x:c>
      <x:c r="M1798" s="3" t="str">
        <x:v>UPI</x:v>
      </x:c>
      <x:c r="N1798" s="3" t="str">
        <x:f>TEXT(B1798,"yyyy-mm")</x:f>
        <x:v>2025-05</x:v>
      </x:c>
      <x:c r="O1798" s="3" t="str">
        <x:f>IF(J1798=0,"No discount",IF(J1798&lt;=0.1,"1-10%",IF(J1798&lt;=0.15,"11-15%",IF(J1798&lt;=0.2,"16-20%","21%+"))))</x:f>
        <x:v>1-10%</x:v>
      </x:c>
      <x:c r="P1798" s="9" t="n">
        <x:f>IF(K1798=0,0,L1798/K1798)</x:f>
        <x:v>0.5174808367453798</x:v>
      </x:c>
      <x:c r="Q1798" s="3" t="str">
        <x:f>IF(L1798&lt;0,"Yes","No")</x:f>
        <x:v>No</x:v>
      </x:c>
    </x:row>
    <x:row r="1799" ht="21" customHeight="1">
      <x:c r="A1799" s="3" t="str">
        <x:v>ORD-100644</x:v>
      </x:c>
      <x:c r="B1799" s="5" t="n">
        <x:v>45785</x:v>
      </x:c>
      <x:c r="C1799" s="3" t="str">
        <x:v>CUST-00391</x:v>
      </x:c>
      <x:c r="D1799" s="3" t="str">
        <x:v>South</x:v>
      </x:c>
      <x:c r="E1799" s="3" t="str">
        <x:v>Fashion</x:v>
      </x:c>
      <x:c r="F1799" s="3" t="str">
        <x:v>Women</x:v>
      </x:c>
      <x:c r="G1799" s="3" t="str">
        <x:v>Knit Winter Sweater</x:v>
      </x:c>
      <x:c r="H1799" s="3" t="n">
        <x:v>1</x:v>
      </x:c>
      <x:c r="I1799" s="7" t="n">
        <x:v>2176.62</x:v>
      </x:c>
      <x:c r="J1799" s="9" t="n">
        <x:v>0.3</x:v>
      </x:c>
      <x:c r="K1799" s="7" t="n">
        <x:v>1523.63</x:v>
      </x:c>
      <x:c r="L1799" s="7" t="n">
        <x:v>73.78</x:v>
      </x:c>
      <x:c r="M1799" s="3" t="str">
        <x:v>Credit Card</x:v>
      </x:c>
      <x:c r="N1799" s="3" t="str">
        <x:f>TEXT(B1799,"yyyy-mm")</x:f>
        <x:v>2025-05</x:v>
      </x:c>
      <x:c r="O1799" s="3" t="str">
        <x:f>IF(J1799=0,"No discount",IF(J1799&lt;=0.1,"1-10%",IF(J1799&lt;=0.15,"11-15%",IF(J1799&lt;=0.2,"16-20%","21%+"))))</x:f>
        <x:v>21%+</x:v>
      </x:c>
      <x:c r="P1799" s="9" t="n">
        <x:f>IF(K1799=0,0,L1799/K1799)</x:f>
        <x:v>0.04842382993246391</x:v>
      </x:c>
      <x:c r="Q1799" s="3" t="str">
        <x:f>IF(L1799&lt;0,"Yes","No")</x:f>
        <x:v>No</x:v>
      </x:c>
    </x:row>
    <x:row r="1800" ht="21" customHeight="1">
      <x:c r="A1800" s="3" t="str">
        <x:v>ORD-100660</x:v>
      </x:c>
      <x:c r="B1800" s="5" t="n">
        <x:v>45785</x:v>
      </x:c>
      <x:c r="C1800" s="3" t="str">
        <x:v>CUST-00247</x:v>
      </x:c>
      <x:c r="D1800" s="3" t="str">
        <x:v>West</x:v>
      </x:c>
      <x:c r="E1800" s="3" t="str">
        <x:v>Beauty</x:v>
      </x:c>
      <x:c r="F1800" s="3" t="str">
        <x:v>Skincare</x:v>
      </x:c>
      <x:c r="G1800" s="3" t="str">
        <x:v>Vitamin C Serum</x:v>
      </x:c>
      <x:c r="H1800" s="3" t="n">
        <x:v>1</x:v>
      </x:c>
      <x:c r="I1800" s="7" t="n">
        <x:v>928.88</x:v>
      </x:c>
      <x:c r="J1800" s="9" t="n">
        <x:v>0</x:v>
      </x:c>
      <x:c r="K1800" s="7" t="n">
        <x:v>928.88</x:v>
      </x:c>
      <x:c r="L1800" s="7" t="n">
        <x:v>547.76</x:v>
      </x:c>
      <x:c r="M1800" s="3" t="str">
        <x:v>Credit Card</x:v>
      </x:c>
      <x:c r="N1800" s="3" t="str">
        <x:f>TEXT(B1800,"yyyy-mm")</x:f>
        <x:v>2025-05</x:v>
      </x:c>
      <x:c r="O1800" s="3" t="str">
        <x:f>IF(J1800=0,"No discount",IF(J1800&lt;=0.1,"1-10%",IF(J1800&lt;=0.15,"11-15%",IF(J1800&lt;=0.2,"16-20%","21%+"))))</x:f>
        <x:v>No discount</x:v>
      </x:c>
      <x:c r="P1800" s="9" t="n">
        <x:f>IF(K1800=0,0,L1800/K1800)</x:f>
        <x:v>0.5896994229609853</x:v>
      </x:c>
      <x:c r="Q1800" s="3" t="str">
        <x:f>IF(L1800&lt;0,"Yes","No")</x:f>
        <x:v>No</x:v>
      </x:c>
    </x:row>
    <x:row r="1801" ht="21" customHeight="1">
      <x:c r="A1801" s="3" t="str">
        <x:v>ORD-100173</x:v>
      </x:c>
      <x:c r="B1801" s="5" t="n">
        <x:v>45786</x:v>
      </x:c>
      <x:c r="C1801" s="3" t="str">
        <x:v>CUST-00017</x:v>
      </x:c>
      <x:c r="D1801" s="3" t="str">
        <x:v>East</x:v>
      </x:c>
      <x:c r="E1801" s="3" t="str">
        <x:v>Electronics</x:v>
      </x:c>
      <x:c r="F1801" s="3" t="str">
        <x:v>Audio</x:v>
      </x:c>
      <x:c r="G1801" s="3" t="str">
        <x:v>SoundPods Pro</x:v>
      </x:c>
      <x:c r="H1801" s="3" t="n">
        <x:v>1</x:v>
      </x:c>
      <x:c r="I1801" s="7" t="n">
        <x:v>4935.61</x:v>
      </x:c>
      <x:c r="J1801" s="9" t="n">
        <x:v>0.05</x:v>
      </x:c>
      <x:c r="K1801" s="7" t="n">
        <x:v>4688.83</x:v>
      </x:c>
      <x:c r="L1801" s="7" t="n">
        <x:v>618.58</x:v>
      </x:c>
      <x:c r="M1801" s="3" t="str">
        <x:v>Credit Card</x:v>
      </x:c>
      <x:c r="N1801" s="3" t="str">
        <x:f>TEXT(B1801,"yyyy-mm")</x:f>
        <x:v>2025-05</x:v>
      </x:c>
      <x:c r="O1801" s="3" t="str">
        <x:f>IF(J1801=0,"No discount",IF(J1801&lt;=0.1,"1-10%",IF(J1801&lt;=0.15,"11-15%",IF(J1801&lt;=0.2,"16-20%","21%+"))))</x:f>
        <x:v>1-10%</x:v>
      </x:c>
      <x:c r="P1801" s="9" t="n">
        <x:f>IF(K1801=0,0,L1801/K1801)</x:f>
        <x:v>0.13192630144407028</x:v>
      </x:c>
      <x:c r="Q1801" s="3" t="str">
        <x:f>IF(L1801&lt;0,"Yes","No")</x:f>
        <x:v>No</x:v>
      </x:c>
    </x:row>
    <x:row r="1802" ht="21" customHeight="1">
      <x:c r="A1802" s="3" t="str">
        <x:v>ORD-100328</x:v>
      </x:c>
      <x:c r="B1802" s="5" t="n">
        <x:v>45786</x:v>
      </x:c>
      <x:c r="C1802" s="3" t="str">
        <x:v>CUST-00573</x:v>
      </x:c>
      <x:c r="D1802" s="3" t="str">
        <x:v>North</x:v>
      </x:c>
      <x:c r="E1802" s="3" t="str">
        <x:v>Sports</x:v>
      </x:c>
      <x:c r="F1802" s="3" t="str">
        <x:v>Fitness</x:v>
      </x:c>
      <x:c r="G1802" s="3" t="str">
        <x:v>Adjustable Dumbbell 24kg</x:v>
      </x:c>
      <x:c r="H1802" s="3" t="n">
        <x:v>1</x:v>
      </x:c>
      <x:c r="I1802" s="7" t="n">
        <x:v>9925.08</x:v>
      </x:c>
      <x:c r="J1802" s="9" t="n">
        <x:v>0</x:v>
      </x:c>
      <x:c r="K1802" s="7" t="n">
        <x:v>9925.08</x:v>
      </x:c>
      <x:c r="L1802" s="7" t="n">
        <x:v>3839.31</x:v>
      </x:c>
      <x:c r="M1802" s="3" t="str">
        <x:v>Credit Card</x:v>
      </x:c>
      <x:c r="N1802" s="3" t="str">
        <x:f>TEXT(B1802,"yyyy-mm")</x:f>
        <x:v>2025-05</x:v>
      </x:c>
      <x:c r="O1802" s="3" t="str">
        <x:f>IF(J1802=0,"No discount",IF(J1802&lt;=0.1,"1-10%",IF(J1802&lt;=0.15,"11-15%",IF(J1802&lt;=0.2,"16-20%","21%+"))))</x:f>
        <x:v>No discount</x:v>
      </x:c>
      <x:c r="P1802" s="9" t="n">
        <x:f>IF(K1802=0,0,L1802/K1802)</x:f>
        <x:v>0.3868291237954757</x:v>
      </x:c>
      <x:c r="Q1802" s="3" t="str">
        <x:f>IF(L1802&lt;0,"Yes","No")</x:f>
        <x:v>No</x:v>
      </x:c>
    </x:row>
    <x:row r="1803" ht="21" customHeight="1">
      <x:c r="A1803" s="3" t="str">
        <x:v>ORD-100925</x:v>
      </x:c>
      <x:c r="B1803" s="5" t="n">
        <x:v>45786</x:v>
      </x:c>
      <x:c r="C1803" s="3" t="str">
        <x:v>CUST-00100</x:v>
      </x:c>
      <x:c r="D1803" s="3" t="str">
        <x:v>South</x:v>
      </x:c>
      <x:c r="E1803" s="3" t="str">
        <x:v>Electronics</x:v>
      </x:c>
      <x:c r="F1803" s="3" t="str">
        <x:v>Mobile</x:v>
      </x:c>
      <x:c r="G1803" s="3" t="str">
        <x:v>Pixel Aura 12</x:v>
      </x:c>
      <x:c r="H1803" s="3" t="n">
        <x:v>2</x:v>
      </x:c>
      <x:c r="I1803" s="7" t="n">
        <x:v>33961.31</x:v>
      </x:c>
      <x:c r="J1803" s="9" t="n">
        <x:v>0.1</x:v>
      </x:c>
      <x:c r="K1803" s="7" t="n">
        <x:v>61130.36</x:v>
      </x:c>
      <x:c r="L1803" s="7" t="n">
        <x:v>5059.12</x:v>
      </x:c>
      <x:c r="M1803" s="3" t="str">
        <x:v>Credit Card</x:v>
      </x:c>
      <x:c r="N1803" s="3" t="str">
        <x:f>TEXT(B1803,"yyyy-mm")</x:f>
        <x:v>2025-05</x:v>
      </x:c>
      <x:c r="O1803" s="3" t="str">
        <x:f>IF(J1803=0,"No discount",IF(J1803&lt;=0.1,"1-10%",IF(J1803&lt;=0.15,"11-15%",IF(J1803&lt;=0.2,"16-20%","21%+"))))</x:f>
        <x:v>1-10%</x:v>
      </x:c>
      <x:c r="P1803" s="9" t="n">
        <x:f>IF(K1803=0,0,L1803/K1803)</x:f>
        <x:v>0.08275953225205937</x:v>
      </x:c>
      <x:c r="Q1803" s="3" t="str">
        <x:f>IF(L1803&lt;0,"Yes","No")</x:f>
        <x:v>No</x:v>
      </x:c>
    </x:row>
    <x:row r="1804" ht="21" customHeight="1">
      <x:c r="A1804" s="3" t="str">
        <x:v>ORD-101055</x:v>
      </x:c>
      <x:c r="B1804" s="5" t="n">
        <x:v>45786</x:v>
      </x:c>
      <x:c r="C1804" s="3" t="str">
        <x:v>CUST-00280</x:v>
      </x:c>
      <x:c r="D1804" s="3" t="str">
        <x:v>North</x:v>
      </x:c>
      <x:c r="E1804" s="3" t="str">
        <x:v>Fashion</x:v>
      </x:c>
      <x:c r="F1804" s="3" t="str">
        <x:v>Women</x:v>
      </x:c>
      <x:c r="G1804" s="3" t="str">
        <x:v>Floral Summer Dress</x:v>
      </x:c>
      <x:c r="H1804" s="3" t="n">
        <x:v>1</x:v>
      </x:c>
      <x:c r="I1804" s="7" t="n">
        <x:v>1794.28</x:v>
      </x:c>
      <x:c r="J1804" s="9" t="n">
        <x:v>0.15</x:v>
      </x:c>
      <x:c r="K1804" s="7" t="n">
        <x:v>1525.14</x:v>
      </x:c>
      <x:c r="L1804" s="7" t="n">
        <x:v>343.72</x:v>
      </x:c>
      <x:c r="M1804" s="3" t="str">
        <x:v>UPI</x:v>
      </x:c>
      <x:c r="N1804" s="3" t="str">
        <x:f>TEXT(B1804,"yyyy-mm")</x:f>
        <x:v>2025-05</x:v>
      </x:c>
      <x:c r="O1804" s="3" t="str">
        <x:f>IF(J1804=0,"No discount",IF(J1804&lt;=0.1,"1-10%",IF(J1804&lt;=0.15,"11-15%",IF(J1804&lt;=0.2,"16-20%","21%+"))))</x:f>
        <x:v>11-15%</x:v>
      </x:c>
      <x:c r="P1804" s="9" t="n">
        <x:f>IF(K1804=0,0,L1804/K1804)</x:f>
        <x:v>0.22536947427777124</x:v>
      </x:c>
      <x:c r="Q1804" s="3" t="str">
        <x:f>IF(L1804&lt;0,"Yes","No")</x:f>
        <x:v>No</x:v>
      </x:c>
    </x:row>
    <x:row r="1805" ht="21" customHeight="1">
      <x:c r="A1805" s="3" t="str">
        <x:v>ORD-100786</x:v>
      </x:c>
      <x:c r="B1805" s="5" t="n">
        <x:v>45787</x:v>
      </x:c>
      <x:c r="C1805" s="3" t="str">
        <x:v>CUST-00532</x:v>
      </x:c>
      <x:c r="D1805" s="3" t="str">
        <x:v>South</x:v>
      </x:c>
      <x:c r="E1805" s="3" t="str">
        <x:v>Beauty</x:v>
      </x:c>
      <x:c r="F1805" s="3" t="str">
        <x:v>Makeup</x:v>
      </x:c>
      <x:c r="G1805" s="3" t="str">
        <x:v>HD Foundation Kit</x:v>
      </x:c>
      <x:c r="H1805" s="3" t="n">
        <x:v>1</x:v>
      </x:c>
      <x:c r="I1805" s="7" t="n">
        <x:v>1548.13</x:v>
      </x:c>
      <x:c r="J1805" s="9" t="n">
        <x:v>0.05</x:v>
      </x:c>
      <x:c r="K1805" s="7" t="n">
        <x:v>1470.72</x:v>
      </x:c>
      <x:c r="L1805" s="7" t="n">
        <x:v>700.93</x:v>
      </x:c>
      <x:c r="M1805" s="3" t="str">
        <x:v>Credit Card</x:v>
      </x:c>
      <x:c r="N1805" s="3" t="str">
        <x:f>TEXT(B1805,"yyyy-mm")</x:f>
        <x:v>2025-05</x:v>
      </x:c>
      <x:c r="O1805" s="3" t="str">
        <x:f>IF(J1805=0,"No discount",IF(J1805&lt;=0.1,"1-10%",IF(J1805&lt;=0.15,"11-15%",IF(J1805&lt;=0.2,"16-20%","21%+"))))</x:f>
        <x:v>1-10%</x:v>
      </x:c>
      <x:c r="P1805" s="9" t="n">
        <x:f>IF(K1805=0,0,L1805/K1805)</x:f>
        <x:v>0.4765896975630983</x:v>
      </x:c>
      <x:c r="Q1805" s="3" t="str">
        <x:f>IF(L1805&lt;0,"Yes","No")</x:f>
        <x:v>No</x:v>
      </x:c>
    </x:row>
    <x:row r="1806" ht="21" customHeight="1">
      <x:c r="A1806" s="3" t="str">
        <x:v>ORD-101273</x:v>
      </x:c>
      <x:c r="B1806" s="5" t="n">
        <x:v>45787</x:v>
      </x:c>
      <x:c r="C1806" s="3" t="str">
        <x:v>CUST-00159</x:v>
      </x:c>
      <x:c r="D1806" s="3" t="str">
        <x:v>South</x:v>
      </x:c>
      <x:c r="E1806" s="3" t="str">
        <x:v>Sports</x:v>
      </x:c>
      <x:c r="F1806" s="3" t="str">
        <x:v>Fitness</x:v>
      </x:c>
      <x:c r="G1806" s="3" t="str">
        <x:v>ProYoga Mat</x:v>
      </x:c>
      <x:c r="H1806" s="3" t="n">
        <x:v>4</x:v>
      </x:c>
      <x:c r="I1806" s="7" t="n">
        <x:v>1275.73</x:v>
      </x:c>
      <x:c r="J1806" s="9" t="n">
        <x:v>0.05</x:v>
      </x:c>
      <x:c r="K1806" s="7" t="n">
        <x:v>4847.77</x:v>
      </x:c>
      <x:c r="L1806" s="7" t="n">
        <x:v>1659.13</x:v>
      </x:c>
      <x:c r="M1806" s="3" t="str">
        <x:v>Credit Card</x:v>
      </x:c>
      <x:c r="N1806" s="3" t="str">
        <x:f>TEXT(B1806,"yyyy-mm")</x:f>
        <x:v>2025-05</x:v>
      </x:c>
      <x:c r="O1806" s="3" t="str">
        <x:f>IF(J1806=0,"No discount",IF(J1806&lt;=0.1,"1-10%",IF(J1806&lt;=0.15,"11-15%",IF(J1806&lt;=0.2,"16-20%","21%+"))))</x:f>
        <x:v>1-10%</x:v>
      </x:c>
      <x:c r="P1806" s="9" t="n">
        <x:f>IF(K1806=0,0,L1806/K1806)</x:f>
        <x:v>0.3422460223979273</x:v>
      </x:c>
      <x:c r="Q1806" s="3" t="str">
        <x:f>IF(L1806&lt;0,"Yes","No")</x:f>
        <x:v>No</x:v>
      </x:c>
    </x:row>
    <x:row r="1807" ht="21" customHeight="1">
      <x:c r="A1807" s="3" t="str">
        <x:v>ORD-101521</x:v>
      </x:c>
      <x:c r="B1807" s="5" t="n">
        <x:v>45787</x:v>
      </x:c>
      <x:c r="C1807" s="3" t="str">
        <x:v>CUST-00352</x:v>
      </x:c>
      <x:c r="D1807" s="3" t="str">
        <x:v>East</x:v>
      </x:c>
      <x:c r="E1807" s="3" t="str">
        <x:v>Electronics</x:v>
      </x:c>
      <x:c r="F1807" s="3" t="str">
        <x:v>Mobile</x:v>
      </x:c>
      <x:c r="G1807" s="3" t="str">
        <x:v>Pixel Aura 12</x:v>
      </x:c>
      <x:c r="H1807" s="3" t="n">
        <x:v>4</x:v>
      </x:c>
      <x:c r="I1807" s="7" t="n">
        <x:v>34546.42</x:v>
      </x:c>
      <x:c r="J1807" s="9" t="n">
        <x:v>0.05</x:v>
      </x:c>
      <x:c r="K1807" s="7" t="n">
        <x:v>131276.4</x:v>
      </x:c>
      <x:c r="L1807" s="7" t="n">
        <x:v>12211.61</x:v>
      </x:c>
      <x:c r="M1807" s="3" t="str">
        <x:v>UPI</x:v>
      </x:c>
      <x:c r="N1807" s="3" t="str">
        <x:f>TEXT(B1807,"yyyy-mm")</x:f>
        <x:v>2025-05</x:v>
      </x:c>
      <x:c r="O1807" s="3" t="str">
        <x:f>IF(J1807=0,"No discount",IF(J1807&lt;=0.1,"1-10%",IF(J1807&lt;=0.15,"11-15%",IF(J1807&lt;=0.2,"16-20%","21%+"))))</x:f>
        <x:v>1-10%</x:v>
      </x:c>
      <x:c r="P1807" s="9" t="n">
        <x:f>IF(K1807=0,0,L1807/K1807)</x:f>
        <x:v>0.09302212735876365</x:v>
      </x:c>
      <x:c r="Q1807" s="3" t="str">
        <x:f>IF(L1807&lt;0,"Yes","No")</x:f>
        <x:v>No</x:v>
      </x:c>
    </x:row>
    <x:row r="1808" ht="21" customHeight="1">
      <x:c r="A1808" s="3" t="str">
        <x:v>ORD-101978</x:v>
      </x:c>
      <x:c r="B1808" s="5" t="n">
        <x:v>45787</x:v>
      </x:c>
      <x:c r="C1808" s="3" t="str">
        <x:v>CUST-00028</x:v>
      </x:c>
      <x:c r="D1808" s="3" t="str">
        <x:v>East</x:v>
      </x:c>
      <x:c r="E1808" s="3" t="str">
        <x:v>Fashion</x:v>
      </x:c>
      <x:c r="F1808" s="3" t="str">
        <x:v>Men</x:v>
      </x:c>
      <x:c r="G1808" s="3" t="str">
        <x:v>SlimFit Denim Jeans</x:v>
      </x:c>
      <x:c r="H1808" s="3" t="n">
        <x:v>1</x:v>
      </x:c>
      <x:c r="I1808" s="7" t="n">
        <x:v>2056.34</x:v>
      </x:c>
      <x:c r="J1808" s="9" t="n">
        <x:v>0.2</x:v>
      </x:c>
      <x:c r="K1808" s="7" t="n">
        <x:v>1645.07</x:v>
      </x:c>
      <x:c r="L1808" s="7" t="n">
        <x:v>305.02</x:v>
      </x:c>
      <x:c r="M1808" s="3" t="str">
        <x:v>Credit Card</x:v>
      </x:c>
      <x:c r="N1808" s="3" t="str">
        <x:f>TEXT(B1808,"yyyy-mm")</x:f>
        <x:v>2025-05</x:v>
      </x:c>
      <x:c r="O1808" s="3" t="str">
        <x:f>IF(J1808=0,"No discount",IF(J1808&lt;=0.1,"1-10%",IF(J1808&lt;=0.15,"11-15%",IF(J1808&lt;=0.2,"16-20%","21%+"))))</x:f>
        <x:v>16-20%</x:v>
      </x:c>
      <x:c r="P1808" s="9" t="n">
        <x:f>IF(K1808=0,0,L1808/K1808)</x:f>
        <x:v>0.18541460241813418</x:v>
      </x:c>
      <x:c r="Q1808" s="3" t="str">
        <x:f>IF(L1808&lt;0,"Yes","No")</x:f>
        <x:v>No</x:v>
      </x:c>
    </x:row>
    <x:row r="1809" ht="21" customHeight="1">
      <x:c r="A1809" s="3" t="str">
        <x:v>ORD-100062</x:v>
      </x:c>
      <x:c r="B1809" s="5" t="n">
        <x:v>45788</x:v>
      </x:c>
      <x:c r="C1809" s="3" t="str">
        <x:v>CUST-00246</x:v>
      </x:c>
      <x:c r="D1809" s="3" t="str">
        <x:v>West</x:v>
      </x:c>
      <x:c r="E1809" s="3" t="str">
        <x:v>Beauty</x:v>
      </x:c>
      <x:c r="F1809" s="3" t="str">
        <x:v>Makeup</x:v>
      </x:c>
      <x:c r="G1809" s="3" t="str">
        <x:v>HD Foundation Kit</x:v>
      </x:c>
      <x:c r="H1809" s="3" t="n">
        <x:v>2</x:v>
      </x:c>
      <x:c r="I1809" s="7" t="n">
        <x:v>1454.56</x:v>
      </x:c>
      <x:c r="J1809" s="9" t="n">
        <x:v>0.15</x:v>
      </x:c>
      <x:c r="K1809" s="7" t="n">
        <x:v>2472.75</x:v>
      </x:c>
      <x:c r="L1809" s="7" t="n">
        <x:v>943.2</x:v>
      </x:c>
      <x:c r="M1809" s="3" t="str">
        <x:v>Credit Card</x:v>
      </x:c>
      <x:c r="N1809" s="3" t="str">
        <x:f>TEXT(B1809,"yyyy-mm")</x:f>
        <x:v>2025-05</x:v>
      </x:c>
      <x:c r="O1809" s="3" t="str">
        <x:f>IF(J1809=0,"No discount",IF(J1809&lt;=0.1,"1-10%",IF(J1809&lt;=0.15,"11-15%",IF(J1809&lt;=0.2,"16-20%","21%+"))))</x:f>
        <x:v>11-15%</x:v>
      </x:c>
      <x:c r="P1809" s="9" t="n">
        <x:f>IF(K1809=0,0,L1809/K1809)</x:f>
        <x:v>0.3814376706096452</x:v>
      </x:c>
      <x:c r="Q1809" s="3" t="str">
        <x:f>IF(L1809&lt;0,"Yes","No")</x:f>
        <x:v>No</x:v>
      </x:c>
    </x:row>
    <x:row r="1810" ht="21" customHeight="1">
      <x:c r="A1810" s="3" t="str">
        <x:v>ORD-100493</x:v>
      </x:c>
      <x:c r="B1810" s="5" t="n">
        <x:v>45788</x:v>
      </x:c>
      <x:c r="C1810" s="3" t="str">
        <x:v>CUST-00167</x:v>
      </x:c>
      <x:c r="D1810" s="3" t="str">
        <x:v>South</x:v>
      </x:c>
      <x:c r="E1810" s="3" t="str">
        <x:v>Home &amp; Kitchen</x:v>
      </x:c>
      <x:c r="F1810" s="3" t="str">
        <x:v>Decor</x:v>
      </x:c>
      <x:c r="G1810" s="3" t="str">
        <x:v>LED Wall Lamp</x:v>
      </x:c>
      <x:c r="H1810" s="3" t="n">
        <x:v>1</x:v>
      </x:c>
      <x:c r="I1810" s="7" t="n">
        <x:v>1031.3</x:v>
      </x:c>
      <x:c r="J1810" s="9" t="n">
        <x:v>0.1</x:v>
      </x:c>
      <x:c r="K1810" s="7" t="n">
        <x:v>928.17</x:v>
      </x:c>
      <x:c r="L1810" s="7" t="n">
        <x:v>163.39</x:v>
      </x:c>
      <x:c r="M1810" s="3" t="str">
        <x:v>UPI</x:v>
      </x:c>
      <x:c r="N1810" s="3" t="str">
        <x:f>TEXT(B1810,"yyyy-mm")</x:f>
        <x:v>2025-05</x:v>
      </x:c>
      <x:c r="O1810" s="3" t="str">
        <x:f>IF(J1810=0,"No discount",IF(J1810&lt;=0.1,"1-10%",IF(J1810&lt;=0.15,"11-15%",IF(J1810&lt;=0.2,"16-20%","21%+"))))</x:f>
        <x:v>1-10%</x:v>
      </x:c>
      <x:c r="P1810" s="9" t="n">
        <x:f>IF(K1810=0,0,L1810/K1810)</x:f>
        <x:v>0.17603456263400022</x:v>
      </x:c>
      <x:c r="Q1810" s="3" t="str">
        <x:f>IF(L1810&lt;0,"Yes","No")</x:f>
        <x:v>No</x:v>
      </x:c>
    </x:row>
    <x:row r="1811" ht="21" customHeight="1">
      <x:c r="A1811" s="3" t="str">
        <x:v>ORD-100039</x:v>
      </x:c>
      <x:c r="B1811" s="5" t="n">
        <x:v>45789</x:v>
      </x:c>
      <x:c r="C1811" s="3" t="str">
        <x:v>CUST-00345</x:v>
      </x:c>
      <x:c r="D1811" s="3" t="str">
        <x:v>South</x:v>
      </x:c>
      <x:c r="E1811" s="3" t="str">
        <x:v>Home &amp; Kitchen</x:v>
      </x:c>
      <x:c r="F1811" s="3" t="str">
        <x:v>Decor</x:v>
      </x:c>
      <x:c r="G1811" s="3" t="str">
        <x:v>LED Wall Lamp</x:v>
      </x:c>
      <x:c r="H1811" s="3" t="n">
        <x:v>1</x:v>
      </x:c>
      <x:c r="I1811" s="7" t="n">
        <x:v>1028.96</x:v>
      </x:c>
      <x:c r="J1811" s="9" t="n">
        <x:v>0.15</x:v>
      </x:c>
      <x:c r="K1811" s="7" t="n">
        <x:v>874.62</x:v>
      </x:c>
      <x:c r="L1811" s="7" t="n">
        <x:v>165.59</x:v>
      </x:c>
      <x:c r="M1811" s="3" t="str">
        <x:v>UPI</x:v>
      </x:c>
      <x:c r="N1811" s="3" t="str">
        <x:f>TEXT(B1811,"yyyy-mm")</x:f>
        <x:v>2025-05</x:v>
      </x:c>
      <x:c r="O1811" s="3" t="str">
        <x:f>IF(J1811=0,"No discount",IF(J1811&lt;=0.1,"1-10%",IF(J1811&lt;=0.15,"11-15%",IF(J1811&lt;=0.2,"16-20%","21%+"))))</x:f>
        <x:v>11-15%</x:v>
      </x:c>
      <x:c r="P1811" s="9" t="n">
        <x:f>IF(K1811=0,0,L1811/K1811)</x:f>
        <x:v>0.18932793670394</x:v>
      </x:c>
      <x:c r="Q1811" s="3" t="str">
        <x:f>IF(L1811&lt;0,"Yes","No")</x:f>
        <x:v>No</x:v>
      </x:c>
    </x:row>
    <x:row r="1812" ht="21" customHeight="1">
      <x:c r="A1812" s="3" t="str">
        <x:v>ORD-101986</x:v>
      </x:c>
      <x:c r="B1812" s="5" t="n">
        <x:v>45789</x:v>
      </x:c>
      <x:c r="C1812" s="3" t="str">
        <x:v>CUST-00189</x:v>
      </x:c>
      <x:c r="D1812" s="3" t="str">
        <x:v>South</x:v>
      </x:c>
      <x:c r="E1812" s="3" t="str">
        <x:v>Electronics</x:v>
      </x:c>
      <x:c r="F1812" s="3" t="str">
        <x:v>Audio</x:v>
      </x:c>
      <x:c r="G1812" s="3" t="str">
        <x:v>BassBoom Speaker</x:v>
      </x:c>
      <x:c r="H1812" s="3" t="n">
        <x:v>5</x:v>
      </x:c>
      <x:c r="I1812" s="7" t="n">
        <x:v>9089.2</x:v>
      </x:c>
      <x:c r="J1812" s="9" t="n">
        <x:v>0.15</x:v>
      </x:c>
      <x:c r="K1812" s="7" t="n">
        <x:v>38629.1</x:v>
      </x:c>
      <x:c r="L1812" s="7" t="n">
        <x:v>184.2</x:v>
      </x:c>
      <x:c r="M1812" s="3" t="str">
        <x:v>Debit Card</x:v>
      </x:c>
      <x:c r="N1812" s="3" t="str">
        <x:f>TEXT(B1812,"yyyy-mm")</x:f>
        <x:v>2025-05</x:v>
      </x:c>
      <x:c r="O1812" s="3" t="str">
        <x:f>IF(J1812=0,"No discount",IF(J1812&lt;=0.1,"1-10%",IF(J1812&lt;=0.15,"11-15%",IF(J1812&lt;=0.2,"16-20%","21%+"))))</x:f>
        <x:v>11-15%</x:v>
      </x:c>
      <x:c r="P1812" s="9" t="n">
        <x:f>IF(K1812=0,0,L1812/K1812)</x:f>
        <x:v>0.004768425875829362</x:v>
      </x:c>
      <x:c r="Q1812" s="3" t="str">
        <x:f>IF(L1812&lt;0,"Yes","No")</x:f>
        <x:v>No</x:v>
      </x:c>
    </x:row>
    <x:row r="1813" ht="21" customHeight="1">
      <x:c r="A1813" s="3" t="str">
        <x:v>ORD-100550</x:v>
      </x:c>
      <x:c r="B1813" s="5" t="n">
        <x:v>45790</x:v>
      </x:c>
      <x:c r="C1813" s="3" t="str">
        <x:v>CUST-00370</x:v>
      </x:c>
      <x:c r="D1813" s="3" t="str">
        <x:v>East</x:v>
      </x:c>
      <x:c r="E1813" s="3" t="str">
        <x:v>Electronics</x:v>
      </x:c>
      <x:c r="F1813" s="3" t="str">
        <x:v>Laptop</x:v>
      </x:c>
      <x:c r="G1813" s="3" t="str">
        <x:v>ThinkPro 14</x:v>
      </x:c>
      <x:c r="H1813" s="3" t="n">
        <x:v>1</x:v>
      </x:c>
      <x:c r="I1813" s="7" t="n">
        <x:v>53193.58</x:v>
      </x:c>
      <x:c r="J1813" s="9" t="n">
        <x:v>0</x:v>
      </x:c>
      <x:c r="K1813" s="7" t="n">
        <x:v>53193.58</x:v>
      </x:c>
      <x:c r="L1813" s="7" t="n">
        <x:v>9477.48</x:v>
      </x:c>
      <x:c r="M1813" s="3" t="str">
        <x:v>Net Banking</x:v>
      </x:c>
      <x:c r="N1813" s="3" t="str">
        <x:f>TEXT(B1813,"yyyy-mm")</x:f>
        <x:v>2025-05</x:v>
      </x:c>
      <x:c r="O1813" s="3" t="str">
        <x:f>IF(J1813=0,"No discount",IF(J1813&lt;=0.1,"1-10%",IF(J1813&lt;=0.15,"11-15%",IF(J1813&lt;=0.2,"16-20%","21%+"))))</x:f>
        <x:v>No discount</x:v>
      </x:c>
      <x:c r="P1813" s="9" t="n">
        <x:f>IF(K1813=0,0,L1813/K1813)</x:f>
        <x:v>0.1781696212212075</x:v>
      </x:c>
      <x:c r="Q1813" s="3" t="str">
        <x:f>IF(L1813&lt;0,"Yes","No")</x:f>
        <x:v>No</x:v>
      </x:c>
    </x:row>
    <x:row r="1814" ht="21" customHeight="1">
      <x:c r="A1814" s="3" t="str">
        <x:v>ORD-100944</x:v>
      </x:c>
      <x:c r="B1814" s="5" t="n">
        <x:v>45790</x:v>
      </x:c>
      <x:c r="C1814" s="3" t="str">
        <x:v>CUST-00385</x:v>
      </x:c>
      <x:c r="D1814" s="3" t="str">
        <x:v>North</x:v>
      </x:c>
      <x:c r="E1814" s="3" t="str">
        <x:v>Home &amp; Kitchen</x:v>
      </x:c>
      <x:c r="F1814" s="3" t="str">
        <x:v>Appliances</x:v>
      </x:c>
      <x:c r="G1814" s="3" t="str">
        <x:v>AirFryer Deluxe</x:v>
      </x:c>
      <x:c r="H1814" s="3" t="n">
        <x:v>3</x:v>
      </x:c>
      <x:c r="I1814" s="7" t="n">
        <x:v>7951.09</x:v>
      </x:c>
      <x:c r="J1814" s="9" t="n">
        <x:v>0.1</x:v>
      </x:c>
      <x:c r="K1814" s="7" t="n">
        <x:v>21467.94</x:v>
      </x:c>
      <x:c r="L1814" s="7" t="n">
        <x:v>4227.4</x:v>
      </x:c>
      <x:c r="M1814" s="3" t="str">
        <x:v>UPI</x:v>
      </x:c>
      <x:c r="N1814" s="3" t="str">
        <x:f>TEXT(B1814,"yyyy-mm")</x:f>
        <x:v>2025-05</x:v>
      </x:c>
      <x:c r="O1814" s="3" t="str">
        <x:f>IF(J1814=0,"No discount",IF(J1814&lt;=0.1,"1-10%",IF(J1814&lt;=0.15,"11-15%",IF(J1814&lt;=0.2,"16-20%","21%+"))))</x:f>
        <x:v>1-10%</x:v>
      </x:c>
      <x:c r="P1814" s="9" t="n">
        <x:f>IF(K1814=0,0,L1814/K1814)</x:f>
        <x:v>0.19691689095460485</x:v>
      </x:c>
      <x:c r="Q1814" s="3" t="str">
        <x:f>IF(L1814&lt;0,"Yes","No")</x:f>
        <x:v>No</x:v>
      </x:c>
    </x:row>
    <x:row r="1815" ht="21" customHeight="1">
      <x:c r="A1815" s="3" t="str">
        <x:v>ORD-101027</x:v>
      </x:c>
      <x:c r="B1815" s="5" t="n">
        <x:v>45790</x:v>
      </x:c>
      <x:c r="C1815" s="3" t="str">
        <x:v>CUST-00544</x:v>
      </x:c>
      <x:c r="D1815" s="3" t="str">
        <x:v>North</x:v>
      </x:c>
      <x:c r="E1815" s="3" t="str">
        <x:v>Fashion</x:v>
      </x:c>
      <x:c r="F1815" s="3" t="str">
        <x:v>Footwear</x:v>
      </x:c>
      <x:c r="G1815" s="3" t="str">
        <x:v>UrbanLoafers</x:v>
      </x:c>
      <x:c r="H1815" s="3" t="n">
        <x:v>2</x:v>
      </x:c>
      <x:c r="I1815" s="7" t="n">
        <x:v>3376.77</x:v>
      </x:c>
      <x:c r="J1815" s="9" t="n">
        <x:v>0.15</x:v>
      </x:c>
      <x:c r="K1815" s="7" t="n">
        <x:v>5740.51</x:v>
      </x:c>
      <x:c r="L1815" s="7" t="n">
        <x:v>1336.5</x:v>
      </x:c>
      <x:c r="M1815" s="3" t="str">
        <x:v>Debit Card</x:v>
      </x:c>
      <x:c r="N1815" s="3" t="str">
        <x:f>TEXT(B1815,"yyyy-mm")</x:f>
        <x:v>2025-05</x:v>
      </x:c>
      <x:c r="O1815" s="3" t="str">
        <x:f>IF(J1815=0,"No discount",IF(J1815&lt;=0.1,"1-10%",IF(J1815&lt;=0.15,"11-15%",IF(J1815&lt;=0.2,"16-20%","21%+"))))</x:f>
        <x:v>11-15%</x:v>
      </x:c>
      <x:c r="P1815" s="9" t="n">
        <x:f>IF(K1815=0,0,L1815/K1815)</x:f>
        <x:v>0.2328190352425133</x:v>
      </x:c>
      <x:c r="Q1815" s="3" t="str">
        <x:f>IF(L1815&lt;0,"Yes","No")</x:f>
        <x:v>No</x:v>
      </x:c>
    </x:row>
    <x:row r="1816" ht="21" customHeight="1">
      <x:c r="A1816" s="3" t="str">
        <x:v>ORD-101468</x:v>
      </x:c>
      <x:c r="B1816" s="5" t="n">
        <x:v>45790</x:v>
      </x:c>
      <x:c r="C1816" s="3" t="str">
        <x:v>CUST-00293</x:v>
      </x:c>
      <x:c r="D1816" s="3" t="str">
        <x:v>North</x:v>
      </x:c>
      <x:c r="E1816" s="3" t="str">
        <x:v>Beauty</x:v>
      </x:c>
      <x:c r="F1816" s="3" t="str">
        <x:v>Makeup</x:v>
      </x:c>
      <x:c r="G1816" s="3" t="str">
        <x:v>HD Foundation Kit</x:v>
      </x:c>
      <x:c r="H1816" s="3" t="n">
        <x:v>2</x:v>
      </x:c>
      <x:c r="I1816" s="7" t="n">
        <x:v>1446.98</x:v>
      </x:c>
      <x:c r="J1816" s="9" t="n">
        <x:v>0.3</x:v>
      </x:c>
      <x:c r="K1816" s="7" t="n">
        <x:v>2025.77</x:v>
      </x:c>
      <x:c r="L1816" s="7" t="n">
        <x:v>464.67</x:v>
      </x:c>
      <x:c r="M1816" s="3" t="str">
        <x:v>Credit Card</x:v>
      </x:c>
      <x:c r="N1816" s="3" t="str">
        <x:f>TEXT(B1816,"yyyy-mm")</x:f>
        <x:v>2025-05</x:v>
      </x:c>
      <x:c r="O1816" s="3" t="str">
        <x:f>IF(J1816=0,"No discount",IF(J1816&lt;=0.1,"1-10%",IF(J1816&lt;=0.15,"11-15%",IF(J1816&lt;=0.2,"16-20%","21%+"))))</x:f>
        <x:v>21%+</x:v>
      </x:c>
      <x:c r="P1816" s="9" t="n">
        <x:f>IF(K1816=0,0,L1816/K1816)</x:f>
        <x:v>0.22937944584034714</x:v>
      </x:c>
      <x:c r="Q1816" s="3" t="str">
        <x:f>IF(L1816&lt;0,"Yes","No")</x:f>
        <x:v>No</x:v>
      </x:c>
    </x:row>
    <x:row r="1817" ht="21" customHeight="1">
      <x:c r="A1817" s="3" t="str">
        <x:v>ORD-101778</x:v>
      </x:c>
      <x:c r="B1817" s="5" t="n">
        <x:v>45790</x:v>
      </x:c>
      <x:c r="C1817" s="3" t="str">
        <x:v>CUST-00280</x:v>
      </x:c>
      <x:c r="D1817" s="3" t="str">
        <x:v>East</x:v>
      </x:c>
      <x:c r="E1817" s="3" t="str">
        <x:v>Home &amp; Kitchen</x:v>
      </x:c>
      <x:c r="F1817" s="3" t="str">
        <x:v>Appliances</x:v>
      </x:c>
      <x:c r="G1817" s="3" t="str">
        <x:v>AirFryer Deluxe</x:v>
      </x:c>
      <x:c r="H1817" s="3" t="n">
        <x:v>2</x:v>
      </x:c>
      <x:c r="I1817" s="7" t="n">
        <x:v>7652.01</x:v>
      </x:c>
      <x:c r="J1817" s="9" t="n">
        <x:v>0.05</x:v>
      </x:c>
      <x:c r="K1817" s="7" t="n">
        <x:v>14538.82</x:v>
      </x:c>
      <x:c r="L1817" s="7" t="n">
        <x:v>4086.75</x:v>
      </x:c>
      <x:c r="M1817" s="3" t="str">
        <x:v>Net Banking</x:v>
      </x:c>
      <x:c r="N1817" s="3" t="str">
        <x:f>TEXT(B1817,"yyyy-mm")</x:f>
        <x:v>2025-05</x:v>
      </x:c>
      <x:c r="O1817" s="3" t="str">
        <x:f>IF(J1817=0,"No discount",IF(J1817&lt;=0.1,"1-10%",IF(J1817&lt;=0.15,"11-15%",IF(J1817&lt;=0.2,"16-20%","21%+"))))</x:f>
        <x:v>1-10%</x:v>
      </x:c>
      <x:c r="P1817" s="9" t="n">
        <x:f>IF(K1817=0,0,L1817/K1817)</x:f>
        <x:v>0.28109227571426015</x:v>
      </x:c>
      <x:c r="Q1817" s="3" t="str">
        <x:f>IF(L1817&lt;0,"Yes","No")</x:f>
        <x:v>No</x:v>
      </x:c>
    </x:row>
    <x:row r="1818" ht="21" customHeight="1">
      <x:c r="A1818" s="3" t="str">
        <x:v>ORD-101806</x:v>
      </x:c>
      <x:c r="B1818" s="5" t="n">
        <x:v>45790</x:v>
      </x:c>
      <x:c r="C1818" s="3" t="str">
        <x:v>CUST-00118</x:v>
      </x:c>
      <x:c r="D1818" s="3" t="str">
        <x:v>South</x:v>
      </x:c>
      <x:c r="E1818" s="3" t="str">
        <x:v>Sports</x:v>
      </x:c>
      <x:c r="F1818" s="3" t="str">
        <x:v>Outdoor</x:v>
      </x:c>
      <x:c r="G1818" s="3" t="str">
        <x:v>AllWeather Tent 4P</x:v>
      </x:c>
      <x:c r="H1818" s="3" t="n">
        <x:v>1</x:v>
      </x:c>
      <x:c r="I1818" s="7" t="n">
        <x:v>12290.59</x:v>
      </x:c>
      <x:c r="J1818" s="9" t="n">
        <x:v>0</x:v>
      </x:c>
      <x:c r="K1818" s="7" t="n">
        <x:v>12290.59</x:v>
      </x:c>
      <x:c r="L1818" s="7" t="n">
        <x:v>4741.51</x:v>
      </x:c>
      <x:c r="M1818" s="3" t="str">
        <x:v>Credit Card</x:v>
      </x:c>
      <x:c r="N1818" s="3" t="str">
        <x:f>TEXT(B1818,"yyyy-mm")</x:f>
        <x:v>2025-05</x:v>
      </x:c>
      <x:c r="O1818" s="3" t="str">
        <x:f>IF(J1818=0,"No discount",IF(J1818&lt;=0.1,"1-10%",IF(J1818&lt;=0.15,"11-15%",IF(J1818&lt;=0.2,"16-20%","21%+"))))</x:f>
        <x:v>No discount</x:v>
      </x:c>
      <x:c r="P1818" s="9" t="n">
        <x:f>IF(K1818=0,0,L1818/K1818)</x:f>
        <x:v>0.3857837581434252</x:v>
      </x:c>
      <x:c r="Q1818" s="3" t="str">
        <x:f>IF(L1818&lt;0,"Yes","No")</x:f>
        <x:v>No</x:v>
      </x:c>
    </x:row>
    <x:row r="1819" ht="21" customHeight="1">
      <x:c r="A1819" s="3" t="str">
        <x:v>ORD-100691</x:v>
      </x:c>
      <x:c r="B1819" s="5" t="n">
        <x:v>45791</x:v>
      </x:c>
      <x:c r="C1819" s="3" t="str">
        <x:v>CUST-00007</x:v>
      </x:c>
      <x:c r="D1819" s="3" t="str">
        <x:v>West</x:v>
      </x:c>
      <x:c r="E1819" s="3" t="str">
        <x:v>Home &amp; Kitchen</x:v>
      </x:c>
      <x:c r="F1819" s="3" t="str">
        <x:v>Decor</x:v>
      </x:c>
      <x:c r="G1819" s="3" t="str">
        <x:v>Ceramic Vase Set</x:v>
      </x:c>
      <x:c r="H1819" s="3" t="n">
        <x:v>1</x:v>
      </x:c>
      <x:c r="I1819" s="7" t="n">
        <x:v>1483.05</x:v>
      </x:c>
      <x:c r="J1819" s="9" t="n">
        <x:v>0.1</x:v>
      </x:c>
      <x:c r="K1819" s="7" t="n">
        <x:v>1334.74</x:v>
      </x:c>
      <x:c r="L1819" s="7" t="n">
        <x:v>332.14</x:v>
      </x:c>
      <x:c r="M1819" s="3" t="str">
        <x:v>Cash on Delivery</x:v>
      </x:c>
      <x:c r="N1819" s="3" t="str">
        <x:f>TEXT(B1819,"yyyy-mm")</x:f>
        <x:v>2025-05</x:v>
      </x:c>
      <x:c r="O1819" s="3" t="str">
        <x:f>IF(J1819=0,"No discount",IF(J1819&lt;=0.1,"1-10%",IF(J1819&lt;=0.15,"11-15%",IF(J1819&lt;=0.2,"16-20%","21%+"))))</x:f>
        <x:v>1-10%</x:v>
      </x:c>
      <x:c r="P1819" s="9" t="n">
        <x:f>IF(K1819=0,0,L1819/K1819)</x:f>
        <x:v>0.2488424711928915</x:v>
      </x:c>
      <x:c r="Q1819" s="3" t="str">
        <x:f>IF(L1819&lt;0,"Yes","No")</x:f>
        <x:v>No</x:v>
      </x:c>
    </x:row>
    <x:row r="1820" ht="21" customHeight="1">
      <x:c r="A1820" s="3" t="str">
        <x:v>ORD-100737</x:v>
      </x:c>
      <x:c r="B1820" s="5" t="n">
        <x:v>45791</x:v>
      </x:c>
      <x:c r="C1820" s="3" t="str">
        <x:v>CUST-00294</x:v>
      </x:c>
      <x:c r="D1820" s="3" t="str">
        <x:v>North</x:v>
      </x:c>
      <x:c r="E1820" s="3" t="str">
        <x:v>Home &amp; Kitchen</x:v>
      </x:c>
      <x:c r="F1820" s="3" t="str">
        <x:v>Furniture</x:v>
      </x:c>
      <x:c r="G1820" s="3" t="str">
        <x:v>ErgoComfort Chair</x:v>
      </x:c>
      <x:c r="H1820" s="3" t="n">
        <x:v>1</x:v>
      </x:c>
      <x:c r="I1820" s="7" t="n">
        <x:v>8876.01</x:v>
      </x:c>
      <x:c r="J1820" s="9" t="n">
        <x:v>0</x:v>
      </x:c>
      <x:c r="K1820" s="7" t="n">
        <x:v>8876.01</x:v>
      </x:c>
      <x:c r="L1820" s="7" t="n">
        <x:v>2637.4</x:v>
      </x:c>
      <x:c r="M1820" s="3" t="str">
        <x:v>Debit Card</x:v>
      </x:c>
      <x:c r="N1820" s="3" t="str">
        <x:f>TEXT(B1820,"yyyy-mm")</x:f>
        <x:v>2025-05</x:v>
      </x:c>
      <x:c r="O1820" s="3" t="str">
        <x:f>IF(J1820=0,"No discount",IF(J1820&lt;=0.1,"1-10%",IF(J1820&lt;=0.15,"11-15%",IF(J1820&lt;=0.2,"16-20%","21%+"))))</x:f>
        <x:v>No discount</x:v>
      </x:c>
      <x:c r="P1820" s="9" t="n">
        <x:f>IF(K1820=0,0,L1820/K1820)</x:f>
        <x:v>0.2971380158427041</x:v>
      </x:c>
      <x:c r="Q1820" s="3" t="str">
        <x:f>IF(L1820&lt;0,"Yes","No")</x:f>
        <x:v>No</x:v>
      </x:c>
    </x:row>
    <x:row r="1821" ht="21" customHeight="1">
      <x:c r="A1821" s="3" t="str">
        <x:v>ORD-100980</x:v>
      </x:c>
      <x:c r="B1821" s="5" t="n">
        <x:v>45791</x:v>
      </x:c>
      <x:c r="C1821" s="3" t="str">
        <x:v>CUST-00580</x:v>
      </x:c>
      <x:c r="D1821" s="3" t="str">
        <x:v>East</x:v>
      </x:c>
      <x:c r="E1821" s="3" t="str">
        <x:v>Home &amp; Kitchen</x:v>
      </x:c>
      <x:c r="F1821" s="3" t="str">
        <x:v>Furniture</x:v>
      </x:c>
      <x:c r="G1821" s="3" t="str">
        <x:v>Oakwood Study Desk</x:v>
      </x:c>
      <x:c r="H1821" s="3" t="n">
        <x:v>1</x:v>
      </x:c>
      <x:c r="I1821" s="7" t="n">
        <x:v>12664.59</x:v>
      </x:c>
      <x:c r="J1821" s="9" t="n">
        <x:v>0.15</x:v>
      </x:c>
      <x:c r="K1821" s="7" t="n">
        <x:v>10764.9</x:v>
      </x:c>
      <x:c r="L1821" s="7" t="n">
        <x:v>1691.15</x:v>
      </x:c>
      <x:c r="M1821" s="3" t="str">
        <x:v>Credit Card</x:v>
      </x:c>
      <x:c r="N1821" s="3" t="str">
        <x:f>TEXT(B1821,"yyyy-mm")</x:f>
        <x:v>2025-05</x:v>
      </x:c>
      <x:c r="O1821" s="3" t="str">
        <x:f>IF(J1821=0,"No discount",IF(J1821&lt;=0.1,"1-10%",IF(J1821&lt;=0.15,"11-15%",IF(J1821&lt;=0.2,"16-20%","21%+"))))</x:f>
        <x:v>11-15%</x:v>
      </x:c>
      <x:c r="P1821" s="9" t="n">
        <x:f>IF(K1821=0,0,L1821/K1821)</x:f>
        <x:v>0.1570985331958495</x:v>
      </x:c>
      <x:c r="Q1821" s="3" t="str">
        <x:f>IF(L1821&lt;0,"Yes","No")</x:f>
        <x:v>No</x:v>
      </x:c>
    </x:row>
    <x:row r="1822" ht="21" customHeight="1">
      <x:c r="A1822" s="3" t="str">
        <x:v>ORD-101729</x:v>
      </x:c>
      <x:c r="B1822" s="5" t="n">
        <x:v>45791</x:v>
      </x:c>
      <x:c r="C1822" s="3" t="str">
        <x:v>CUST-00572</x:v>
      </x:c>
      <x:c r="D1822" s="3" t="str">
        <x:v>East</x:v>
      </x:c>
      <x:c r="E1822" s="3" t="str">
        <x:v>Beauty</x:v>
      </x:c>
      <x:c r="F1822" s="3" t="str">
        <x:v>Makeup</x:v>
      </x:c>
      <x:c r="G1822" s="3" t="str">
        <x:v>HD Foundation Kit</x:v>
      </x:c>
      <x:c r="H1822" s="3" t="n">
        <x:v>1</x:v>
      </x:c>
      <x:c r="I1822" s="7" t="n">
        <x:v>1560.14</x:v>
      </x:c>
      <x:c r="J1822" s="9" t="n">
        <x:v>0</x:v>
      </x:c>
      <x:c r="K1822" s="7" t="n">
        <x:v>1560.14</x:v>
      </x:c>
      <x:c r="L1822" s="7" t="n">
        <x:v>908</x:v>
      </x:c>
      <x:c r="M1822" s="3" t="str">
        <x:v>Debit Card</x:v>
      </x:c>
      <x:c r="N1822" s="3" t="str">
        <x:f>TEXT(B1822,"yyyy-mm")</x:f>
        <x:v>2025-05</x:v>
      </x:c>
      <x:c r="O1822" s="3" t="str">
        <x:f>IF(J1822=0,"No discount",IF(J1822&lt;=0.1,"1-10%",IF(J1822&lt;=0.15,"11-15%",IF(J1822&lt;=0.2,"16-20%","21%+"))))</x:f>
        <x:v>No discount</x:v>
      </x:c>
      <x:c r="P1822" s="9" t="n">
        <x:f>IF(K1822=0,0,L1822/K1822)</x:f>
        <x:v>0.581999051367185</x:v>
      </x:c>
      <x:c r="Q1822" s="3" t="str">
        <x:f>IF(L1822&lt;0,"Yes","No")</x:f>
        <x:v>No</x:v>
      </x:c>
    </x:row>
    <x:row r="1823" ht="21" customHeight="1">
      <x:c r="A1823" s="3" t="str">
        <x:v>ORD-101812</x:v>
      </x:c>
      <x:c r="B1823" s="5" t="n">
        <x:v>45791</x:v>
      </x:c>
      <x:c r="C1823" s="3" t="str">
        <x:v>CUST-00017</x:v>
      </x:c>
      <x:c r="D1823" s="3" t="str">
        <x:v>South</x:v>
      </x:c>
      <x:c r="E1823" s="3" t="str">
        <x:v>Home &amp; Kitchen</x:v>
      </x:c>
      <x:c r="F1823" s="3" t="str">
        <x:v>Appliances</x:v>
      </x:c>
      <x:c r="G1823" s="3" t="str">
        <x:v>AirFryer Deluxe</x:v>
      </x:c>
      <x:c r="H1823" s="3" t="n">
        <x:v>1</x:v>
      </x:c>
      <x:c r="I1823" s="7" t="n">
        <x:v>8179.14</x:v>
      </x:c>
      <x:c r="J1823" s="9" t="n">
        <x:v>0.4</x:v>
      </x:c>
      <x:c r="K1823" s="7" t="n">
        <x:v>4907.48</x:v>
      </x:c>
      <x:c r="L1823" s="7" t="n">
        <x:v>-452.69</x:v>
      </x:c>
      <x:c r="M1823" s="3" t="str">
        <x:v>Net Banking</x:v>
      </x:c>
      <x:c r="N1823" s="3" t="str">
        <x:f>TEXT(B1823,"yyyy-mm")</x:f>
        <x:v>2025-05</x:v>
      </x:c>
      <x:c r="O1823" s="3" t="str">
        <x:f>IF(J1823=0,"No discount",IF(J1823&lt;=0.1,"1-10%",IF(J1823&lt;=0.15,"11-15%",IF(J1823&lt;=0.2,"16-20%","21%+"))))</x:f>
        <x:v>21%+</x:v>
      </x:c>
      <x:c r="P1823" s="9" t="n">
        <x:f>IF(K1823=0,0,L1823/K1823)</x:f>
        <x:v>-0.09224489962261691</x:v>
      </x:c>
      <x:c r="Q1823" s="3" t="str">
        <x:f>IF(L1823&lt;0,"Yes","No")</x:f>
        <x:v>Yes</x:v>
      </x:c>
    </x:row>
    <x:row r="1824" ht="21" customHeight="1">
      <x:c r="A1824" s="3" t="str">
        <x:v>ORD-101896</x:v>
      </x:c>
      <x:c r="B1824" s="5" t="n">
        <x:v>45791</x:v>
      </x:c>
      <x:c r="C1824" s="3" t="str">
        <x:v>CUST-00287</x:v>
      </x:c>
      <x:c r="D1824" s="3" t="str">
        <x:v>South</x:v>
      </x:c>
      <x:c r="E1824" s="3" t="str">
        <x:v>Sports</x:v>
      </x:c>
      <x:c r="F1824" s="3" t="str">
        <x:v>Outdoor</x:v>
      </x:c>
      <x:c r="G1824" s="3" t="str">
        <x:v>TrailHike Backpack 60L</x:v>
      </x:c>
      <x:c r="H1824" s="3" t="n">
        <x:v>1</x:v>
      </x:c>
      <x:c r="I1824" s="7" t="n">
        <x:v>3630.85</x:v>
      </x:c>
      <x:c r="J1824" s="9" t="n">
        <x:v>0.2</x:v>
      </x:c>
      <x:c r="K1824" s="7" t="n">
        <x:v>2904.68</x:v>
      </x:c>
      <x:c r="L1824" s="7" t="n">
        <x:v>522.03</x:v>
      </x:c>
      <x:c r="M1824" s="3" t="str">
        <x:v>Debit Card</x:v>
      </x:c>
      <x:c r="N1824" s="3" t="str">
        <x:f>TEXT(B1824,"yyyy-mm")</x:f>
        <x:v>2025-05</x:v>
      </x:c>
      <x:c r="O1824" s="3" t="str">
        <x:f>IF(J1824=0,"No discount",IF(J1824&lt;=0.1,"1-10%",IF(J1824&lt;=0.15,"11-15%",IF(J1824&lt;=0.2,"16-20%","21%+"))))</x:f>
        <x:v>16-20%</x:v>
      </x:c>
      <x:c r="P1824" s="9" t="n">
        <x:f>IF(K1824=0,0,L1824/K1824)</x:f>
        <x:v>0.179720313425231</x:v>
      </x:c>
      <x:c r="Q1824" s="3" t="str">
        <x:f>IF(L1824&lt;0,"Yes","No")</x:f>
        <x:v>No</x:v>
      </x:c>
    </x:row>
    <x:row r="1825" ht="21" customHeight="1">
      <x:c r="A1825" s="3" t="str">
        <x:v>ORD-100454</x:v>
      </x:c>
      <x:c r="B1825" s="5" t="n">
        <x:v>45792</x:v>
      </x:c>
      <x:c r="C1825" s="3" t="str">
        <x:v>CUST-00483</x:v>
      </x:c>
      <x:c r="D1825" s="3" t="str">
        <x:v>West</x:v>
      </x:c>
      <x:c r="E1825" s="3" t="str">
        <x:v>Home &amp; Kitchen</x:v>
      </x:c>
      <x:c r="F1825" s="3" t="str">
        <x:v>Appliances</x:v>
      </x:c>
      <x:c r="G1825" s="3" t="str">
        <x:v>AirFryer Deluxe</x:v>
      </x:c>
      <x:c r="H1825" s="3" t="n">
        <x:v>1</x:v>
      </x:c>
      <x:c r="I1825" s="7" t="n">
        <x:v>8122.06</x:v>
      </x:c>
      <x:c r="J1825" s="9" t="n">
        <x:v>0</x:v>
      </x:c>
      <x:c r="K1825" s="7" t="n">
        <x:v>8122.06</x:v>
      </x:c>
      <x:c r="L1825" s="7" t="n">
        <x:v>2695.3</x:v>
      </x:c>
      <x:c r="M1825" s="3" t="str">
        <x:v>Net Banking</x:v>
      </x:c>
      <x:c r="N1825" s="3" t="str">
        <x:f>TEXT(B1825,"yyyy-mm")</x:f>
        <x:v>2025-05</x:v>
      </x:c>
      <x:c r="O1825" s="3" t="str">
        <x:f>IF(J1825=0,"No discount",IF(J1825&lt;=0.1,"1-10%",IF(J1825&lt;=0.15,"11-15%",IF(J1825&lt;=0.2,"16-20%","21%+"))))</x:f>
        <x:v>No discount</x:v>
      </x:c>
      <x:c r="P1825" s="9" t="n">
        <x:f>IF(K1825=0,0,L1825/K1825)</x:f>
        <x:v>0.3318493091654088</x:v>
      </x:c>
      <x:c r="Q1825" s="3" t="str">
        <x:f>IF(L1825&lt;0,"Yes","No")</x:f>
        <x:v>No</x:v>
      </x:c>
    </x:row>
    <x:row r="1826" ht="21" customHeight="1">
      <x:c r="A1826" s="3" t="str">
        <x:v>ORD-100791</x:v>
      </x:c>
      <x:c r="B1826" s="5" t="n">
        <x:v>45792</x:v>
      </x:c>
      <x:c r="C1826" s="3" t="str">
        <x:v>CUST-00441</x:v>
      </x:c>
      <x:c r="D1826" s="3" t="str">
        <x:v>West</x:v>
      </x:c>
      <x:c r="E1826" s="3" t="str">
        <x:v>Home &amp; Kitchen</x:v>
      </x:c>
      <x:c r="F1826" s="3" t="str">
        <x:v>Decor</x:v>
      </x:c>
      <x:c r="G1826" s="3" t="str">
        <x:v>LED Wall Lamp</x:v>
      </x:c>
      <x:c r="H1826" s="3" t="n">
        <x:v>1</x:v>
      </x:c>
      <x:c r="I1826" s="7" t="n">
        <x:v>994.39</x:v>
      </x:c>
      <x:c r="J1826" s="9" t="n">
        <x:v>0</x:v>
      </x:c>
      <x:c r="K1826" s="7" t="n">
        <x:v>994.39</x:v>
      </x:c>
      <x:c r="L1826" s="7" t="n">
        <x:v>305.66</x:v>
      </x:c>
      <x:c r="M1826" s="3" t="str">
        <x:v>UPI</x:v>
      </x:c>
      <x:c r="N1826" s="3" t="str">
        <x:f>TEXT(B1826,"yyyy-mm")</x:f>
        <x:v>2025-05</x:v>
      </x:c>
      <x:c r="O1826" s="3" t="str">
        <x:f>IF(J1826=0,"No discount",IF(J1826&lt;=0.1,"1-10%",IF(J1826&lt;=0.15,"11-15%",IF(J1826&lt;=0.2,"16-20%","21%+"))))</x:f>
        <x:v>No discount</x:v>
      </x:c>
      <x:c r="P1826" s="9" t="n">
        <x:f>IF(K1826=0,0,L1826/K1826)</x:f>
        <x:v>0.3073844266334135</x:v>
      </x:c>
      <x:c r="Q1826" s="3" t="str">
        <x:f>IF(L1826&lt;0,"Yes","No")</x:f>
        <x:v>No</x:v>
      </x:c>
    </x:row>
    <x:row r="1827" ht="21" customHeight="1">
      <x:c r="A1827" s="3" t="str">
        <x:v>ORD-100854</x:v>
      </x:c>
      <x:c r="B1827" s="5" t="n">
        <x:v>45792</x:v>
      </x:c>
      <x:c r="C1827" s="3" t="str">
        <x:v>CUST-00241</x:v>
      </x:c>
      <x:c r="D1827" s="3" t="str">
        <x:v>East</x:v>
      </x:c>
      <x:c r="E1827" s="3" t="str">
        <x:v>Sports</x:v>
      </x:c>
      <x:c r="F1827" s="3" t="str">
        <x:v>Outdoor</x:v>
      </x:c>
      <x:c r="G1827" s="3" t="str">
        <x:v>AllWeather Tent 4P</x:v>
      </x:c>
      <x:c r="H1827" s="3" t="n">
        <x:v>1</x:v>
      </x:c>
      <x:c r="I1827" s="7" t="n">
        <x:v>11610.47</x:v>
      </x:c>
      <x:c r="J1827" s="9" t="n">
        <x:v>0.05</x:v>
      </x:c>
      <x:c r="K1827" s="7" t="n">
        <x:v>11029.95</x:v>
      </x:c>
      <x:c r="L1827" s="7" t="n">
        <x:v>3959.81</x:v>
      </x:c>
      <x:c r="M1827" s="3" t="str">
        <x:v>UPI</x:v>
      </x:c>
      <x:c r="N1827" s="3" t="str">
        <x:f>TEXT(B1827,"yyyy-mm")</x:f>
        <x:v>2025-05</x:v>
      </x:c>
      <x:c r="O1827" s="3" t="str">
        <x:f>IF(J1827=0,"No discount",IF(J1827&lt;=0.1,"1-10%",IF(J1827&lt;=0.15,"11-15%",IF(J1827&lt;=0.2,"16-20%","21%+"))))</x:f>
        <x:v>1-10%</x:v>
      </x:c>
      <x:c r="P1827" s="9" t="n">
        <x:f>IF(K1827=0,0,L1827/K1827)</x:f>
        <x:v>0.3590052538769441</x:v>
      </x:c>
      <x:c r="Q1827" s="3" t="str">
        <x:f>IF(L1827&lt;0,"Yes","No")</x:f>
        <x:v>No</x:v>
      </x:c>
    </x:row>
    <x:row r="1828" ht="21" customHeight="1">
      <x:c r="A1828" s="3" t="str">
        <x:v>ORD-100866</x:v>
      </x:c>
      <x:c r="B1828" s="5" t="n">
        <x:v>45792</x:v>
      </x:c>
      <x:c r="C1828" s="3" t="str">
        <x:v>CUST-00321</x:v>
      </x:c>
      <x:c r="D1828" s="3" t="str">
        <x:v>North</x:v>
      </x:c>
      <x:c r="E1828" s="3" t="str">
        <x:v>Fashion</x:v>
      </x:c>
      <x:c r="F1828" s="3" t="str">
        <x:v>Men</x:v>
      </x:c>
      <x:c r="G1828" s="3" t="str">
        <x:v>Oxford Casual Shirt</x:v>
      </x:c>
      <x:c r="H1828" s="3" t="n">
        <x:v>2</x:v>
      </x:c>
      <x:c r="I1828" s="7" t="n">
        <x:v>1347.25</x:v>
      </x:c>
      <x:c r="J1828" s="9" t="n">
        <x:v>0.1</x:v>
      </x:c>
      <x:c r="K1828" s="7" t="n">
        <x:v>2425.05</x:v>
      </x:c>
      <x:c r="L1828" s="7" t="n">
        <x:v>694.66</x:v>
      </x:c>
      <x:c r="M1828" s="3" t="str">
        <x:v>Credit Card</x:v>
      </x:c>
      <x:c r="N1828" s="3" t="str">
        <x:f>TEXT(B1828,"yyyy-mm")</x:f>
        <x:v>2025-05</x:v>
      </x:c>
      <x:c r="O1828" s="3" t="str">
        <x:f>IF(J1828=0,"No discount",IF(J1828&lt;=0.1,"1-10%",IF(J1828&lt;=0.15,"11-15%",IF(J1828&lt;=0.2,"16-20%","21%+"))))</x:f>
        <x:v>1-10%</x:v>
      </x:c>
      <x:c r="P1828" s="9" t="n">
        <x:f>IF(K1828=0,0,L1828/K1828)</x:f>
        <x:v>0.28645182573555183</x:v>
      </x:c>
      <x:c r="Q1828" s="3" t="str">
        <x:f>IF(L1828&lt;0,"Yes","No")</x:f>
        <x:v>No</x:v>
      </x:c>
    </x:row>
    <x:row r="1829" ht="21" customHeight="1">
      <x:c r="A1829" s="3" t="str">
        <x:v>ORD-100898</x:v>
      </x:c>
      <x:c r="B1829" s="5" t="n">
        <x:v>45792</x:v>
      </x:c>
      <x:c r="C1829" s="3" t="str">
        <x:v>CUST-00028</x:v>
      </x:c>
      <x:c r="D1829" s="3" t="str">
        <x:v>South</x:v>
      </x:c>
      <x:c r="E1829" s="3" t="str">
        <x:v>Fashion</x:v>
      </x:c>
      <x:c r="F1829" s="3" t="str">
        <x:v>Women</x:v>
      </x:c>
      <x:c r="G1829" s="3" t="str">
        <x:v>Knit Winter Sweater</x:v>
      </x:c>
      <x:c r="H1829" s="3" t="n">
        <x:v>4</x:v>
      </x:c>
      <x:c r="I1829" s="7" t="n">
        <x:v>2249.66</x:v>
      </x:c>
      <x:c r="J1829" s="9" t="n">
        <x:v>0.15</x:v>
      </x:c>
      <x:c r="K1829" s="7" t="n">
        <x:v>7648.84</x:v>
      </x:c>
      <x:c r="L1829" s="7" t="n">
        <x:v>1846.95</x:v>
      </x:c>
      <x:c r="M1829" s="3" t="str">
        <x:v>UPI</x:v>
      </x:c>
      <x:c r="N1829" s="3" t="str">
        <x:f>TEXT(B1829,"yyyy-mm")</x:f>
        <x:v>2025-05</x:v>
      </x:c>
      <x:c r="O1829" s="3" t="str">
        <x:f>IF(J1829=0,"No discount",IF(J1829&lt;=0.1,"1-10%",IF(J1829&lt;=0.15,"11-15%",IF(J1829&lt;=0.2,"16-20%","21%+"))))</x:f>
        <x:v>11-15%</x:v>
      </x:c>
      <x:c r="P1829" s="9" t="n">
        <x:f>IF(K1829=0,0,L1829/K1829)</x:f>
        <x:v>0.24146798730264982</x:v>
      </x:c>
      <x:c r="Q1829" s="3" t="str">
        <x:f>IF(L1829&lt;0,"Yes","No")</x:f>
        <x:v>No</x:v>
      </x:c>
    </x:row>
    <x:row r="1830" ht="21" customHeight="1">
      <x:c r="A1830" s="3" t="str">
        <x:v>ORD-101080</x:v>
      </x:c>
      <x:c r="B1830" s="5" t="n">
        <x:v>45792</x:v>
      </x:c>
      <x:c r="C1830" s="3" t="str">
        <x:v>CUST-00383</x:v>
      </x:c>
      <x:c r="D1830" s="3" t="str">
        <x:v>East</x:v>
      </x:c>
      <x:c r="E1830" s="3" t="str">
        <x:v>Electronics</x:v>
      </x:c>
      <x:c r="F1830" s="3" t="str">
        <x:v>Audio</x:v>
      </x:c>
      <x:c r="G1830" s="3" t="str">
        <x:v>SoundPods Pro</x:v>
      </x:c>
      <x:c r="H1830" s="3" t="n">
        <x:v>1</x:v>
      </x:c>
      <x:c r="I1830" s="7" t="n">
        <x:v>5220.1</x:v>
      </x:c>
      <x:c r="J1830" s="9" t="n">
        <x:v>0.1</x:v>
      </x:c>
      <x:c r="K1830" s="7" t="n">
        <x:v>4698.09</x:v>
      </x:c>
      <x:c r="L1830" s="7" t="n">
        <x:v>395.47</x:v>
      </x:c>
      <x:c r="M1830" s="3" t="str">
        <x:v>Debit Card</x:v>
      </x:c>
      <x:c r="N1830" s="3" t="str">
        <x:f>TEXT(B1830,"yyyy-mm")</x:f>
        <x:v>2025-05</x:v>
      </x:c>
      <x:c r="O1830" s="3" t="str">
        <x:f>IF(J1830=0,"No discount",IF(J1830&lt;=0.1,"1-10%",IF(J1830&lt;=0.15,"11-15%",IF(J1830&lt;=0.2,"16-20%","21%+"))))</x:f>
        <x:v>1-10%</x:v>
      </x:c>
      <x:c r="P1830" s="9" t="n">
        <x:f>IF(K1830=0,0,L1830/K1830)</x:f>
        <x:v>0.08417676119444285</x:v>
      </x:c>
      <x:c r="Q1830" s="3" t="str">
        <x:f>IF(L1830&lt;0,"Yes","No")</x:f>
        <x:v>No</x:v>
      </x:c>
    </x:row>
    <x:row r="1831" ht="21" customHeight="1">
      <x:c r="A1831" s="3" t="str">
        <x:v>ORD-101794</x:v>
      </x:c>
      <x:c r="B1831" s="5" t="n">
        <x:v>45792</x:v>
      </x:c>
      <x:c r="C1831" s="3" t="str">
        <x:v>CUST-00412</x:v>
      </x:c>
      <x:c r="D1831" s="3" t="str">
        <x:v>East</x:v>
      </x:c>
      <x:c r="E1831" s="3" t="str">
        <x:v>Electronics</x:v>
      </x:c>
      <x:c r="F1831" s="3" t="str">
        <x:v>Mobile</x:v>
      </x:c>
      <x:c r="G1831" s="3" t="str">
        <x:v>iPhone Zeta</x:v>
      </x:c>
      <x:c r="H1831" s="3" t="n">
        <x:v>2</x:v>
      </x:c>
      <x:c r="I1831" s="7" t="n">
        <x:v>71004.01</x:v>
      </x:c>
      <x:c r="J1831" s="9" t="n">
        <x:v>0.1</x:v>
      </x:c>
      <x:c r="K1831" s="7" t="n">
        <x:v>127807.22</x:v>
      </x:c>
      <x:c r="L1831" s="7" t="n">
        <x:v>11858.82</x:v>
      </x:c>
      <x:c r="M1831" s="3" t="str">
        <x:v>UPI</x:v>
      </x:c>
      <x:c r="N1831" s="3" t="str">
        <x:f>TEXT(B1831,"yyyy-mm")</x:f>
        <x:v>2025-05</x:v>
      </x:c>
      <x:c r="O1831" s="3" t="str">
        <x:f>IF(J1831=0,"No discount",IF(J1831&lt;=0.1,"1-10%",IF(J1831&lt;=0.15,"11-15%",IF(J1831&lt;=0.2,"16-20%","21%+"))))</x:f>
        <x:v>1-10%</x:v>
      </x:c>
      <x:c r="P1831" s="9" t="n">
        <x:f>IF(K1831=0,0,L1831/K1831)</x:f>
        <x:v>0.09278677683467335</x:v>
      </x:c>
      <x:c r="Q1831" s="3" t="str">
        <x:f>IF(L1831&lt;0,"Yes","No")</x:f>
        <x:v>No</x:v>
      </x:c>
    </x:row>
    <x:row r="1832" ht="21" customHeight="1">
      <x:c r="A1832" s="3" t="str">
        <x:v>ORD-101977</x:v>
      </x:c>
      <x:c r="B1832" s="5" t="n">
        <x:v>45792</x:v>
      </x:c>
      <x:c r="C1832" s="3" t="str">
        <x:v>CUST-00160</x:v>
      </x:c>
      <x:c r="D1832" s="3" t="str">
        <x:v>East</x:v>
      </x:c>
      <x:c r="E1832" s="3" t="str">
        <x:v>Home &amp; Kitchen</x:v>
      </x:c>
      <x:c r="F1832" s="3" t="str">
        <x:v>Furniture</x:v>
      </x:c>
      <x:c r="G1832" s="3" t="str">
        <x:v>ErgoComfort Chair</x:v>
      </x:c>
      <x:c r="H1832" s="3" t="n">
        <x:v>1</x:v>
      </x:c>
      <x:c r="I1832" s="7" t="n">
        <x:v>8649.43</x:v>
      </x:c>
      <x:c r="J1832" s="9" t="n">
        <x:v>0</x:v>
      </x:c>
      <x:c r="K1832" s="7" t="n">
        <x:v>8649.43</x:v>
      </x:c>
      <x:c r="L1832" s="7" t="n">
        <x:v>2804.05</x:v>
      </x:c>
      <x:c r="M1832" s="3" t="str">
        <x:v>UPI</x:v>
      </x:c>
      <x:c r="N1832" s="3" t="str">
        <x:f>TEXT(B1832,"yyyy-mm")</x:f>
        <x:v>2025-05</x:v>
      </x:c>
      <x:c r="O1832" s="3" t="str">
        <x:f>IF(J1832=0,"No discount",IF(J1832&lt;=0.1,"1-10%",IF(J1832&lt;=0.15,"11-15%",IF(J1832&lt;=0.2,"16-20%","21%+"))))</x:f>
        <x:v>No discount</x:v>
      </x:c>
      <x:c r="P1832" s="9" t="n">
        <x:f>IF(K1832=0,0,L1832/K1832)</x:f>
        <x:v>0.3241889928006817</x:v>
      </x:c>
      <x:c r="Q1832" s="3" t="str">
        <x:f>IF(L1832&lt;0,"Yes","No")</x:f>
        <x:v>No</x:v>
      </x:c>
    </x:row>
    <x:row r="1833" ht="21" customHeight="1">
      <x:c r="A1833" s="3" t="str">
        <x:v>ORD-100045</x:v>
      </x:c>
      <x:c r="B1833" s="5" t="n">
        <x:v>45793</x:v>
      </x:c>
      <x:c r="C1833" s="3" t="str">
        <x:v>CUST-00371</x:v>
      </x:c>
      <x:c r="D1833" s="3" t="str">
        <x:v>North</x:v>
      </x:c>
      <x:c r="E1833" s="3" t="str">
        <x:v>Beauty</x:v>
      </x:c>
      <x:c r="F1833" s="3" t="str">
        <x:v>Skincare</x:v>
      </x:c>
      <x:c r="G1833" s="3" t="str">
        <x:v>HydraBoost Moisturizer</x:v>
      </x:c>
      <x:c r="H1833" s="3" t="n">
        <x:v>1</x:v>
      </x:c>
      <x:c r="I1833" s="7" t="n">
        <x:v>1147.32</x:v>
      </x:c>
      <x:c r="J1833" s="9" t="n">
        <x:v>0.1</x:v>
      </x:c>
      <x:c r="K1833" s="7" t="n">
        <x:v>1032.59</x:v>
      </x:c>
      <x:c r="L1833" s="7" t="n">
        <x:v>461.36</x:v>
      </x:c>
      <x:c r="M1833" s="3" t="str">
        <x:v>Credit Card</x:v>
      </x:c>
      <x:c r="N1833" s="3" t="str">
        <x:f>TEXT(B1833,"yyyy-mm")</x:f>
        <x:v>2025-05</x:v>
      </x:c>
      <x:c r="O1833" s="3" t="str">
        <x:f>IF(J1833=0,"No discount",IF(J1833&lt;=0.1,"1-10%",IF(J1833&lt;=0.15,"11-15%",IF(J1833&lt;=0.2,"16-20%","21%+"))))</x:f>
        <x:v>1-10%</x:v>
      </x:c>
      <x:c r="P1833" s="9" t="n">
        <x:f>IF(K1833=0,0,L1833/K1833)</x:f>
        <x:v>0.4467988262524332</x:v>
      </x:c>
      <x:c r="Q1833" s="3" t="str">
        <x:f>IF(L1833&lt;0,"Yes","No")</x:f>
        <x:v>No</x:v>
      </x:c>
    </x:row>
    <x:row r="1834" ht="21" customHeight="1">
      <x:c r="A1834" s="3" t="str">
        <x:v>ORD-100080</x:v>
      </x:c>
      <x:c r="B1834" s="5" t="n">
        <x:v>45793</x:v>
      </x:c>
      <x:c r="C1834" s="3" t="str">
        <x:v>CUST-00287</x:v>
      </x:c>
      <x:c r="D1834" s="3" t="str">
        <x:v>East</x:v>
      </x:c>
      <x:c r="E1834" s="3" t="str">
        <x:v>Fashion</x:v>
      </x:c>
      <x:c r="F1834" s="3" t="str">
        <x:v>Women</x:v>
      </x:c>
      <x:c r="G1834" s="3" t="str">
        <x:v>Knit Winter Sweater</x:v>
      </x:c>
      <x:c r="H1834" s="3" t="n">
        <x:v>1</x:v>
      </x:c>
      <x:c r="I1834" s="7" t="n">
        <x:v>2242.21</x:v>
      </x:c>
      <x:c r="J1834" s="9" t="n">
        <x:v>0.25</x:v>
      </x:c>
      <x:c r="K1834" s="7" t="n">
        <x:v>1681.66</x:v>
      </x:c>
      <x:c r="L1834" s="7" t="n">
        <x:v>228.23</x:v>
      </x:c>
      <x:c r="M1834" s="3" t="str">
        <x:v>Debit Card</x:v>
      </x:c>
      <x:c r="N1834" s="3" t="str">
        <x:f>TEXT(B1834,"yyyy-mm")</x:f>
        <x:v>2025-05</x:v>
      </x:c>
      <x:c r="O1834" s="3" t="str">
        <x:f>IF(J1834=0,"No discount",IF(J1834&lt;=0.1,"1-10%",IF(J1834&lt;=0.15,"11-15%",IF(J1834&lt;=0.2,"16-20%","21%+"))))</x:f>
        <x:v>21%+</x:v>
      </x:c>
      <x:c r="P1834" s="9" t="n">
        <x:f>IF(K1834=0,0,L1834/K1834)</x:f>
        <x:v>0.13571708906675545</x:v>
      </x:c>
      <x:c r="Q1834" s="3" t="str">
        <x:f>IF(L1834&lt;0,"Yes","No")</x:f>
        <x:v>No</x:v>
      </x:c>
    </x:row>
    <x:row r="1835" ht="21" customHeight="1">
      <x:c r="A1835" s="3" t="str">
        <x:v>ORD-100369</x:v>
      </x:c>
      <x:c r="B1835" s="5" t="n">
        <x:v>45793</x:v>
      </x:c>
      <x:c r="C1835" s="3" t="str">
        <x:v>CUST-00263</x:v>
      </x:c>
      <x:c r="D1835" s="3" t="str">
        <x:v>East</x:v>
      </x:c>
      <x:c r="E1835" s="3" t="str">
        <x:v>Electronics</x:v>
      </x:c>
      <x:c r="F1835" s="3" t="str">
        <x:v>Mobile</x:v>
      </x:c>
      <x:c r="G1835" s="3" t="str">
        <x:v>Galaxy Nova X5</x:v>
      </x:c>
      <x:c r="H1835" s="3" t="n">
        <x:v>3</x:v>
      </x:c>
      <x:c r="I1835" s="7" t="n">
        <x:v>24962.43</x:v>
      </x:c>
      <x:c r="J1835" s="9" t="n">
        <x:v>0</x:v>
      </x:c>
      <x:c r="K1835" s="7" t="n">
        <x:v>74887.29</x:v>
      </x:c>
      <x:c r="L1835" s="7" t="n">
        <x:v>11075.85</x:v>
      </x:c>
      <x:c r="M1835" s="3" t="str">
        <x:v>Debit Card</x:v>
      </x:c>
      <x:c r="N1835" s="3" t="str">
        <x:f>TEXT(B1835,"yyyy-mm")</x:f>
        <x:v>2025-05</x:v>
      </x:c>
      <x:c r="O1835" s="3" t="str">
        <x:f>IF(J1835=0,"No discount",IF(J1835&lt;=0.1,"1-10%",IF(J1835&lt;=0.15,"11-15%",IF(J1835&lt;=0.2,"16-20%","21%+"))))</x:f>
        <x:v>No discount</x:v>
      </x:c>
      <x:c r="P1835" s="9" t="n">
        <x:f>IF(K1835=0,0,L1835/K1835)</x:f>
        <x:v>0.14790026451751695</x:v>
      </x:c>
      <x:c r="Q1835" s="3" t="str">
        <x:f>IF(L1835&lt;0,"Yes","No")</x:f>
        <x:v>No</x:v>
      </x:c>
    </x:row>
    <x:row r="1836" ht="21" customHeight="1">
      <x:c r="A1836" s="3" t="str">
        <x:v>ORD-100904</x:v>
      </x:c>
      <x:c r="B1836" s="5" t="n">
        <x:v>45793</x:v>
      </x:c>
      <x:c r="C1836" s="3" t="str">
        <x:v>CUST-00052</x:v>
      </x:c>
      <x:c r="D1836" s="3" t="str">
        <x:v>South</x:v>
      </x:c>
      <x:c r="E1836" s="3" t="str">
        <x:v>Beauty</x:v>
      </x:c>
      <x:c r="F1836" s="3" t="str">
        <x:v>Makeup</x:v>
      </x:c>
      <x:c r="G1836" s="3" t="str">
        <x:v>Matte Lipstick Set</x:v>
      </x:c>
      <x:c r="H1836" s="3" t="n">
        <x:v>1</x:v>
      </x:c>
      <x:c r="I1836" s="7" t="n">
        <x:v>1036.18</x:v>
      </x:c>
      <x:c r="J1836" s="9" t="n">
        <x:v>0.1</x:v>
      </x:c>
      <x:c r="K1836" s="7" t="n">
        <x:v>932.56</x:v>
      </x:c>
      <x:c r="L1836" s="7" t="n">
        <x:v>400.81</x:v>
      </x:c>
      <x:c r="M1836" s="3" t="str">
        <x:v>UPI</x:v>
      </x:c>
      <x:c r="N1836" s="3" t="str">
        <x:f>TEXT(B1836,"yyyy-mm")</x:f>
        <x:v>2025-05</x:v>
      </x:c>
      <x:c r="O1836" s="3" t="str">
        <x:f>IF(J1836=0,"No discount",IF(J1836&lt;=0.1,"1-10%",IF(J1836&lt;=0.15,"11-15%",IF(J1836&lt;=0.2,"16-20%","21%+"))))</x:f>
        <x:v>1-10%</x:v>
      </x:c>
      <x:c r="P1836" s="9" t="n">
        <x:f>IF(K1836=0,0,L1836/K1836)</x:f>
        <x:v>0.4297954019044351</x:v>
      </x:c>
      <x:c r="Q1836" s="3" t="str">
        <x:f>IF(L1836&lt;0,"Yes","No")</x:f>
        <x:v>No</x:v>
      </x:c>
    </x:row>
    <x:row r="1837" ht="21" customHeight="1">
      <x:c r="A1837" s="3" t="str">
        <x:v>ORD-101258</x:v>
      </x:c>
      <x:c r="B1837" s="5" t="n">
        <x:v>45793</x:v>
      </x:c>
      <x:c r="C1837" s="3" t="str">
        <x:v>CUST-00396</x:v>
      </x:c>
      <x:c r="D1837" s="3" t="str">
        <x:v>East</x:v>
      </x:c>
      <x:c r="E1837" s="3" t="str">
        <x:v>Fashion</x:v>
      </x:c>
      <x:c r="F1837" s="3" t="str">
        <x:v>Women</x:v>
      </x:c>
      <x:c r="G1837" s="3" t="str">
        <x:v>Knit Winter Sweater</x:v>
      </x:c>
      <x:c r="H1837" s="3" t="n">
        <x:v>1</x:v>
      </x:c>
      <x:c r="I1837" s="7" t="n">
        <x:v>2295.66</x:v>
      </x:c>
      <x:c r="J1837" s="9" t="n">
        <x:v>0.2</x:v>
      </x:c>
      <x:c r="K1837" s="7" t="n">
        <x:v>1836.53</x:v>
      </x:c>
      <x:c r="L1837" s="7" t="n">
        <x:v>291.08</x:v>
      </x:c>
      <x:c r="M1837" s="3" t="str">
        <x:v>UPI</x:v>
      </x:c>
      <x:c r="N1837" s="3" t="str">
        <x:f>TEXT(B1837,"yyyy-mm")</x:f>
        <x:v>2025-05</x:v>
      </x:c>
      <x:c r="O1837" s="3" t="str">
        <x:f>IF(J1837=0,"No discount",IF(J1837&lt;=0.1,"1-10%",IF(J1837&lt;=0.15,"11-15%",IF(J1837&lt;=0.2,"16-20%","21%+"))))</x:f>
        <x:v>16-20%</x:v>
      </x:c>
      <x:c r="P1837" s="9" t="n">
        <x:f>IF(K1837=0,0,L1837/K1837)</x:f>
        <x:v>0.1584945522262092</x:v>
      </x:c>
      <x:c r="Q1837" s="3" t="str">
        <x:f>IF(L1837&lt;0,"Yes","No")</x:f>
        <x:v>No</x:v>
      </x:c>
    </x:row>
    <x:row r="1838" ht="21" customHeight="1">
      <x:c r="A1838" s="3" t="str">
        <x:v>ORD-101884</x:v>
      </x:c>
      <x:c r="B1838" s="5" t="n">
        <x:v>45793</x:v>
      </x:c>
      <x:c r="C1838" s="3" t="str">
        <x:v>CUST-00087</x:v>
      </x:c>
      <x:c r="D1838" s="3" t="str">
        <x:v>North</x:v>
      </x:c>
      <x:c r="E1838" s="3" t="str">
        <x:v>Electronics</x:v>
      </x:c>
      <x:c r="F1838" s="3" t="str">
        <x:v>Laptop</x:v>
      </x:c>
      <x:c r="G1838" s="3" t="str">
        <x:v>ThinkPro 14</x:v>
      </x:c>
      <x:c r="H1838" s="3" t="n">
        <x:v>2</x:v>
      </x:c>
      <x:c r="I1838" s="7" t="n">
        <x:v>55419.49</x:v>
      </x:c>
      <x:c r="J1838" s="9" t="n">
        <x:v>0</x:v>
      </x:c>
      <x:c r="K1838" s="7" t="n">
        <x:v>110838.98</x:v>
      </x:c>
      <x:c r="L1838" s="7" t="n">
        <x:v>21218.9</x:v>
      </x:c>
      <x:c r="M1838" s="3" t="str">
        <x:v>Credit Card</x:v>
      </x:c>
      <x:c r="N1838" s="3" t="str">
        <x:f>TEXT(B1838,"yyyy-mm")</x:f>
        <x:v>2025-05</x:v>
      </x:c>
      <x:c r="O1838" s="3" t="str">
        <x:f>IF(J1838=0,"No discount",IF(J1838&lt;=0.1,"1-10%",IF(J1838&lt;=0.15,"11-15%",IF(J1838&lt;=0.2,"16-20%","21%+"))))</x:f>
        <x:v>No discount</x:v>
      </x:c>
      <x:c r="P1838" s="9" t="n">
        <x:f>IF(K1838=0,0,L1838/K1838)</x:f>
        <x:v>0.19143896849285336</x:v>
      </x:c>
      <x:c r="Q1838" s="3" t="str">
        <x:f>IF(L1838&lt;0,"Yes","No")</x:f>
        <x:v>No</x:v>
      </x:c>
    </x:row>
    <x:row r="1839" ht="21" customHeight="1">
      <x:c r="A1839" s="3" t="str">
        <x:v>ORD-100171</x:v>
      </x:c>
      <x:c r="B1839" s="5" t="n">
        <x:v>45794</x:v>
      </x:c>
      <x:c r="C1839" s="3" t="str">
        <x:v>CUST-00361</x:v>
      </x:c>
      <x:c r="D1839" s="3" t="str">
        <x:v>South</x:v>
      </x:c>
      <x:c r="E1839" s="3" t="str">
        <x:v>Home &amp; Kitchen</x:v>
      </x:c>
      <x:c r="F1839" s="3" t="str">
        <x:v>Furniture</x:v>
      </x:c>
      <x:c r="G1839" s="3" t="str">
        <x:v>ErgoComfort Chair</x:v>
      </x:c>
      <x:c r="H1839" s="3" t="n">
        <x:v>2</x:v>
      </x:c>
      <x:c r="I1839" s="7" t="n">
        <x:v>9044.57</x:v>
      </x:c>
      <x:c r="J1839" s="9" t="n">
        <x:v>0</x:v>
      </x:c>
      <x:c r="K1839" s="7" t="n">
        <x:v>18089.14</x:v>
      </x:c>
      <x:c r="L1839" s="7" t="n">
        <x:v>6611.17</x:v>
      </x:c>
      <x:c r="M1839" s="3" t="str">
        <x:v>Debit Card</x:v>
      </x:c>
      <x:c r="N1839" s="3" t="str">
        <x:f>TEXT(B1839,"yyyy-mm")</x:f>
        <x:v>2025-05</x:v>
      </x:c>
      <x:c r="O1839" s="3" t="str">
        <x:f>IF(J1839=0,"No discount",IF(J1839&lt;=0.1,"1-10%",IF(J1839&lt;=0.15,"11-15%",IF(J1839&lt;=0.2,"16-20%","21%+"))))</x:f>
        <x:v>No discount</x:v>
      </x:c>
      <x:c r="P1839" s="9" t="n">
        <x:f>IF(K1839=0,0,L1839/K1839)</x:f>
        <x:v>0.3654772974281807</x:v>
      </x:c>
      <x:c r="Q1839" s="3" t="str">
        <x:f>IF(L1839&lt;0,"Yes","No")</x:f>
        <x:v>No</x:v>
      </x:c>
    </x:row>
    <x:row r="1840" ht="21" customHeight="1">
      <x:c r="A1840" s="3" t="str">
        <x:v>ORD-101140</x:v>
      </x:c>
      <x:c r="B1840" s="5" t="n">
        <x:v>45794</x:v>
      </x:c>
      <x:c r="C1840" s="3" t="str">
        <x:v>CUST-00299</x:v>
      </x:c>
      <x:c r="D1840" s="3" t="str">
        <x:v>East</x:v>
      </x:c>
      <x:c r="E1840" s="3" t="str">
        <x:v>Electronics</x:v>
      </x:c>
      <x:c r="F1840" s="3" t="str">
        <x:v>Mobile</x:v>
      </x:c>
      <x:c r="G1840" s="3" t="str">
        <x:v>Pixel Aura 12</x:v>
      </x:c>
      <x:c r="H1840" s="3" t="n">
        <x:v>1</x:v>
      </x:c>
      <x:c r="I1840" s="7" t="n">
        <x:v>33272.44</x:v>
      </x:c>
      <x:c r="J1840" s="9" t="n">
        <x:v>0</x:v>
      </x:c>
      <x:c r="K1840" s="7" t="n">
        <x:v>33272.44</x:v>
      </x:c>
      <x:c r="L1840" s="7" t="n">
        <x:v>7288.49</x:v>
      </x:c>
      <x:c r="M1840" s="3" t="str">
        <x:v>Debit Card</x:v>
      </x:c>
      <x:c r="N1840" s="3" t="str">
        <x:f>TEXT(B1840,"yyyy-mm")</x:f>
        <x:v>2025-05</x:v>
      </x:c>
      <x:c r="O1840" s="3" t="str">
        <x:f>IF(J1840=0,"No discount",IF(J1840&lt;=0.1,"1-10%",IF(J1840&lt;=0.15,"11-15%",IF(J1840&lt;=0.2,"16-20%","21%+"))))</x:f>
        <x:v>No discount</x:v>
      </x:c>
      <x:c r="P1840" s="9" t="n">
        <x:f>IF(K1840=0,0,L1840/K1840)</x:f>
        <x:v>0.21905486943548472</x:v>
      </x:c>
      <x:c r="Q1840" s="3" t="str">
        <x:f>IF(L1840&lt;0,"Yes","No")</x:f>
        <x:v>No</x:v>
      </x:c>
    </x:row>
    <x:row r="1841" ht="21" customHeight="1">
      <x:c r="A1841" s="3" t="str">
        <x:v>ORD-101196</x:v>
      </x:c>
      <x:c r="B1841" s="5" t="n">
        <x:v>45794</x:v>
      </x:c>
      <x:c r="C1841" s="3" t="str">
        <x:v>CUST-00079</x:v>
      </x:c>
      <x:c r="D1841" s="3" t="str">
        <x:v>East</x:v>
      </x:c>
      <x:c r="E1841" s="3" t="str">
        <x:v>Beauty</x:v>
      </x:c>
      <x:c r="F1841" s="3" t="str">
        <x:v>Makeup</x:v>
      </x:c>
      <x:c r="G1841" s="3" t="str">
        <x:v>HD Foundation Kit</x:v>
      </x:c>
      <x:c r="H1841" s="3" t="n">
        <x:v>1</x:v>
      </x:c>
      <x:c r="I1841" s="7" t="n">
        <x:v>1545.88</x:v>
      </x:c>
      <x:c r="J1841" s="9" t="n">
        <x:v>0</x:v>
      </x:c>
      <x:c r="K1841" s="7" t="n">
        <x:v>1545.88</x:v>
      </x:c>
      <x:c r="L1841" s="7" t="n">
        <x:v>862.64</x:v>
      </x:c>
      <x:c r="M1841" s="3" t="str">
        <x:v>Credit Card</x:v>
      </x:c>
      <x:c r="N1841" s="3" t="str">
        <x:f>TEXT(B1841,"yyyy-mm")</x:f>
        <x:v>2025-05</x:v>
      </x:c>
      <x:c r="O1841" s="3" t="str">
        <x:f>IF(J1841=0,"No discount",IF(J1841&lt;=0.1,"1-10%",IF(J1841&lt;=0.15,"11-15%",IF(J1841&lt;=0.2,"16-20%","21%+"))))</x:f>
        <x:v>No discount</x:v>
      </x:c>
      <x:c r="P1841" s="9" t="n">
        <x:f>IF(K1841=0,0,L1841/K1841)</x:f>
        <x:v>0.5580252024736719</x:v>
      </x:c>
      <x:c r="Q1841" s="3" t="str">
        <x:f>IF(L1841&lt;0,"Yes","No")</x:f>
        <x:v>No</x:v>
      </x:c>
    </x:row>
    <x:row r="1842" ht="21" customHeight="1">
      <x:c r="A1842" s="3" t="str">
        <x:v>ORD-101894</x:v>
      </x:c>
      <x:c r="B1842" s="5" t="n">
        <x:v>45794</x:v>
      </x:c>
      <x:c r="C1842" s="3" t="str">
        <x:v>CUST-00207</x:v>
      </x:c>
      <x:c r="D1842" s="3" t="str">
        <x:v>South</x:v>
      </x:c>
      <x:c r="E1842" s="3" t="str">
        <x:v>Home &amp; Kitchen</x:v>
      </x:c>
      <x:c r="F1842" s="3" t="str">
        <x:v>Appliances</x:v>
      </x:c>
      <x:c r="G1842" s="3" t="str">
        <x:v>ColdBrew Coffee Maker</x:v>
      </x:c>
      <x:c r="H1842" s="3" t="n">
        <x:v>1</x:v>
      </x:c>
      <x:c r="I1842" s="7" t="n">
        <x:v>6805.04</x:v>
      </x:c>
      <x:c r="J1842" s="9" t="n">
        <x:v>0</x:v>
      </x:c>
      <x:c r="K1842" s="7" t="n">
        <x:v>6805.04</x:v>
      </x:c>
      <x:c r="L1842" s="7" t="n">
        <x:v>2384.47</x:v>
      </x:c>
      <x:c r="M1842" s="3" t="str">
        <x:v>UPI</x:v>
      </x:c>
      <x:c r="N1842" s="3" t="str">
        <x:f>TEXT(B1842,"yyyy-mm")</x:f>
        <x:v>2025-05</x:v>
      </x:c>
      <x:c r="O1842" s="3" t="str">
        <x:f>IF(J1842=0,"No discount",IF(J1842&lt;=0.1,"1-10%",IF(J1842&lt;=0.15,"11-15%",IF(J1842&lt;=0.2,"16-20%","21%+"))))</x:f>
        <x:v>No discount</x:v>
      </x:c>
      <x:c r="P1842" s="9" t="n">
        <x:f>IF(K1842=0,0,L1842/K1842)</x:f>
        <x:v>0.350397646450278</x:v>
      </x:c>
      <x:c r="Q1842" s="3" t="str">
        <x:f>IF(L1842&lt;0,"Yes","No")</x:f>
        <x:v>No</x:v>
      </x:c>
    </x:row>
    <x:row r="1843" ht="21" customHeight="1">
      <x:c r="A1843" s="3" t="str">
        <x:v>ORD-100662</x:v>
      </x:c>
      <x:c r="B1843" s="5" t="n">
        <x:v>45795</x:v>
      </x:c>
      <x:c r="C1843" s="3" t="str">
        <x:v>CUST-00341</x:v>
      </x:c>
      <x:c r="D1843" s="3" t="str">
        <x:v>West</x:v>
      </x:c>
      <x:c r="E1843" s="3" t="str">
        <x:v>Fashion</x:v>
      </x:c>
      <x:c r="F1843" s="3" t="str">
        <x:v>Footwear</x:v>
      </x:c>
      <x:c r="G1843" s="3" t="str">
        <x:v>UrbanLoafers</x:v>
      </x:c>
      <x:c r="H1843" s="3" t="n">
        <x:v>2</x:v>
      </x:c>
      <x:c r="I1843" s="7" t="n">
        <x:v>3558.69</x:v>
      </x:c>
      <x:c r="J1843" s="9" t="n">
        <x:v>0.3</x:v>
      </x:c>
      <x:c r="K1843" s="7" t="n">
        <x:v>4982.17</x:v>
      </x:c>
      <x:c r="L1843" s="7" t="n">
        <x:v>439.62</x:v>
      </x:c>
      <x:c r="M1843" s="3" t="str">
        <x:v>Credit Card</x:v>
      </x:c>
      <x:c r="N1843" s="3" t="str">
        <x:f>TEXT(B1843,"yyyy-mm")</x:f>
        <x:v>2025-05</x:v>
      </x:c>
      <x:c r="O1843" s="3" t="str">
        <x:f>IF(J1843=0,"No discount",IF(J1843&lt;=0.1,"1-10%",IF(J1843&lt;=0.15,"11-15%",IF(J1843&lt;=0.2,"16-20%","21%+"))))</x:f>
        <x:v>21%+</x:v>
      </x:c>
      <x:c r="P1843" s="9" t="n">
        <x:f>IF(K1843=0,0,L1843/K1843)</x:f>
        <x:v>0.08823865905820155</x:v>
      </x:c>
      <x:c r="Q1843" s="3" t="str">
        <x:f>IF(L1843&lt;0,"Yes","No")</x:f>
        <x:v>No</x:v>
      </x:c>
    </x:row>
    <x:row r="1844" ht="21" customHeight="1">
      <x:c r="A1844" s="3" t="str">
        <x:v>ORD-101582</x:v>
      </x:c>
      <x:c r="B1844" s="5" t="n">
        <x:v>45795</x:v>
      </x:c>
      <x:c r="C1844" s="3" t="str">
        <x:v>CUST-00152</x:v>
      </x:c>
      <x:c r="D1844" s="3" t="str">
        <x:v>North</x:v>
      </x:c>
      <x:c r="E1844" s="3" t="str">
        <x:v>Fashion</x:v>
      </x:c>
      <x:c r="F1844" s="3" t="str">
        <x:v>Footwear</x:v>
      </x:c>
      <x:c r="G1844" s="3" t="str">
        <x:v>UrbanLoafers</x:v>
      </x:c>
      <x:c r="H1844" s="3" t="n">
        <x:v>1</x:v>
      </x:c>
      <x:c r="I1844" s="7" t="n">
        <x:v>3375.85</x:v>
      </x:c>
      <x:c r="J1844" s="9" t="n">
        <x:v>0.05</x:v>
      </x:c>
      <x:c r="K1844" s="7" t="n">
        <x:v>3207.06</x:v>
      </x:c>
      <x:c r="L1844" s="7" t="n">
        <x:v>1253.81</x:v>
      </x:c>
      <x:c r="M1844" s="3" t="str">
        <x:v>Cash on Delivery</x:v>
      </x:c>
      <x:c r="N1844" s="3" t="str">
        <x:f>TEXT(B1844,"yyyy-mm")</x:f>
        <x:v>2025-05</x:v>
      </x:c>
      <x:c r="O1844" s="3" t="str">
        <x:f>IF(J1844=0,"No discount",IF(J1844&lt;=0.1,"1-10%",IF(J1844&lt;=0.15,"11-15%",IF(J1844&lt;=0.2,"16-20%","21%+"))))</x:f>
        <x:v>1-10%</x:v>
      </x:c>
      <x:c r="P1844" s="9" t="n">
        <x:f>IF(K1844=0,0,L1844/K1844)</x:f>
        <x:v>0.3909530847567554</x:v>
      </x:c>
      <x:c r="Q1844" s="3" t="str">
        <x:f>IF(L1844&lt;0,"Yes","No")</x:f>
        <x:v>No</x:v>
      </x:c>
    </x:row>
    <x:row r="1845" ht="21" customHeight="1">
      <x:c r="A1845" s="3" t="str">
        <x:v>ORD-101635</x:v>
      </x:c>
      <x:c r="B1845" s="5" t="n">
        <x:v>45795</x:v>
      </x:c>
      <x:c r="C1845" s="3" t="str">
        <x:v>CUST-00169</x:v>
      </x:c>
      <x:c r="D1845" s="3" t="str">
        <x:v>South</x:v>
      </x:c>
      <x:c r="E1845" s="3" t="str">
        <x:v>Sports</x:v>
      </x:c>
      <x:c r="F1845" s="3" t="str">
        <x:v>Fitness</x:v>
      </x:c>
      <x:c r="G1845" s="3" t="str">
        <x:v>ProYoga Mat</x:v>
      </x:c>
      <x:c r="H1845" s="3" t="n">
        <x:v>2</x:v>
      </x:c>
      <x:c r="I1845" s="7" t="n">
        <x:v>1341.88</x:v>
      </x:c>
      <x:c r="J1845" s="9" t="n">
        <x:v>0.2</x:v>
      </x:c>
      <x:c r="K1845" s="7" t="n">
        <x:v>2147.01</x:v>
      </x:c>
      <x:c r="L1845" s="7" t="n">
        <x:v>348.03</x:v>
      </x:c>
      <x:c r="M1845" s="3" t="str">
        <x:v>Credit Card</x:v>
      </x:c>
      <x:c r="N1845" s="3" t="str">
        <x:f>TEXT(B1845,"yyyy-mm")</x:f>
        <x:v>2025-05</x:v>
      </x:c>
      <x:c r="O1845" s="3" t="str">
        <x:f>IF(J1845=0,"No discount",IF(J1845&lt;=0.1,"1-10%",IF(J1845&lt;=0.15,"11-15%",IF(J1845&lt;=0.2,"16-20%","21%+"))))</x:f>
        <x:v>16-20%</x:v>
      </x:c>
      <x:c r="P1845" s="9" t="n">
        <x:f>IF(K1845=0,0,L1845/K1845)</x:f>
        <x:v>0.16209985048975084</x:v>
      </x:c>
      <x:c r="Q1845" s="3" t="str">
        <x:f>IF(L1845&lt;0,"Yes","No")</x:f>
        <x:v>No</x:v>
      </x:c>
    </x:row>
    <x:row r="1846" ht="21" customHeight="1">
      <x:c r="A1846" s="3" t="str">
        <x:v>ORD-100238</x:v>
      </x:c>
      <x:c r="B1846" s="5" t="n">
        <x:v>45796</x:v>
      </x:c>
      <x:c r="C1846" s="3" t="str">
        <x:v>CUST-00180</x:v>
      </x:c>
      <x:c r="D1846" s="3" t="str">
        <x:v>West</x:v>
      </x:c>
      <x:c r="E1846" s="3" t="str">
        <x:v>Home &amp; Kitchen</x:v>
      </x:c>
      <x:c r="F1846" s="3" t="str">
        <x:v>Appliances</x:v>
      </x:c>
      <x:c r="G1846" s="3" t="str">
        <x:v>AirFryer Deluxe</x:v>
      </x:c>
      <x:c r="H1846" s="3" t="n">
        <x:v>2</x:v>
      </x:c>
      <x:c r="I1846" s="7" t="n">
        <x:v>8053.11</x:v>
      </x:c>
      <x:c r="J1846" s="9" t="n">
        <x:v>0.05</x:v>
      </x:c>
      <x:c r="K1846" s="7" t="n">
        <x:v>15300.91</x:v>
      </x:c>
      <x:c r="L1846" s="7" t="n">
        <x:v>3731.41</x:v>
      </x:c>
      <x:c r="M1846" s="3" t="str">
        <x:v>Debit Card</x:v>
      </x:c>
      <x:c r="N1846" s="3" t="str">
        <x:f>TEXT(B1846,"yyyy-mm")</x:f>
        <x:v>2025-05</x:v>
      </x:c>
      <x:c r="O1846" s="3" t="str">
        <x:f>IF(J1846=0,"No discount",IF(J1846&lt;=0.1,"1-10%",IF(J1846&lt;=0.15,"11-15%",IF(J1846&lt;=0.2,"16-20%","21%+"))))</x:f>
        <x:v>1-10%</x:v>
      </x:c>
      <x:c r="P1846" s="9" t="n">
        <x:f>IF(K1846=0,0,L1846/K1846)</x:f>
        <x:v>0.24386850193877357</x:v>
      </x:c>
      <x:c r="Q1846" s="3" t="str">
        <x:f>IF(L1846&lt;0,"Yes","No")</x:f>
        <x:v>No</x:v>
      </x:c>
    </x:row>
    <x:row r="1847" ht="21" customHeight="1">
      <x:c r="A1847" s="3" t="str">
        <x:v>ORD-100802</x:v>
      </x:c>
      <x:c r="B1847" s="5" t="n">
        <x:v>45796</x:v>
      </x:c>
      <x:c r="C1847" s="3" t="str">
        <x:v>CUST-00282</x:v>
      </x:c>
      <x:c r="D1847" s="3" t="str">
        <x:v>North</x:v>
      </x:c>
      <x:c r="E1847" s="3" t="str">
        <x:v>Fashion</x:v>
      </x:c>
      <x:c r="F1847" s="3" t="str">
        <x:v>Men</x:v>
      </x:c>
      <x:c r="G1847" s="3" t="str">
        <x:v>SlimFit Denim Jeans</x:v>
      </x:c>
      <x:c r="H1847" s="3" t="n">
        <x:v>1</x:v>
      </x:c>
      <x:c r="I1847" s="7" t="n">
        <x:v>2008.33</x:v>
      </x:c>
      <x:c r="J1847" s="9" t="n">
        <x:v>0.15</x:v>
      </x:c>
      <x:c r="K1847" s="7" t="n">
        <x:v>1707.08</x:v>
      </x:c>
      <x:c r="L1847" s="7" t="n">
        <x:v>419.25</x:v>
      </x:c>
      <x:c r="M1847" s="3" t="str">
        <x:v>Credit Card</x:v>
      </x:c>
      <x:c r="N1847" s="3" t="str">
        <x:f>TEXT(B1847,"yyyy-mm")</x:f>
        <x:v>2025-05</x:v>
      </x:c>
      <x:c r="O1847" s="3" t="str">
        <x:f>IF(J1847=0,"No discount",IF(J1847&lt;=0.1,"1-10%",IF(J1847&lt;=0.15,"11-15%",IF(J1847&lt;=0.2,"16-20%","21%+"))))</x:f>
        <x:v>11-15%</x:v>
      </x:c>
      <x:c r="P1847" s="9" t="n">
        <x:f>IF(K1847=0,0,L1847/K1847)</x:f>
        <x:v>0.2455948168802868</x:v>
      </x:c>
      <x:c r="Q1847" s="3" t="str">
        <x:f>IF(L1847&lt;0,"Yes","No")</x:f>
        <x:v>No</x:v>
      </x:c>
    </x:row>
    <x:row r="1848" ht="21" customHeight="1">
      <x:c r="A1848" s="3" t="str">
        <x:v>ORD-101623</x:v>
      </x:c>
      <x:c r="B1848" s="5" t="n">
        <x:v>45796</x:v>
      </x:c>
      <x:c r="C1848" s="3" t="str">
        <x:v>CUST-00101</x:v>
      </x:c>
      <x:c r="D1848" s="3" t="str">
        <x:v>West</x:v>
      </x:c>
      <x:c r="E1848" s="3" t="str">
        <x:v>Sports</x:v>
      </x:c>
      <x:c r="F1848" s="3" t="str">
        <x:v>Outdoor</x:v>
      </x:c>
      <x:c r="G1848" s="3" t="str">
        <x:v>TrailHike Backpack 60L</x:v>
      </x:c>
      <x:c r="H1848" s="3" t="n">
        <x:v>1</x:v>
      </x:c>
      <x:c r="I1848" s="7" t="n">
        <x:v>3441.95</x:v>
      </x:c>
      <x:c r="J1848" s="9" t="n">
        <x:v>0</x:v>
      </x:c>
      <x:c r="K1848" s="7" t="n">
        <x:v>3441.95</x:v>
      </x:c>
      <x:c r="L1848" s="7" t="n">
        <x:v>1375.25</x:v>
      </x:c>
      <x:c r="M1848" s="3" t="str">
        <x:v>UPI</x:v>
      </x:c>
      <x:c r="N1848" s="3" t="str">
        <x:f>TEXT(B1848,"yyyy-mm")</x:f>
        <x:v>2025-05</x:v>
      </x:c>
      <x:c r="O1848" s="3" t="str">
        <x:f>IF(J1848=0,"No discount",IF(J1848&lt;=0.1,"1-10%",IF(J1848&lt;=0.15,"11-15%",IF(J1848&lt;=0.2,"16-20%","21%+"))))</x:f>
        <x:v>No discount</x:v>
      </x:c>
      <x:c r="P1848" s="9" t="n">
        <x:f>IF(K1848=0,0,L1848/K1848)</x:f>
        <x:v>0.399555484536382</x:v>
      </x:c>
      <x:c r="Q1848" s="3" t="str">
        <x:f>IF(L1848&lt;0,"Yes","No")</x:f>
        <x:v>No</x:v>
      </x:c>
    </x:row>
    <x:row r="1849" ht="21" customHeight="1">
      <x:c r="A1849" s="3" t="str">
        <x:v>ORD-101757</x:v>
      </x:c>
      <x:c r="B1849" s="5" t="n">
        <x:v>45796</x:v>
      </x:c>
      <x:c r="C1849" s="3" t="str">
        <x:v>CUST-00479</x:v>
      </x:c>
      <x:c r="D1849" s="3" t="str">
        <x:v>East</x:v>
      </x:c>
      <x:c r="E1849" s="3" t="str">
        <x:v>Electronics</x:v>
      </x:c>
      <x:c r="F1849" s="3" t="str">
        <x:v>Mobile</x:v>
      </x:c>
      <x:c r="G1849" s="3" t="str">
        <x:v>Galaxy Nova X5</x:v>
      </x:c>
      <x:c r="H1849" s="3" t="n">
        <x:v>2</x:v>
      </x:c>
      <x:c r="I1849" s="7" t="n">
        <x:v>24459.89</x:v>
      </x:c>
      <x:c r="J1849" s="9" t="n">
        <x:v>0.05</x:v>
      </x:c>
      <x:c r="K1849" s="7" t="n">
        <x:v>46473.79</x:v>
      </x:c>
      <x:c r="L1849" s="7" t="n">
        <x:v>4748.15</x:v>
      </x:c>
      <x:c r="M1849" s="3" t="str">
        <x:v>UPI</x:v>
      </x:c>
      <x:c r="N1849" s="3" t="str">
        <x:f>TEXT(B1849,"yyyy-mm")</x:f>
        <x:v>2025-05</x:v>
      </x:c>
      <x:c r="O1849" s="3" t="str">
        <x:f>IF(J1849=0,"No discount",IF(J1849&lt;=0.1,"1-10%",IF(J1849&lt;=0.15,"11-15%",IF(J1849&lt;=0.2,"16-20%","21%+"))))</x:f>
        <x:v>1-10%</x:v>
      </x:c>
      <x:c r="P1849" s="9" t="n">
        <x:f>IF(K1849=0,0,L1849/K1849)</x:f>
        <x:v>0.10216834047750355</x:v>
      </x:c>
      <x:c r="Q1849" s="3" t="str">
        <x:f>IF(L1849&lt;0,"Yes","No")</x:f>
        <x:v>No</x:v>
      </x:c>
    </x:row>
    <x:row r="1850" ht="21" customHeight="1">
      <x:c r="A1850" s="3" t="str">
        <x:v>ORD-100100</x:v>
      </x:c>
      <x:c r="B1850" s="5" t="n">
        <x:v>45797</x:v>
      </x:c>
      <x:c r="C1850" s="3" t="str">
        <x:v>CUST-00578</x:v>
      </x:c>
      <x:c r="D1850" s="3" t="str">
        <x:v>North</x:v>
      </x:c>
      <x:c r="E1850" s="3" t="str">
        <x:v>Fashion</x:v>
      </x:c>
      <x:c r="F1850" s="3" t="str">
        <x:v>Men</x:v>
      </x:c>
      <x:c r="G1850" s="3" t="str">
        <x:v>SlimFit Denim Jeans</x:v>
      </x:c>
      <x:c r="H1850" s="3" t="n">
        <x:v>1</x:v>
      </x:c>
      <x:c r="I1850" s="7" t="n">
        <x:v>1929.61</x:v>
      </x:c>
      <x:c r="J1850" s="9" t="n">
        <x:v>0</x:v>
      </x:c>
      <x:c r="K1850" s="7" t="n">
        <x:v>1929.61</x:v>
      </x:c>
      <x:c r="L1850" s="7" t="n">
        <x:v>850.44</x:v>
      </x:c>
      <x:c r="M1850" s="3" t="str">
        <x:v>Cash on Delivery</x:v>
      </x:c>
      <x:c r="N1850" s="3" t="str">
        <x:f>TEXT(B1850,"yyyy-mm")</x:f>
        <x:v>2025-05</x:v>
      </x:c>
      <x:c r="O1850" s="3" t="str">
        <x:f>IF(J1850=0,"No discount",IF(J1850&lt;=0.1,"1-10%",IF(J1850&lt;=0.15,"11-15%",IF(J1850&lt;=0.2,"16-20%","21%+"))))</x:f>
        <x:v>No discount</x:v>
      </x:c>
      <x:c r="P1850" s="9" t="n">
        <x:f>IF(K1850=0,0,L1850/K1850)</x:f>
        <x:v>0.44073154678924764</x:v>
      </x:c>
      <x:c r="Q1850" s="3" t="str">
        <x:f>IF(L1850&lt;0,"Yes","No")</x:f>
        <x:v>No</x:v>
      </x:c>
    </x:row>
    <x:row r="1851" ht="21" customHeight="1">
      <x:c r="A1851" s="3" t="str">
        <x:v>ORD-100278</x:v>
      </x:c>
      <x:c r="B1851" s="5" t="n">
        <x:v>45797</x:v>
      </x:c>
      <x:c r="C1851" s="3" t="str">
        <x:v>CUST-00093</x:v>
      </x:c>
      <x:c r="D1851" s="3" t="str">
        <x:v>North</x:v>
      </x:c>
      <x:c r="E1851" s="3" t="str">
        <x:v>Home &amp; Kitchen</x:v>
      </x:c>
      <x:c r="F1851" s="3" t="str">
        <x:v>Furniture</x:v>
      </x:c>
      <x:c r="G1851" s="3" t="str">
        <x:v>Oakwood Study Desk</x:v>
      </x:c>
      <x:c r="H1851" s="3" t="n">
        <x:v>1</x:v>
      </x:c>
      <x:c r="I1851" s="7" t="n">
        <x:v>13243.65</x:v>
      </x:c>
      <x:c r="J1851" s="9" t="n">
        <x:v>0.25</x:v>
      </x:c>
      <x:c r="K1851" s="7" t="n">
        <x:v>9932.74</x:v>
      </x:c>
      <x:c r="L1851" s="7" t="n">
        <x:v>406.78</x:v>
      </x:c>
      <x:c r="M1851" s="3" t="str">
        <x:v>UPI</x:v>
      </x:c>
      <x:c r="N1851" s="3" t="str">
        <x:f>TEXT(B1851,"yyyy-mm")</x:f>
        <x:v>2025-05</x:v>
      </x:c>
      <x:c r="O1851" s="3" t="str">
        <x:f>IF(J1851=0,"No discount",IF(J1851&lt;=0.1,"1-10%",IF(J1851&lt;=0.15,"11-15%",IF(J1851&lt;=0.2,"16-20%","21%+"))))</x:f>
        <x:v>21%+</x:v>
      </x:c>
      <x:c r="P1851" s="9" t="n">
        <x:f>IF(K1851=0,0,L1851/K1851)</x:f>
        <x:v>0.040953452924369305</x:v>
      </x:c>
      <x:c r="Q1851" s="3" t="str">
        <x:f>IF(L1851&lt;0,"Yes","No")</x:f>
        <x:v>No</x:v>
      </x:c>
    </x:row>
    <x:row r="1852" ht="21" customHeight="1">
      <x:c r="A1852" s="3" t="str">
        <x:v>ORD-100488</x:v>
      </x:c>
      <x:c r="B1852" s="5" t="n">
        <x:v>45797</x:v>
      </x:c>
      <x:c r="C1852" s="3" t="str">
        <x:v>CUST-00475</x:v>
      </x:c>
      <x:c r="D1852" s="3" t="str">
        <x:v>South</x:v>
      </x:c>
      <x:c r="E1852" s="3" t="str">
        <x:v>Fashion</x:v>
      </x:c>
      <x:c r="F1852" s="3" t="str">
        <x:v>Men</x:v>
      </x:c>
      <x:c r="G1852" s="3" t="str">
        <x:v>SlimFit Denim Jeans</x:v>
      </x:c>
      <x:c r="H1852" s="3" t="n">
        <x:v>3</x:v>
      </x:c>
      <x:c r="I1852" s="7" t="n">
        <x:v>1997.12</x:v>
      </x:c>
      <x:c r="J1852" s="9" t="n">
        <x:v>0</x:v>
      </x:c>
      <x:c r="K1852" s="7" t="n">
        <x:v>5991.36</x:v>
      </x:c>
      <x:c r="L1852" s="7" t="n">
        <x:v>2671.09</x:v>
      </x:c>
      <x:c r="M1852" s="3" t="str">
        <x:v>Credit Card</x:v>
      </x:c>
      <x:c r="N1852" s="3" t="str">
        <x:f>TEXT(B1852,"yyyy-mm")</x:f>
        <x:v>2025-05</x:v>
      </x:c>
      <x:c r="O1852" s="3" t="str">
        <x:f>IF(J1852=0,"No discount",IF(J1852&lt;=0.1,"1-10%",IF(J1852&lt;=0.15,"11-15%",IF(J1852&lt;=0.2,"16-20%","21%+"))))</x:f>
        <x:v>No discount</x:v>
      </x:c>
      <x:c r="P1852" s="9" t="n">
        <x:f>IF(K1852=0,0,L1852/K1852)</x:f>
        <x:v>0.445823652726593</x:v>
      </x:c>
      <x:c r="Q1852" s="3" t="str">
        <x:f>IF(L1852&lt;0,"Yes","No")</x:f>
        <x:v>No</x:v>
      </x:c>
    </x:row>
    <x:row r="1853" ht="21" customHeight="1">
      <x:c r="A1853" s="3" t="str">
        <x:v>ORD-100848</x:v>
      </x:c>
      <x:c r="B1853" s="5" t="n">
        <x:v>45797</x:v>
      </x:c>
      <x:c r="C1853" s="3" t="str">
        <x:v>CUST-00141</x:v>
      </x:c>
      <x:c r="D1853" s="3" t="str">
        <x:v>East</x:v>
      </x:c>
      <x:c r="E1853" s="3" t="str">
        <x:v>Beauty</x:v>
      </x:c>
      <x:c r="F1853" s="3" t="str">
        <x:v>Makeup</x:v>
      </x:c>
      <x:c r="G1853" s="3" t="str">
        <x:v>HD Foundation Kit</x:v>
      </x:c>
      <x:c r="H1853" s="3" t="n">
        <x:v>1</x:v>
      </x:c>
      <x:c r="I1853" s="7" t="n">
        <x:v>1468.26</x:v>
      </x:c>
      <x:c r="J1853" s="9" t="n">
        <x:v>0.2</x:v>
      </x:c>
      <x:c r="K1853" s="7" t="n">
        <x:v>1174.61</x:v>
      </x:c>
      <x:c r="L1853" s="7" t="n">
        <x:v>339.19</x:v>
      </x:c>
      <x:c r="M1853" s="3" t="str">
        <x:v>Debit Card</x:v>
      </x:c>
      <x:c r="N1853" s="3" t="str">
        <x:f>TEXT(B1853,"yyyy-mm")</x:f>
        <x:v>2025-05</x:v>
      </x:c>
      <x:c r="O1853" s="3" t="str">
        <x:f>IF(J1853=0,"No discount",IF(J1853&lt;=0.1,"1-10%",IF(J1853&lt;=0.15,"11-15%",IF(J1853&lt;=0.2,"16-20%","21%+"))))</x:f>
        <x:v>16-20%</x:v>
      </x:c>
      <x:c r="P1853" s="9" t="n">
        <x:f>IF(K1853=0,0,L1853/K1853)</x:f>
        <x:v>0.28876818688756273</x:v>
      </x:c>
      <x:c r="Q1853" s="3" t="str">
        <x:f>IF(L1853&lt;0,"Yes","No")</x:f>
        <x:v>No</x:v>
      </x:c>
    </x:row>
    <x:row r="1854" ht="21" customHeight="1">
      <x:c r="A1854" s="3" t="str">
        <x:v>ORD-101772</x:v>
      </x:c>
      <x:c r="B1854" s="5" t="n">
        <x:v>45797</x:v>
      </x:c>
      <x:c r="C1854" s="3" t="str">
        <x:v>CUST-00177</x:v>
      </x:c>
      <x:c r="D1854" s="3" t="str">
        <x:v>South</x:v>
      </x:c>
      <x:c r="E1854" s="3" t="str">
        <x:v>Beauty</x:v>
      </x:c>
      <x:c r="F1854" s="3" t="str">
        <x:v>Makeup</x:v>
      </x:c>
      <x:c r="G1854" s="3" t="str">
        <x:v>HD Foundation Kit</x:v>
      </x:c>
      <x:c r="H1854" s="3" t="n">
        <x:v>1</x:v>
      </x:c>
      <x:c r="I1854" s="7" t="n">
        <x:v>1502.41</x:v>
      </x:c>
      <x:c r="J1854" s="9" t="n">
        <x:v>0.1</x:v>
      </x:c>
      <x:c r="K1854" s="7" t="n">
        <x:v>1352.17</x:v>
      </x:c>
      <x:c r="L1854" s="7" t="n">
        <x:v>577.22</x:v>
      </x:c>
      <x:c r="M1854" s="3" t="str">
        <x:v>Debit Card</x:v>
      </x:c>
      <x:c r="N1854" s="3" t="str">
        <x:f>TEXT(B1854,"yyyy-mm")</x:f>
        <x:v>2025-05</x:v>
      </x:c>
      <x:c r="O1854" s="3" t="str">
        <x:f>IF(J1854=0,"No discount",IF(J1854&lt;=0.1,"1-10%",IF(J1854&lt;=0.15,"11-15%",IF(J1854&lt;=0.2,"16-20%","21%+"))))</x:f>
        <x:v>1-10%</x:v>
      </x:c>
      <x:c r="P1854" s="9" t="n">
        <x:f>IF(K1854=0,0,L1854/K1854)</x:f>
        <x:v>0.426884193555544</x:v>
      </x:c>
      <x:c r="Q1854" s="3" t="str">
        <x:f>IF(L1854&lt;0,"Yes","No")</x:f>
        <x:v>No</x:v>
      </x:c>
    </x:row>
    <x:row r="1855" ht="21" customHeight="1">
      <x:c r="A1855" s="3" t="str">
        <x:v>ORD-100427</x:v>
      </x:c>
      <x:c r="B1855" s="5" t="n">
        <x:v>45798</x:v>
      </x:c>
      <x:c r="C1855" s="3" t="str">
        <x:v>CUST-00063</x:v>
      </x:c>
      <x:c r="D1855" s="3" t="str">
        <x:v>East</x:v>
      </x:c>
      <x:c r="E1855" s="3" t="str">
        <x:v>Sports</x:v>
      </x:c>
      <x:c r="F1855" s="3" t="str">
        <x:v>Fitness</x:v>
      </x:c>
      <x:c r="G1855" s="3" t="str">
        <x:v>Adjustable Dumbbell 24kg</x:v>
      </x:c>
      <x:c r="H1855" s="3" t="n">
        <x:v>4</x:v>
      </x:c>
      <x:c r="I1855" s="7" t="n">
        <x:v>9607.78</x:v>
      </x:c>
      <x:c r="J1855" s="9" t="n">
        <x:v>0</x:v>
      </x:c>
      <x:c r="K1855" s="7" t="n">
        <x:v>38431.12</x:v>
      </x:c>
      <x:c r="L1855" s="7" t="n">
        <x:v>15569.42</x:v>
      </x:c>
      <x:c r="M1855" s="3" t="str">
        <x:v>UPI</x:v>
      </x:c>
      <x:c r="N1855" s="3" t="str">
        <x:f>TEXT(B1855,"yyyy-mm")</x:f>
        <x:v>2025-05</x:v>
      </x:c>
      <x:c r="O1855" s="3" t="str">
        <x:f>IF(J1855=0,"No discount",IF(J1855&lt;=0.1,"1-10%",IF(J1855&lt;=0.15,"11-15%",IF(J1855&lt;=0.2,"16-20%","21%+"))))</x:f>
        <x:v>No discount</x:v>
      </x:c>
      <x:c r="P1855" s="9" t="n">
        <x:f>IF(K1855=0,0,L1855/K1855)</x:f>
        <x:v>0.40512532551744523</x:v>
      </x:c>
      <x:c r="Q1855" s="3" t="str">
        <x:f>IF(L1855&lt;0,"Yes","No")</x:f>
        <x:v>No</x:v>
      </x:c>
    </x:row>
    <x:row r="1856" ht="21" customHeight="1">
      <x:c r="A1856" s="3" t="str">
        <x:v>ORD-101159</x:v>
      </x:c>
      <x:c r="B1856" s="5" t="n">
        <x:v>45798</x:v>
      </x:c>
      <x:c r="C1856" s="3" t="str">
        <x:v>CUST-00469</x:v>
      </x:c>
      <x:c r="D1856" s="3" t="str">
        <x:v>East</x:v>
      </x:c>
      <x:c r="E1856" s="3" t="str">
        <x:v>Sports</x:v>
      </x:c>
      <x:c r="F1856" s="3" t="str">
        <x:v>Fitness</x:v>
      </x:c>
      <x:c r="G1856" s="3" t="str">
        <x:v>Adjustable Dumbbell 24kg</x:v>
      </x:c>
      <x:c r="H1856" s="3" t="n">
        <x:v>1</x:v>
      </x:c>
      <x:c r="I1856" s="7" t="n">
        <x:v>10136.48</x:v>
      </x:c>
      <x:c r="J1856" s="9" t="n">
        <x:v>0</x:v>
      </x:c>
      <x:c r="K1856" s="7" t="n">
        <x:v>10136.48</x:v>
      </x:c>
      <x:c r="L1856" s="7" t="n">
        <x:v>4073.62</x:v>
      </x:c>
      <x:c r="M1856" s="3" t="str">
        <x:v>UPI</x:v>
      </x:c>
      <x:c r="N1856" s="3" t="str">
        <x:f>TEXT(B1856,"yyyy-mm")</x:f>
        <x:v>2025-05</x:v>
      </x:c>
      <x:c r="O1856" s="3" t="str">
        <x:f>IF(J1856=0,"No discount",IF(J1856&lt;=0.1,"1-10%",IF(J1856&lt;=0.15,"11-15%",IF(J1856&lt;=0.2,"16-20%","21%+"))))</x:f>
        <x:v>No discount</x:v>
      </x:c>
      <x:c r="P1856" s="9" t="n">
        <x:f>IF(K1856=0,0,L1856/K1856)</x:f>
        <x:v>0.4018771802440295</x:v>
      </x:c>
      <x:c r="Q1856" s="3" t="str">
        <x:f>IF(L1856&lt;0,"Yes","No")</x:f>
        <x:v>No</x:v>
      </x:c>
    </x:row>
    <x:row r="1857" ht="21" customHeight="1">
      <x:c r="A1857" s="3" t="str">
        <x:v>ORD-101251</x:v>
      </x:c>
      <x:c r="B1857" s="5" t="n">
        <x:v>45798</x:v>
      </x:c>
      <x:c r="C1857" s="3" t="str">
        <x:v>CUST-00505</x:v>
      </x:c>
      <x:c r="D1857" s="3" t="str">
        <x:v>East</x:v>
      </x:c>
      <x:c r="E1857" s="3" t="str">
        <x:v>Fashion</x:v>
      </x:c>
      <x:c r="F1857" s="3" t="str">
        <x:v>Men</x:v>
      </x:c>
      <x:c r="G1857" s="3" t="str">
        <x:v>Oxford Casual Shirt</x:v>
      </x:c>
      <x:c r="H1857" s="3" t="n">
        <x:v>1</x:v>
      </x:c>
      <x:c r="I1857" s="7" t="n">
        <x:v>1359.21</x:v>
      </x:c>
      <x:c r="J1857" s="9" t="n">
        <x:v>0.15</x:v>
      </x:c>
      <x:c r="K1857" s="7" t="n">
        <x:v>1155.33</x:v>
      </x:c>
      <x:c r="L1857" s="7" t="n">
        <x:v>245.6</x:v>
      </x:c>
      <x:c r="M1857" s="3" t="str">
        <x:v>Cash on Delivery</x:v>
      </x:c>
      <x:c r="N1857" s="3" t="str">
        <x:f>TEXT(B1857,"yyyy-mm")</x:f>
        <x:v>2025-05</x:v>
      </x:c>
      <x:c r="O1857" s="3" t="str">
        <x:f>IF(J1857=0,"No discount",IF(J1857&lt;=0.1,"1-10%",IF(J1857&lt;=0.15,"11-15%",IF(J1857&lt;=0.2,"16-20%","21%+"))))</x:f>
        <x:v>11-15%</x:v>
      </x:c>
      <x:c r="P1857" s="9" t="n">
        <x:f>IF(K1857=0,0,L1857/K1857)</x:f>
        <x:v>0.2125799555105468</x:v>
      </x:c>
      <x:c r="Q1857" s="3" t="str">
        <x:f>IF(L1857&lt;0,"Yes","No")</x:f>
        <x:v>No</x:v>
      </x:c>
    </x:row>
    <x:row r="1858" ht="21" customHeight="1">
      <x:c r="A1858" s="3" t="str">
        <x:v>ORD-101557</x:v>
      </x:c>
      <x:c r="B1858" s="5" t="n">
        <x:v>45799</x:v>
      </x:c>
      <x:c r="C1858" s="3" t="str">
        <x:v>CUST-00004</x:v>
      </x:c>
      <x:c r="D1858" s="3" t="str">
        <x:v>East</x:v>
      </x:c>
      <x:c r="E1858" s="3" t="str">
        <x:v>Electronics</x:v>
      </x:c>
      <x:c r="F1858" s="3" t="str">
        <x:v>Audio</x:v>
      </x:c>
      <x:c r="G1858" s="3" t="str">
        <x:v>SoundPods Pro</x:v>
      </x:c>
      <x:c r="H1858" s="3" t="n">
        <x:v>2</x:v>
      </x:c>
      <x:c r="I1858" s="7" t="n">
        <x:v>5212.24</x:v>
      </x:c>
      <x:c r="J1858" s="9" t="n">
        <x:v>0.15</x:v>
      </x:c>
      <x:c r="K1858" s="7" t="n">
        <x:v>8860.81</x:v>
      </x:c>
      <x:c r="L1858" s="7" t="n">
        <x:v>119.87</x:v>
      </x:c>
      <x:c r="M1858" s="3" t="str">
        <x:v>UPI</x:v>
      </x:c>
      <x:c r="N1858" s="3" t="str">
        <x:f>TEXT(B1858,"yyyy-mm")</x:f>
        <x:v>2025-05</x:v>
      </x:c>
      <x:c r="O1858" s="3" t="str">
        <x:f>IF(J1858=0,"No discount",IF(J1858&lt;=0.1,"1-10%",IF(J1858&lt;=0.15,"11-15%",IF(J1858&lt;=0.2,"16-20%","21%+"))))</x:f>
        <x:v>11-15%</x:v>
      </x:c>
      <x:c r="P1858" s="9" t="n">
        <x:f>IF(K1858=0,0,L1858/K1858)</x:f>
        <x:v>0.013528108604066672</x:v>
      </x:c>
      <x:c r="Q1858" s="3" t="str">
        <x:f>IF(L1858&lt;0,"Yes","No")</x:f>
        <x:v>No</x:v>
      </x:c>
    </x:row>
    <x:row r="1859" ht="21" customHeight="1">
      <x:c r="A1859" s="3" t="str">
        <x:v>ORD-101710</x:v>
      </x:c>
      <x:c r="B1859" s="5" t="n">
        <x:v>45799</x:v>
      </x:c>
      <x:c r="C1859" s="3" t="str">
        <x:v>CUST-00192</x:v>
      </x:c>
      <x:c r="D1859" s="3" t="str">
        <x:v>South</x:v>
      </x:c>
      <x:c r="E1859" s="3" t="str">
        <x:v>Sports</x:v>
      </x:c>
      <x:c r="F1859" s="3" t="str">
        <x:v>Fitness</x:v>
      </x:c>
      <x:c r="G1859" s="3" t="str">
        <x:v>ProYoga Mat</x:v>
      </x:c>
      <x:c r="H1859" s="3" t="n">
        <x:v>1</x:v>
      </x:c>
      <x:c r="I1859" s="7" t="n">
        <x:v>1329.5</x:v>
      </x:c>
      <x:c r="J1859" s="9" t="n">
        <x:v>0.15</x:v>
      </x:c>
      <x:c r="K1859" s="7" t="n">
        <x:v>1130.08</x:v>
      </x:c>
      <x:c r="L1859" s="7" t="n">
        <x:v>267.5</x:v>
      </x:c>
      <x:c r="M1859" s="3" t="str">
        <x:v>Credit Card</x:v>
      </x:c>
      <x:c r="N1859" s="3" t="str">
        <x:f>TEXT(B1859,"yyyy-mm")</x:f>
        <x:v>2025-05</x:v>
      </x:c>
      <x:c r="O1859" s="3" t="str">
        <x:f>IF(J1859=0,"No discount",IF(J1859&lt;=0.1,"1-10%",IF(J1859&lt;=0.15,"11-15%",IF(J1859&lt;=0.2,"16-20%","21%+"))))</x:f>
        <x:v>11-15%</x:v>
      </x:c>
      <x:c r="P1859" s="9" t="n">
        <x:f>IF(K1859=0,0,L1859/K1859)</x:f>
        <x:v>0.23670890556420787</x:v>
      </x:c>
      <x:c r="Q1859" s="3" t="str">
        <x:f>IF(L1859&lt;0,"Yes","No")</x:f>
        <x:v>No</x:v>
      </x:c>
    </x:row>
    <x:row r="1860" ht="21" customHeight="1">
      <x:c r="A1860" s="3" t="str">
        <x:v>ORD-101946</x:v>
      </x:c>
      <x:c r="B1860" s="5" t="n">
        <x:v>45799</x:v>
      </x:c>
      <x:c r="C1860" s="3" t="str">
        <x:v>CUST-00026</x:v>
      </x:c>
      <x:c r="D1860" s="3" t="str">
        <x:v>South</x:v>
      </x:c>
      <x:c r="E1860" s="3" t="str">
        <x:v>Beauty</x:v>
      </x:c>
      <x:c r="F1860" s="3" t="str">
        <x:v>Skincare</x:v>
      </x:c>
      <x:c r="G1860" s="3" t="str">
        <x:v>HydraBoost Moisturizer</x:v>
      </x:c>
      <x:c r="H1860" s="3" t="n">
        <x:v>2</x:v>
      </x:c>
      <x:c r="I1860" s="7" t="n">
        <x:v>1177.83</x:v>
      </x:c>
      <x:c r="J1860" s="9" t="n">
        <x:v>0</x:v>
      </x:c>
      <x:c r="K1860" s="7" t="n">
        <x:v>2355.66</x:v>
      </x:c>
      <x:c r="L1860" s="7" t="n">
        <x:v>1318.7</x:v>
      </x:c>
      <x:c r="M1860" s="3" t="str">
        <x:v>UPI</x:v>
      </x:c>
      <x:c r="N1860" s="3" t="str">
        <x:f>TEXT(B1860,"yyyy-mm")</x:f>
        <x:v>2025-05</x:v>
      </x:c>
      <x:c r="O1860" s="3" t="str">
        <x:f>IF(J1860=0,"No discount",IF(J1860&lt;=0.1,"1-10%",IF(J1860&lt;=0.15,"11-15%",IF(J1860&lt;=0.2,"16-20%","21%+"))))</x:f>
        <x:v>No discount</x:v>
      </x:c>
      <x:c r="P1860" s="9" t="n">
        <x:f>IF(K1860=0,0,L1860/K1860)</x:f>
        <x:v>0.5598006503485223</x:v>
      </x:c>
      <x:c r="Q1860" s="3" t="str">
        <x:f>IF(L1860&lt;0,"Yes","No")</x:f>
        <x:v>No</x:v>
      </x:c>
    </x:row>
    <x:row r="1861" ht="21" customHeight="1">
      <x:c r="A1861" s="3" t="str">
        <x:v>ORD-101954</x:v>
      </x:c>
      <x:c r="B1861" s="5" t="n">
        <x:v>45799</x:v>
      </x:c>
      <x:c r="C1861" s="3" t="str">
        <x:v>CUST-00390</x:v>
      </x:c>
      <x:c r="D1861" s="3" t="str">
        <x:v>North</x:v>
      </x:c>
      <x:c r="E1861" s="3" t="str">
        <x:v>Electronics</x:v>
      </x:c>
      <x:c r="F1861" s="3" t="str">
        <x:v>Audio</x:v>
      </x:c>
      <x:c r="G1861" s="3" t="str">
        <x:v>BassBoom Speaker</x:v>
      </x:c>
      <x:c r="H1861" s="3" t="n">
        <x:v>1</x:v>
      </x:c>
      <x:c r="I1861" s="7" t="n">
        <x:v>8631.86</x:v>
      </x:c>
      <x:c r="J1861" s="9" t="n">
        <x:v>0.15</x:v>
      </x:c>
      <x:c r="K1861" s="7" t="n">
        <x:v>7337.08</x:v>
      </x:c>
      <x:c r="L1861" s="7" t="n">
        <x:v>138.38</x:v>
      </x:c>
      <x:c r="M1861" s="3" t="str">
        <x:v>UPI</x:v>
      </x:c>
      <x:c r="N1861" s="3" t="str">
        <x:f>TEXT(B1861,"yyyy-mm")</x:f>
        <x:v>2025-05</x:v>
      </x:c>
      <x:c r="O1861" s="3" t="str">
        <x:f>IF(J1861=0,"No discount",IF(J1861&lt;=0.1,"1-10%",IF(J1861&lt;=0.15,"11-15%",IF(J1861&lt;=0.2,"16-20%","21%+"))))</x:f>
        <x:v>11-15%</x:v>
      </x:c>
      <x:c r="P1861" s="9" t="n">
        <x:f>IF(K1861=0,0,L1861/K1861)</x:f>
        <x:v>0.01886036406853953</x:v>
      </x:c>
      <x:c r="Q1861" s="3" t="str">
        <x:f>IF(L1861&lt;0,"Yes","No")</x:f>
        <x:v>No</x:v>
      </x:c>
    </x:row>
    <x:row r="1862" ht="21" customHeight="1">
      <x:c r="A1862" s="3" t="str">
        <x:v>ORD-101141</x:v>
      </x:c>
      <x:c r="B1862" s="5" t="n">
        <x:v>45800</x:v>
      </x:c>
      <x:c r="C1862" s="3" t="str">
        <x:v>CUST-00291</x:v>
      </x:c>
      <x:c r="D1862" s="3" t="str">
        <x:v>East</x:v>
      </x:c>
      <x:c r="E1862" s="3" t="str">
        <x:v>Beauty</x:v>
      </x:c>
      <x:c r="F1862" s="3" t="str">
        <x:v>Skincare</x:v>
      </x:c>
      <x:c r="G1862" s="3" t="str">
        <x:v>HydraBoost Moisturizer</x:v>
      </x:c>
      <x:c r="H1862" s="3" t="n">
        <x:v>1</x:v>
      </x:c>
      <x:c r="I1862" s="7" t="n">
        <x:v>1241.25</x:v>
      </x:c>
      <x:c r="J1862" s="9" t="n">
        <x:v>0.05</x:v>
      </x:c>
      <x:c r="K1862" s="7" t="n">
        <x:v>1179.19</x:v>
      </x:c>
      <x:c r="L1862" s="7" t="n">
        <x:v>548.43</x:v>
      </x:c>
      <x:c r="M1862" s="3" t="str">
        <x:v>Credit Card</x:v>
      </x:c>
      <x:c r="N1862" s="3" t="str">
        <x:f>TEXT(B1862,"yyyy-mm")</x:f>
        <x:v>2025-05</x:v>
      </x:c>
      <x:c r="O1862" s="3" t="str">
        <x:f>IF(J1862=0,"No discount",IF(J1862&lt;=0.1,"1-10%",IF(J1862&lt;=0.15,"11-15%",IF(J1862&lt;=0.2,"16-20%","21%+"))))</x:f>
        <x:v>1-10%</x:v>
      </x:c>
      <x:c r="P1862" s="9" t="n">
        <x:f>IF(K1862=0,0,L1862/K1862)</x:f>
        <x:v>0.4650904434399884</x:v>
      </x:c>
      <x:c r="Q1862" s="3" t="str">
        <x:f>IF(L1862&lt;0,"Yes","No")</x:f>
        <x:v>No</x:v>
      </x:c>
    </x:row>
    <x:row r="1863" ht="21" customHeight="1">
      <x:c r="A1863" s="3" t="str">
        <x:v>ORD-101014</x:v>
      </x:c>
      <x:c r="B1863" s="5" t="n">
        <x:v>45801</x:v>
      </x:c>
      <x:c r="C1863" s="3" t="str">
        <x:v>CUST-00531</x:v>
      </x:c>
      <x:c r="D1863" s="3" t="str">
        <x:v>West</x:v>
      </x:c>
      <x:c r="E1863" s="3" t="str">
        <x:v>Home &amp; Kitchen</x:v>
      </x:c>
      <x:c r="F1863" s="3" t="str">
        <x:v>Appliances</x:v>
      </x:c>
      <x:c r="G1863" s="3" t="str">
        <x:v>ColdBrew Coffee Maker</x:v>
      </x:c>
      <x:c r="H1863" s="3" t="n">
        <x:v>1</x:v>
      </x:c>
      <x:c r="I1863" s="7" t="n">
        <x:v>6708.84</x:v>
      </x:c>
      <x:c r="J1863" s="9" t="n">
        <x:v>0</x:v>
      </x:c>
      <x:c r="K1863" s="7" t="n">
        <x:v>6708.84</x:v>
      </x:c>
      <x:c r="L1863" s="7" t="n">
        <x:v>2420.03</x:v>
      </x:c>
      <x:c r="M1863" s="3" t="str">
        <x:v>Credit Card</x:v>
      </x:c>
      <x:c r="N1863" s="3" t="str">
        <x:f>TEXT(B1863,"yyyy-mm")</x:f>
        <x:v>2025-05</x:v>
      </x:c>
      <x:c r="O1863" s="3" t="str">
        <x:f>IF(J1863=0,"No discount",IF(J1863&lt;=0.1,"1-10%",IF(J1863&lt;=0.15,"11-15%",IF(J1863&lt;=0.2,"16-20%","21%+"))))</x:f>
        <x:v>No discount</x:v>
      </x:c>
      <x:c r="P1863" s="9" t="n">
        <x:f>IF(K1863=0,0,L1863/K1863)</x:f>
        <x:v>0.36072256902832683</x:v>
      </x:c>
      <x:c r="Q1863" s="3" t="str">
        <x:f>IF(L1863&lt;0,"Yes","No")</x:f>
        <x:v>No</x:v>
      </x:c>
    </x:row>
    <x:row r="1864" ht="21" customHeight="1">
      <x:c r="A1864" s="3" t="str">
        <x:v>ORD-100403</x:v>
      </x:c>
      <x:c r="B1864" s="5" t="n">
        <x:v>45802</x:v>
      </x:c>
      <x:c r="C1864" s="3" t="str">
        <x:v>CUST-00006</x:v>
      </x:c>
      <x:c r="D1864" s="3" t="str">
        <x:v>North</x:v>
      </x:c>
      <x:c r="E1864" s="3" t="str">
        <x:v>Home &amp; Kitchen</x:v>
      </x:c>
      <x:c r="F1864" s="3" t="str">
        <x:v>Appliances</x:v>
      </x:c>
      <x:c r="G1864" s="3" t="str">
        <x:v>AirFryer Deluxe</x:v>
      </x:c>
      <x:c r="H1864" s="3" t="n">
        <x:v>1</x:v>
      </x:c>
      <x:c r="I1864" s="7" t="n">
        <x:v>7761.31</x:v>
      </x:c>
      <x:c r="J1864" s="9" t="n">
        <x:v>0</x:v>
      </x:c>
      <x:c r="K1864" s="7" t="n">
        <x:v>7761.31</x:v>
      </x:c>
      <x:c r="L1864" s="7" t="n">
        <x:v>2637.33</x:v>
      </x:c>
      <x:c r="M1864" s="3" t="str">
        <x:v>Credit Card</x:v>
      </x:c>
      <x:c r="N1864" s="3" t="str">
        <x:f>TEXT(B1864,"yyyy-mm")</x:f>
        <x:v>2025-05</x:v>
      </x:c>
      <x:c r="O1864" s="3" t="str">
        <x:f>IF(J1864=0,"No discount",IF(J1864&lt;=0.1,"1-10%",IF(J1864&lt;=0.15,"11-15%",IF(J1864&lt;=0.2,"16-20%","21%+"))))</x:f>
        <x:v>No discount</x:v>
      </x:c>
      <x:c r="P1864" s="9" t="n">
        <x:f>IF(K1864=0,0,L1864/K1864)</x:f>
        <x:v>0.33980474945595524</x:v>
      </x:c>
      <x:c r="Q1864" s="3" t="str">
        <x:f>IF(L1864&lt;0,"Yes","No")</x:f>
        <x:v>No</x:v>
      </x:c>
    </x:row>
    <x:row r="1865" ht="21" customHeight="1">
      <x:c r="A1865" s="3" t="str">
        <x:v>ORD-101427</x:v>
      </x:c>
      <x:c r="B1865" s="5" t="n">
        <x:v>45802</x:v>
      </x:c>
      <x:c r="C1865" s="3" t="str">
        <x:v>CUST-00510</x:v>
      </x:c>
      <x:c r="D1865" s="3" t="str">
        <x:v>South</x:v>
      </x:c>
      <x:c r="E1865" s="3" t="str">
        <x:v>Home &amp; Kitchen</x:v>
      </x:c>
      <x:c r="F1865" s="3" t="str">
        <x:v>Appliances</x:v>
      </x:c>
      <x:c r="G1865" s="3" t="str">
        <x:v>ColdBrew Coffee Maker</x:v>
      </x:c>
      <x:c r="H1865" s="3" t="n">
        <x:v>2</x:v>
      </x:c>
      <x:c r="I1865" s="7" t="n">
        <x:v>6751.93</x:v>
      </x:c>
      <x:c r="J1865" s="9" t="n">
        <x:v>0</x:v>
      </x:c>
      <x:c r="K1865" s="7" t="n">
        <x:v>13503.86</x:v>
      </x:c>
      <x:c r="L1865" s="7" t="n">
        <x:v>4462.2</x:v>
      </x:c>
      <x:c r="M1865" s="3" t="str">
        <x:v>UPI</x:v>
      </x:c>
      <x:c r="N1865" s="3" t="str">
        <x:f>TEXT(B1865,"yyyy-mm")</x:f>
        <x:v>2025-05</x:v>
      </x:c>
      <x:c r="O1865" s="3" t="str">
        <x:f>IF(J1865=0,"No discount",IF(J1865&lt;=0.1,"1-10%",IF(J1865&lt;=0.15,"11-15%",IF(J1865&lt;=0.2,"16-20%","21%+"))))</x:f>
        <x:v>No discount</x:v>
      </x:c>
      <x:c r="P1865" s="9" t="n">
        <x:f>IF(K1865=0,0,L1865/K1865)</x:f>
        <x:v>0.33043885229852793</x:v>
      </x:c>
      <x:c r="Q1865" s="3" t="str">
        <x:f>IF(L1865&lt;0,"Yes","No")</x:f>
        <x:v>No</x:v>
      </x:c>
    </x:row>
    <x:row r="1866" ht="21" customHeight="1">
      <x:c r="A1866" s="3" t="str">
        <x:v>ORD-101802</x:v>
      </x:c>
      <x:c r="B1866" s="5" t="n">
        <x:v>45802</x:v>
      </x:c>
      <x:c r="C1866" s="3" t="str">
        <x:v>CUST-00214</x:v>
      </x:c>
      <x:c r="D1866" s="3" t="str">
        <x:v>South</x:v>
      </x:c>
      <x:c r="E1866" s="3" t="str">
        <x:v>Sports</x:v>
      </x:c>
      <x:c r="F1866" s="3" t="str">
        <x:v>Outdoor</x:v>
      </x:c>
      <x:c r="G1866" s="3" t="str">
        <x:v>AllWeather Tent 4P</x:v>
      </x:c>
      <x:c r="H1866" s="3" t="n">
        <x:v>3</x:v>
      </x:c>
      <x:c r="I1866" s="7" t="n">
        <x:v>11660.54</x:v>
      </x:c>
      <x:c r="J1866" s="9" t="n">
        <x:v>0</x:v>
      </x:c>
      <x:c r="K1866" s="7" t="n">
        <x:v>34981.62</x:v>
      </x:c>
      <x:c r="L1866" s="7" t="n">
        <x:v>12270.75</x:v>
      </x:c>
      <x:c r="M1866" s="3" t="str">
        <x:v>UPI</x:v>
      </x:c>
      <x:c r="N1866" s="3" t="str">
        <x:f>TEXT(B1866,"yyyy-mm")</x:f>
        <x:v>2025-05</x:v>
      </x:c>
      <x:c r="O1866" s="3" t="str">
        <x:f>IF(J1866=0,"No discount",IF(J1866&lt;=0.1,"1-10%",IF(J1866&lt;=0.15,"11-15%",IF(J1866&lt;=0.2,"16-20%","21%+"))))</x:f>
        <x:v>No discount</x:v>
      </x:c>
      <x:c r="P1866" s="9" t="n">
        <x:f>IF(K1866=0,0,L1866/K1866)</x:f>
        <x:v>0.3507770652131033</x:v>
      </x:c>
      <x:c r="Q1866" s="3" t="str">
        <x:f>IF(L1866&lt;0,"Yes","No")</x:f>
        <x:v>No</x:v>
      </x:c>
    </x:row>
    <x:row r="1867" ht="21" customHeight="1">
      <x:c r="A1867" s="3" t="str">
        <x:v>ORD-101952</x:v>
      </x:c>
      <x:c r="B1867" s="5" t="n">
        <x:v>45802</x:v>
      </x:c>
      <x:c r="C1867" s="3" t="str">
        <x:v>CUST-00021</x:v>
      </x:c>
      <x:c r="D1867" s="3" t="str">
        <x:v>East</x:v>
      </x:c>
      <x:c r="E1867" s="3" t="str">
        <x:v>Fashion</x:v>
      </x:c>
      <x:c r="F1867" s="3" t="str">
        <x:v>Men</x:v>
      </x:c>
      <x:c r="G1867" s="3" t="str">
        <x:v>SlimFit Denim Jeans</x:v>
      </x:c>
      <x:c r="H1867" s="3" t="n">
        <x:v>1</x:v>
      </x:c>
      <x:c r="I1867" s="7" t="n">
        <x:v>2019.94</x:v>
      </x:c>
      <x:c r="J1867" s="9" t="n">
        <x:v>0</x:v>
      </x:c>
      <x:c r="K1867" s="7" t="n">
        <x:v>2019.94</x:v>
      </x:c>
      <x:c r="L1867" s="7" t="n">
        <x:v>900.22</x:v>
      </x:c>
      <x:c r="M1867" s="3" t="str">
        <x:v>UPI</x:v>
      </x:c>
      <x:c r="N1867" s="3" t="str">
        <x:f>TEXT(B1867,"yyyy-mm")</x:f>
        <x:v>2025-05</x:v>
      </x:c>
      <x:c r="O1867" s="3" t="str">
        <x:f>IF(J1867=0,"No discount",IF(J1867&lt;=0.1,"1-10%",IF(J1867&lt;=0.15,"11-15%",IF(J1867&lt;=0.2,"16-20%","21%+"))))</x:f>
        <x:v>No discount</x:v>
      </x:c>
      <x:c r="P1867" s="9" t="n">
        <x:f>IF(K1867=0,0,L1867/K1867)</x:f>
        <x:v>0.4456667029713754</x:v>
      </x:c>
      <x:c r="Q1867" s="3" t="str">
        <x:f>IF(L1867&lt;0,"Yes","No")</x:f>
        <x:v>No</x:v>
      </x:c>
    </x:row>
    <x:row r="1868" ht="21" customHeight="1">
      <x:c r="A1868" s="3" t="str">
        <x:v>ORD-100516</x:v>
      </x:c>
      <x:c r="B1868" s="5" t="n">
        <x:v>45803</x:v>
      </x:c>
      <x:c r="C1868" s="3" t="str">
        <x:v>CUST-00479</x:v>
      </x:c>
      <x:c r="D1868" s="3" t="str">
        <x:v>South</x:v>
      </x:c>
      <x:c r="E1868" s="3" t="str">
        <x:v>Sports</x:v>
      </x:c>
      <x:c r="F1868" s="3" t="str">
        <x:v>Outdoor</x:v>
      </x:c>
      <x:c r="G1868" s="3" t="str">
        <x:v>TrailHike Backpack 60L</x:v>
      </x:c>
      <x:c r="H1868" s="3" t="n">
        <x:v>1</x:v>
      </x:c>
      <x:c r="I1868" s="7" t="n">
        <x:v>3504.38</x:v>
      </x:c>
      <x:c r="J1868" s="9" t="n">
        <x:v>0</x:v>
      </x:c>
      <x:c r="K1868" s="7" t="n">
        <x:v>3504.38</x:v>
      </x:c>
      <x:c r="L1868" s="7" t="n">
        <x:v>1379.76</x:v>
      </x:c>
      <x:c r="M1868" s="3" t="str">
        <x:v>Net Banking</x:v>
      </x:c>
      <x:c r="N1868" s="3" t="str">
        <x:f>TEXT(B1868,"yyyy-mm")</x:f>
        <x:v>2025-05</x:v>
      </x:c>
      <x:c r="O1868" s="3" t="str">
        <x:f>IF(J1868=0,"No discount",IF(J1868&lt;=0.1,"1-10%",IF(J1868&lt;=0.15,"11-15%",IF(J1868&lt;=0.2,"16-20%","21%+"))))</x:f>
        <x:v>No discount</x:v>
      </x:c>
      <x:c r="P1868" s="9" t="n">
        <x:f>IF(K1868=0,0,L1868/K1868)</x:f>
        <x:v>0.3937244248626005</x:v>
      </x:c>
      <x:c r="Q1868" s="3" t="str">
        <x:f>IF(L1868&lt;0,"Yes","No")</x:f>
        <x:v>No</x:v>
      </x:c>
    </x:row>
    <x:row r="1869" ht="21" customHeight="1">
      <x:c r="A1869" s="3" t="str">
        <x:v>ORD-100998</x:v>
      </x:c>
      <x:c r="B1869" s="5" t="n">
        <x:v>45803</x:v>
      </x:c>
      <x:c r="C1869" s="3" t="str">
        <x:v>CUST-00267</x:v>
      </x:c>
      <x:c r="D1869" s="3" t="str">
        <x:v>South</x:v>
      </x:c>
      <x:c r="E1869" s="3" t="str">
        <x:v>Beauty</x:v>
      </x:c>
      <x:c r="F1869" s="3" t="str">
        <x:v>Makeup</x:v>
      </x:c>
      <x:c r="G1869" s="3" t="str">
        <x:v>HD Foundation Kit</x:v>
      </x:c>
      <x:c r="H1869" s="3" t="n">
        <x:v>1</x:v>
      </x:c>
      <x:c r="I1869" s="7" t="n">
        <x:v>1551.06</x:v>
      </x:c>
      <x:c r="J1869" s="9" t="n">
        <x:v>0.05</x:v>
      </x:c>
      <x:c r="K1869" s="7" t="n">
        <x:v>1473.51</x:v>
      </x:c>
      <x:c r="L1869" s="7" t="n">
        <x:v>688.33</x:v>
      </x:c>
      <x:c r="M1869" s="3" t="str">
        <x:v>UPI</x:v>
      </x:c>
      <x:c r="N1869" s="3" t="str">
        <x:f>TEXT(B1869,"yyyy-mm")</x:f>
        <x:v>2025-05</x:v>
      </x:c>
      <x:c r="O1869" s="3" t="str">
        <x:f>IF(J1869=0,"No discount",IF(J1869&lt;=0.1,"1-10%",IF(J1869&lt;=0.15,"11-15%",IF(J1869&lt;=0.2,"16-20%","21%+"))))</x:f>
        <x:v>1-10%</x:v>
      </x:c>
      <x:c r="P1869" s="9" t="n">
        <x:f>IF(K1869=0,0,L1869/K1869)</x:f>
        <x:v>0.467136293611852</x:v>
      </x:c>
      <x:c r="Q1869" s="3" t="str">
        <x:f>IF(L1869&lt;0,"Yes","No")</x:f>
        <x:v>No</x:v>
      </x:c>
    </x:row>
    <x:row r="1870" ht="21" customHeight="1">
      <x:c r="A1870" s="3" t="str">
        <x:v>ORD-101241</x:v>
      </x:c>
      <x:c r="B1870" s="5" t="n">
        <x:v>45803</x:v>
      </x:c>
      <x:c r="C1870" s="3" t="str">
        <x:v>CUST-00175</x:v>
      </x:c>
      <x:c r="D1870" s="3" t="str">
        <x:v>West</x:v>
      </x:c>
      <x:c r="E1870" s="3" t="str">
        <x:v>Electronics</x:v>
      </x:c>
      <x:c r="F1870" s="3" t="str">
        <x:v>Laptop</x:v>
      </x:c>
      <x:c r="G1870" s="3" t="str">
        <x:v>AirBook Slim</x:v>
      </x:c>
      <x:c r="H1870" s="3" t="n">
        <x:v>1</x:v>
      </x:c>
      <x:c r="I1870" s="7" t="n">
        <x:v>78617.74</x:v>
      </x:c>
      <x:c r="J1870" s="9" t="n">
        <x:v>0</x:v>
      </x:c>
      <x:c r="K1870" s="7" t="n">
        <x:v>78617.74</x:v>
      </x:c>
      <x:c r="L1870" s="7" t="n">
        <x:v>15296.17</x:v>
      </x:c>
      <x:c r="M1870" s="3" t="str">
        <x:v>UPI</x:v>
      </x:c>
      <x:c r="N1870" s="3" t="str">
        <x:f>TEXT(B1870,"yyyy-mm")</x:f>
        <x:v>2025-05</x:v>
      </x:c>
      <x:c r="O1870" s="3" t="str">
        <x:f>IF(J1870=0,"No discount",IF(J1870&lt;=0.1,"1-10%",IF(J1870&lt;=0.15,"11-15%",IF(J1870&lt;=0.2,"16-20%","21%+"))))</x:f>
        <x:v>No discount</x:v>
      </x:c>
      <x:c r="P1870" s="9" t="n">
        <x:f>IF(K1870=0,0,L1870/K1870)</x:f>
        <x:v>0.1945638478033075</x:v>
      </x:c>
      <x:c r="Q1870" s="3" t="str">
        <x:f>IF(L1870&lt;0,"Yes","No")</x:f>
        <x:v>No</x:v>
      </x:c>
    </x:row>
    <x:row r="1871" ht="21" customHeight="1">
      <x:c r="A1871" s="3" t="str">
        <x:v>ORD-101119</x:v>
      </x:c>
      <x:c r="B1871" s="5" t="n">
        <x:v>45804</x:v>
      </x:c>
      <x:c r="C1871" s="3" t="str">
        <x:v>CUST-00059</x:v>
      </x:c>
      <x:c r="D1871" s="3" t="str">
        <x:v>West</x:v>
      </x:c>
      <x:c r="E1871" s="3" t="str">
        <x:v>Beauty</x:v>
      </x:c>
      <x:c r="F1871" s="3" t="str">
        <x:v>Makeup</x:v>
      </x:c>
      <x:c r="G1871" s="3" t="str">
        <x:v>Matte Lipstick Set</x:v>
      </x:c>
      <x:c r="H1871" s="3" t="n">
        <x:v>1</x:v>
      </x:c>
      <x:c r="I1871" s="7" t="n">
        <x:v>973.59</x:v>
      </x:c>
      <x:c r="J1871" s="9" t="n">
        <x:v>0.25</x:v>
      </x:c>
      <x:c r="K1871" s="7" t="n">
        <x:v>730.19</x:v>
      </x:c>
      <x:c r="L1871" s="7" t="n">
        <x:v>162.98</x:v>
      </x:c>
      <x:c r="M1871" s="3" t="str">
        <x:v>Debit Card</x:v>
      </x:c>
      <x:c r="N1871" s="3" t="str">
        <x:f>TEXT(B1871,"yyyy-mm")</x:f>
        <x:v>2025-05</x:v>
      </x:c>
      <x:c r="O1871" s="3" t="str">
        <x:f>IF(J1871=0,"No discount",IF(J1871&lt;=0.1,"1-10%",IF(J1871&lt;=0.15,"11-15%",IF(J1871&lt;=0.2,"16-20%","21%+"))))</x:f>
        <x:v>21%+</x:v>
      </x:c>
      <x:c r="P1871" s="9" t="n">
        <x:f>IF(K1871=0,0,L1871/K1871)</x:f>
        <x:v>0.2232021802544543</x:v>
      </x:c>
      <x:c r="Q1871" s="3" t="str">
        <x:f>IF(L1871&lt;0,"Yes","No")</x:f>
        <x:v>No</x:v>
      </x:c>
    </x:row>
    <x:row r="1872" ht="21" customHeight="1">
      <x:c r="A1872" s="3" t="str">
        <x:v>ORD-101615</x:v>
      </x:c>
      <x:c r="B1872" s="5" t="n">
        <x:v>45804</x:v>
      </x:c>
      <x:c r="C1872" s="3" t="str">
        <x:v>CUST-00174</x:v>
      </x:c>
      <x:c r="D1872" s="3" t="str">
        <x:v>North</x:v>
      </x:c>
      <x:c r="E1872" s="3" t="str">
        <x:v>Home &amp; Kitchen</x:v>
      </x:c>
      <x:c r="F1872" s="3" t="str">
        <x:v>Furniture</x:v>
      </x:c>
      <x:c r="G1872" s="3" t="str">
        <x:v>Oakwood Study Desk</x:v>
      </x:c>
      <x:c r="H1872" s="3" t="n">
        <x:v>1</x:v>
      </x:c>
      <x:c r="I1872" s="7" t="n">
        <x:v>13471.24</x:v>
      </x:c>
      <x:c r="J1872" s="9" t="n">
        <x:v>0.05</x:v>
      </x:c>
      <x:c r="K1872" s="7" t="n">
        <x:v>12797.68</x:v>
      </x:c>
      <x:c r="L1872" s="7" t="n">
        <x:v>3896.56</x:v>
      </x:c>
      <x:c r="M1872" s="3" t="str">
        <x:v>Debit Card</x:v>
      </x:c>
      <x:c r="N1872" s="3" t="str">
        <x:f>TEXT(B1872,"yyyy-mm")</x:f>
        <x:v>2025-05</x:v>
      </x:c>
      <x:c r="O1872" s="3" t="str">
        <x:f>IF(J1872=0,"No discount",IF(J1872&lt;=0.1,"1-10%",IF(J1872&lt;=0.15,"11-15%",IF(J1872&lt;=0.2,"16-20%","21%+"))))</x:f>
        <x:v>1-10%</x:v>
      </x:c>
      <x:c r="P1872" s="9" t="n">
        <x:f>IF(K1872=0,0,L1872/K1872)</x:f>
        <x:v>0.304473935900882</x:v>
      </x:c>
      <x:c r="Q1872" s="3" t="str">
        <x:f>IF(L1872&lt;0,"Yes","No")</x:f>
        <x:v>No</x:v>
      </x:c>
    </x:row>
    <x:row r="1873" ht="21" customHeight="1">
      <x:c r="A1873" s="3" t="str">
        <x:v>ORD-100381</x:v>
      </x:c>
      <x:c r="B1873" s="5" t="n">
        <x:v>45805</x:v>
      </x:c>
      <x:c r="C1873" s="3" t="str">
        <x:v>CUST-00134</x:v>
      </x:c>
      <x:c r="D1873" s="3" t="str">
        <x:v>South</x:v>
      </x:c>
      <x:c r="E1873" s="3" t="str">
        <x:v>Home &amp; Kitchen</x:v>
      </x:c>
      <x:c r="F1873" s="3" t="str">
        <x:v>Decor</x:v>
      </x:c>
      <x:c r="G1873" s="3" t="str">
        <x:v>Ceramic Vase Set</x:v>
      </x:c>
      <x:c r="H1873" s="3" t="n">
        <x:v>1</x:v>
      </x:c>
      <x:c r="I1873" s="7" t="n">
        <x:v>1509.71</x:v>
      </x:c>
      <x:c r="J1873" s="9" t="n">
        <x:v>0</x:v>
      </x:c>
      <x:c r="K1873" s="7" t="n">
        <x:v>1509.71</x:v>
      </x:c>
      <x:c r="L1873" s="7" t="n">
        <x:v>443.77</x:v>
      </x:c>
      <x:c r="M1873" s="3" t="str">
        <x:v>UPI</x:v>
      </x:c>
      <x:c r="N1873" s="3" t="str">
        <x:f>TEXT(B1873,"yyyy-mm")</x:f>
        <x:v>2025-05</x:v>
      </x:c>
      <x:c r="O1873" s="3" t="str">
        <x:f>IF(J1873=0,"No discount",IF(J1873&lt;=0.1,"1-10%",IF(J1873&lt;=0.15,"11-15%",IF(J1873&lt;=0.2,"16-20%","21%+"))))</x:f>
        <x:v>No discount</x:v>
      </x:c>
      <x:c r="P1873" s="9" t="n">
        <x:f>IF(K1873=0,0,L1873/K1873)</x:f>
        <x:v>0.293943870014771</x:v>
      </x:c>
      <x:c r="Q1873" s="3" t="str">
        <x:f>IF(L1873&lt;0,"Yes","No")</x:f>
        <x:v>No</x:v>
      </x:c>
    </x:row>
    <x:row r="1874" ht="21" customHeight="1">
      <x:c r="A1874" s="3" t="str">
        <x:v>ORD-100434</x:v>
      </x:c>
      <x:c r="B1874" s="5" t="n">
        <x:v>45805</x:v>
      </x:c>
      <x:c r="C1874" s="3" t="str">
        <x:v>CUST-00560</x:v>
      </x:c>
      <x:c r="D1874" s="3" t="str">
        <x:v>West</x:v>
      </x:c>
      <x:c r="E1874" s="3" t="str">
        <x:v>Beauty</x:v>
      </x:c>
      <x:c r="F1874" s="3" t="str">
        <x:v>Makeup</x:v>
      </x:c>
      <x:c r="G1874" s="3" t="str">
        <x:v>HD Foundation Kit</x:v>
      </x:c>
      <x:c r="H1874" s="3" t="n">
        <x:v>1</x:v>
      </x:c>
      <x:c r="I1874" s="7" t="n">
        <x:v>1514.68</x:v>
      </x:c>
      <x:c r="J1874" s="9" t="n">
        <x:v>0</x:v>
      </x:c>
      <x:c r="K1874" s="7" t="n">
        <x:v>1514.68</x:v>
      </x:c>
      <x:c r="L1874" s="7" t="n">
        <x:v>842.52</x:v>
      </x:c>
      <x:c r="M1874" s="3" t="str">
        <x:v>UPI</x:v>
      </x:c>
      <x:c r="N1874" s="3" t="str">
        <x:f>TEXT(B1874,"yyyy-mm")</x:f>
        <x:v>2025-05</x:v>
      </x:c>
      <x:c r="O1874" s="3" t="str">
        <x:f>IF(J1874=0,"No discount",IF(J1874&lt;=0.1,"1-10%",IF(J1874&lt;=0.15,"11-15%",IF(J1874&lt;=0.2,"16-20%","21%+"))))</x:f>
        <x:v>No discount</x:v>
      </x:c>
      <x:c r="P1874" s="9" t="n">
        <x:f>IF(K1874=0,0,L1874/K1874)</x:f>
        <x:v>0.5562363007367892</x:v>
      </x:c>
      <x:c r="Q1874" s="3" t="str">
        <x:f>IF(L1874&lt;0,"Yes","No")</x:f>
        <x:v>No</x:v>
      </x:c>
    </x:row>
    <x:row r="1875" ht="21" customHeight="1">
      <x:c r="A1875" s="3" t="str">
        <x:v>ORD-100615</x:v>
      </x:c>
      <x:c r="B1875" s="5" t="n">
        <x:v>45805</x:v>
      </x:c>
      <x:c r="C1875" s="3" t="str">
        <x:v>CUST-00081</x:v>
      </x:c>
      <x:c r="D1875" s="3" t="str">
        <x:v>South</x:v>
      </x:c>
      <x:c r="E1875" s="3" t="str">
        <x:v>Sports</x:v>
      </x:c>
      <x:c r="F1875" s="3" t="str">
        <x:v>Outdoor</x:v>
      </x:c>
      <x:c r="G1875" s="3" t="str">
        <x:v>AllWeather Tent 4P</x:v>
      </x:c>
      <x:c r="H1875" s="3" t="n">
        <x:v>1</x:v>
      </x:c>
      <x:c r="I1875" s="7" t="n">
        <x:v>11679.58</x:v>
      </x:c>
      <x:c r="J1875" s="9" t="n">
        <x:v>0</x:v>
      </x:c>
      <x:c r="K1875" s="7" t="n">
        <x:v>11679.58</x:v>
      </x:c>
      <x:c r="L1875" s="7" t="n">
        <x:v>4574.06</x:v>
      </x:c>
      <x:c r="M1875" s="3" t="str">
        <x:v>UPI</x:v>
      </x:c>
      <x:c r="N1875" s="3" t="str">
        <x:f>TEXT(B1875,"yyyy-mm")</x:f>
        <x:v>2025-05</x:v>
      </x:c>
      <x:c r="O1875" s="3" t="str">
        <x:f>IF(J1875=0,"No discount",IF(J1875&lt;=0.1,"1-10%",IF(J1875&lt;=0.15,"11-15%",IF(J1875&lt;=0.2,"16-20%","21%+"))))</x:f>
        <x:v>No discount</x:v>
      </x:c>
      <x:c r="P1875" s="9" t="n">
        <x:f>IF(K1875=0,0,L1875/K1875)</x:f>
        <x:v>0.39162880857017124</x:v>
      </x:c>
      <x:c r="Q1875" s="3" t="str">
        <x:f>IF(L1875&lt;0,"Yes","No")</x:f>
        <x:v>No</x:v>
      </x:c>
    </x:row>
    <x:row r="1876" ht="21" customHeight="1">
      <x:c r="A1876" s="3" t="str">
        <x:v>ORD-100734</x:v>
      </x:c>
      <x:c r="B1876" s="5" t="n">
        <x:v>45805</x:v>
      </x:c>
      <x:c r="C1876" s="3" t="str">
        <x:v>CUST-00536</x:v>
      </x:c>
      <x:c r="D1876" s="3" t="str">
        <x:v>West</x:v>
      </x:c>
      <x:c r="E1876" s="3" t="str">
        <x:v>Sports</x:v>
      </x:c>
      <x:c r="F1876" s="3" t="str">
        <x:v>Fitness</x:v>
      </x:c>
      <x:c r="G1876" s="3" t="str">
        <x:v>Adjustable Dumbbell 24kg</x:v>
      </x:c>
      <x:c r="H1876" s="3" t="n">
        <x:v>1</x:v>
      </x:c>
      <x:c r="I1876" s="7" t="n">
        <x:v>9577.79</x:v>
      </x:c>
      <x:c r="J1876" s="9" t="n">
        <x:v>0.1</x:v>
      </x:c>
      <x:c r="K1876" s="7" t="n">
        <x:v>8620.01</x:v>
      </x:c>
      <x:c r="L1876" s="7" t="n">
        <x:v>2371.16</x:v>
      </x:c>
      <x:c r="M1876" s="3" t="str">
        <x:v>UPI</x:v>
      </x:c>
      <x:c r="N1876" s="3" t="str">
        <x:f>TEXT(B1876,"yyyy-mm")</x:f>
        <x:v>2025-05</x:v>
      </x:c>
      <x:c r="O1876" s="3" t="str">
        <x:f>IF(J1876=0,"No discount",IF(J1876&lt;=0.1,"1-10%",IF(J1876&lt;=0.15,"11-15%",IF(J1876&lt;=0.2,"16-20%","21%+"))))</x:f>
        <x:v>1-10%</x:v>
      </x:c>
      <x:c r="P1876" s="9" t="n">
        <x:f>IF(K1876=0,0,L1876/K1876)</x:f>
        <x:v>0.27507624701131433</x:v>
      </x:c>
      <x:c r="Q1876" s="3" t="str">
        <x:f>IF(L1876&lt;0,"Yes","No")</x:f>
        <x:v>No</x:v>
      </x:c>
    </x:row>
    <x:row r="1877" ht="21" customHeight="1">
      <x:c r="A1877" s="3" t="str">
        <x:v>ORD-101079</x:v>
      </x:c>
      <x:c r="B1877" s="5" t="n">
        <x:v>45805</x:v>
      </x:c>
      <x:c r="C1877" s="3" t="str">
        <x:v>CUST-00533</x:v>
      </x:c>
      <x:c r="D1877" s="3" t="str">
        <x:v>West</x:v>
      </x:c>
      <x:c r="E1877" s="3" t="str">
        <x:v>Beauty</x:v>
      </x:c>
      <x:c r="F1877" s="3" t="str">
        <x:v>Makeup</x:v>
      </x:c>
      <x:c r="G1877" s="3" t="str">
        <x:v>Matte Lipstick Set</x:v>
      </x:c>
      <x:c r="H1877" s="3" t="n">
        <x:v>3</x:v>
      </x:c>
      <x:c r="I1877" s="7" t="n">
        <x:v>1046.68</x:v>
      </x:c>
      <x:c r="J1877" s="9" t="n">
        <x:v>0.1</x:v>
      </x:c>
      <x:c r="K1877" s="7" t="n">
        <x:v>2826.04</x:v>
      </x:c>
      <x:c r="L1877" s="7" t="n">
        <x:v>1295.41</x:v>
      </x:c>
      <x:c r="M1877" s="3" t="str">
        <x:v>UPI</x:v>
      </x:c>
      <x:c r="N1877" s="3" t="str">
        <x:f>TEXT(B1877,"yyyy-mm")</x:f>
        <x:v>2025-05</x:v>
      </x:c>
      <x:c r="O1877" s="3" t="str">
        <x:f>IF(J1877=0,"No discount",IF(J1877&lt;=0.1,"1-10%",IF(J1877&lt;=0.15,"11-15%",IF(J1877&lt;=0.2,"16-20%","21%+"))))</x:f>
        <x:v>1-10%</x:v>
      </x:c>
      <x:c r="P1877" s="9" t="n">
        <x:f>IF(K1877=0,0,L1877/K1877)</x:f>
        <x:v>0.45838346237137484</x:v>
      </x:c>
      <x:c r="Q1877" s="3" t="str">
        <x:f>IF(L1877&lt;0,"Yes","No")</x:f>
        <x:v>No</x:v>
      </x:c>
    </x:row>
    <x:row r="1878" ht="21" customHeight="1">
      <x:c r="A1878" s="3" t="str">
        <x:v>ORD-101767</x:v>
      </x:c>
      <x:c r="B1878" s="5" t="n">
        <x:v>45805</x:v>
      </x:c>
      <x:c r="C1878" s="3" t="str">
        <x:v>CUST-00132</x:v>
      </x:c>
      <x:c r="D1878" s="3" t="str">
        <x:v>South</x:v>
      </x:c>
      <x:c r="E1878" s="3" t="str">
        <x:v>Beauty</x:v>
      </x:c>
      <x:c r="F1878" s="3" t="str">
        <x:v>Makeup</x:v>
      </x:c>
      <x:c r="G1878" s="3" t="str">
        <x:v>HD Foundation Kit</x:v>
      </x:c>
      <x:c r="H1878" s="3" t="n">
        <x:v>1</x:v>
      </x:c>
      <x:c r="I1878" s="7" t="n">
        <x:v>1563.33</x:v>
      </x:c>
      <x:c r="J1878" s="9" t="n">
        <x:v>0.2</x:v>
      </x:c>
      <x:c r="K1878" s="7" t="n">
        <x:v>1250.66</x:v>
      </x:c>
      <x:c r="L1878" s="7" t="n">
        <x:v>366.35</x:v>
      </x:c>
      <x:c r="M1878" s="3" t="str">
        <x:v>Credit Card</x:v>
      </x:c>
      <x:c r="N1878" s="3" t="str">
        <x:f>TEXT(B1878,"yyyy-mm")</x:f>
        <x:v>2025-05</x:v>
      </x:c>
      <x:c r="O1878" s="3" t="str">
        <x:f>IF(J1878=0,"No discount",IF(J1878&lt;=0.1,"1-10%",IF(J1878&lt;=0.15,"11-15%",IF(J1878&lt;=0.2,"16-20%","21%+"))))</x:f>
        <x:v>16-20%</x:v>
      </x:c>
      <x:c r="P1878" s="9" t="n">
        <x:f>IF(K1878=0,0,L1878/K1878)</x:f>
        <x:v>0.2929253354228967</x:v>
      </x:c>
      <x:c r="Q1878" s="3" t="str">
        <x:f>IF(L1878&lt;0,"Yes","No")</x:f>
        <x:v>No</x:v>
      </x:c>
    </x:row>
    <x:row r="1879" ht="21" customHeight="1">
      <x:c r="A1879" s="3" t="str">
        <x:v>ORD-100235</x:v>
      </x:c>
      <x:c r="B1879" s="5" t="n">
        <x:v>45806</x:v>
      </x:c>
      <x:c r="C1879" s="3" t="str">
        <x:v>CUST-00277</x:v>
      </x:c>
      <x:c r="D1879" s="3" t="str">
        <x:v>South</x:v>
      </x:c>
      <x:c r="E1879" s="3" t="str">
        <x:v>Fashion</x:v>
      </x:c>
      <x:c r="F1879" s="3" t="str">
        <x:v>Footwear</x:v>
      </x:c>
      <x:c r="G1879" s="3" t="str">
        <x:v>RunFlex Sneakers</x:v>
      </x:c>
      <x:c r="H1879" s="3" t="n">
        <x:v>5</x:v>
      </x:c>
      <x:c r="I1879" s="7" t="n">
        <x:v>2956.75</x:v>
      </x:c>
      <x:c r="J1879" s="9" t="n">
        <x:v>0.15</x:v>
      </x:c>
      <x:c r="K1879" s="7" t="n">
        <x:v>12566.19</x:v>
      </x:c>
      <x:c r="L1879" s="7" t="n">
        <x:v>3154.89</x:v>
      </x:c>
      <x:c r="M1879" s="3" t="str">
        <x:v>Net Banking</x:v>
      </x:c>
      <x:c r="N1879" s="3" t="str">
        <x:f>TEXT(B1879,"yyyy-mm")</x:f>
        <x:v>2025-05</x:v>
      </x:c>
      <x:c r="O1879" s="3" t="str">
        <x:f>IF(J1879=0,"No discount",IF(J1879&lt;=0.1,"1-10%",IF(J1879&lt;=0.15,"11-15%",IF(J1879&lt;=0.2,"16-20%","21%+"))))</x:f>
        <x:v>11-15%</x:v>
      </x:c>
      <x:c r="P1879" s="9" t="n">
        <x:f>IF(K1879=0,0,L1879/K1879)</x:f>
        <x:v>0.2510617776748561</x:v>
      </x:c>
      <x:c r="Q1879" s="3" t="str">
        <x:f>IF(L1879&lt;0,"Yes","No")</x:f>
        <x:v>No</x:v>
      </x:c>
    </x:row>
    <x:row r="1880" ht="21" customHeight="1">
      <x:c r="A1880" s="3" t="str">
        <x:v>ORD-101528</x:v>
      </x:c>
      <x:c r="B1880" s="5" t="n">
        <x:v>45806</x:v>
      </x:c>
      <x:c r="C1880" s="3" t="str">
        <x:v>CUST-00378</x:v>
      </x:c>
      <x:c r="D1880" s="3" t="str">
        <x:v>North</x:v>
      </x:c>
      <x:c r="E1880" s="3" t="str">
        <x:v>Fashion</x:v>
      </x:c>
      <x:c r="F1880" s="3" t="str">
        <x:v>Footwear</x:v>
      </x:c>
      <x:c r="G1880" s="3" t="str">
        <x:v>UrbanLoafers</x:v>
      </x:c>
      <x:c r="H1880" s="3" t="n">
        <x:v>1</x:v>
      </x:c>
      <x:c r="I1880" s="7" t="n">
        <x:v>3373.02</x:v>
      </x:c>
      <x:c r="J1880" s="9" t="n">
        <x:v>0.2</x:v>
      </x:c>
      <x:c r="K1880" s="7" t="n">
        <x:v>2698.42</x:v>
      </x:c>
      <x:c r="L1880" s="7" t="n">
        <x:v>590.25</x:v>
      </x:c>
      <x:c r="M1880" s="3" t="str">
        <x:v>UPI</x:v>
      </x:c>
      <x:c r="N1880" s="3" t="str">
        <x:f>TEXT(B1880,"yyyy-mm")</x:f>
        <x:v>2025-05</x:v>
      </x:c>
      <x:c r="O1880" s="3" t="str">
        <x:f>IF(J1880=0,"No discount",IF(J1880&lt;=0.1,"1-10%",IF(J1880&lt;=0.15,"11-15%",IF(J1880&lt;=0.2,"16-20%","21%+"))))</x:f>
        <x:v>16-20%</x:v>
      </x:c>
      <x:c r="P1880" s="9" t="n">
        <x:f>IF(K1880=0,0,L1880/K1880)</x:f>
        <x:v>0.21873911400004448</x:v>
      </x:c>
      <x:c r="Q1880" s="3" t="str">
        <x:f>IF(L1880&lt;0,"Yes","No")</x:f>
        <x:v>No</x:v>
      </x:c>
    </x:row>
    <x:row r="1881" ht="21" customHeight="1">
      <x:c r="A1881" s="3" t="str">
        <x:v>ORD-101824</x:v>
      </x:c>
      <x:c r="B1881" s="5" t="n">
        <x:v>45806</x:v>
      </x:c>
      <x:c r="C1881" s="3" t="str">
        <x:v>CUST-00344</x:v>
      </x:c>
      <x:c r="D1881" s="3" t="str">
        <x:v>North</x:v>
      </x:c>
      <x:c r="E1881" s="3" t="str">
        <x:v>Home &amp; Kitchen</x:v>
      </x:c>
      <x:c r="F1881" s="3" t="str">
        <x:v>Decor</x:v>
      </x:c>
      <x:c r="G1881" s="3" t="str">
        <x:v>Ceramic Vase Set</x:v>
      </x:c>
      <x:c r="H1881" s="3" t="n">
        <x:v>2</x:v>
      </x:c>
      <x:c r="I1881" s="7" t="n">
        <x:v>1484.65</x:v>
      </x:c>
      <x:c r="J1881" s="9" t="n">
        <x:v>0</x:v>
      </x:c>
      <x:c r="K1881" s="7" t="n">
        <x:v>2969.3</x:v>
      </x:c>
      <x:c r="L1881" s="7" t="n">
        <x:v>873.64</x:v>
      </x:c>
      <x:c r="M1881" s="3" t="str">
        <x:v>UPI</x:v>
      </x:c>
      <x:c r="N1881" s="3" t="str">
        <x:f>TEXT(B1881,"yyyy-mm")</x:f>
        <x:v>2025-05</x:v>
      </x:c>
      <x:c r="O1881" s="3" t="str">
        <x:f>IF(J1881=0,"No discount",IF(J1881&lt;=0.1,"1-10%",IF(J1881&lt;=0.15,"11-15%",IF(J1881&lt;=0.2,"16-20%","21%+"))))</x:f>
        <x:v>No discount</x:v>
      </x:c>
      <x:c r="P1881" s="9" t="n">
        <x:f>IF(K1881=0,0,L1881/K1881)</x:f>
        <x:v>0.2942242279325093</x:v>
      </x:c>
      <x:c r="Q1881" s="3" t="str">
        <x:f>IF(L1881&lt;0,"Yes","No")</x:f>
        <x:v>No</x:v>
      </x:c>
    </x:row>
    <x:row r="1882" ht="21" customHeight="1">
      <x:c r="A1882" s="3" t="str">
        <x:v>ORD-100804</x:v>
      </x:c>
      <x:c r="B1882" s="5" t="n">
        <x:v>45807</x:v>
      </x:c>
      <x:c r="C1882" s="3" t="str">
        <x:v>CUST-00538</x:v>
      </x:c>
      <x:c r="D1882" s="3" t="str">
        <x:v>South</x:v>
      </x:c>
      <x:c r="E1882" s="3" t="str">
        <x:v>Electronics</x:v>
      </x:c>
      <x:c r="F1882" s="3" t="str">
        <x:v>Laptop</x:v>
      </x:c>
      <x:c r="G1882" s="3" t="str">
        <x:v>ThinkPro 14</x:v>
      </x:c>
      <x:c r="H1882" s="3" t="n">
        <x:v>1</x:v>
      </x:c>
      <x:c r="I1882" s="7" t="n">
        <x:v>53771.99</x:v>
      </x:c>
      <x:c r="J1882" s="9" t="n">
        <x:v>0.15</x:v>
      </x:c>
      <x:c r="K1882" s="7" t="n">
        <x:v>45706.19</x:v>
      </x:c>
      <x:c r="L1882" s="7" t="n">
        <x:v>2104.33</x:v>
      </x:c>
      <x:c r="M1882" s="3" t="str">
        <x:v>Net Banking</x:v>
      </x:c>
      <x:c r="N1882" s="3" t="str">
        <x:f>TEXT(B1882,"yyyy-mm")</x:f>
        <x:v>2025-05</x:v>
      </x:c>
      <x:c r="O1882" s="3" t="str">
        <x:f>IF(J1882=0,"No discount",IF(J1882&lt;=0.1,"1-10%",IF(J1882&lt;=0.15,"11-15%",IF(J1882&lt;=0.2,"16-20%","21%+"))))</x:f>
        <x:v>11-15%</x:v>
      </x:c>
      <x:c r="P1882" s="9" t="n">
        <x:f>IF(K1882=0,0,L1882/K1882)</x:f>
        <x:v>0.04604037221216645</x:v>
      </x:c>
      <x:c r="Q1882" s="3" t="str">
        <x:f>IF(L1882&lt;0,"Yes","No")</x:f>
        <x:v>No</x:v>
      </x:c>
    </x:row>
    <x:row r="1883" ht="21" customHeight="1">
      <x:c r="A1883" s="3" t="str">
        <x:v>ORD-101368</x:v>
      </x:c>
      <x:c r="B1883" s="5" t="n">
        <x:v>45807</x:v>
      </x:c>
      <x:c r="C1883" s="3" t="str">
        <x:v>CUST-00574</x:v>
      </x:c>
      <x:c r="D1883" s="3" t="str">
        <x:v>North</x:v>
      </x:c>
      <x:c r="E1883" s="3" t="str">
        <x:v>Fashion</x:v>
      </x:c>
      <x:c r="F1883" s="3" t="str">
        <x:v>Footwear</x:v>
      </x:c>
      <x:c r="G1883" s="3" t="str">
        <x:v>UrbanLoafers</x:v>
      </x:c>
      <x:c r="H1883" s="3" t="n">
        <x:v>1</x:v>
      </x:c>
      <x:c r="I1883" s="7" t="n">
        <x:v>3484.78</x:v>
      </x:c>
      <x:c r="J1883" s="9" t="n">
        <x:v>0.3</x:v>
      </x:c>
      <x:c r="K1883" s="7" t="n">
        <x:v>2439.35</x:v>
      </x:c>
      <x:c r="L1883" s="7" t="n">
        <x:v>126.61</x:v>
      </x:c>
      <x:c r="M1883" s="3" t="str">
        <x:v>Debit Card</x:v>
      </x:c>
      <x:c r="N1883" s="3" t="str">
        <x:f>TEXT(B1883,"yyyy-mm")</x:f>
        <x:v>2025-05</x:v>
      </x:c>
      <x:c r="O1883" s="3" t="str">
        <x:f>IF(J1883=0,"No discount",IF(J1883&lt;=0.1,"1-10%",IF(J1883&lt;=0.15,"11-15%",IF(J1883&lt;=0.2,"16-20%","21%+"))))</x:f>
        <x:v>21%+</x:v>
      </x:c>
      <x:c r="P1883" s="9" t="n">
        <x:f>IF(K1883=0,0,L1883/K1883)</x:f>
        <x:v>0.05190317092668129</x:v>
      </x:c>
      <x:c r="Q1883" s="3" t="str">
        <x:f>IF(L1883&lt;0,"Yes","No")</x:f>
        <x:v>No</x:v>
      </x:c>
    </x:row>
    <x:row r="1884" ht="21" customHeight="1">
      <x:c r="A1884" s="3" t="str">
        <x:v>ORD-101378</x:v>
      </x:c>
      <x:c r="B1884" s="5" t="n">
        <x:v>45807</x:v>
      </x:c>
      <x:c r="C1884" s="3" t="str">
        <x:v>CUST-00311</x:v>
      </x:c>
      <x:c r="D1884" s="3" t="str">
        <x:v>South</x:v>
      </x:c>
      <x:c r="E1884" s="3" t="str">
        <x:v>Sports</x:v>
      </x:c>
      <x:c r="F1884" s="3" t="str">
        <x:v>Fitness</x:v>
      </x:c>
      <x:c r="G1884" s="3" t="str">
        <x:v>Adjustable Dumbbell 24kg</x:v>
      </x:c>
      <x:c r="H1884" s="3" t="n">
        <x:v>3</x:v>
      </x:c>
      <x:c r="I1884" s="7" t="n">
        <x:v>9934.43</x:v>
      </x:c>
      <x:c r="J1884" s="9" t="n">
        <x:v>0.3</x:v>
      </x:c>
      <x:c r="K1884" s="7" t="n">
        <x:v>20862.3</x:v>
      </x:c>
      <x:c r="L1884" s="7" t="n">
        <x:v>1139.64</x:v>
      </x:c>
      <x:c r="M1884" s="3" t="str">
        <x:v>Credit Card</x:v>
      </x:c>
      <x:c r="N1884" s="3" t="str">
        <x:f>TEXT(B1884,"yyyy-mm")</x:f>
        <x:v>2025-05</x:v>
      </x:c>
      <x:c r="O1884" s="3" t="str">
        <x:f>IF(J1884=0,"No discount",IF(J1884&lt;=0.1,"1-10%",IF(J1884&lt;=0.15,"11-15%",IF(J1884&lt;=0.2,"16-20%","21%+"))))</x:f>
        <x:v>21%+</x:v>
      </x:c>
      <x:c r="P1884" s="9" t="n">
        <x:f>IF(K1884=0,0,L1884/K1884)</x:f>
        <x:v>0.054626766943242124</x:v>
      </x:c>
      <x:c r="Q1884" s="3" t="str">
        <x:f>IF(L1884&lt;0,"Yes","No")</x:f>
        <x:v>No</x:v>
      </x:c>
    </x:row>
    <x:row r="1885" ht="21" customHeight="1">
      <x:c r="A1885" s="3" t="str">
        <x:v>ORD-100290</x:v>
      </x:c>
      <x:c r="B1885" s="5" t="n">
        <x:v>45808</x:v>
      </x:c>
      <x:c r="C1885" s="3" t="str">
        <x:v>CUST-00511</x:v>
      </x:c>
      <x:c r="D1885" s="3" t="str">
        <x:v>West</x:v>
      </x:c>
      <x:c r="E1885" s="3" t="str">
        <x:v>Home &amp; Kitchen</x:v>
      </x:c>
      <x:c r="F1885" s="3" t="str">
        <x:v>Furniture</x:v>
      </x:c>
      <x:c r="G1885" s="3" t="str">
        <x:v>ErgoComfort Chair</x:v>
      </x:c>
      <x:c r="H1885" s="3" t="n">
        <x:v>1</x:v>
      </x:c>
      <x:c r="I1885" s="7" t="n">
        <x:v>9153.91</x:v>
      </x:c>
      <x:c r="J1885" s="9" t="n">
        <x:v>0.1</x:v>
      </x:c>
      <x:c r="K1885" s="7" t="n">
        <x:v>8238.52</x:v>
      </x:c>
      <x:c r="L1885" s="7" t="n">
        <x:v>1522.95</x:v>
      </x:c>
      <x:c r="M1885" s="3" t="str">
        <x:v>Credit Card</x:v>
      </x:c>
      <x:c r="N1885" s="3" t="str">
        <x:f>TEXT(B1885,"yyyy-mm")</x:f>
        <x:v>2025-05</x:v>
      </x:c>
      <x:c r="O1885" s="3" t="str">
        <x:f>IF(J1885=0,"No discount",IF(J1885&lt;=0.1,"1-10%",IF(J1885&lt;=0.15,"11-15%",IF(J1885&lt;=0.2,"16-20%","21%+"))))</x:f>
        <x:v>1-10%</x:v>
      </x:c>
      <x:c r="P1885" s="9" t="n">
        <x:f>IF(K1885=0,0,L1885/K1885)</x:f>
        <x:v>0.1848572316386924</x:v>
      </x:c>
      <x:c r="Q1885" s="3" t="str">
        <x:f>IF(L1885&lt;0,"Yes","No")</x:f>
        <x:v>No</x:v>
      </x:c>
    </x:row>
    <x:row r="1886" ht="21" customHeight="1">
      <x:c r="A1886" s="3" t="str">
        <x:v>ORD-100373</x:v>
      </x:c>
      <x:c r="B1886" s="5" t="n">
        <x:v>45808</x:v>
      </x:c>
      <x:c r="C1886" s="3" t="str">
        <x:v>CUST-00162</x:v>
      </x:c>
      <x:c r="D1886" s="3" t="str">
        <x:v>East</x:v>
      </x:c>
      <x:c r="E1886" s="3" t="str">
        <x:v>Sports</x:v>
      </x:c>
      <x:c r="F1886" s="3" t="str">
        <x:v>Fitness</x:v>
      </x:c>
      <x:c r="G1886" s="3" t="str">
        <x:v>Adjustable Dumbbell 24kg</x:v>
      </x:c>
      <x:c r="H1886" s="3" t="n">
        <x:v>2</x:v>
      </x:c>
      <x:c r="I1886" s="7" t="n">
        <x:v>9926.08</x:v>
      </x:c>
      <x:c r="J1886" s="9" t="n">
        <x:v>0.15</x:v>
      </x:c>
      <x:c r="K1886" s="7" t="n">
        <x:v>16874.34</x:v>
      </x:c>
      <x:c r="L1886" s="7" t="n">
        <x:v>2966.98</x:v>
      </x:c>
      <x:c r="M1886" s="3" t="str">
        <x:v>Credit Card</x:v>
      </x:c>
      <x:c r="N1886" s="3" t="str">
        <x:f>TEXT(B1886,"yyyy-mm")</x:f>
        <x:v>2025-05</x:v>
      </x:c>
      <x:c r="O1886" s="3" t="str">
        <x:f>IF(J1886=0,"No discount",IF(J1886&lt;=0.1,"1-10%",IF(J1886&lt;=0.15,"11-15%",IF(J1886&lt;=0.2,"16-20%","21%+"))))</x:f>
        <x:v>11-15%</x:v>
      </x:c>
      <x:c r="P1886" s="9" t="n">
        <x:f>IF(K1886=0,0,L1886/K1886)</x:f>
        <x:v>0.17582791386211252</x:v>
      </x:c>
      <x:c r="Q1886" s="3" t="str">
        <x:f>IF(L1886&lt;0,"Yes","No")</x:f>
        <x:v>No</x:v>
      </x:c>
    </x:row>
    <x:row r="1887" ht="21" customHeight="1">
      <x:c r="A1887" s="3" t="str">
        <x:v>ORD-100380</x:v>
      </x:c>
      <x:c r="B1887" s="5" t="n">
        <x:v>45808</x:v>
      </x:c>
      <x:c r="C1887" s="3" t="str">
        <x:v>CUST-00443</x:v>
      </x:c>
      <x:c r="D1887" s="3" t="str">
        <x:v>West</x:v>
      </x:c>
      <x:c r="E1887" s="3" t="str">
        <x:v>Electronics</x:v>
      </x:c>
      <x:c r="F1887" s="3" t="str">
        <x:v>Laptop</x:v>
      </x:c>
      <x:c r="G1887" s="3" t="str">
        <x:v>ThinkPro 14</x:v>
      </x:c>
      <x:c r="H1887" s="3" t="n">
        <x:v>1</x:v>
      </x:c>
      <x:c r="I1887" s="7" t="n">
        <x:v>53091.62</x:v>
      </x:c>
      <x:c r="J1887" s="9" t="n">
        <x:v>0.1</x:v>
      </x:c>
      <x:c r="K1887" s="7" t="n">
        <x:v>47782.46</x:v>
      </x:c>
      <x:c r="L1887" s="7" t="n">
        <x:v>3769.6</x:v>
      </x:c>
      <x:c r="M1887" s="3" t="str">
        <x:v>Cash on Delivery</x:v>
      </x:c>
      <x:c r="N1887" s="3" t="str">
        <x:f>TEXT(B1887,"yyyy-mm")</x:f>
        <x:v>2025-05</x:v>
      </x:c>
      <x:c r="O1887" s="3" t="str">
        <x:f>IF(J1887=0,"No discount",IF(J1887&lt;=0.1,"1-10%",IF(J1887&lt;=0.15,"11-15%",IF(J1887&lt;=0.2,"16-20%","21%+"))))</x:f>
        <x:v>1-10%</x:v>
      </x:c>
      <x:c r="P1887" s="9" t="n">
        <x:f>IF(K1887=0,0,L1887/K1887)</x:f>
        <x:v>0.07889087334557493</x:v>
      </x:c>
      <x:c r="Q1887" s="3" t="str">
        <x:f>IF(L1887&lt;0,"Yes","No")</x:f>
        <x:v>No</x:v>
      </x:c>
    </x:row>
    <x:row r="1888" ht="21" customHeight="1">
      <x:c r="A1888" s="3" t="str">
        <x:v>ORD-100468</x:v>
      </x:c>
      <x:c r="B1888" s="5" t="n">
        <x:v>45808</x:v>
      </x:c>
      <x:c r="C1888" s="3" t="str">
        <x:v>CUST-00544</x:v>
      </x:c>
      <x:c r="D1888" s="3" t="str">
        <x:v>West</x:v>
      </x:c>
      <x:c r="E1888" s="3" t="str">
        <x:v>Beauty</x:v>
      </x:c>
      <x:c r="F1888" s="3" t="str">
        <x:v>Skincare</x:v>
      </x:c>
      <x:c r="G1888" s="3" t="str">
        <x:v>Vitamin C Serum</x:v>
      </x:c>
      <x:c r="H1888" s="3" t="n">
        <x:v>4</x:v>
      </x:c>
      <x:c r="I1888" s="7" t="n">
        <x:v>891.61</x:v>
      </x:c>
      <x:c r="J1888" s="9" t="n">
        <x:v>0.2</x:v>
      </x:c>
      <x:c r="K1888" s="7" t="n">
        <x:v>2853.15</x:v>
      </x:c>
      <x:c r="L1888" s="7" t="n">
        <x:v>808.98</x:v>
      </x:c>
      <x:c r="M1888" s="3" t="str">
        <x:v>Debit Card</x:v>
      </x:c>
      <x:c r="N1888" s="3" t="str">
        <x:f>TEXT(B1888,"yyyy-mm")</x:f>
        <x:v>2025-05</x:v>
      </x:c>
      <x:c r="O1888" s="3" t="str">
        <x:f>IF(J1888=0,"No discount",IF(J1888&lt;=0.1,"1-10%",IF(J1888&lt;=0.15,"11-15%",IF(J1888&lt;=0.2,"16-20%","21%+"))))</x:f>
        <x:v>16-20%</x:v>
      </x:c>
      <x:c r="P1888" s="9" t="n">
        <x:f>IF(K1888=0,0,L1888/K1888)</x:f>
        <x:v>0.28353924609641973</x:v>
      </x:c>
      <x:c r="Q1888" s="3" t="str">
        <x:f>IF(L1888&lt;0,"Yes","No")</x:f>
        <x:v>No</x:v>
      </x:c>
    </x:row>
    <x:row r="1889" ht="21" customHeight="1">
      <x:c r="A1889" s="3" t="str">
        <x:v>ORD-100970</x:v>
      </x:c>
      <x:c r="B1889" s="5" t="n">
        <x:v>45808</x:v>
      </x:c>
      <x:c r="C1889" s="3" t="str">
        <x:v>CUST-00524</x:v>
      </x:c>
      <x:c r="D1889" s="3" t="str">
        <x:v>South</x:v>
      </x:c>
      <x:c r="E1889" s="3" t="str">
        <x:v>Electronics</x:v>
      </x:c>
      <x:c r="F1889" s="3" t="str">
        <x:v>Mobile</x:v>
      </x:c>
      <x:c r="G1889" s="3" t="str">
        <x:v>iPhone Zeta</x:v>
      </x:c>
      <x:c r="H1889" s="3" t="n">
        <x:v>2</x:v>
      </x:c>
      <x:c r="I1889" s="7" t="n">
        <x:v>68932.38</x:v>
      </x:c>
      <x:c r="J1889" s="9" t="n">
        <x:v>0</x:v>
      </x:c>
      <x:c r="K1889" s="7" t="n">
        <x:v>137864.76</x:v>
      </x:c>
      <x:c r="L1889" s="7" t="n">
        <x:v>24292.49</x:v>
      </x:c>
      <x:c r="M1889" s="3" t="str">
        <x:v>Cash on Delivery</x:v>
      </x:c>
      <x:c r="N1889" s="3" t="str">
        <x:f>TEXT(B1889,"yyyy-mm")</x:f>
        <x:v>2025-05</x:v>
      </x:c>
      <x:c r="O1889" s="3" t="str">
        <x:f>IF(J1889=0,"No discount",IF(J1889&lt;=0.1,"1-10%",IF(J1889&lt;=0.15,"11-15%",IF(J1889&lt;=0.2,"16-20%","21%+"))))</x:f>
        <x:v>No discount</x:v>
      </x:c>
      <x:c r="P1889" s="9" t="n">
        <x:f>IF(K1889=0,0,L1889/K1889)</x:f>
        <x:v>0.17620521734488204</x:v>
      </x:c>
      <x:c r="Q1889" s="3" t="str">
        <x:f>IF(L1889&lt;0,"Yes","No")</x:f>
        <x:v>No</x:v>
      </x:c>
    </x:row>
    <x:row r="1890" ht="21" customHeight="1">
      <x:c r="A1890" s="3" t="str">
        <x:v>ORD-101373</x:v>
      </x:c>
      <x:c r="B1890" s="5" t="n">
        <x:v>45808</x:v>
      </x:c>
      <x:c r="C1890" s="3" t="str">
        <x:v>CUST-00320</x:v>
      </x:c>
      <x:c r="D1890" s="3" t="str">
        <x:v>West</x:v>
      </x:c>
      <x:c r="E1890" s="3" t="str">
        <x:v>Electronics</x:v>
      </x:c>
      <x:c r="F1890" s="3" t="str">
        <x:v>Laptop</x:v>
      </x:c>
      <x:c r="G1890" s="3" t="str">
        <x:v>AirBook Slim</x:v>
      </x:c>
      <x:c r="H1890" s="3" t="n">
        <x:v>2</x:v>
      </x:c>
      <x:c r="I1890" s="7" t="n">
        <x:v>78871.55</x:v>
      </x:c>
      <x:c r="J1890" s="9" t="n">
        <x:v>0</x:v>
      </x:c>
      <x:c r="K1890" s="7" t="n">
        <x:v>157743.1</x:v>
      </x:c>
      <x:c r="L1890" s="7" t="n">
        <x:v>33517.9</x:v>
      </x:c>
      <x:c r="M1890" s="3" t="str">
        <x:v>Credit Card</x:v>
      </x:c>
      <x:c r="N1890" s="3" t="str">
        <x:f>TEXT(B1890,"yyyy-mm")</x:f>
        <x:v>2025-05</x:v>
      </x:c>
      <x:c r="O1890" s="3" t="str">
        <x:f>IF(J1890=0,"No discount",IF(J1890&lt;=0.1,"1-10%",IF(J1890&lt;=0.15,"11-15%",IF(J1890&lt;=0.2,"16-20%","21%+"))))</x:f>
        <x:v>No discount</x:v>
      </x:c>
      <x:c r="P1890" s="9" t="n">
        <x:f>IF(K1890=0,0,L1890/K1890)</x:f>
        <x:v>0.21248409597630577</x:v>
      </x:c>
      <x:c r="Q1890" s="3" t="str">
        <x:f>IF(L1890&lt;0,"Yes","No")</x:f>
        <x:v>No</x:v>
      </x:c>
    </x:row>
    <x:row r="1891" ht="21" customHeight="1">
      <x:c r="A1891" s="3" t="str">
        <x:v>ORD-100136</x:v>
      </x:c>
      <x:c r="B1891" s="5" t="n">
        <x:v>45809</x:v>
      </x:c>
      <x:c r="C1891" s="3" t="str">
        <x:v>CUST-00247</x:v>
      </x:c>
      <x:c r="D1891" s="3" t="str">
        <x:v>West</x:v>
      </x:c>
      <x:c r="E1891" s="3" t="str">
        <x:v>Home &amp; Kitchen</x:v>
      </x:c>
      <x:c r="F1891" s="3" t="str">
        <x:v>Appliances</x:v>
      </x:c>
      <x:c r="G1891" s="3" t="str">
        <x:v>ColdBrew Coffee Maker</x:v>
      </x:c>
      <x:c r="H1891" s="3" t="n">
        <x:v>1</x:v>
      </x:c>
      <x:c r="I1891" s="7" t="n">
        <x:v>6821.33</x:v>
      </x:c>
      <x:c r="J1891" s="9" t="n">
        <x:v>0</x:v>
      </x:c>
      <x:c r="K1891" s="7" t="n">
        <x:v>6821.33</x:v>
      </x:c>
      <x:c r="L1891" s="7" t="n">
        <x:v>2232.93</x:v>
      </x:c>
      <x:c r="M1891" s="3" t="str">
        <x:v>Credit Card</x:v>
      </x:c>
      <x:c r="N1891" s="3" t="str">
        <x:f>TEXT(B1891,"yyyy-mm")</x:f>
        <x:v>2025-06</x:v>
      </x:c>
      <x:c r="O1891" s="3" t="str">
        <x:f>IF(J1891=0,"No discount",IF(J1891&lt;=0.1,"1-10%",IF(J1891&lt;=0.15,"11-15%",IF(J1891&lt;=0.2,"16-20%","21%+"))))</x:f>
        <x:v>No discount</x:v>
      </x:c>
      <x:c r="P1891" s="9" t="n">
        <x:f>IF(K1891=0,0,L1891/K1891)</x:f>
        <x:v>0.32734525378481905</x:v>
      </x:c>
      <x:c r="Q1891" s="3" t="str">
        <x:f>IF(L1891&lt;0,"Yes","No")</x:f>
        <x:v>No</x:v>
      </x:c>
    </x:row>
    <x:row r="1892" ht="21" customHeight="1">
      <x:c r="A1892" s="3" t="str">
        <x:v>ORD-100199</x:v>
      </x:c>
      <x:c r="B1892" s="5" t="n">
        <x:v>45809</x:v>
      </x:c>
      <x:c r="C1892" s="3" t="str">
        <x:v>CUST-00419</x:v>
      </x:c>
      <x:c r="D1892" s="3" t="str">
        <x:v>North</x:v>
      </x:c>
      <x:c r="E1892" s="3" t="str">
        <x:v>Home &amp; Kitchen</x:v>
      </x:c>
      <x:c r="F1892" s="3" t="str">
        <x:v>Furniture</x:v>
      </x:c>
      <x:c r="G1892" s="3" t="str">
        <x:v>Oakwood Study Desk</x:v>
      </x:c>
      <x:c r="H1892" s="3" t="n">
        <x:v>1</x:v>
      </x:c>
      <x:c r="I1892" s="7" t="n">
        <x:v>12418.74</x:v>
      </x:c>
      <x:c r="J1892" s="9" t="n">
        <x:v>0.05</x:v>
      </x:c>
      <x:c r="K1892" s="7" t="n">
        <x:v>11797.8</x:v>
      </x:c>
      <x:c r="L1892" s="7" t="n">
        <x:v>3081.86</x:v>
      </x:c>
      <x:c r="M1892" s="3" t="str">
        <x:v>UPI</x:v>
      </x:c>
      <x:c r="N1892" s="3" t="str">
        <x:f>TEXT(B1892,"yyyy-mm")</x:f>
        <x:v>2025-06</x:v>
      </x:c>
      <x:c r="O1892" s="3" t="str">
        <x:f>IF(J1892=0,"No discount",IF(J1892&lt;=0.1,"1-10%",IF(J1892&lt;=0.15,"11-15%",IF(J1892&lt;=0.2,"16-20%","21%+"))))</x:f>
        <x:v>1-10%</x:v>
      </x:c>
      <x:c r="P1892" s="9" t="n">
        <x:f>IF(K1892=0,0,L1892/K1892)</x:f>
        <x:v>0.2612232789164082</x:v>
      </x:c>
      <x:c r="Q1892" s="3" t="str">
        <x:f>IF(L1892&lt;0,"Yes","No")</x:f>
        <x:v>No</x:v>
      </x:c>
    </x:row>
    <x:row r="1893" ht="21" customHeight="1">
      <x:c r="A1893" s="3" t="str">
        <x:v>ORD-101148</x:v>
      </x:c>
      <x:c r="B1893" s="5" t="n">
        <x:v>45809</x:v>
      </x:c>
      <x:c r="C1893" s="3" t="str">
        <x:v>CUST-00401</x:v>
      </x:c>
      <x:c r="D1893" s="3" t="str">
        <x:v>South</x:v>
      </x:c>
      <x:c r="E1893" s="3" t="str">
        <x:v>Home &amp; Kitchen</x:v>
      </x:c>
      <x:c r="F1893" s="3" t="str">
        <x:v>Furniture</x:v>
      </x:c>
      <x:c r="G1893" s="3" t="str">
        <x:v>Oakwood Study Desk</x:v>
      </x:c>
      <x:c r="H1893" s="3" t="n">
        <x:v>1</x:v>
      </x:c>
      <x:c r="I1893" s="7" t="n">
        <x:v>13000.4</x:v>
      </x:c>
      <x:c r="J1893" s="9" t="n">
        <x:v>0.2</x:v>
      </x:c>
      <x:c r="K1893" s="7" t="n">
        <x:v>10400.32</x:v>
      </x:c>
      <x:c r="L1893" s="7" t="n">
        <x:v>799.63</x:v>
      </x:c>
      <x:c r="M1893" s="3" t="str">
        <x:v>Credit Card</x:v>
      </x:c>
      <x:c r="N1893" s="3" t="str">
        <x:f>TEXT(B1893,"yyyy-mm")</x:f>
        <x:v>2025-06</x:v>
      </x:c>
      <x:c r="O1893" s="3" t="str">
        <x:f>IF(J1893=0,"No discount",IF(J1893&lt;=0.1,"1-10%",IF(J1893&lt;=0.15,"11-15%",IF(J1893&lt;=0.2,"16-20%","21%+"))))</x:f>
        <x:v>16-20%</x:v>
      </x:c>
      <x:c r="P1893" s="9" t="n">
        <x:f>IF(K1893=0,0,L1893/K1893)</x:f>
        <x:v>0.0768851343035599</x:v>
      </x:c>
      <x:c r="Q1893" s="3" t="str">
        <x:f>IF(L1893&lt;0,"Yes","No")</x:f>
        <x:v>No</x:v>
      </x:c>
    </x:row>
    <x:row r="1894" ht="21" customHeight="1">
      <x:c r="A1894" s="3" t="str">
        <x:v>ORD-101502</x:v>
      </x:c>
      <x:c r="B1894" s="5" t="n">
        <x:v>45809</x:v>
      </x:c>
      <x:c r="C1894" s="3" t="str">
        <x:v>CUST-00117</x:v>
      </x:c>
      <x:c r="D1894" s="3" t="str">
        <x:v>South</x:v>
      </x:c>
      <x:c r="E1894" s="3" t="str">
        <x:v>Fashion</x:v>
      </x:c>
      <x:c r="F1894" s="3" t="str">
        <x:v>Footwear</x:v>
      </x:c>
      <x:c r="G1894" s="3" t="str">
        <x:v>UrbanLoafers</x:v>
      </x:c>
      <x:c r="H1894" s="3" t="n">
        <x:v>2</x:v>
      </x:c>
      <x:c r="I1894" s="7" t="n">
        <x:v>3395.38</x:v>
      </x:c>
      <x:c r="J1894" s="9" t="n">
        <x:v>0.2</x:v>
      </x:c>
      <x:c r="K1894" s="7" t="n">
        <x:v>5432.61</x:v>
      </x:c>
      <x:c r="L1894" s="7" t="n">
        <x:v>1168.91</x:v>
      </x:c>
      <x:c r="M1894" s="3" t="str">
        <x:v>Debit Card</x:v>
      </x:c>
      <x:c r="N1894" s="3" t="str">
        <x:f>TEXT(B1894,"yyyy-mm")</x:f>
        <x:v>2025-06</x:v>
      </x:c>
      <x:c r="O1894" s="3" t="str">
        <x:f>IF(J1894=0,"No discount",IF(J1894&lt;=0.1,"1-10%",IF(J1894&lt;=0.15,"11-15%",IF(J1894&lt;=0.2,"16-20%","21%+"))))</x:f>
        <x:v>16-20%</x:v>
      </x:c>
      <x:c r="P1894" s="9" t="n">
        <x:f>IF(K1894=0,0,L1894/K1894)</x:f>
        <x:v>0.21516545454210778</x:v>
      </x:c>
      <x:c r="Q1894" s="3" t="str">
        <x:f>IF(L1894&lt;0,"Yes","No")</x:f>
        <x:v>No</x:v>
      </x:c>
    </x:row>
    <x:row r="1895" ht="21" customHeight="1">
      <x:c r="A1895" s="3" t="str">
        <x:v>ORD-101127</x:v>
      </x:c>
      <x:c r="B1895" s="5" t="n">
        <x:v>45810</x:v>
      </x:c>
      <x:c r="C1895" s="3" t="str">
        <x:v>CUST-00104</x:v>
      </x:c>
      <x:c r="D1895" s="3" t="str">
        <x:v>South</x:v>
      </x:c>
      <x:c r="E1895" s="3" t="str">
        <x:v>Home &amp; Kitchen</x:v>
      </x:c>
      <x:c r="F1895" s="3" t="str">
        <x:v>Appliances</x:v>
      </x:c>
      <x:c r="G1895" s="3" t="str">
        <x:v>ColdBrew Coffee Maker</x:v>
      </x:c>
      <x:c r="H1895" s="3" t="n">
        <x:v>1</x:v>
      </x:c>
      <x:c r="I1895" s="7" t="n">
        <x:v>6724.63</x:v>
      </x:c>
      <x:c r="J1895" s="9" t="n">
        <x:v>0.4</x:v>
      </x:c>
      <x:c r="K1895" s="7" t="n">
        <x:v>4034.78</x:v>
      </x:c>
      <x:c r="L1895" s="7" t="n">
        <x:v>-664.04</x:v>
      </x:c>
      <x:c r="M1895" s="3" t="str">
        <x:v>UPI</x:v>
      </x:c>
      <x:c r="N1895" s="3" t="str">
        <x:f>TEXT(B1895,"yyyy-mm")</x:f>
        <x:v>2025-06</x:v>
      </x:c>
      <x:c r="O1895" s="3" t="str">
        <x:f>IF(J1895=0,"No discount",IF(J1895&lt;=0.1,"1-10%",IF(J1895&lt;=0.15,"11-15%",IF(J1895&lt;=0.2,"16-20%","21%+"))))</x:f>
        <x:v>21%+</x:v>
      </x:c>
      <x:c r="P1895" s="9" t="n">
        <x:f>IF(K1895=0,0,L1895/K1895)</x:f>
        <x:v>-0.1645789857191718</x:v>
      </x:c>
      <x:c r="Q1895" s="3" t="str">
        <x:f>IF(L1895&lt;0,"Yes","No")</x:f>
        <x:v>Yes</x:v>
      </x:c>
    </x:row>
    <x:row r="1896" ht="21" customHeight="1">
      <x:c r="A1896" s="3" t="str">
        <x:v>ORD-101129</x:v>
      </x:c>
      <x:c r="B1896" s="5" t="n">
        <x:v>45810</x:v>
      </x:c>
      <x:c r="C1896" s="3" t="str">
        <x:v>CUST-00158</x:v>
      </x:c>
      <x:c r="D1896" s="3" t="str">
        <x:v>South</x:v>
      </x:c>
      <x:c r="E1896" s="3" t="str">
        <x:v>Home &amp; Kitchen</x:v>
      </x:c>
      <x:c r="F1896" s="3" t="str">
        <x:v>Decor</x:v>
      </x:c>
      <x:c r="G1896" s="3" t="str">
        <x:v>Ceramic Vase Set</x:v>
      </x:c>
      <x:c r="H1896" s="3" t="n">
        <x:v>3</x:v>
      </x:c>
      <x:c r="I1896" s="7" t="n">
        <x:v>1556.49</x:v>
      </x:c>
      <x:c r="J1896" s="9" t="n">
        <x:v>0.1</x:v>
      </x:c>
      <x:c r="K1896" s="7" t="n">
        <x:v>4202.52</x:v>
      </x:c>
      <x:c r="L1896" s="7" t="n">
        <x:v>990.45</x:v>
      </x:c>
      <x:c r="M1896" s="3" t="str">
        <x:v>Credit Card</x:v>
      </x:c>
      <x:c r="N1896" s="3" t="str">
        <x:f>TEXT(B1896,"yyyy-mm")</x:f>
        <x:v>2025-06</x:v>
      </x:c>
      <x:c r="O1896" s="3" t="str">
        <x:f>IF(J1896=0,"No discount",IF(J1896&lt;=0.1,"1-10%",IF(J1896&lt;=0.15,"11-15%",IF(J1896&lt;=0.2,"16-20%","21%+"))))</x:f>
        <x:v>1-10%</x:v>
      </x:c>
      <x:c r="P1896" s="9" t="n">
        <x:f>IF(K1896=0,0,L1896/K1896)</x:f>
        <x:v>0.2356800205590931</x:v>
      </x:c>
      <x:c r="Q1896" s="3" t="str">
        <x:f>IF(L1896&lt;0,"Yes","No")</x:f>
        <x:v>No</x:v>
      </x:c>
    </x:row>
    <x:row r="1897" ht="21" customHeight="1">
      <x:c r="A1897" s="3" t="str">
        <x:v>ORD-100009</x:v>
      </x:c>
      <x:c r="B1897" s="5" t="n">
        <x:v>45811</x:v>
      </x:c>
      <x:c r="C1897" s="3" t="str">
        <x:v>CUST-00157</x:v>
      </x:c>
      <x:c r="D1897" s="3" t="str">
        <x:v>East</x:v>
      </x:c>
      <x:c r="E1897" s="3" t="str">
        <x:v>Electronics</x:v>
      </x:c>
      <x:c r="F1897" s="3" t="str">
        <x:v>Audio</x:v>
      </x:c>
      <x:c r="G1897" s="3" t="str">
        <x:v>BassBoom Speaker</x:v>
      </x:c>
      <x:c r="H1897" s="3" t="n">
        <x:v>5</x:v>
      </x:c>
      <x:c r="I1897" s="7" t="n">
        <x:v>9005.91</x:v>
      </x:c>
      <x:c r="J1897" s="9" t="n">
        <x:v>0.15</x:v>
      </x:c>
      <x:c r="K1897" s="7" t="n">
        <x:v>38275.12</x:v>
      </x:c>
      <x:c r="L1897" s="7" t="n">
        <x:v>-918.11</x:v>
      </x:c>
      <x:c r="M1897" s="3" t="str">
        <x:v>Debit Card</x:v>
      </x:c>
      <x:c r="N1897" s="3" t="str">
        <x:f>TEXT(B1897,"yyyy-mm")</x:f>
        <x:v>2025-06</x:v>
      </x:c>
      <x:c r="O1897" s="3" t="str">
        <x:f>IF(J1897=0,"No discount",IF(J1897&lt;=0.1,"1-10%",IF(J1897&lt;=0.15,"11-15%",IF(J1897&lt;=0.2,"16-20%","21%+"))))</x:f>
        <x:v>11-15%</x:v>
      </x:c>
      <x:c r="P1897" s="9" t="n">
        <x:f>IF(K1897=0,0,L1897/K1897)</x:f>
        <x:v>-0.023987122705297854</x:v>
      </x:c>
      <x:c r="Q1897" s="3" t="str">
        <x:f>IF(L1897&lt;0,"Yes","No")</x:f>
        <x:v>Yes</x:v>
      </x:c>
    </x:row>
    <x:row r="1898" ht="21" customHeight="1">
      <x:c r="A1898" s="3" t="str">
        <x:v>ORD-100267</x:v>
      </x:c>
      <x:c r="B1898" s="5" t="n">
        <x:v>45811</x:v>
      </x:c>
      <x:c r="C1898" s="3" t="str">
        <x:v>CUST-00175</x:v>
      </x:c>
      <x:c r="D1898" s="3" t="str">
        <x:v>West</x:v>
      </x:c>
      <x:c r="E1898" s="3" t="str">
        <x:v>Beauty</x:v>
      </x:c>
      <x:c r="F1898" s="3" t="str">
        <x:v>Skincare</x:v>
      </x:c>
      <x:c r="G1898" s="3" t="str">
        <x:v>HydraBoost Moisturizer</x:v>
      </x:c>
      <x:c r="H1898" s="3" t="n">
        <x:v>2</x:v>
      </x:c>
      <x:c r="I1898" s="7" t="n">
        <x:v>1203.15</x:v>
      </x:c>
      <x:c r="J1898" s="9" t="n">
        <x:v>0</x:v>
      </x:c>
      <x:c r="K1898" s="7" t="n">
        <x:v>2406.3</x:v>
      </x:c>
      <x:c r="L1898" s="7" t="n">
        <x:v>1378.31</x:v>
      </x:c>
      <x:c r="M1898" s="3" t="str">
        <x:v>Credit Card</x:v>
      </x:c>
      <x:c r="N1898" s="3" t="str">
        <x:f>TEXT(B1898,"yyyy-mm")</x:f>
        <x:v>2025-06</x:v>
      </x:c>
      <x:c r="O1898" s="3" t="str">
        <x:f>IF(J1898=0,"No discount",IF(J1898&lt;=0.1,"1-10%",IF(J1898&lt;=0.15,"11-15%",IF(J1898&lt;=0.2,"16-20%","21%+"))))</x:f>
        <x:v>No discount</x:v>
      </x:c>
      <x:c r="P1898" s="9" t="n">
        <x:f>IF(K1898=0,0,L1898/K1898)</x:f>
        <x:v>0.5727922536674562</x:v>
      </x:c>
      <x:c r="Q1898" s="3" t="str">
        <x:f>IF(L1898&lt;0,"Yes","No")</x:f>
        <x:v>No</x:v>
      </x:c>
    </x:row>
    <x:row r="1899" ht="21" customHeight="1">
      <x:c r="A1899" s="3" t="str">
        <x:v>ORD-100893</x:v>
      </x:c>
      <x:c r="B1899" s="5" t="n">
        <x:v>45811</x:v>
      </x:c>
      <x:c r="C1899" s="3" t="str">
        <x:v>CUST-00437</x:v>
      </x:c>
      <x:c r="D1899" s="3" t="str">
        <x:v>South</x:v>
      </x:c>
      <x:c r="E1899" s="3" t="str">
        <x:v>Sports</x:v>
      </x:c>
      <x:c r="F1899" s="3" t="str">
        <x:v>Outdoor</x:v>
      </x:c>
      <x:c r="G1899" s="3" t="str">
        <x:v>TrailHike Backpack 60L</x:v>
      </x:c>
      <x:c r="H1899" s="3" t="n">
        <x:v>1</x:v>
      </x:c>
      <x:c r="I1899" s="7" t="n">
        <x:v>3442.27</x:v>
      </x:c>
      <x:c r="J1899" s="9" t="n">
        <x:v>0.05</x:v>
      </x:c>
      <x:c r="K1899" s="7" t="n">
        <x:v>3270.16</x:v>
      </x:c>
      <x:c r="L1899" s="7" t="n">
        <x:v>1101.34</x:v>
      </x:c>
      <x:c r="M1899" s="3" t="str">
        <x:v>Cash on Delivery</x:v>
      </x:c>
      <x:c r="N1899" s="3" t="str">
        <x:f>TEXT(B1899,"yyyy-mm")</x:f>
        <x:v>2025-06</x:v>
      </x:c>
      <x:c r="O1899" s="3" t="str">
        <x:f>IF(J1899=0,"No discount",IF(J1899&lt;=0.1,"1-10%",IF(J1899&lt;=0.15,"11-15%",IF(J1899&lt;=0.2,"16-20%","21%+"))))</x:f>
        <x:v>1-10%</x:v>
      </x:c>
      <x:c r="P1899" s="9" t="n">
        <x:f>IF(K1899=0,0,L1899/K1899)</x:f>
        <x:v>0.3367847444773344</x:v>
      </x:c>
      <x:c r="Q1899" s="3" t="str">
        <x:f>IF(L1899&lt;0,"Yes","No")</x:f>
        <x:v>No</x:v>
      </x:c>
    </x:row>
    <x:row r="1900" ht="21" customHeight="1">
      <x:c r="A1900" s="3" t="str">
        <x:v>ORD-100992</x:v>
      </x:c>
      <x:c r="B1900" s="5" t="n">
        <x:v>45811</x:v>
      </x:c>
      <x:c r="C1900" s="3" t="str">
        <x:v>CUST-00549</x:v>
      </x:c>
      <x:c r="D1900" s="3" t="str">
        <x:v>East</x:v>
      </x:c>
      <x:c r="E1900" s="3" t="str">
        <x:v>Electronics</x:v>
      </x:c>
      <x:c r="F1900" s="3" t="str">
        <x:v>Audio</x:v>
      </x:c>
      <x:c r="G1900" s="3" t="str">
        <x:v>SoundPods Pro</x:v>
      </x:c>
      <x:c r="H1900" s="3" t="n">
        <x:v>1</x:v>
      </x:c>
      <x:c r="I1900" s="7" t="n">
        <x:v>5100.2</x:v>
      </x:c>
      <x:c r="J1900" s="9" t="n">
        <x:v>0.2</x:v>
      </x:c>
      <x:c r="K1900" s="7" t="n">
        <x:v>4080.16</x:v>
      </x:c>
      <x:c r="L1900" s="7" t="n">
        <x:v>-107.53</x:v>
      </x:c>
      <x:c r="M1900" s="3" t="str">
        <x:v>UPI</x:v>
      </x:c>
      <x:c r="N1900" s="3" t="str">
        <x:f>TEXT(B1900,"yyyy-mm")</x:f>
        <x:v>2025-06</x:v>
      </x:c>
      <x:c r="O1900" s="3" t="str">
        <x:f>IF(J1900=0,"No discount",IF(J1900&lt;=0.1,"1-10%",IF(J1900&lt;=0.15,"11-15%",IF(J1900&lt;=0.2,"16-20%","21%+"))))</x:f>
        <x:v>16-20%</x:v>
      </x:c>
      <x:c r="P1900" s="9" t="n">
        <x:f>IF(K1900=0,0,L1900/K1900)</x:f>
        <x:v>-0.02635435865260186</x:v>
      </x:c>
      <x:c r="Q1900" s="3" t="str">
        <x:f>IF(L1900&lt;0,"Yes","No")</x:f>
        <x:v>Yes</x:v>
      </x:c>
    </x:row>
    <x:row r="1901" ht="21" customHeight="1">
      <x:c r="A1901" s="3" t="str">
        <x:v>ORD-101314</x:v>
      </x:c>
      <x:c r="B1901" s="5" t="n">
        <x:v>45811</x:v>
      </x:c>
      <x:c r="C1901" s="3" t="str">
        <x:v>CUST-00012</x:v>
      </x:c>
      <x:c r="D1901" s="3" t="str">
        <x:v>North</x:v>
      </x:c>
      <x:c r="E1901" s="3" t="str">
        <x:v>Fashion</x:v>
      </x:c>
      <x:c r="F1901" s="3" t="str">
        <x:v>Men</x:v>
      </x:c>
      <x:c r="G1901" s="3" t="str">
        <x:v>Oxford Casual Shirt</x:v>
      </x:c>
      <x:c r="H1901" s="3" t="n">
        <x:v>4</x:v>
      </x:c>
      <x:c r="I1901" s="7" t="n">
        <x:v>1301.85</x:v>
      </x:c>
      <x:c r="J1901" s="9" t="n">
        <x:v>0.2</x:v>
      </x:c>
      <x:c r="K1901" s="7" t="n">
        <x:v>4165.92</x:v>
      </x:c>
      <x:c r="L1901" s="7" t="n">
        <x:v>870.66</x:v>
      </x:c>
      <x:c r="M1901" s="3" t="str">
        <x:v>Cash on Delivery</x:v>
      </x:c>
      <x:c r="N1901" s="3" t="str">
        <x:f>TEXT(B1901,"yyyy-mm")</x:f>
        <x:v>2025-06</x:v>
      </x:c>
      <x:c r="O1901" s="3" t="str">
        <x:f>IF(J1901=0,"No discount",IF(J1901&lt;=0.1,"1-10%",IF(J1901&lt;=0.15,"11-15%",IF(J1901&lt;=0.2,"16-20%","21%+"))))</x:f>
        <x:v>16-20%</x:v>
      </x:c>
      <x:c r="P1901" s="9" t="n">
        <x:f>IF(K1901=0,0,L1901/K1901)</x:f>
        <x:v>0.20899585205668855</x:v>
      </x:c>
      <x:c r="Q1901" s="3" t="str">
        <x:f>IF(L1901&lt;0,"Yes","No")</x:f>
        <x:v>No</x:v>
      </x:c>
    </x:row>
    <x:row r="1902" ht="21" customHeight="1">
      <x:c r="A1902" s="3" t="str">
        <x:v>ORD-101485</x:v>
      </x:c>
      <x:c r="B1902" s="5" t="n">
        <x:v>45811</x:v>
      </x:c>
      <x:c r="C1902" s="3" t="str">
        <x:v>CUST-00074</x:v>
      </x:c>
      <x:c r="D1902" s="3" t="str">
        <x:v>East</x:v>
      </x:c>
      <x:c r="E1902" s="3" t="str">
        <x:v>Sports</x:v>
      </x:c>
      <x:c r="F1902" s="3" t="str">
        <x:v>Outdoor</x:v>
      </x:c>
      <x:c r="G1902" s="3" t="str">
        <x:v>TrailHike Backpack 60L</x:v>
      </x:c>
      <x:c r="H1902" s="3" t="n">
        <x:v>1</x:v>
      </x:c>
      <x:c r="I1902" s="7" t="n">
        <x:v>3382.21</x:v>
      </x:c>
      <x:c r="J1902" s="9" t="n">
        <x:v>0</x:v>
      </x:c>
      <x:c r="K1902" s="7" t="n">
        <x:v>3382.21</x:v>
      </x:c>
      <x:c r="L1902" s="7" t="n">
        <x:v>1382.7</x:v>
      </x:c>
      <x:c r="M1902" s="3" t="str">
        <x:v>UPI</x:v>
      </x:c>
      <x:c r="N1902" s="3" t="str">
        <x:f>TEXT(B1902,"yyyy-mm")</x:f>
        <x:v>2025-06</x:v>
      </x:c>
      <x:c r="O1902" s="3" t="str">
        <x:f>IF(J1902=0,"No discount",IF(J1902&lt;=0.1,"1-10%",IF(J1902&lt;=0.15,"11-15%",IF(J1902&lt;=0.2,"16-20%","21%+"))))</x:f>
        <x:v>No discount</x:v>
      </x:c>
      <x:c r="P1902" s="9" t="n">
        <x:f>IF(K1902=0,0,L1902/K1902)</x:f>
        <x:v>0.40881553776968316</x:v>
      </x:c>
      <x:c r="Q1902" s="3" t="str">
        <x:f>IF(L1902&lt;0,"Yes","No")</x:f>
        <x:v>No</x:v>
      </x:c>
    </x:row>
    <x:row r="1903" ht="21" customHeight="1">
      <x:c r="A1903" s="3" t="str">
        <x:v>ORD-100979</x:v>
      </x:c>
      <x:c r="B1903" s="5" t="n">
        <x:v>45812</x:v>
      </x:c>
      <x:c r="C1903" s="3" t="str">
        <x:v>CUST-00258</x:v>
      </x:c>
      <x:c r="D1903" s="3" t="str">
        <x:v>South</x:v>
      </x:c>
      <x:c r="E1903" s="3" t="str">
        <x:v>Electronics</x:v>
      </x:c>
      <x:c r="F1903" s="3" t="str">
        <x:v>Audio</x:v>
      </x:c>
      <x:c r="G1903" s="3" t="str">
        <x:v>BassBoom Speaker</x:v>
      </x:c>
      <x:c r="H1903" s="3" t="n">
        <x:v>1</x:v>
      </x:c>
      <x:c r="I1903" s="7" t="n">
        <x:v>8994.08</x:v>
      </x:c>
      <x:c r="J1903" s="9" t="n">
        <x:v>0.2</x:v>
      </x:c>
      <x:c r="K1903" s="7" t="n">
        <x:v>7195.26</x:v>
      </x:c>
      <x:c r="L1903" s="7" t="n">
        <x:v>-243.72</x:v>
      </x:c>
      <x:c r="M1903" s="3" t="str">
        <x:v>UPI</x:v>
      </x:c>
      <x:c r="N1903" s="3" t="str">
        <x:f>TEXT(B1903,"yyyy-mm")</x:f>
        <x:v>2025-06</x:v>
      </x:c>
      <x:c r="O1903" s="3" t="str">
        <x:f>IF(J1903=0,"No discount",IF(J1903&lt;=0.1,"1-10%",IF(J1903&lt;=0.15,"11-15%",IF(J1903&lt;=0.2,"16-20%","21%+"))))</x:f>
        <x:v>16-20%</x:v>
      </x:c>
      <x:c r="P1903" s="9" t="n">
        <x:f>IF(K1903=0,0,L1903/K1903)</x:f>
        <x:v>-0.033872299263681925</x:v>
      </x:c>
      <x:c r="Q1903" s="3" t="str">
        <x:f>IF(L1903&lt;0,"Yes","No")</x:f>
        <x:v>Yes</x:v>
      </x:c>
    </x:row>
    <x:row r="1904" ht="21" customHeight="1">
      <x:c r="A1904" s="3" t="str">
        <x:v>ORD-101134</x:v>
      </x:c>
      <x:c r="B1904" s="5" t="n">
        <x:v>45813</x:v>
      </x:c>
      <x:c r="C1904" s="3" t="str">
        <x:v>CUST-00415</x:v>
      </x:c>
      <x:c r="D1904" s="3" t="str">
        <x:v>South</x:v>
      </x:c>
      <x:c r="E1904" s="3" t="str">
        <x:v>Beauty</x:v>
      </x:c>
      <x:c r="F1904" s="3" t="str">
        <x:v>Skincare</x:v>
      </x:c>
      <x:c r="G1904" s="3" t="str">
        <x:v>HydraBoost Moisturizer</x:v>
      </x:c>
      <x:c r="H1904" s="3" t="n">
        <x:v>3</x:v>
      </x:c>
      <x:c r="I1904" s="7" t="n">
        <x:v>1168.46</x:v>
      </x:c>
      <x:c r="J1904" s="9" t="n">
        <x:v>0.15</x:v>
      </x:c>
      <x:c r="K1904" s="7" t="n">
        <x:v>2979.57</x:v>
      </x:c>
      <x:c r="L1904" s="7" t="n">
        <x:v>1199.86</x:v>
      </x:c>
      <x:c r="M1904" s="3" t="str">
        <x:v>UPI</x:v>
      </x:c>
      <x:c r="N1904" s="3" t="str">
        <x:f>TEXT(B1904,"yyyy-mm")</x:f>
        <x:v>2025-06</x:v>
      </x:c>
      <x:c r="O1904" s="3" t="str">
        <x:f>IF(J1904=0,"No discount",IF(J1904&lt;=0.1,"1-10%",IF(J1904&lt;=0.15,"11-15%",IF(J1904&lt;=0.2,"16-20%","21%+"))))</x:f>
        <x:v>11-15%</x:v>
      </x:c>
      <x:c r="P1904" s="9" t="n">
        <x:f>IF(K1904=0,0,L1904/K1904)</x:f>
        <x:v>0.4026956909889681</x:v>
      </x:c>
      <x:c r="Q1904" s="3" t="str">
        <x:f>IF(L1904&lt;0,"Yes","No")</x:f>
        <x:v>No</x:v>
      </x:c>
    </x:row>
    <x:row r="1905" ht="21" customHeight="1">
      <x:c r="A1905" s="3" t="str">
        <x:v>ORD-101706</x:v>
      </x:c>
      <x:c r="B1905" s="5" t="n">
        <x:v>45814</x:v>
      </x:c>
      <x:c r="C1905" s="3" t="str">
        <x:v>CUST-00122</x:v>
      </x:c>
      <x:c r="D1905" s="3" t="str">
        <x:v>South</x:v>
      </x:c>
      <x:c r="E1905" s="3" t="str">
        <x:v>Beauty</x:v>
      </x:c>
      <x:c r="F1905" s="3" t="str">
        <x:v>Makeup</x:v>
      </x:c>
      <x:c r="G1905" s="3" t="str">
        <x:v>HD Foundation Kit</x:v>
      </x:c>
      <x:c r="H1905" s="3" t="n">
        <x:v>3</x:v>
      </x:c>
      <x:c r="I1905" s="7" t="n">
        <x:v>1426.49</x:v>
      </x:c>
      <x:c r="J1905" s="9" t="n">
        <x:v>0</x:v>
      </x:c>
      <x:c r="K1905" s="7" t="n">
        <x:v>4279.47</x:v>
      </x:c>
      <x:c r="L1905" s="7" t="n">
        <x:v>2265.75</x:v>
      </x:c>
      <x:c r="M1905" s="3" t="str">
        <x:v>Debit Card</x:v>
      </x:c>
      <x:c r="N1905" s="3" t="str">
        <x:f>TEXT(B1905,"yyyy-mm")</x:f>
        <x:v>2025-06</x:v>
      </x:c>
      <x:c r="O1905" s="3" t="str">
        <x:f>IF(J1905=0,"No discount",IF(J1905&lt;=0.1,"1-10%",IF(J1905&lt;=0.15,"11-15%",IF(J1905&lt;=0.2,"16-20%","21%+"))))</x:f>
        <x:v>No discount</x:v>
      </x:c>
      <x:c r="P1905" s="9" t="n">
        <x:f>IF(K1905=0,0,L1905/K1905)</x:f>
        <x:v>0.529446403409768</x:v>
      </x:c>
      <x:c r="Q1905" s="3" t="str">
        <x:f>IF(L1905&lt;0,"Yes","No")</x:f>
        <x:v>No</x:v>
      </x:c>
    </x:row>
    <x:row r="1906" ht="21" customHeight="1">
      <x:c r="A1906" s="3" t="str">
        <x:v>ORD-100376</x:v>
      </x:c>
      <x:c r="B1906" s="5" t="n">
        <x:v>45815</x:v>
      </x:c>
      <x:c r="C1906" s="3" t="str">
        <x:v>CUST-00586</x:v>
      </x:c>
      <x:c r="D1906" s="3" t="str">
        <x:v>West</x:v>
      </x:c>
      <x:c r="E1906" s="3" t="str">
        <x:v>Electronics</x:v>
      </x:c>
      <x:c r="F1906" s="3" t="str">
        <x:v>Laptop</x:v>
      </x:c>
      <x:c r="G1906" s="3" t="str">
        <x:v>ThinkPro 14</x:v>
      </x:c>
      <x:c r="H1906" s="3" t="n">
        <x:v>1</x:v>
      </x:c>
      <x:c r="I1906" s="7" t="n">
        <x:v>56492.35</x:v>
      </x:c>
      <x:c r="J1906" s="9" t="n">
        <x:v>0.05</x:v>
      </x:c>
      <x:c r="K1906" s="7" t="n">
        <x:v>53667.73</x:v>
      </x:c>
      <x:c r="L1906" s="7" t="n">
        <x:v>8477.77</x:v>
      </x:c>
      <x:c r="M1906" s="3" t="str">
        <x:v>Net Banking</x:v>
      </x:c>
      <x:c r="N1906" s="3" t="str">
        <x:f>TEXT(B1906,"yyyy-mm")</x:f>
        <x:v>2025-06</x:v>
      </x:c>
      <x:c r="O1906" s="3" t="str">
        <x:f>IF(J1906=0,"No discount",IF(J1906&lt;=0.1,"1-10%",IF(J1906&lt;=0.15,"11-15%",IF(J1906&lt;=0.2,"16-20%","21%+"))))</x:f>
        <x:v>1-10%</x:v>
      </x:c>
      <x:c r="P1906" s="9" t="n">
        <x:f>IF(K1906=0,0,L1906/K1906)</x:f>
        <x:v>0.15796773964540703</x:v>
      </x:c>
      <x:c r="Q1906" s="3" t="str">
        <x:f>IF(L1906&lt;0,"Yes","No")</x:f>
        <x:v>No</x:v>
      </x:c>
    </x:row>
    <x:row r="1907" ht="21" customHeight="1">
      <x:c r="A1907" s="3" t="str">
        <x:v>ORD-100680</x:v>
      </x:c>
      <x:c r="B1907" s="5" t="n">
        <x:v>45815</x:v>
      </x:c>
      <x:c r="C1907" s="3" t="str">
        <x:v>CUST-00430</x:v>
      </x:c>
      <x:c r="D1907" s="3" t="str">
        <x:v>North</x:v>
      </x:c>
      <x:c r="E1907" s="3" t="str">
        <x:v>Sports</x:v>
      </x:c>
      <x:c r="F1907" s="3" t="str">
        <x:v>Fitness</x:v>
      </x:c>
      <x:c r="G1907" s="3" t="str">
        <x:v>Adjustable Dumbbell 24kg</x:v>
      </x:c>
      <x:c r="H1907" s="3" t="n">
        <x:v>1</x:v>
      </x:c>
      <x:c r="I1907" s="7" t="n">
        <x:v>10175.51</x:v>
      </x:c>
      <x:c r="J1907" s="9" t="n">
        <x:v>0.25</x:v>
      </x:c>
      <x:c r="K1907" s="7" t="n">
        <x:v>7631.63</x:v>
      </x:c>
      <x:c r="L1907" s="7" t="n">
        <x:v>974.68</x:v>
      </x:c>
      <x:c r="M1907" s="3" t="str">
        <x:v>UPI</x:v>
      </x:c>
      <x:c r="N1907" s="3" t="str">
        <x:f>TEXT(B1907,"yyyy-mm")</x:f>
        <x:v>2025-06</x:v>
      </x:c>
      <x:c r="O1907" s="3" t="str">
        <x:f>IF(J1907=0,"No discount",IF(J1907&lt;=0.1,"1-10%",IF(J1907&lt;=0.15,"11-15%",IF(J1907&lt;=0.2,"16-20%","21%+"))))</x:f>
        <x:v>21%+</x:v>
      </x:c>
      <x:c r="P1907" s="9" t="n">
        <x:f>IF(K1907=0,0,L1907/K1907)</x:f>
        <x:v>0.12771583528027433</x:v>
      </x:c>
      <x:c r="Q1907" s="3" t="str">
        <x:f>IF(L1907&lt;0,"Yes","No")</x:f>
        <x:v>No</x:v>
      </x:c>
    </x:row>
    <x:row r="1908" ht="21" customHeight="1">
      <x:c r="A1908" s="3" t="str">
        <x:v>ORD-100763</x:v>
      </x:c>
      <x:c r="B1908" s="5" t="n">
        <x:v>45815</x:v>
      </x:c>
      <x:c r="C1908" s="3" t="str">
        <x:v>CUST-00420</x:v>
      </x:c>
      <x:c r="D1908" s="3" t="str">
        <x:v>East</x:v>
      </x:c>
      <x:c r="E1908" s="3" t="str">
        <x:v>Home &amp; Kitchen</x:v>
      </x:c>
      <x:c r="F1908" s="3" t="str">
        <x:v>Appliances</x:v>
      </x:c>
      <x:c r="G1908" s="3" t="str">
        <x:v>AirFryer Deluxe</x:v>
      </x:c>
      <x:c r="H1908" s="3" t="n">
        <x:v>2</x:v>
      </x:c>
      <x:c r="I1908" s="7" t="n">
        <x:v>8052.71</x:v>
      </x:c>
      <x:c r="J1908" s="9" t="n">
        <x:v>0.05</x:v>
      </x:c>
      <x:c r="K1908" s="7" t="n">
        <x:v>15300.15</x:v>
      </x:c>
      <x:c r="L1908" s="7" t="n">
        <x:v>4015.02</x:v>
      </x:c>
      <x:c r="M1908" s="3" t="str">
        <x:v>UPI</x:v>
      </x:c>
      <x:c r="N1908" s="3" t="str">
        <x:f>TEXT(B1908,"yyyy-mm")</x:f>
        <x:v>2025-06</x:v>
      </x:c>
      <x:c r="O1908" s="3" t="str">
        <x:f>IF(J1908=0,"No discount",IF(J1908&lt;=0.1,"1-10%",IF(J1908&lt;=0.15,"11-15%",IF(J1908&lt;=0.2,"16-20%","21%+"))))</x:f>
        <x:v>1-10%</x:v>
      </x:c>
      <x:c r="P1908" s="9" t="n">
        <x:f>IF(K1908=0,0,L1908/K1908)</x:f>
        <x:v>0.2624170351271066</x:v>
      </x:c>
      <x:c r="Q1908" s="3" t="str">
        <x:f>IF(L1908&lt;0,"Yes","No")</x:f>
        <x:v>No</x:v>
      </x:c>
    </x:row>
    <x:row r="1909" ht="21" customHeight="1">
      <x:c r="A1909" s="3" t="str">
        <x:v>ORD-101613</x:v>
      </x:c>
      <x:c r="B1909" s="5" t="n">
        <x:v>45816</x:v>
      </x:c>
      <x:c r="C1909" s="3" t="str">
        <x:v>CUST-00482</x:v>
      </x:c>
      <x:c r="D1909" s="3" t="str">
        <x:v>South</x:v>
      </x:c>
      <x:c r="E1909" s="3" t="str">
        <x:v>Sports</x:v>
      </x:c>
      <x:c r="F1909" s="3" t="str">
        <x:v>Fitness</x:v>
      </x:c>
      <x:c r="G1909" s="3" t="str">
        <x:v>Adjustable Dumbbell 24kg</x:v>
      </x:c>
      <x:c r="H1909" s="3" t="n">
        <x:v>2</x:v>
      </x:c>
      <x:c r="I1909" s="7" t="n">
        <x:v>9725.72</x:v>
      </x:c>
      <x:c r="J1909" s="9" t="n">
        <x:v>0</x:v>
      </x:c>
      <x:c r="K1909" s="7" t="n">
        <x:v>19451.44</x:v>
      </x:c>
      <x:c r="L1909" s="7" t="n">
        <x:v>6787.7</x:v>
      </x:c>
      <x:c r="M1909" s="3" t="str">
        <x:v>Credit Card</x:v>
      </x:c>
      <x:c r="N1909" s="3" t="str">
        <x:f>TEXT(B1909,"yyyy-mm")</x:f>
        <x:v>2025-06</x:v>
      </x:c>
      <x:c r="O1909" s="3" t="str">
        <x:f>IF(J1909=0,"No discount",IF(J1909&lt;=0.1,"1-10%",IF(J1909&lt;=0.15,"11-15%",IF(J1909&lt;=0.2,"16-20%","21%+"))))</x:f>
        <x:v>No discount</x:v>
      </x:c>
      <x:c r="P1909" s="9" t="n">
        <x:f>IF(K1909=0,0,L1909/K1909)</x:f>
        <x:v>0.3489561698259872</x:v>
      </x:c>
      <x:c r="Q1909" s="3" t="str">
        <x:f>IF(L1909&lt;0,"Yes","No")</x:f>
        <x:v>No</x:v>
      </x:c>
    </x:row>
    <x:row r="1910" ht="21" customHeight="1">
      <x:c r="A1910" s="3" t="str">
        <x:v>ORD-101774</x:v>
      </x:c>
      <x:c r="B1910" s="5" t="n">
        <x:v>45816</x:v>
      </x:c>
      <x:c r="C1910" s="3" t="str">
        <x:v>CUST-00484</x:v>
      </x:c>
      <x:c r="D1910" s="3" t="str">
        <x:v>West</x:v>
      </x:c>
      <x:c r="E1910" s="3" t="str">
        <x:v>Electronics</x:v>
      </x:c>
      <x:c r="F1910" s="3" t="str">
        <x:v>Laptop</x:v>
      </x:c>
      <x:c r="G1910" s="3" t="str">
        <x:v>AirBook Slim</x:v>
      </x:c>
      <x:c r="H1910" s="3" t="n">
        <x:v>1</x:v>
      </x:c>
      <x:c r="I1910" s="7" t="n">
        <x:v>76264.89</x:v>
      </x:c>
      <x:c r="J1910" s="9" t="n">
        <x:v>0.05</x:v>
      </x:c>
      <x:c r="K1910" s="7" t="n">
        <x:v>72451.65</x:v>
      </x:c>
      <x:c r="L1910" s="7" t="n">
        <x:v>11146.1</x:v>
      </x:c>
      <x:c r="M1910" s="3" t="str">
        <x:v>UPI</x:v>
      </x:c>
      <x:c r="N1910" s="3" t="str">
        <x:f>TEXT(B1910,"yyyy-mm")</x:f>
        <x:v>2025-06</x:v>
      </x:c>
      <x:c r="O1910" s="3" t="str">
        <x:f>IF(J1910=0,"No discount",IF(J1910&lt;=0.1,"1-10%",IF(J1910&lt;=0.15,"11-15%",IF(J1910&lt;=0.2,"16-20%","21%+"))))</x:f>
        <x:v>1-10%</x:v>
      </x:c>
      <x:c r="P1910" s="9" t="n">
        <x:f>IF(K1910=0,0,L1910/K1910)</x:f>
        <x:v>0.15384190698210465</x:v>
      </x:c>
      <x:c r="Q1910" s="3" t="str">
        <x:f>IF(L1910&lt;0,"Yes","No")</x:f>
        <x:v>No</x:v>
      </x:c>
    </x:row>
    <x:row r="1911" ht="21" customHeight="1">
      <x:c r="A1911" s="3" t="str">
        <x:v>ORD-101877</x:v>
      </x:c>
      <x:c r="B1911" s="5" t="n">
        <x:v>45816</x:v>
      </x:c>
      <x:c r="C1911" s="3" t="str">
        <x:v>CUST-00033</x:v>
      </x:c>
      <x:c r="D1911" s="3" t="str">
        <x:v>North</x:v>
      </x:c>
      <x:c r="E1911" s="3" t="str">
        <x:v>Fashion</x:v>
      </x:c>
      <x:c r="F1911" s="3" t="str">
        <x:v>Women</x:v>
      </x:c>
      <x:c r="G1911" s="3" t="str">
        <x:v>Floral Summer Dress</x:v>
      </x:c>
      <x:c r="H1911" s="3" t="n">
        <x:v>1</x:v>
      </x:c>
      <x:c r="I1911" s="7" t="n">
        <x:v>1752.3</x:v>
      </x:c>
      <x:c r="J1911" s="9" t="n">
        <x:v>0.1</x:v>
      </x:c>
      <x:c r="K1911" s="7" t="n">
        <x:v>1577.07</x:v>
      </x:c>
      <x:c r="L1911" s="7" t="n">
        <x:v>435.69</x:v>
      </x:c>
      <x:c r="M1911" s="3" t="str">
        <x:v>UPI</x:v>
      </x:c>
      <x:c r="N1911" s="3" t="str">
        <x:f>TEXT(B1911,"yyyy-mm")</x:f>
        <x:v>2025-06</x:v>
      </x:c>
      <x:c r="O1911" s="3" t="str">
        <x:f>IF(J1911=0,"No discount",IF(J1911&lt;=0.1,"1-10%",IF(J1911&lt;=0.15,"11-15%",IF(J1911&lt;=0.2,"16-20%","21%+"))))</x:f>
        <x:v>1-10%</x:v>
      </x:c>
      <x:c r="P1911" s="9" t="n">
        <x:f>IF(K1911=0,0,L1911/K1911)</x:f>
        <x:v>0.2762654796553102</x:v>
      </x:c>
      <x:c r="Q1911" s="3" t="str">
        <x:f>IF(L1911&lt;0,"Yes","No")</x:f>
        <x:v>No</x:v>
      </x:c>
    </x:row>
    <x:row r="1912" ht="21" customHeight="1">
      <x:c r="A1912" s="3" t="str">
        <x:v>ORD-100084</x:v>
      </x:c>
      <x:c r="B1912" s="5" t="n">
        <x:v>45817</x:v>
      </x:c>
      <x:c r="C1912" s="3" t="str">
        <x:v>CUST-00463</x:v>
      </x:c>
      <x:c r="D1912" s="3" t="str">
        <x:v>North</x:v>
      </x:c>
      <x:c r="E1912" s="3" t="str">
        <x:v>Fashion</x:v>
      </x:c>
      <x:c r="F1912" s="3" t="str">
        <x:v>Footwear</x:v>
      </x:c>
      <x:c r="G1912" s="3" t="str">
        <x:v>UrbanLoafers</x:v>
      </x:c>
      <x:c r="H1912" s="3" t="n">
        <x:v>1</x:v>
      </x:c>
      <x:c r="I1912" s="7" t="n">
        <x:v>3368.4</x:v>
      </x:c>
      <x:c r="J1912" s="9" t="n">
        <x:v>0</x:v>
      </x:c>
      <x:c r="K1912" s="7" t="n">
        <x:v>3368.4</x:v>
      </x:c>
      <x:c r="L1912" s="7" t="n">
        <x:v>1393.43</x:v>
      </x:c>
      <x:c r="M1912" s="3" t="str">
        <x:v>UPI</x:v>
      </x:c>
      <x:c r="N1912" s="3" t="str">
        <x:f>TEXT(B1912,"yyyy-mm")</x:f>
        <x:v>2025-06</x:v>
      </x:c>
      <x:c r="O1912" s="3" t="str">
        <x:f>IF(J1912=0,"No discount",IF(J1912&lt;=0.1,"1-10%",IF(J1912&lt;=0.15,"11-15%",IF(J1912&lt;=0.2,"16-20%","21%+"))))</x:f>
        <x:v>No discount</x:v>
      </x:c>
      <x:c r="P1912" s="9" t="n">
        <x:f>IF(K1912=0,0,L1912/K1912)</x:f>
        <x:v>0.4136771167319796</x:v>
      </x:c>
      <x:c r="Q1912" s="3" t="str">
        <x:f>IF(L1912&lt;0,"Yes","No")</x:f>
        <x:v>No</x:v>
      </x:c>
    </x:row>
    <x:row r="1913" ht="21" customHeight="1">
      <x:c r="A1913" s="3" t="str">
        <x:v>ORD-100708</x:v>
      </x:c>
      <x:c r="B1913" s="5" t="n">
        <x:v>45817</x:v>
      </x:c>
      <x:c r="C1913" s="3" t="str">
        <x:v>CUST-00538</x:v>
      </x:c>
      <x:c r="D1913" s="3" t="str">
        <x:v>East</x:v>
      </x:c>
      <x:c r="E1913" s="3" t="str">
        <x:v>Sports</x:v>
      </x:c>
      <x:c r="F1913" s="3" t="str">
        <x:v>Outdoor</x:v>
      </x:c>
      <x:c r="G1913" s="3" t="str">
        <x:v>AllWeather Tent 4P</x:v>
      </x:c>
      <x:c r="H1913" s="3" t="n">
        <x:v>2</x:v>
      </x:c>
      <x:c r="I1913" s="7" t="n">
        <x:v>11403.37</x:v>
      </x:c>
      <x:c r="J1913" s="9" t="n">
        <x:v>0</x:v>
      </x:c>
      <x:c r="K1913" s="7" t="n">
        <x:v>22806.74</x:v>
      </x:c>
      <x:c r="L1913" s="7" t="n">
        <x:v>8797.74</x:v>
      </x:c>
      <x:c r="M1913" s="3" t="str">
        <x:v>UPI</x:v>
      </x:c>
      <x:c r="N1913" s="3" t="str">
        <x:f>TEXT(B1913,"yyyy-mm")</x:f>
        <x:v>2025-06</x:v>
      </x:c>
      <x:c r="O1913" s="3" t="str">
        <x:f>IF(J1913=0,"No discount",IF(J1913&lt;=0.1,"1-10%",IF(J1913&lt;=0.15,"11-15%",IF(J1913&lt;=0.2,"16-20%","21%+"))))</x:f>
        <x:v>No discount</x:v>
      </x:c>
      <x:c r="P1913" s="9" t="n">
        <x:f>IF(K1913=0,0,L1913/K1913)</x:f>
        <x:v>0.38575175584059795</x:v>
      </x:c>
      <x:c r="Q1913" s="3" t="str">
        <x:f>IF(L1913&lt;0,"Yes","No")</x:f>
        <x:v>No</x:v>
      </x:c>
    </x:row>
    <x:row r="1914" ht="21" customHeight="1">
      <x:c r="A1914" s="3" t="str">
        <x:v>ORD-100776</x:v>
      </x:c>
      <x:c r="B1914" s="5" t="n">
        <x:v>45817</x:v>
      </x:c>
      <x:c r="C1914" s="3" t="str">
        <x:v>CUST-00410</x:v>
      </x:c>
      <x:c r="D1914" s="3" t="str">
        <x:v>West</x:v>
      </x:c>
      <x:c r="E1914" s="3" t="str">
        <x:v>Home &amp; Kitchen</x:v>
      </x:c>
      <x:c r="F1914" s="3" t="str">
        <x:v>Appliances</x:v>
      </x:c>
      <x:c r="G1914" s="3" t="str">
        <x:v>ColdBrew Coffee Maker</x:v>
      </x:c>
      <x:c r="H1914" s="3" t="n">
        <x:v>2</x:v>
      </x:c>
      <x:c r="I1914" s="7" t="n">
        <x:v>6242.72</x:v>
      </x:c>
      <x:c r="J1914" s="9" t="n">
        <x:v>0.2</x:v>
      </x:c>
      <x:c r="K1914" s="7" t="n">
        <x:v>9988.35</x:v>
      </x:c>
      <x:c r="L1914" s="7" t="n">
        <x:v>703.23</x:v>
      </x:c>
      <x:c r="M1914" s="3" t="str">
        <x:v>UPI</x:v>
      </x:c>
      <x:c r="N1914" s="3" t="str">
        <x:f>TEXT(B1914,"yyyy-mm")</x:f>
        <x:v>2025-06</x:v>
      </x:c>
      <x:c r="O1914" s="3" t="str">
        <x:f>IF(J1914=0,"No discount",IF(J1914&lt;=0.1,"1-10%",IF(J1914&lt;=0.15,"11-15%",IF(J1914&lt;=0.2,"16-20%","21%+"))))</x:f>
        <x:v>16-20%</x:v>
      </x:c>
      <x:c r="P1914" s="9" t="n">
        <x:f>IF(K1914=0,0,L1914/K1914)</x:f>
        <x:v>0.07040502185045577</x:v>
      </x:c>
      <x:c r="Q1914" s="3" t="str">
        <x:f>IF(L1914&lt;0,"Yes","No")</x:f>
        <x:v>No</x:v>
      </x:c>
    </x:row>
    <x:row r="1915" ht="21" customHeight="1">
      <x:c r="A1915" s="3" t="str">
        <x:v>ORD-101415</x:v>
      </x:c>
      <x:c r="B1915" s="5" t="n">
        <x:v>45817</x:v>
      </x:c>
      <x:c r="C1915" s="3" t="str">
        <x:v>CUST-00041</x:v>
      </x:c>
      <x:c r="D1915" s="3" t="str">
        <x:v>North</x:v>
      </x:c>
      <x:c r="E1915" s="3" t="str">
        <x:v>Fashion</x:v>
      </x:c>
      <x:c r="F1915" s="3" t="str">
        <x:v>Footwear</x:v>
      </x:c>
      <x:c r="G1915" s="3" t="str">
        <x:v>UrbanLoafers</x:v>
      </x:c>
      <x:c r="H1915" s="3" t="n">
        <x:v>4</x:v>
      </x:c>
      <x:c r="I1915" s="7" t="n">
        <x:v>3436.21</x:v>
      </x:c>
      <x:c r="J1915" s="9" t="n">
        <x:v>0.1</x:v>
      </x:c>
      <x:c r="K1915" s="7" t="n">
        <x:v>12370.36</x:v>
      </x:c>
      <x:c r="L1915" s="7" t="n">
        <x:v>3944.67</x:v>
      </x:c>
      <x:c r="M1915" s="3" t="str">
        <x:v>Credit Card</x:v>
      </x:c>
      <x:c r="N1915" s="3" t="str">
        <x:f>TEXT(B1915,"yyyy-mm")</x:f>
        <x:v>2025-06</x:v>
      </x:c>
      <x:c r="O1915" s="3" t="str">
        <x:f>IF(J1915=0,"No discount",IF(J1915&lt;=0.1,"1-10%",IF(J1915&lt;=0.15,"11-15%",IF(J1915&lt;=0.2,"16-20%","21%+"))))</x:f>
        <x:v>1-10%</x:v>
      </x:c>
      <x:c r="P1915" s="9" t="n">
        <x:f>IF(K1915=0,0,L1915/K1915)</x:f>
        <x:v>0.3188807763072376</x:v>
      </x:c>
      <x:c r="Q1915" s="3" t="str">
        <x:f>IF(L1915&lt;0,"Yes","No")</x:f>
        <x:v>No</x:v>
      </x:c>
    </x:row>
    <x:row r="1916" ht="21" customHeight="1">
      <x:c r="A1916" s="3" t="str">
        <x:v>ORD-100909</x:v>
      </x:c>
      <x:c r="B1916" s="5" t="n">
        <x:v>45818</x:v>
      </x:c>
      <x:c r="C1916" s="3" t="str">
        <x:v>CUST-00250</x:v>
      </x:c>
      <x:c r="D1916" s="3" t="str">
        <x:v>North</x:v>
      </x:c>
      <x:c r="E1916" s="3" t="str">
        <x:v>Sports</x:v>
      </x:c>
      <x:c r="F1916" s="3" t="str">
        <x:v>Outdoor</x:v>
      </x:c>
      <x:c r="G1916" s="3" t="str">
        <x:v>TrailHike Backpack 60L</x:v>
      </x:c>
      <x:c r="H1916" s="3" t="n">
        <x:v>1</x:v>
      </x:c>
      <x:c r="I1916" s="7" t="n">
        <x:v>3576.54</x:v>
      </x:c>
      <x:c r="J1916" s="9" t="n">
        <x:v>0.15</x:v>
      </x:c>
      <x:c r="K1916" s="7" t="n">
        <x:v>3040.06</x:v>
      </x:c>
      <x:c r="L1916" s="7" t="n">
        <x:v>689.83</x:v>
      </x:c>
      <x:c r="M1916" s="3" t="str">
        <x:v>Net Banking</x:v>
      </x:c>
      <x:c r="N1916" s="3" t="str">
        <x:f>TEXT(B1916,"yyyy-mm")</x:f>
        <x:v>2025-06</x:v>
      </x:c>
      <x:c r="O1916" s="3" t="str">
        <x:f>IF(J1916=0,"No discount",IF(J1916&lt;=0.1,"1-10%",IF(J1916&lt;=0.15,"11-15%",IF(J1916&lt;=0.2,"16-20%","21%+"))))</x:f>
        <x:v>11-15%</x:v>
      </x:c>
      <x:c r="P1916" s="9" t="n">
        <x:f>IF(K1916=0,0,L1916/K1916)</x:f>
        <x:v>0.2269132846062249</x:v>
      </x:c>
      <x:c r="Q1916" s="3" t="str">
        <x:f>IF(L1916&lt;0,"Yes","No")</x:f>
        <x:v>No</x:v>
      </x:c>
    </x:row>
    <x:row r="1917" ht="21" customHeight="1">
      <x:c r="A1917" s="3" t="str">
        <x:v>ORD-101231</x:v>
      </x:c>
      <x:c r="B1917" s="5" t="n">
        <x:v>45818</x:v>
      </x:c>
      <x:c r="C1917" s="3" t="str">
        <x:v>CUST-00401</x:v>
      </x:c>
      <x:c r="D1917" s="3" t="str">
        <x:v>North</x:v>
      </x:c>
      <x:c r="E1917" s="3" t="str">
        <x:v>Beauty</x:v>
      </x:c>
      <x:c r="F1917" s="3" t="str">
        <x:v>Makeup</x:v>
      </x:c>
      <x:c r="G1917" s="3" t="str">
        <x:v>Matte Lipstick Set</x:v>
      </x:c>
      <x:c r="H1917" s="3" t="n">
        <x:v>3</x:v>
      </x:c>
      <x:c r="I1917" s="7" t="n">
        <x:v>965.46</x:v>
      </x:c>
      <x:c r="J1917" s="9" t="n">
        <x:v>0.2</x:v>
      </x:c>
      <x:c r="K1917" s="7" t="n">
        <x:v>2317.1</x:v>
      </x:c>
      <x:c r="L1917" s="7" t="n">
        <x:v>788.25</x:v>
      </x:c>
      <x:c r="M1917" s="3" t="str">
        <x:v>Credit Card</x:v>
      </x:c>
      <x:c r="N1917" s="3" t="str">
        <x:f>TEXT(B1917,"yyyy-mm")</x:f>
        <x:v>2025-06</x:v>
      </x:c>
      <x:c r="O1917" s="3" t="str">
        <x:f>IF(J1917=0,"No discount",IF(J1917&lt;=0.1,"1-10%",IF(J1917&lt;=0.15,"11-15%",IF(J1917&lt;=0.2,"16-20%","21%+"))))</x:f>
        <x:v>16-20%</x:v>
      </x:c>
      <x:c r="P1917" s="9" t="n">
        <x:f>IF(K1917=0,0,L1917/K1917)</x:f>
        <x:v>0.34018816624228565</x:v>
      </x:c>
      <x:c r="Q1917" s="3" t="str">
        <x:f>IF(L1917&lt;0,"Yes","No")</x:f>
        <x:v>No</x:v>
      </x:c>
    </x:row>
    <x:row r="1918" ht="21" customHeight="1">
      <x:c r="A1918" s="3" t="str">
        <x:v>ORD-101578</x:v>
      </x:c>
      <x:c r="B1918" s="5" t="n">
        <x:v>45818</x:v>
      </x:c>
      <x:c r="C1918" s="3" t="str">
        <x:v>CUST-00130</x:v>
      </x:c>
      <x:c r="D1918" s="3" t="str">
        <x:v>South</x:v>
      </x:c>
      <x:c r="E1918" s="3" t="str">
        <x:v>Beauty</x:v>
      </x:c>
      <x:c r="F1918" s="3" t="str">
        <x:v>Makeup</x:v>
      </x:c>
      <x:c r="G1918" s="3" t="str">
        <x:v>HD Foundation Kit</x:v>
      </x:c>
      <x:c r="H1918" s="3" t="n">
        <x:v>2</x:v>
      </x:c>
      <x:c r="I1918" s="7" t="n">
        <x:v>1556.7</x:v>
      </x:c>
      <x:c r="J1918" s="9" t="n">
        <x:v>0.15</x:v>
      </x:c>
      <x:c r="K1918" s="7" t="n">
        <x:v>2646.39</x:v>
      </x:c>
      <x:c r="L1918" s="7" t="n">
        <x:v>947.21</x:v>
      </x:c>
      <x:c r="M1918" s="3" t="str">
        <x:v>Debit Card</x:v>
      </x:c>
      <x:c r="N1918" s="3" t="str">
        <x:f>TEXT(B1918,"yyyy-mm")</x:f>
        <x:v>2025-06</x:v>
      </x:c>
      <x:c r="O1918" s="3" t="str">
        <x:f>IF(J1918=0,"No discount",IF(J1918&lt;=0.1,"1-10%",IF(J1918&lt;=0.15,"11-15%",IF(J1918&lt;=0.2,"16-20%","21%+"))))</x:f>
        <x:v>11-15%</x:v>
      </x:c>
      <x:c r="P1918" s="9" t="n">
        <x:f>IF(K1918=0,0,L1918/K1918)</x:f>
        <x:v>0.3579253246875933</x:v>
      </x:c>
      <x:c r="Q1918" s="3" t="str">
        <x:f>IF(L1918&lt;0,"Yes","No")</x:f>
        <x:v>No</x:v>
      </x:c>
    </x:row>
    <x:row r="1919" ht="21" customHeight="1">
      <x:c r="A1919" s="3" t="str">
        <x:v>ORD-100559</x:v>
      </x:c>
      <x:c r="B1919" s="5" t="n">
        <x:v>45819</x:v>
      </x:c>
      <x:c r="C1919" s="3" t="str">
        <x:v>CUST-00107</x:v>
      </x:c>
      <x:c r="D1919" s="3" t="str">
        <x:v>East</x:v>
      </x:c>
      <x:c r="E1919" s="3" t="str">
        <x:v>Beauty</x:v>
      </x:c>
      <x:c r="F1919" s="3" t="str">
        <x:v>Skincare</x:v>
      </x:c>
      <x:c r="G1919" s="3" t="str">
        <x:v>Vitamin C Serum</x:v>
      </x:c>
      <x:c r="H1919" s="3" t="n">
        <x:v>2</x:v>
      </x:c>
      <x:c r="I1919" s="7" t="n">
        <x:v>943.38</x:v>
      </x:c>
      <x:c r="J1919" s="9" t="n">
        <x:v>0.05</x:v>
      </x:c>
      <x:c r="K1919" s="7" t="n">
        <x:v>1792.42</x:v>
      </x:c>
      <x:c r="L1919" s="7" t="n">
        <x:v>923.62</x:v>
      </x:c>
      <x:c r="M1919" s="3" t="str">
        <x:v>Debit Card</x:v>
      </x:c>
      <x:c r="N1919" s="3" t="str">
        <x:f>TEXT(B1919,"yyyy-mm")</x:f>
        <x:v>2025-06</x:v>
      </x:c>
      <x:c r="O1919" s="3" t="str">
        <x:f>IF(J1919=0,"No discount",IF(J1919&lt;=0.1,"1-10%",IF(J1919&lt;=0.15,"11-15%",IF(J1919&lt;=0.2,"16-20%","21%+"))))</x:f>
        <x:v>1-10%</x:v>
      </x:c>
      <x:c r="P1919" s="9" t="n">
        <x:f>IF(K1919=0,0,L1919/K1919)</x:f>
        <x:v>0.5152921748250968</x:v>
      </x:c>
      <x:c r="Q1919" s="3" t="str">
        <x:f>IF(L1919&lt;0,"Yes","No")</x:f>
        <x:v>No</x:v>
      </x:c>
    </x:row>
    <x:row r="1920" ht="21" customHeight="1">
      <x:c r="A1920" s="3" t="str">
        <x:v>ORD-101243</x:v>
      </x:c>
      <x:c r="B1920" s="5" t="n">
        <x:v>45819</x:v>
      </x:c>
      <x:c r="C1920" s="3" t="str">
        <x:v>CUST-00327</x:v>
      </x:c>
      <x:c r="D1920" s="3" t="str">
        <x:v>East</x:v>
      </x:c>
      <x:c r="E1920" s="3" t="str">
        <x:v>Beauty</x:v>
      </x:c>
      <x:c r="F1920" s="3" t="str">
        <x:v>Makeup</x:v>
      </x:c>
      <x:c r="G1920" s="3" t="str">
        <x:v>Matte Lipstick Set</x:v>
      </x:c>
      <x:c r="H1920" s="3" t="n">
        <x:v>2</x:v>
      </x:c>
      <x:c r="I1920" s="7" t="n">
        <x:v>1031.94</x:v>
      </x:c>
      <x:c r="J1920" s="9" t="n">
        <x:v>0.05</x:v>
      </x:c>
      <x:c r="K1920" s="7" t="n">
        <x:v>1960.69</x:v>
      </x:c>
      <x:c r="L1920" s="7" t="n">
        <x:v>1010.25</x:v>
      </x:c>
      <x:c r="M1920" s="3" t="str">
        <x:v>Credit Card</x:v>
      </x:c>
      <x:c r="N1920" s="3" t="str">
        <x:f>TEXT(B1920,"yyyy-mm")</x:f>
        <x:v>2025-06</x:v>
      </x:c>
      <x:c r="O1920" s="3" t="str">
        <x:f>IF(J1920=0,"No discount",IF(J1920&lt;=0.1,"1-10%",IF(J1920&lt;=0.15,"11-15%",IF(J1920&lt;=0.2,"16-20%","21%+"))))</x:f>
        <x:v>1-10%</x:v>
      </x:c>
      <x:c r="P1920" s="9" t="n">
        <x:f>IF(K1920=0,0,L1920/K1920)</x:f>
        <x:v>0.5152522836348428</x:v>
      </x:c>
      <x:c r="Q1920" s="3" t="str">
        <x:f>IF(L1920&lt;0,"Yes","No")</x:f>
        <x:v>No</x:v>
      </x:c>
    </x:row>
    <x:row r="1921" ht="21" customHeight="1">
      <x:c r="A1921" s="3" t="str">
        <x:v>ORD-101309</x:v>
      </x:c>
      <x:c r="B1921" s="5" t="n">
        <x:v>45819</x:v>
      </x:c>
      <x:c r="C1921" s="3" t="str">
        <x:v>CUST-00297</x:v>
      </x:c>
      <x:c r="D1921" s="3" t="str">
        <x:v>South</x:v>
      </x:c>
      <x:c r="E1921" s="3" t="str">
        <x:v>Home &amp; Kitchen</x:v>
      </x:c>
      <x:c r="F1921" s="3" t="str">
        <x:v>Furniture</x:v>
      </x:c>
      <x:c r="G1921" s="3" t="str">
        <x:v>ErgoComfort Chair</x:v>
      </x:c>
      <x:c r="H1921" s="3" t="n">
        <x:v>1</x:v>
      </x:c>
      <x:c r="I1921" s="7" t="n">
        <x:v>8759</x:v>
      </x:c>
      <x:c r="J1921" s="9" t="n">
        <x:v>0</x:v>
      </x:c>
      <x:c r="K1921" s="7" t="n">
        <x:v>8759</x:v>
      </x:c>
      <x:c r="L1921" s="7" t="n">
        <x:v>2662.17</x:v>
      </x:c>
      <x:c r="M1921" s="3" t="str">
        <x:v>UPI</x:v>
      </x:c>
      <x:c r="N1921" s="3" t="str">
        <x:f>TEXT(B1921,"yyyy-mm")</x:f>
        <x:v>2025-06</x:v>
      </x:c>
      <x:c r="O1921" s="3" t="str">
        <x:f>IF(J1921=0,"No discount",IF(J1921&lt;=0.1,"1-10%",IF(J1921&lt;=0.15,"11-15%",IF(J1921&lt;=0.2,"16-20%","21%+"))))</x:f>
        <x:v>No discount</x:v>
      </x:c>
      <x:c r="P1921" s="9" t="n">
        <x:f>IF(K1921=0,0,L1921/K1921)</x:f>
        <x:v>0.30393538075122734</x:v>
      </x:c>
      <x:c r="Q1921" s="3" t="str">
        <x:f>IF(L1921&lt;0,"Yes","No")</x:f>
        <x:v>No</x:v>
      </x:c>
    </x:row>
    <x:row r="1922" ht="21" customHeight="1">
      <x:c r="A1922" s="3" t="str">
        <x:v>ORD-101839</x:v>
      </x:c>
      <x:c r="B1922" s="5" t="n">
        <x:v>45819</x:v>
      </x:c>
      <x:c r="C1922" s="3" t="str">
        <x:v>CUST-00473</x:v>
      </x:c>
      <x:c r="D1922" s="3" t="str">
        <x:v>North</x:v>
      </x:c>
      <x:c r="E1922" s="3" t="str">
        <x:v>Beauty</x:v>
      </x:c>
      <x:c r="F1922" s="3" t="str">
        <x:v>Skincare</x:v>
      </x:c>
      <x:c r="G1922" s="3" t="str">
        <x:v>Vitamin C Serum</x:v>
      </x:c>
      <x:c r="H1922" s="3" t="n">
        <x:v>1</x:v>
      </x:c>
      <x:c r="I1922" s="7" t="n">
        <x:v>874.24</x:v>
      </x:c>
      <x:c r="J1922" s="9" t="n">
        <x:v>0.05</x:v>
      </x:c>
      <x:c r="K1922" s="7" t="n">
        <x:v>830.53</x:v>
      </x:c>
      <x:c r="L1922" s="7" t="n">
        <x:v>438.69</x:v>
      </x:c>
      <x:c r="M1922" s="3" t="str">
        <x:v>UPI</x:v>
      </x:c>
      <x:c r="N1922" s="3" t="str">
        <x:f>TEXT(B1922,"yyyy-mm")</x:f>
        <x:v>2025-06</x:v>
      </x:c>
      <x:c r="O1922" s="3" t="str">
        <x:f>IF(J1922=0,"No discount",IF(J1922&lt;=0.1,"1-10%",IF(J1922&lt;=0.15,"11-15%",IF(J1922&lt;=0.2,"16-20%","21%+"))))</x:f>
        <x:v>1-10%</x:v>
      </x:c>
      <x:c r="P1922" s="9" t="n">
        <x:f>IF(K1922=0,0,L1922/K1922)</x:f>
        <x:v>0.5282048812204255</x:v>
      </x:c>
      <x:c r="Q1922" s="3" t="str">
        <x:f>IF(L1922&lt;0,"Yes","No")</x:f>
        <x:v>No</x:v>
      </x:c>
    </x:row>
    <x:row r="1923" ht="21" customHeight="1">
      <x:c r="A1923" s="3" t="str">
        <x:v>ORD-100319</x:v>
      </x:c>
      <x:c r="B1923" s="5" t="n">
        <x:v>45820</x:v>
      </x:c>
      <x:c r="C1923" s="3" t="str">
        <x:v>CUST-00354</x:v>
      </x:c>
      <x:c r="D1923" s="3" t="str">
        <x:v>South</x:v>
      </x:c>
      <x:c r="E1923" s="3" t="str">
        <x:v>Fashion</x:v>
      </x:c>
      <x:c r="F1923" s="3" t="str">
        <x:v>Women</x:v>
      </x:c>
      <x:c r="G1923" s="3" t="str">
        <x:v>Knit Winter Sweater</x:v>
      </x:c>
      <x:c r="H1923" s="3" t="n">
        <x:v>1</x:v>
      </x:c>
      <x:c r="I1923" s="7" t="n">
        <x:v>2272.77</x:v>
      </x:c>
      <x:c r="J1923" s="9" t="n">
        <x:v>0.1</x:v>
      </x:c>
      <x:c r="K1923" s="7" t="n">
        <x:v>2045.49</x:v>
      </x:c>
      <x:c r="L1923" s="7" t="n">
        <x:v>626.6</x:v>
      </x:c>
      <x:c r="M1923" s="3" t="str">
        <x:v>Net Banking</x:v>
      </x:c>
      <x:c r="N1923" s="3" t="str">
        <x:f>TEXT(B1923,"yyyy-mm")</x:f>
        <x:v>2025-06</x:v>
      </x:c>
      <x:c r="O1923" s="3" t="str">
        <x:f>IF(J1923=0,"No discount",IF(J1923&lt;=0.1,"1-10%",IF(J1923&lt;=0.15,"11-15%",IF(J1923&lt;=0.2,"16-20%","21%+"))))</x:f>
        <x:v>1-10%</x:v>
      </x:c>
      <x:c r="P1923" s="9" t="n">
        <x:f>IF(K1923=0,0,L1923/K1923)</x:f>
        <x:v>0.30633246801499886</x:v>
      </x:c>
      <x:c r="Q1923" s="3" t="str">
        <x:f>IF(L1923&lt;0,"Yes","No")</x:f>
        <x:v>No</x:v>
      </x:c>
    </x:row>
    <x:row r="1924" ht="21" customHeight="1">
      <x:c r="A1924" s="3" t="str">
        <x:v>ORD-100416</x:v>
      </x:c>
      <x:c r="B1924" s="5" t="n">
        <x:v>45820</x:v>
      </x:c>
      <x:c r="C1924" s="3" t="str">
        <x:v>CUST-00136</x:v>
      </x:c>
      <x:c r="D1924" s="3" t="str">
        <x:v>South</x:v>
      </x:c>
      <x:c r="E1924" s="3" t="str">
        <x:v>Beauty</x:v>
      </x:c>
      <x:c r="F1924" s="3" t="str">
        <x:v>Skincare</x:v>
      </x:c>
      <x:c r="G1924" s="3" t="str">
        <x:v>Vitamin C Serum</x:v>
      </x:c>
      <x:c r="H1924" s="3" t="n">
        <x:v>1</x:v>
      </x:c>
      <x:c r="I1924" s="7" t="n">
        <x:v>932.61</x:v>
      </x:c>
      <x:c r="J1924" s="9" t="n">
        <x:v>0.05</x:v>
      </x:c>
      <x:c r="K1924" s="7" t="n">
        <x:v>885.98</x:v>
      </x:c>
      <x:c r="L1924" s="7" t="n">
        <x:v>422.9</x:v>
      </x:c>
      <x:c r="M1924" s="3" t="str">
        <x:v>Debit Card</x:v>
      </x:c>
      <x:c r="N1924" s="3" t="str">
        <x:f>TEXT(B1924,"yyyy-mm")</x:f>
        <x:v>2025-06</x:v>
      </x:c>
      <x:c r="O1924" s="3" t="str">
        <x:f>IF(J1924=0,"No discount",IF(J1924&lt;=0.1,"1-10%",IF(J1924&lt;=0.15,"11-15%",IF(J1924&lt;=0.2,"16-20%","21%+"))))</x:f>
        <x:v>1-10%</x:v>
      </x:c>
      <x:c r="P1924" s="9" t="n">
        <x:f>IF(K1924=0,0,L1924/K1924)</x:f>
        <x:v>0.4773245445721122</x:v>
      </x:c>
      <x:c r="Q1924" s="3" t="str">
        <x:f>IF(L1924&lt;0,"Yes","No")</x:f>
        <x:v>No</x:v>
      </x:c>
    </x:row>
    <x:row r="1925" ht="21" customHeight="1">
      <x:c r="A1925" s="3" t="str">
        <x:v>ORD-101754</x:v>
      </x:c>
      <x:c r="B1925" s="5" t="n">
        <x:v>45820</x:v>
      </x:c>
      <x:c r="C1925" s="3" t="str">
        <x:v>CUST-00142</x:v>
      </x:c>
      <x:c r="D1925" s="3" t="str">
        <x:v>North</x:v>
      </x:c>
      <x:c r="E1925" s="3" t="str">
        <x:v>Fashion</x:v>
      </x:c>
      <x:c r="F1925" s="3" t="str">
        <x:v>Men</x:v>
      </x:c>
      <x:c r="G1925" s="3" t="str">
        <x:v>SlimFit Denim Jeans</x:v>
      </x:c>
      <x:c r="H1925" s="3" t="n">
        <x:v>1</x:v>
      </x:c>
      <x:c r="I1925" s="7" t="n">
        <x:v>1912.1</x:v>
      </x:c>
      <x:c r="J1925" s="9" t="n">
        <x:v>0.4</x:v>
      </x:c>
      <x:c r="K1925" s="7" t="n">
        <x:v>1147.26</x:v>
      </x:c>
      <x:c r="L1925" s="7" t="n">
        <x:v>-35.17</x:v>
      </x:c>
      <x:c r="M1925" s="3" t="str">
        <x:v>Debit Card</x:v>
      </x:c>
      <x:c r="N1925" s="3" t="str">
        <x:f>TEXT(B1925,"yyyy-mm")</x:f>
        <x:v>2025-06</x:v>
      </x:c>
      <x:c r="O1925" s="3" t="str">
        <x:f>IF(J1925=0,"No discount",IF(J1925&lt;=0.1,"1-10%",IF(J1925&lt;=0.15,"11-15%",IF(J1925&lt;=0.2,"16-20%","21%+"))))</x:f>
        <x:v>21%+</x:v>
      </x:c>
      <x:c r="P1925" s="9" t="n">
        <x:f>IF(K1925=0,0,L1925/K1925)</x:f>
        <x:v>-0.030655649111796805</x:v>
      </x:c>
      <x:c r="Q1925" s="3" t="str">
        <x:f>IF(L1925&lt;0,"Yes","No")</x:f>
        <x:v>Yes</x:v>
      </x:c>
    </x:row>
    <x:row r="1926" ht="21" customHeight="1">
      <x:c r="A1926" s="3" t="str">
        <x:v>ORD-101798</x:v>
      </x:c>
      <x:c r="B1926" s="5" t="n">
        <x:v>45820</x:v>
      </x:c>
      <x:c r="C1926" s="3" t="str">
        <x:v>CUST-00287</x:v>
      </x:c>
      <x:c r="D1926" s="3" t="str">
        <x:v>East</x:v>
      </x:c>
      <x:c r="E1926" s="3" t="str">
        <x:v>Home &amp; Kitchen</x:v>
      </x:c>
      <x:c r="F1926" s="3" t="str">
        <x:v>Decor</x:v>
      </x:c>
      <x:c r="G1926" s="3" t="str">
        <x:v>Ceramic Vase Set</x:v>
      </x:c>
      <x:c r="H1926" s="3" t="n">
        <x:v>1</x:v>
      </x:c>
      <x:c r="I1926" s="7" t="n">
        <x:v>1502.72</x:v>
      </x:c>
      <x:c r="J1926" s="9" t="n">
        <x:v>0.1</x:v>
      </x:c>
      <x:c r="K1926" s="7" t="n">
        <x:v>1352.45</x:v>
      </x:c>
      <x:c r="L1926" s="7" t="n">
        <x:v>303.53</x:v>
      </x:c>
      <x:c r="M1926" s="3" t="str">
        <x:v>Debit Card</x:v>
      </x:c>
      <x:c r="N1926" s="3" t="str">
        <x:f>TEXT(B1926,"yyyy-mm")</x:f>
        <x:v>2025-06</x:v>
      </x:c>
      <x:c r="O1926" s="3" t="str">
        <x:f>IF(J1926=0,"No discount",IF(J1926&lt;=0.1,"1-10%",IF(J1926&lt;=0.15,"11-15%",IF(J1926&lt;=0.2,"16-20%","21%+"))))</x:f>
        <x:v>1-10%</x:v>
      </x:c>
      <x:c r="P1926" s="9" t="n">
        <x:f>IF(K1926=0,0,L1926/K1926)</x:f>
        <x:v>0.22442973862249987</x:v>
      </x:c>
      <x:c r="Q1926" s="3" t="str">
        <x:f>IF(L1926&lt;0,"Yes","No")</x:f>
        <x:v>No</x:v>
      </x:c>
    </x:row>
    <x:row r="1927" ht="21" customHeight="1">
      <x:c r="A1927" s="3" t="str">
        <x:v>ORD-100034</x:v>
      </x:c>
      <x:c r="B1927" s="5" t="n">
        <x:v>45822</x:v>
      </x:c>
      <x:c r="C1927" s="3" t="str">
        <x:v>CUST-00571</x:v>
      </x:c>
      <x:c r="D1927" s="3" t="str">
        <x:v>North</x:v>
      </x:c>
      <x:c r="E1927" s="3" t="str">
        <x:v>Fashion</x:v>
      </x:c>
      <x:c r="F1927" s="3" t="str">
        <x:v>Footwear</x:v>
      </x:c>
      <x:c r="G1927" s="3" t="str">
        <x:v>RunFlex Sneakers</x:v>
      </x:c>
      <x:c r="H1927" s="3" t="n">
        <x:v>4</x:v>
      </x:c>
      <x:c r="I1927" s="7" t="n">
        <x:v>3114.6</x:v>
      </x:c>
      <x:c r="J1927" s="9" t="n">
        <x:v>0.2</x:v>
      </x:c>
      <x:c r="K1927" s="7" t="n">
        <x:v>9966.72</x:v>
      </x:c>
      <x:c r="L1927" s="7" t="n">
        <x:v>2115.67</x:v>
      </x:c>
      <x:c r="M1927" s="3" t="str">
        <x:v>Debit Card</x:v>
      </x:c>
      <x:c r="N1927" s="3" t="str">
        <x:f>TEXT(B1927,"yyyy-mm")</x:f>
        <x:v>2025-06</x:v>
      </x:c>
      <x:c r="O1927" s="3" t="str">
        <x:f>IF(J1927=0,"No discount",IF(J1927&lt;=0.1,"1-10%",IF(J1927&lt;=0.15,"11-15%",IF(J1927&lt;=0.2,"16-20%","21%+"))))</x:f>
        <x:v>16-20%</x:v>
      </x:c>
      <x:c r="P1927" s="9" t="n">
        <x:f>IF(K1927=0,0,L1927/K1927)</x:f>
        <x:v>0.21227344602838247</x:v>
      </x:c>
      <x:c r="Q1927" s="3" t="str">
        <x:f>IF(L1927&lt;0,"Yes","No")</x:f>
        <x:v>No</x:v>
      </x:c>
    </x:row>
    <x:row r="1928" ht="21" customHeight="1">
      <x:c r="A1928" s="3" t="str">
        <x:v>ORD-101905</x:v>
      </x:c>
      <x:c r="B1928" s="5" t="n">
        <x:v>45822</x:v>
      </x:c>
      <x:c r="C1928" s="3" t="str">
        <x:v>CUST-00275</x:v>
      </x:c>
      <x:c r="D1928" s="3" t="str">
        <x:v>North</x:v>
      </x:c>
      <x:c r="E1928" s="3" t="str">
        <x:v>Electronics</x:v>
      </x:c>
      <x:c r="F1928" s="3" t="str">
        <x:v>Mobile</x:v>
      </x:c>
      <x:c r="G1928" s="3" t="str">
        <x:v>Galaxy Nova X5</x:v>
      </x:c>
      <x:c r="H1928" s="3" t="n">
        <x:v>3</x:v>
      </x:c>
      <x:c r="I1928" s="7" t="n">
        <x:v>23816.71</x:v>
      </x:c>
      <x:c r="J1928" s="9" t="n">
        <x:v>0.2</x:v>
      </x:c>
      <x:c r="K1928" s="7" t="n">
        <x:v>57160.1</x:v>
      </x:c>
      <x:c r="L1928" s="7" t="n">
        <x:v>-804.14</x:v>
      </x:c>
      <x:c r="M1928" s="3" t="str">
        <x:v>Net Banking</x:v>
      </x:c>
      <x:c r="N1928" s="3" t="str">
        <x:f>TEXT(B1928,"yyyy-mm")</x:f>
        <x:v>2025-06</x:v>
      </x:c>
      <x:c r="O1928" s="3" t="str">
        <x:f>IF(J1928=0,"No discount",IF(J1928&lt;=0.1,"1-10%",IF(J1928&lt;=0.15,"11-15%",IF(J1928&lt;=0.2,"16-20%","21%+"))))</x:f>
        <x:v>16-20%</x:v>
      </x:c>
      <x:c r="P1928" s="9" t="n">
        <x:f>IF(K1928=0,0,L1928/K1928)</x:f>
        <x:v>-0.014068204919165642</x:v>
      </x:c>
      <x:c r="Q1928" s="3" t="str">
        <x:f>IF(L1928&lt;0,"Yes","No")</x:f>
        <x:v>Yes</x:v>
      </x:c>
    </x:row>
    <x:row r="1929" ht="21" customHeight="1">
      <x:c r="A1929" s="3" t="str">
        <x:v>ORD-101172</x:v>
      </x:c>
      <x:c r="B1929" s="5" t="n">
        <x:v>45823</x:v>
      </x:c>
      <x:c r="C1929" s="3" t="str">
        <x:v>CUST-00455</x:v>
      </x:c>
      <x:c r="D1929" s="3" t="str">
        <x:v>West</x:v>
      </x:c>
      <x:c r="E1929" s="3" t="str">
        <x:v>Fashion</x:v>
      </x:c>
      <x:c r="F1929" s="3" t="str">
        <x:v>Women</x:v>
      </x:c>
      <x:c r="G1929" s="3" t="str">
        <x:v>Floral Summer Dress</x:v>
      </x:c>
      <x:c r="H1929" s="3" t="n">
        <x:v>1</x:v>
      </x:c>
      <x:c r="I1929" s="7" t="n">
        <x:v>1731.22</x:v>
      </x:c>
      <x:c r="J1929" s="9" t="n">
        <x:v>0.1</x:v>
      </x:c>
      <x:c r="K1929" s="7" t="n">
        <x:v>1558.1</x:v>
      </x:c>
      <x:c r="L1929" s="7" t="n">
        <x:v>458.86</x:v>
      </x:c>
      <x:c r="M1929" s="3" t="str">
        <x:v>UPI</x:v>
      </x:c>
      <x:c r="N1929" s="3" t="str">
        <x:f>TEXT(B1929,"yyyy-mm")</x:f>
        <x:v>2025-06</x:v>
      </x:c>
      <x:c r="O1929" s="3" t="str">
        <x:f>IF(J1929=0,"No discount",IF(J1929&lt;=0.1,"1-10%",IF(J1929&lt;=0.15,"11-15%",IF(J1929&lt;=0.2,"16-20%","21%+"))))</x:f>
        <x:v>1-10%</x:v>
      </x:c>
      <x:c r="P1929" s="9" t="n">
        <x:f>IF(K1929=0,0,L1929/K1929)</x:f>
        <x:v>0.29449971118670176</x:v>
      </x:c>
      <x:c r="Q1929" s="3" t="str">
        <x:f>IF(L1929&lt;0,"Yes","No")</x:f>
        <x:v>No</x:v>
      </x:c>
    </x:row>
    <x:row r="1930" ht="21" customHeight="1">
      <x:c r="A1930" s="3" t="str">
        <x:v>ORD-100156</x:v>
      </x:c>
      <x:c r="B1930" s="5" t="n">
        <x:v>45824</x:v>
      </x:c>
      <x:c r="C1930" s="3" t="str">
        <x:v>CUST-00211</x:v>
      </x:c>
      <x:c r="D1930" s="3" t="str">
        <x:v>North</x:v>
      </x:c>
      <x:c r="E1930" s="3" t="str">
        <x:v>Home &amp; Kitchen</x:v>
      </x:c>
      <x:c r="F1930" s="3" t="str">
        <x:v>Furniture</x:v>
      </x:c>
      <x:c r="G1930" s="3" t="str">
        <x:v>Oakwood Study Desk</x:v>
      </x:c>
      <x:c r="H1930" s="3" t="n">
        <x:v>1</x:v>
      </x:c>
      <x:c r="I1930" s="7" t="n">
        <x:v>13006.13</x:v>
      </x:c>
      <x:c r="J1930" s="9" t="n">
        <x:v>0.1</x:v>
      </x:c>
      <x:c r="K1930" s="7" t="n">
        <x:v>11705.52</x:v>
      </x:c>
      <x:c r="L1930" s="7" t="n">
        <x:v>2584.77</x:v>
      </x:c>
      <x:c r="M1930" s="3" t="str">
        <x:v>UPI</x:v>
      </x:c>
      <x:c r="N1930" s="3" t="str">
        <x:f>TEXT(B1930,"yyyy-mm")</x:f>
        <x:v>2025-06</x:v>
      </x:c>
      <x:c r="O1930" s="3" t="str">
        <x:f>IF(J1930=0,"No discount",IF(J1930&lt;=0.1,"1-10%",IF(J1930&lt;=0.15,"11-15%",IF(J1930&lt;=0.2,"16-20%","21%+"))))</x:f>
        <x:v>1-10%</x:v>
      </x:c>
      <x:c r="P1930" s="9" t="n">
        <x:f>IF(K1930=0,0,L1930/K1930)</x:f>
        <x:v>0.22081633280708587</x:v>
      </x:c>
      <x:c r="Q1930" s="3" t="str">
        <x:f>IF(L1930&lt;0,"Yes","No")</x:f>
        <x:v>No</x:v>
      </x:c>
    </x:row>
    <x:row r="1931" ht="21" customHeight="1">
      <x:c r="A1931" s="3" t="str">
        <x:v>ORD-100226</x:v>
      </x:c>
      <x:c r="B1931" s="5" t="n">
        <x:v>45824</x:v>
      </x:c>
      <x:c r="C1931" s="3" t="str">
        <x:v>CUST-00382</x:v>
      </x:c>
      <x:c r="D1931" s="3" t="str">
        <x:v>North</x:v>
      </x:c>
      <x:c r="E1931" s="3" t="str">
        <x:v>Fashion</x:v>
      </x:c>
      <x:c r="F1931" s="3" t="str">
        <x:v>Women</x:v>
      </x:c>
      <x:c r="G1931" s="3" t="str">
        <x:v>Knit Winter Sweater</x:v>
      </x:c>
      <x:c r="H1931" s="3" t="n">
        <x:v>5</x:v>
      </x:c>
      <x:c r="I1931" s="7" t="n">
        <x:v>2120.36</x:v>
      </x:c>
      <x:c r="J1931" s="9" t="n">
        <x:v>0.3</x:v>
      </x:c>
      <x:c r="K1931" s="7" t="n">
        <x:v>7421.26</x:v>
      </x:c>
      <x:c r="L1931" s="7" t="n">
        <x:v>425.88</x:v>
      </x:c>
      <x:c r="M1931" s="3" t="str">
        <x:v>UPI</x:v>
      </x:c>
      <x:c r="N1931" s="3" t="str">
        <x:f>TEXT(B1931,"yyyy-mm")</x:f>
        <x:v>2025-06</x:v>
      </x:c>
      <x:c r="O1931" s="3" t="str">
        <x:f>IF(J1931=0,"No discount",IF(J1931&lt;=0.1,"1-10%",IF(J1931&lt;=0.15,"11-15%",IF(J1931&lt;=0.2,"16-20%","21%+"))))</x:f>
        <x:v>21%+</x:v>
      </x:c>
      <x:c r="P1931" s="9" t="n">
        <x:f>IF(K1931=0,0,L1931/K1931)</x:f>
        <x:v>0.057386481540870414</x:v>
      </x:c>
      <x:c r="Q1931" s="3" t="str">
        <x:f>IF(L1931&lt;0,"Yes","No")</x:f>
        <x:v>No</x:v>
      </x:c>
    </x:row>
    <x:row r="1932" ht="21" customHeight="1">
      <x:c r="A1932" s="3" t="str">
        <x:v>ORD-100276</x:v>
      </x:c>
      <x:c r="B1932" s="5" t="n">
        <x:v>45824</x:v>
      </x:c>
      <x:c r="C1932" s="3" t="str">
        <x:v>CUST-00141</x:v>
      </x:c>
      <x:c r="D1932" s="3" t="str">
        <x:v>East</x:v>
      </x:c>
      <x:c r="E1932" s="3" t="str">
        <x:v>Sports</x:v>
      </x:c>
      <x:c r="F1932" s="3" t="str">
        <x:v>Outdoor</x:v>
      </x:c>
      <x:c r="G1932" s="3" t="str">
        <x:v>AllWeather Tent 4P</x:v>
      </x:c>
      <x:c r="H1932" s="3" t="n">
        <x:v>1</x:v>
      </x:c>
      <x:c r="I1932" s="7" t="n">
        <x:v>12241.22</x:v>
      </x:c>
      <x:c r="J1932" s="9" t="n">
        <x:v>0</x:v>
      </x:c>
      <x:c r="K1932" s="7" t="n">
        <x:v>12241.22</x:v>
      </x:c>
      <x:c r="L1932" s="7" t="n">
        <x:v>4363.26</x:v>
      </x:c>
      <x:c r="M1932" s="3" t="str">
        <x:v>UPI</x:v>
      </x:c>
      <x:c r="N1932" s="3" t="str">
        <x:f>TEXT(B1932,"yyyy-mm")</x:f>
        <x:v>2025-06</x:v>
      </x:c>
      <x:c r="O1932" s="3" t="str">
        <x:f>IF(J1932=0,"No discount",IF(J1932&lt;=0.1,"1-10%",IF(J1932&lt;=0.15,"11-15%",IF(J1932&lt;=0.2,"16-20%","21%+"))))</x:f>
        <x:v>No discount</x:v>
      </x:c>
      <x:c r="P1932" s="9" t="n">
        <x:f>IF(K1932=0,0,L1932/K1932)</x:f>
        <x:v>0.35643996268345807</x:v>
      </x:c>
      <x:c r="Q1932" s="3" t="str">
        <x:f>IF(L1932&lt;0,"Yes","No")</x:f>
        <x:v>No</x:v>
      </x:c>
    </x:row>
    <x:row r="1933" ht="21" customHeight="1">
      <x:c r="A1933" s="3" t="str">
        <x:v>ORD-100477</x:v>
      </x:c>
      <x:c r="B1933" s="5" t="n">
        <x:v>45824</x:v>
      </x:c>
      <x:c r="C1933" s="3" t="str">
        <x:v>CUST-00422</x:v>
      </x:c>
      <x:c r="D1933" s="3" t="str">
        <x:v>North</x:v>
      </x:c>
      <x:c r="E1933" s="3" t="str">
        <x:v>Fashion</x:v>
      </x:c>
      <x:c r="F1933" s="3" t="str">
        <x:v>Women</x:v>
      </x:c>
      <x:c r="G1933" s="3" t="str">
        <x:v>Knit Winter Sweater</x:v>
      </x:c>
      <x:c r="H1933" s="3" t="n">
        <x:v>1</x:v>
      </x:c>
      <x:c r="I1933" s="7" t="n">
        <x:v>2093.77</x:v>
      </x:c>
      <x:c r="J1933" s="9" t="n">
        <x:v>0.15</x:v>
      </x:c>
      <x:c r="K1933" s="7" t="n">
        <x:v>1779.7</x:v>
      </x:c>
      <x:c r="L1933" s="7" t="n">
        <x:v>396.21</x:v>
      </x:c>
      <x:c r="M1933" s="3" t="str">
        <x:v>Debit Card</x:v>
      </x:c>
      <x:c r="N1933" s="3" t="str">
        <x:f>TEXT(B1933,"yyyy-mm")</x:f>
        <x:v>2025-06</x:v>
      </x:c>
      <x:c r="O1933" s="3" t="str">
        <x:f>IF(J1933=0,"No discount",IF(J1933&lt;=0.1,"1-10%",IF(J1933&lt;=0.15,"11-15%",IF(J1933&lt;=0.2,"16-20%","21%+"))))</x:f>
        <x:v>11-15%</x:v>
      </x:c>
      <x:c r="P1933" s="9" t="n">
        <x:f>IF(K1933=0,0,L1933/K1933)</x:f>
        <x:v>0.22262740911389559</x:v>
      </x:c>
      <x:c r="Q1933" s="3" t="str">
        <x:f>IF(L1933&lt;0,"Yes","No")</x:f>
        <x:v>No</x:v>
      </x:c>
    </x:row>
    <x:row r="1934" ht="21" customHeight="1">
      <x:c r="A1934" s="3" t="str">
        <x:v>ORD-101904</x:v>
      </x:c>
      <x:c r="B1934" s="5" t="n">
        <x:v>45824</x:v>
      </x:c>
      <x:c r="C1934" s="3" t="str">
        <x:v>CUST-00005</x:v>
      </x:c>
      <x:c r="D1934" s="3" t="str">
        <x:v>West</x:v>
      </x:c>
      <x:c r="E1934" s="3" t="str">
        <x:v>Sports</x:v>
      </x:c>
      <x:c r="F1934" s="3" t="str">
        <x:v>Outdoor</x:v>
      </x:c>
      <x:c r="G1934" s="3" t="str">
        <x:v>AllWeather Tent 4P</x:v>
      </x:c>
      <x:c r="H1934" s="3" t="n">
        <x:v>1</x:v>
      </x:c>
      <x:c r="I1934" s="7" t="n">
        <x:v>12155.16</x:v>
      </x:c>
      <x:c r="J1934" s="9" t="n">
        <x:v>0</x:v>
      </x:c>
      <x:c r="K1934" s="7" t="n">
        <x:v>12155.16</x:v>
      </x:c>
      <x:c r="L1934" s="7" t="n">
        <x:v>4785.15</x:v>
      </x:c>
      <x:c r="M1934" s="3" t="str">
        <x:v>Debit Card</x:v>
      </x:c>
      <x:c r="N1934" s="3" t="str">
        <x:f>TEXT(B1934,"yyyy-mm")</x:f>
        <x:v>2025-06</x:v>
      </x:c>
      <x:c r="O1934" s="3" t="str">
        <x:f>IF(J1934=0,"No discount",IF(J1934&lt;=0.1,"1-10%",IF(J1934&lt;=0.15,"11-15%",IF(J1934&lt;=0.2,"16-20%","21%+"))))</x:f>
        <x:v>No discount</x:v>
      </x:c>
      <x:c r="P1934" s="9" t="n">
        <x:f>IF(K1934=0,0,L1934/K1934)</x:f>
        <x:v>0.39367231694194066</x:v>
      </x:c>
      <x:c r="Q1934" s="3" t="str">
        <x:f>IF(L1934&lt;0,"Yes","No")</x:f>
        <x:v>No</x:v>
      </x:c>
    </x:row>
    <x:row r="1935" ht="21" customHeight="1">
      <x:c r="A1935" s="3" t="str">
        <x:v>ORD-100036</x:v>
      </x:c>
      <x:c r="B1935" s="5" t="n">
        <x:v>45825</x:v>
      </x:c>
      <x:c r="C1935" s="3" t="str">
        <x:v>CUST-00245</x:v>
      </x:c>
      <x:c r="D1935" s="3" t="str">
        <x:v>East</x:v>
      </x:c>
      <x:c r="E1935" s="3" t="str">
        <x:v>Sports</x:v>
      </x:c>
      <x:c r="F1935" s="3" t="str">
        <x:v>Outdoor</x:v>
      </x:c>
      <x:c r="G1935" s="3" t="str">
        <x:v>TrailHike Backpack 60L</x:v>
      </x:c>
      <x:c r="H1935" s="3" t="n">
        <x:v>2</x:v>
      </x:c>
      <x:c r="I1935" s="7" t="n">
        <x:v>3414.74</x:v>
      </x:c>
      <x:c r="J1935" s="9" t="n">
        <x:v>0.05</x:v>
      </x:c>
      <x:c r="K1935" s="7" t="n">
        <x:v>6488.01</x:v>
      </x:c>
      <x:c r="L1935" s="7" t="n">
        <x:v>1961.19</x:v>
      </x:c>
      <x:c r="M1935" s="3" t="str">
        <x:v>Debit Card</x:v>
      </x:c>
      <x:c r="N1935" s="3" t="str">
        <x:f>TEXT(B1935,"yyyy-mm")</x:f>
        <x:v>2025-06</x:v>
      </x:c>
      <x:c r="O1935" s="3" t="str">
        <x:f>IF(J1935=0,"No discount",IF(J1935&lt;=0.1,"1-10%",IF(J1935&lt;=0.15,"11-15%",IF(J1935&lt;=0.2,"16-20%","21%+"))))</x:f>
        <x:v>1-10%</x:v>
      </x:c>
      <x:c r="P1935" s="9" t="n">
        <x:f>IF(K1935=0,0,L1935/K1935)</x:f>
        <x:v>0.3022791271900013</x:v>
      </x:c>
      <x:c r="Q1935" s="3" t="str">
        <x:f>IF(L1935&lt;0,"Yes","No")</x:f>
        <x:v>No</x:v>
      </x:c>
    </x:row>
    <x:row r="1936" ht="21" customHeight="1">
      <x:c r="A1936" s="3" t="str">
        <x:v>ORD-100163</x:v>
      </x:c>
      <x:c r="B1936" s="5" t="n">
        <x:v>45825</x:v>
      </x:c>
      <x:c r="C1936" s="3" t="str">
        <x:v>CUST-00308</x:v>
      </x:c>
      <x:c r="D1936" s="3" t="str">
        <x:v>West</x:v>
      </x:c>
      <x:c r="E1936" s="3" t="str">
        <x:v>Fashion</x:v>
      </x:c>
      <x:c r="F1936" s="3" t="str">
        <x:v>Footwear</x:v>
      </x:c>
      <x:c r="G1936" s="3" t="str">
        <x:v>UrbanLoafers</x:v>
      </x:c>
      <x:c r="H1936" s="3" t="n">
        <x:v>2</x:v>
      </x:c>
      <x:c r="I1936" s="7" t="n">
        <x:v>3610.4</x:v>
      </x:c>
      <x:c r="J1936" s="9" t="n">
        <x:v>0.15</x:v>
      </x:c>
      <x:c r="K1936" s="7" t="n">
        <x:v>6137.68</x:v>
      </x:c>
      <x:c r="L1936" s="7" t="n">
        <x:v>1389.89</x:v>
      </x:c>
      <x:c r="M1936" s="3" t="str">
        <x:v>Cash on Delivery</x:v>
      </x:c>
      <x:c r="N1936" s="3" t="str">
        <x:f>TEXT(B1936,"yyyy-mm")</x:f>
        <x:v>2025-06</x:v>
      </x:c>
      <x:c r="O1936" s="3" t="str">
        <x:f>IF(J1936=0,"No discount",IF(J1936&lt;=0.1,"1-10%",IF(J1936&lt;=0.15,"11-15%",IF(J1936&lt;=0.2,"16-20%","21%+"))))</x:f>
        <x:v>11-15%</x:v>
      </x:c>
      <x:c r="P1936" s="9" t="n">
        <x:f>IF(K1936=0,0,L1936/K1936)</x:f>
        <x:v>0.226452014441939</x:v>
      </x:c>
      <x:c r="Q1936" s="3" t="str">
        <x:f>IF(L1936&lt;0,"Yes","No")</x:f>
        <x:v>No</x:v>
      </x:c>
    </x:row>
    <x:row r="1937" ht="21" customHeight="1">
      <x:c r="A1937" s="3" t="str">
        <x:v>ORD-100822</x:v>
      </x:c>
      <x:c r="B1937" s="5" t="n">
        <x:v>45825</x:v>
      </x:c>
      <x:c r="C1937" s="3" t="str">
        <x:v>CUST-00567</x:v>
      </x:c>
      <x:c r="D1937" s="3" t="str">
        <x:v>North</x:v>
      </x:c>
      <x:c r="E1937" s="3" t="str">
        <x:v>Home &amp; Kitchen</x:v>
      </x:c>
      <x:c r="F1937" s="3" t="str">
        <x:v>Appliances</x:v>
      </x:c>
      <x:c r="G1937" s="3" t="str">
        <x:v>AirFryer Deluxe</x:v>
      </x:c>
      <x:c r="H1937" s="3" t="n">
        <x:v>1</x:v>
      </x:c>
      <x:c r="I1937" s="7" t="n">
        <x:v>8163.38</x:v>
      </x:c>
      <x:c r="J1937" s="9" t="n">
        <x:v>0.25</x:v>
      </x:c>
      <x:c r="K1937" s="7" t="n">
        <x:v>6122.53</x:v>
      </x:c>
      <x:c r="L1937" s="7" t="n">
        <x:v>319.9</x:v>
      </x:c>
      <x:c r="M1937" s="3" t="str">
        <x:v>UPI</x:v>
      </x:c>
      <x:c r="N1937" s="3" t="str">
        <x:f>TEXT(B1937,"yyyy-mm")</x:f>
        <x:v>2025-06</x:v>
      </x:c>
      <x:c r="O1937" s="3" t="str">
        <x:f>IF(J1937=0,"No discount",IF(J1937&lt;=0.1,"1-10%",IF(J1937&lt;=0.15,"11-15%",IF(J1937&lt;=0.2,"16-20%","21%+"))))</x:f>
        <x:v>21%+</x:v>
      </x:c>
      <x:c r="P1937" s="9" t="n">
        <x:f>IF(K1937=0,0,L1937/K1937)</x:f>
        <x:v>0.05224964189640557</x:v>
      </x:c>
      <x:c r="Q1937" s="3" t="str">
        <x:f>IF(L1937&lt;0,"Yes","No")</x:f>
        <x:v>No</x:v>
      </x:c>
    </x:row>
    <x:row r="1938" ht="21" customHeight="1">
      <x:c r="A1938" s="3" t="str">
        <x:v>ORD-101289</x:v>
      </x:c>
      <x:c r="B1938" s="5" t="n">
        <x:v>45825</x:v>
      </x:c>
      <x:c r="C1938" s="3" t="str">
        <x:v>CUST-00289</x:v>
      </x:c>
      <x:c r="D1938" s="3" t="str">
        <x:v>West</x:v>
      </x:c>
      <x:c r="E1938" s="3" t="str">
        <x:v>Fashion</x:v>
      </x:c>
      <x:c r="F1938" s="3" t="str">
        <x:v>Women</x:v>
      </x:c>
      <x:c r="G1938" s="3" t="str">
        <x:v>Knit Winter Sweater</x:v>
      </x:c>
      <x:c r="H1938" s="3" t="n">
        <x:v>1</x:v>
      </x:c>
      <x:c r="I1938" s="7" t="n">
        <x:v>2234.26</x:v>
      </x:c>
      <x:c r="J1938" s="9" t="n">
        <x:v>0.1</x:v>
      </x:c>
      <x:c r="K1938" s="7" t="n">
        <x:v>2010.83</x:v>
      </x:c>
      <x:c r="L1938" s="7" t="n">
        <x:v>606.12</x:v>
      </x:c>
      <x:c r="M1938" s="3" t="str">
        <x:v>Debit Card</x:v>
      </x:c>
      <x:c r="N1938" s="3" t="str">
        <x:f>TEXT(B1938,"yyyy-mm")</x:f>
        <x:v>2025-06</x:v>
      </x:c>
      <x:c r="O1938" s="3" t="str">
        <x:f>IF(J1938=0,"No discount",IF(J1938&lt;=0.1,"1-10%",IF(J1938&lt;=0.15,"11-15%",IF(J1938&lt;=0.2,"16-20%","21%+"))))</x:f>
        <x:v>1-10%</x:v>
      </x:c>
      <x:c r="P1938" s="9" t="n">
        <x:f>IF(K1938=0,0,L1938/K1938)</x:f>
        <x:v>0.3014277686328531</x:v>
      </x:c>
      <x:c r="Q1938" s="3" t="str">
        <x:f>IF(L1938&lt;0,"Yes","No")</x:f>
        <x:v>No</x:v>
      </x:c>
    </x:row>
    <x:row r="1939" ht="21" customHeight="1">
      <x:c r="A1939" s="3" t="str">
        <x:v>ORD-101853</x:v>
      </x:c>
      <x:c r="B1939" s="5" t="n">
        <x:v>45825</x:v>
      </x:c>
      <x:c r="C1939" s="3" t="str">
        <x:v>CUST-00091</x:v>
      </x:c>
      <x:c r="D1939" s="3" t="str">
        <x:v>South</x:v>
      </x:c>
      <x:c r="E1939" s="3" t="str">
        <x:v>Electronics</x:v>
      </x:c>
      <x:c r="F1939" s="3" t="str">
        <x:v>Audio</x:v>
      </x:c>
      <x:c r="G1939" s="3" t="str">
        <x:v>BassBoom Speaker</x:v>
      </x:c>
      <x:c r="H1939" s="3" t="n">
        <x:v>4</x:v>
      </x:c>
      <x:c r="I1939" s="7" t="n">
        <x:v>9445.67</x:v>
      </x:c>
      <x:c r="J1939" s="9" t="n">
        <x:v>0.15</x:v>
      </x:c>
      <x:c r="K1939" s="7" t="n">
        <x:v>32115.28</x:v>
      </x:c>
      <x:c r="L1939" s="7" t="n">
        <x:v>-264.1</x:v>
      </x:c>
      <x:c r="M1939" s="3" t="str">
        <x:v>Net Banking</x:v>
      </x:c>
      <x:c r="N1939" s="3" t="str">
        <x:f>TEXT(B1939,"yyyy-mm")</x:f>
        <x:v>2025-06</x:v>
      </x:c>
      <x:c r="O1939" s="3" t="str">
        <x:f>IF(J1939=0,"No discount",IF(J1939&lt;=0.1,"1-10%",IF(J1939&lt;=0.15,"11-15%",IF(J1939&lt;=0.2,"16-20%","21%+"))))</x:f>
        <x:v>11-15%</x:v>
      </x:c>
      <x:c r="P1939" s="9" t="n">
        <x:f>IF(K1939=0,0,L1939/K1939)</x:f>
        <x:v>-0.008223499841819845</x:v>
      </x:c>
      <x:c r="Q1939" s="3" t="str">
        <x:f>IF(L1939&lt;0,"Yes","No")</x:f>
        <x:v>Yes</x:v>
      </x:c>
    </x:row>
    <x:row r="1940" ht="21" customHeight="1">
      <x:c r="A1940" s="3" t="str">
        <x:v>ORD-101980</x:v>
      </x:c>
      <x:c r="B1940" s="5" t="n">
        <x:v>45825</x:v>
      </x:c>
      <x:c r="C1940" s="3" t="str">
        <x:v>CUST-00507</x:v>
      </x:c>
      <x:c r="D1940" s="3" t="str">
        <x:v>East</x:v>
      </x:c>
      <x:c r="E1940" s="3" t="str">
        <x:v>Electronics</x:v>
      </x:c>
      <x:c r="F1940" s="3" t="str">
        <x:v>Laptop</x:v>
      </x:c>
      <x:c r="G1940" s="3" t="str">
        <x:v>AirBook Slim</x:v>
      </x:c>
      <x:c r="H1940" s="3" t="n">
        <x:v>1</x:v>
      </x:c>
      <x:c r="I1940" s="7" t="n">
        <x:v>82855.67</x:v>
      </x:c>
      <x:c r="J1940" s="9" t="n">
        <x:v>0</x:v>
      </x:c>
      <x:c r="K1940" s="7" t="n">
        <x:v>82855.67</x:v>
      </x:c>
      <x:c r="L1940" s="7" t="n">
        <x:v>11638.76</x:v>
      </x:c>
      <x:c r="M1940" s="3" t="str">
        <x:v>UPI</x:v>
      </x:c>
      <x:c r="N1940" s="3" t="str">
        <x:f>TEXT(B1940,"yyyy-mm")</x:f>
        <x:v>2025-06</x:v>
      </x:c>
      <x:c r="O1940" s="3" t="str">
        <x:f>IF(J1940=0,"No discount",IF(J1940&lt;=0.1,"1-10%",IF(J1940&lt;=0.15,"11-15%",IF(J1940&lt;=0.2,"16-20%","21%+"))))</x:f>
        <x:v>No discount</x:v>
      </x:c>
      <x:c r="P1940" s="9" t="n">
        <x:f>IF(K1940=0,0,L1940/K1940)</x:f>
        <x:v>0.1404702900839496</x:v>
      </x:c>
      <x:c r="Q1940" s="3" t="str">
        <x:f>IF(L1940&lt;0,"Yes","No")</x:f>
        <x:v>No</x:v>
      </x:c>
    </x:row>
    <x:row r="1941" ht="21" customHeight="1">
      <x:c r="A1941" s="3" t="str">
        <x:v>ORD-100578</x:v>
      </x:c>
      <x:c r="B1941" s="5" t="n">
        <x:v>45826</x:v>
      </x:c>
      <x:c r="C1941" s="3" t="str">
        <x:v>CUST-00488</x:v>
      </x:c>
      <x:c r="D1941" s="3" t="str">
        <x:v>East</x:v>
      </x:c>
      <x:c r="E1941" s="3" t="str">
        <x:v>Home &amp; Kitchen</x:v>
      </x:c>
      <x:c r="F1941" s="3" t="str">
        <x:v>Appliances</x:v>
      </x:c>
      <x:c r="G1941" s="3" t="str">
        <x:v>AirFryer Deluxe</x:v>
      </x:c>
      <x:c r="H1941" s="3" t="n">
        <x:v>2</x:v>
      </x:c>
      <x:c r="I1941" s="7" t="n">
        <x:v>8363.09</x:v>
      </x:c>
      <x:c r="J1941" s="9" t="n">
        <x:v>0</x:v>
      </x:c>
      <x:c r="K1941" s="7" t="n">
        <x:v>16726.18</x:v>
      </x:c>
      <x:c r="L1941" s="7" t="n">
        <x:v>5575.62</x:v>
      </x:c>
      <x:c r="M1941" s="3" t="str">
        <x:v>Cash on Delivery</x:v>
      </x:c>
      <x:c r="N1941" s="3" t="str">
        <x:f>TEXT(B1941,"yyyy-mm")</x:f>
        <x:v>2025-06</x:v>
      </x:c>
      <x:c r="O1941" s="3" t="str">
        <x:f>IF(J1941=0,"No discount",IF(J1941&lt;=0.1,"1-10%",IF(J1941&lt;=0.15,"11-15%",IF(J1941&lt;=0.2,"16-20%","21%+"))))</x:f>
        <x:v>No discount</x:v>
      </x:c>
      <x:c r="P1941" s="9" t="n">
        <x:f>IF(K1941=0,0,L1941/K1941)</x:f>
        <x:v>0.33334688494324466</x:v>
      </x:c>
      <x:c r="Q1941" s="3" t="str">
        <x:f>IF(L1941&lt;0,"Yes","No")</x:f>
        <x:v>No</x:v>
      </x:c>
    </x:row>
    <x:row r="1942" ht="21" customHeight="1">
      <x:c r="A1942" s="3" t="str">
        <x:v>ORD-101459</x:v>
      </x:c>
      <x:c r="B1942" s="5" t="n">
        <x:v>45826</x:v>
      </x:c>
      <x:c r="C1942" s="3" t="str">
        <x:v>CUST-00277</x:v>
      </x:c>
      <x:c r="D1942" s="3" t="str">
        <x:v>East</x:v>
      </x:c>
      <x:c r="E1942" s="3" t="str">
        <x:v>Beauty</x:v>
      </x:c>
      <x:c r="F1942" s="3" t="str">
        <x:v>Makeup</x:v>
      </x:c>
      <x:c r="G1942" s="3" t="str">
        <x:v>Matte Lipstick Set</x:v>
      </x:c>
      <x:c r="H1942" s="3" t="n">
        <x:v>2</x:v>
      </x:c>
      <x:c r="I1942" s="7" t="n">
        <x:v>1042.47</x:v>
      </x:c>
      <x:c r="J1942" s="9" t="n">
        <x:v>0.05</x:v>
      </x:c>
      <x:c r="K1942" s="7" t="n">
        <x:v>1980.69</x:v>
      </x:c>
      <x:c r="L1942" s="7" t="n">
        <x:v>1052.87</x:v>
      </x:c>
      <x:c r="M1942" s="3" t="str">
        <x:v>Credit Card</x:v>
      </x:c>
      <x:c r="N1942" s="3" t="str">
        <x:f>TEXT(B1942,"yyyy-mm")</x:f>
        <x:v>2025-06</x:v>
      </x:c>
      <x:c r="O1942" s="3" t="str">
        <x:f>IF(J1942=0,"No discount",IF(J1942&lt;=0.1,"1-10%",IF(J1942&lt;=0.15,"11-15%",IF(J1942&lt;=0.2,"16-20%","21%+"))))</x:f>
        <x:v>1-10%</x:v>
      </x:c>
      <x:c r="P1942" s="9" t="n">
        <x:f>IF(K1942=0,0,L1942/K1942)</x:f>
        <x:v>0.53156728210876</x:v>
      </x:c>
      <x:c r="Q1942" s="3" t="str">
        <x:f>IF(L1942&lt;0,"Yes","No")</x:f>
        <x:v>No</x:v>
      </x:c>
    </x:row>
    <x:row r="1943" ht="21" customHeight="1">
      <x:c r="A1943" s="3" t="str">
        <x:v>ORD-100251</x:v>
      </x:c>
      <x:c r="B1943" s="5" t="n">
        <x:v>45827</x:v>
      </x:c>
      <x:c r="C1943" s="3" t="str">
        <x:v>CUST-00549</x:v>
      </x:c>
      <x:c r="D1943" s="3" t="str">
        <x:v>South</x:v>
      </x:c>
      <x:c r="E1943" s="3" t="str">
        <x:v>Electronics</x:v>
      </x:c>
      <x:c r="F1943" s="3" t="str">
        <x:v>Mobile</x:v>
      </x:c>
      <x:c r="G1943" s="3" t="str">
        <x:v>iPhone Zeta</x:v>
      </x:c>
      <x:c r="H1943" s="3" t="n">
        <x:v>1</x:v>
      </x:c>
      <x:c r="I1943" s="7" t="n">
        <x:v>73293.89</x:v>
      </x:c>
      <x:c r="J1943" s="9" t="n">
        <x:v>0.1</x:v>
      </x:c>
      <x:c r="K1943" s="7" t="n">
        <x:v>65964.5</x:v>
      </x:c>
      <x:c r="L1943" s="7" t="n">
        <x:v>4761.19</x:v>
      </x:c>
      <x:c r="M1943" s="3" t="str">
        <x:v>Debit Card</x:v>
      </x:c>
      <x:c r="N1943" s="3" t="str">
        <x:f>TEXT(B1943,"yyyy-mm")</x:f>
        <x:v>2025-06</x:v>
      </x:c>
      <x:c r="O1943" s="3" t="str">
        <x:f>IF(J1943=0,"No discount",IF(J1943&lt;=0.1,"1-10%",IF(J1943&lt;=0.15,"11-15%",IF(J1943&lt;=0.2,"16-20%","21%+"))))</x:f>
        <x:v>1-10%</x:v>
      </x:c>
      <x:c r="P1943" s="9" t="n">
        <x:f>IF(K1943=0,0,L1943/K1943)</x:f>
        <x:v>0.07217806547461134</x:v>
      </x:c>
      <x:c r="Q1943" s="3" t="str">
        <x:f>IF(L1943&lt;0,"Yes","No")</x:f>
        <x:v>No</x:v>
      </x:c>
    </x:row>
    <x:row r="1944" ht="21" customHeight="1">
      <x:c r="A1944" s="3" t="str">
        <x:v>ORD-100327</x:v>
      </x:c>
      <x:c r="B1944" s="5" t="n">
        <x:v>45827</x:v>
      </x:c>
      <x:c r="C1944" s="3" t="str">
        <x:v>CUST-00008</x:v>
      </x:c>
      <x:c r="D1944" s="3" t="str">
        <x:v>East</x:v>
      </x:c>
      <x:c r="E1944" s="3" t="str">
        <x:v>Sports</x:v>
      </x:c>
      <x:c r="F1944" s="3" t="str">
        <x:v>Fitness</x:v>
      </x:c>
      <x:c r="G1944" s="3" t="str">
        <x:v>ProYoga Mat</x:v>
      </x:c>
      <x:c r="H1944" s="3" t="n">
        <x:v>1</x:v>
      </x:c>
      <x:c r="I1944" s="7" t="n">
        <x:v>1287.13</x:v>
      </x:c>
      <x:c r="J1944" s="9" t="n">
        <x:v>0.2</x:v>
      </x:c>
      <x:c r="K1944" s="7" t="n">
        <x:v>1029.7</x:v>
      </x:c>
      <x:c r="L1944" s="7" t="n">
        <x:v>128.84</x:v>
      </x:c>
      <x:c r="M1944" s="3" t="str">
        <x:v>Debit Card</x:v>
      </x:c>
      <x:c r="N1944" s="3" t="str">
        <x:f>TEXT(B1944,"yyyy-mm")</x:f>
        <x:v>2025-06</x:v>
      </x:c>
      <x:c r="O1944" s="3" t="str">
        <x:f>IF(J1944=0,"No discount",IF(J1944&lt;=0.1,"1-10%",IF(J1944&lt;=0.15,"11-15%",IF(J1944&lt;=0.2,"16-20%","21%+"))))</x:f>
        <x:v>16-20%</x:v>
      </x:c>
      <x:c r="P1944" s="9" t="n">
        <x:f>IF(K1944=0,0,L1944/K1944)</x:f>
        <x:v>0.12512382247256482</x:v>
      </x:c>
      <x:c r="Q1944" s="3" t="str">
        <x:f>IF(L1944&lt;0,"Yes","No")</x:f>
        <x:v>No</x:v>
      </x:c>
    </x:row>
    <x:row r="1945" ht="21" customHeight="1">
      <x:c r="A1945" s="3" t="str">
        <x:v>ORD-100459</x:v>
      </x:c>
      <x:c r="B1945" s="5" t="n">
        <x:v>45827</x:v>
      </x:c>
      <x:c r="C1945" s="3" t="str">
        <x:v>CUST-00245</x:v>
      </x:c>
      <x:c r="D1945" s="3" t="str">
        <x:v>North</x:v>
      </x:c>
      <x:c r="E1945" s="3" t="str">
        <x:v>Electronics</x:v>
      </x:c>
      <x:c r="F1945" s="3" t="str">
        <x:v>Audio</x:v>
      </x:c>
      <x:c r="G1945" s="3" t="str">
        <x:v>BassBoom Speaker</x:v>
      </x:c>
      <x:c r="H1945" s="3" t="n">
        <x:v>1</x:v>
      </x:c>
      <x:c r="I1945" s="7" t="n">
        <x:v>9244.28</x:v>
      </x:c>
      <x:c r="J1945" s="9" t="n">
        <x:v>0.15</x:v>
      </x:c>
      <x:c r="K1945" s="7" t="n">
        <x:v>7857.64</x:v>
      </x:c>
      <x:c r="L1945" s="7" t="n">
        <x:v>179.85</x:v>
      </x:c>
      <x:c r="M1945" s="3" t="str">
        <x:v>Credit Card</x:v>
      </x:c>
      <x:c r="N1945" s="3" t="str">
        <x:f>TEXT(B1945,"yyyy-mm")</x:f>
        <x:v>2025-06</x:v>
      </x:c>
      <x:c r="O1945" s="3" t="str">
        <x:f>IF(J1945=0,"No discount",IF(J1945&lt;=0.1,"1-10%",IF(J1945&lt;=0.15,"11-15%",IF(J1945&lt;=0.2,"16-20%","21%+"))))</x:f>
        <x:v>11-15%</x:v>
      </x:c>
      <x:c r="P1945" s="9" t="n">
        <x:f>IF(K1945=0,0,L1945/K1945)</x:f>
        <x:v>0.022888551778905624</x:v>
      </x:c>
      <x:c r="Q1945" s="3" t="str">
        <x:f>IF(L1945&lt;0,"Yes","No")</x:f>
        <x:v>No</x:v>
      </x:c>
    </x:row>
    <x:row r="1946" ht="21" customHeight="1">
      <x:c r="A1946" s="3" t="str">
        <x:v>ORD-100888</x:v>
      </x:c>
      <x:c r="B1946" s="5" t="n">
        <x:v>45827</x:v>
      </x:c>
      <x:c r="C1946" s="3" t="str">
        <x:v>CUST-00175</x:v>
      </x:c>
      <x:c r="D1946" s="3" t="str">
        <x:v>South</x:v>
      </x:c>
      <x:c r="E1946" s="3" t="str">
        <x:v>Home &amp; Kitchen</x:v>
      </x:c>
      <x:c r="F1946" s="3" t="str">
        <x:v>Furniture</x:v>
      </x:c>
      <x:c r="G1946" s="3" t="str">
        <x:v>Oakwood Study Desk</x:v>
      </x:c>
      <x:c r="H1946" s="3" t="n">
        <x:v>5</x:v>
      </x:c>
      <x:c r="I1946" s="7" t="n">
        <x:v>12920.48</x:v>
      </x:c>
      <x:c r="J1946" s="9" t="n">
        <x:v>0</x:v>
      </x:c>
      <x:c r="K1946" s="7" t="n">
        <x:v>64602.4</x:v>
      </x:c>
      <x:c r="L1946" s="7" t="n">
        <x:v>19212.3</x:v>
      </x:c>
      <x:c r="M1946" s="3" t="str">
        <x:v>UPI</x:v>
      </x:c>
      <x:c r="N1946" s="3" t="str">
        <x:f>TEXT(B1946,"yyyy-mm")</x:f>
        <x:v>2025-06</x:v>
      </x:c>
      <x:c r="O1946" s="3" t="str">
        <x:f>IF(J1946=0,"No discount",IF(J1946&lt;=0.1,"1-10%",IF(J1946&lt;=0.15,"11-15%",IF(J1946&lt;=0.2,"16-20%","21%+"))))</x:f>
        <x:v>No discount</x:v>
      </x:c>
      <x:c r="P1946" s="9" t="n">
        <x:f>IF(K1946=0,0,L1946/K1946)</x:f>
        <x:v>0.29739297611234256</x:v>
      </x:c>
      <x:c r="Q1946" s="3" t="str">
        <x:f>IF(L1946&lt;0,"Yes","No")</x:f>
        <x:v>No</x:v>
      </x:c>
    </x:row>
    <x:row r="1947" ht="21" customHeight="1">
      <x:c r="A1947" s="3" t="str">
        <x:v>ORD-100934</x:v>
      </x:c>
      <x:c r="B1947" s="5" t="n">
        <x:v>45827</x:v>
      </x:c>
      <x:c r="C1947" s="3" t="str">
        <x:v>CUST-00213</x:v>
      </x:c>
      <x:c r="D1947" s="3" t="str">
        <x:v>North</x:v>
      </x:c>
      <x:c r="E1947" s="3" t="str">
        <x:v>Fashion</x:v>
      </x:c>
      <x:c r="F1947" s="3" t="str">
        <x:v>Men</x:v>
      </x:c>
      <x:c r="G1947" s="3" t="str">
        <x:v>Oxford Casual Shirt</x:v>
      </x:c>
      <x:c r="H1947" s="3" t="n">
        <x:v>2</x:v>
      </x:c>
      <x:c r="I1947" s="7" t="n">
        <x:v>1258.73</x:v>
      </x:c>
      <x:c r="J1947" s="9" t="n">
        <x:v>0</x:v>
      </x:c>
      <x:c r="K1947" s="7" t="n">
        <x:v>2517.46</x:v>
      </x:c>
      <x:c r="L1947" s="7" t="n">
        <x:v>1123.93</x:v>
      </x:c>
      <x:c r="M1947" s="3" t="str">
        <x:v>Net Banking</x:v>
      </x:c>
      <x:c r="N1947" s="3" t="str">
        <x:f>TEXT(B1947,"yyyy-mm")</x:f>
        <x:v>2025-06</x:v>
      </x:c>
      <x:c r="O1947" s="3" t="str">
        <x:f>IF(J1947=0,"No discount",IF(J1947&lt;=0.1,"1-10%",IF(J1947&lt;=0.15,"11-15%",IF(J1947&lt;=0.2,"16-20%","21%+"))))</x:f>
        <x:v>No discount</x:v>
      </x:c>
      <x:c r="P1947" s="9" t="n">
        <x:f>IF(K1947=0,0,L1947/K1947)</x:f>
        <x:v>0.4464539655049137</x:v>
      </x:c>
      <x:c r="Q1947" s="3" t="str">
        <x:f>IF(L1947&lt;0,"Yes","No")</x:f>
        <x:v>No</x:v>
      </x:c>
    </x:row>
    <x:row r="1948" ht="21" customHeight="1">
      <x:c r="A1948" s="3" t="str">
        <x:v>ORD-101542</x:v>
      </x:c>
      <x:c r="B1948" s="5" t="n">
        <x:v>45827</x:v>
      </x:c>
      <x:c r="C1948" s="3" t="str">
        <x:v>CUST-00187</x:v>
      </x:c>
      <x:c r="D1948" s="3" t="str">
        <x:v>South</x:v>
      </x:c>
      <x:c r="E1948" s="3" t="str">
        <x:v>Home &amp; Kitchen</x:v>
      </x:c>
      <x:c r="F1948" s="3" t="str">
        <x:v>Furniture</x:v>
      </x:c>
      <x:c r="G1948" s="3" t="str">
        <x:v>ErgoComfort Chair</x:v>
      </x:c>
      <x:c r="H1948" s="3" t="n">
        <x:v>3</x:v>
      </x:c>
      <x:c r="I1948" s="7" t="n">
        <x:v>8995.71</x:v>
      </x:c>
      <x:c r="J1948" s="9" t="n">
        <x:v>0</x:v>
      </x:c>
      <x:c r="K1948" s="7" t="n">
        <x:v>26987.13</x:v>
      </x:c>
      <x:c r="L1948" s="7" t="n">
        <x:v>9712.88</x:v>
      </x:c>
      <x:c r="M1948" s="3" t="str">
        <x:v>UPI</x:v>
      </x:c>
      <x:c r="N1948" s="3" t="str">
        <x:f>TEXT(B1948,"yyyy-mm")</x:f>
        <x:v>2025-06</x:v>
      </x:c>
      <x:c r="O1948" s="3" t="str">
        <x:f>IF(J1948=0,"No discount",IF(J1948&lt;=0.1,"1-10%",IF(J1948&lt;=0.15,"11-15%",IF(J1948&lt;=0.2,"16-20%","21%+"))))</x:f>
        <x:v>No discount</x:v>
      </x:c>
      <x:c r="P1948" s="9" t="n">
        <x:f>IF(K1948=0,0,L1948/K1948)</x:f>
        <x:v>0.3599078523725939</x:v>
      </x:c>
      <x:c r="Q1948" s="3" t="str">
        <x:f>IF(L1948&lt;0,"Yes","No")</x:f>
        <x:v>No</x:v>
      </x:c>
    </x:row>
    <x:row r="1949" ht="21" customHeight="1">
      <x:c r="A1949" s="3" t="str">
        <x:v>ORD-101679</x:v>
      </x:c>
      <x:c r="B1949" s="5" t="n">
        <x:v>45827</x:v>
      </x:c>
      <x:c r="C1949" s="3" t="str">
        <x:v>CUST-00218</x:v>
      </x:c>
      <x:c r="D1949" s="3" t="str">
        <x:v>North</x:v>
      </x:c>
      <x:c r="E1949" s="3" t="str">
        <x:v>Home &amp; Kitchen</x:v>
      </x:c>
      <x:c r="F1949" s="3" t="str">
        <x:v>Appliances</x:v>
      </x:c>
      <x:c r="G1949" s="3" t="str">
        <x:v>ColdBrew Coffee Maker</x:v>
      </x:c>
      <x:c r="H1949" s="3" t="n">
        <x:v>1</x:v>
      </x:c>
      <x:c r="I1949" s="7" t="n">
        <x:v>6594.89</x:v>
      </x:c>
      <x:c r="J1949" s="9" t="n">
        <x:v>0.05</x:v>
      </x:c>
      <x:c r="K1949" s="7" t="n">
        <x:v>6265.15</x:v>
      </x:c>
      <x:c r="L1949" s="7" t="n">
        <x:v>1662.43</x:v>
      </x:c>
      <x:c r="M1949" s="3" t="str">
        <x:v>UPI</x:v>
      </x:c>
      <x:c r="N1949" s="3" t="str">
        <x:f>TEXT(B1949,"yyyy-mm")</x:f>
        <x:v>2025-06</x:v>
      </x:c>
      <x:c r="O1949" s="3" t="str">
        <x:f>IF(J1949=0,"No discount",IF(J1949&lt;=0.1,"1-10%",IF(J1949&lt;=0.15,"11-15%",IF(J1949&lt;=0.2,"16-20%","21%+"))))</x:f>
        <x:v>1-10%</x:v>
      </x:c>
      <x:c r="P1949" s="9" t="n">
        <x:f>IF(K1949=0,0,L1949/K1949)</x:f>
        <x:v>0.2653456022601215</x:v>
      </x:c>
      <x:c r="Q1949" s="3" t="str">
        <x:f>IF(L1949&lt;0,"Yes","No")</x:f>
        <x:v>No</x:v>
      </x:c>
    </x:row>
    <x:row r="1950" ht="21" customHeight="1">
      <x:c r="A1950" s="3" t="str">
        <x:v>ORD-101783</x:v>
      </x:c>
      <x:c r="B1950" s="5" t="n">
        <x:v>45827</x:v>
      </x:c>
      <x:c r="C1950" s="3" t="str">
        <x:v>CUST-00207</x:v>
      </x:c>
      <x:c r="D1950" s="3" t="str">
        <x:v>North</x:v>
      </x:c>
      <x:c r="E1950" s="3" t="str">
        <x:v>Sports</x:v>
      </x:c>
      <x:c r="F1950" s="3" t="str">
        <x:v>Outdoor</x:v>
      </x:c>
      <x:c r="G1950" s="3" t="str">
        <x:v>AllWeather Tent 4P</x:v>
      </x:c>
      <x:c r="H1950" s="3" t="n">
        <x:v>1</x:v>
      </x:c>
      <x:c r="I1950" s="7" t="n">
        <x:v>12130.58</x:v>
      </x:c>
      <x:c r="J1950" s="9" t="n">
        <x:v>0.05</x:v>
      </x:c>
      <x:c r="K1950" s="7" t="n">
        <x:v>11524.05</x:v>
      </x:c>
      <x:c r="L1950" s="7" t="n">
        <x:v>4136.6</x:v>
      </x:c>
      <x:c r="M1950" s="3" t="str">
        <x:v>UPI</x:v>
      </x:c>
      <x:c r="N1950" s="3" t="str">
        <x:f>TEXT(B1950,"yyyy-mm")</x:f>
        <x:v>2025-06</x:v>
      </x:c>
      <x:c r="O1950" s="3" t="str">
        <x:f>IF(J1950=0,"No discount",IF(J1950&lt;=0.1,"1-10%",IF(J1950&lt;=0.15,"11-15%",IF(J1950&lt;=0.2,"16-20%","21%+"))))</x:f>
        <x:v>1-10%</x:v>
      </x:c>
      <x:c r="P1950" s="9" t="n">
        <x:f>IF(K1950=0,0,L1950/K1950)</x:f>
        <x:v>0.35895366646274535</x:v>
      </x:c>
      <x:c r="Q1950" s="3" t="str">
        <x:f>IF(L1950&lt;0,"Yes","No")</x:f>
        <x:v>No</x:v>
      </x:c>
    </x:row>
    <x:row r="1951" ht="21" customHeight="1">
      <x:c r="A1951" s="3" t="str">
        <x:v>ORD-100098</x:v>
      </x:c>
      <x:c r="B1951" s="5" t="n">
        <x:v>45828</x:v>
      </x:c>
      <x:c r="C1951" s="3" t="str">
        <x:v>CUST-00318</x:v>
      </x:c>
      <x:c r="D1951" s="3" t="str">
        <x:v>North</x:v>
      </x:c>
      <x:c r="E1951" s="3" t="str">
        <x:v>Fashion</x:v>
      </x:c>
      <x:c r="F1951" s="3" t="str">
        <x:v>Footwear</x:v>
      </x:c>
      <x:c r="G1951" s="3" t="str">
        <x:v>UrbanLoafers</x:v>
      </x:c>
      <x:c r="H1951" s="3" t="n">
        <x:v>3</x:v>
      </x:c>
      <x:c r="I1951" s="7" t="n">
        <x:v>3354.89</x:v>
      </x:c>
      <x:c r="J1951" s="9" t="n">
        <x:v>0.25</x:v>
      </x:c>
      <x:c r="K1951" s="7" t="n">
        <x:v>7548.5</x:v>
      </x:c>
      <x:c r="L1951" s="7" t="n">
        <x:v>1208.2</x:v>
      </x:c>
      <x:c r="M1951" s="3" t="str">
        <x:v>Credit Card</x:v>
      </x:c>
      <x:c r="N1951" s="3" t="str">
        <x:f>TEXT(B1951,"yyyy-mm")</x:f>
        <x:v>2025-06</x:v>
      </x:c>
      <x:c r="O1951" s="3" t="str">
        <x:f>IF(J1951=0,"No discount",IF(J1951&lt;=0.1,"1-10%",IF(J1951&lt;=0.15,"11-15%",IF(J1951&lt;=0.2,"16-20%","21%+"))))</x:f>
        <x:v>21%+</x:v>
      </x:c>
      <x:c r="P1951" s="9" t="n">
        <x:f>IF(K1951=0,0,L1951/K1951)</x:f>
        <x:v>0.1600582897264357</x:v>
      </x:c>
      <x:c r="Q1951" s="3" t="str">
        <x:f>IF(L1951&lt;0,"Yes","No")</x:f>
        <x:v>No</x:v>
      </x:c>
    </x:row>
    <x:row r="1952" ht="21" customHeight="1">
      <x:c r="A1952" s="3" t="str">
        <x:v>ORD-100894</x:v>
      </x:c>
      <x:c r="B1952" s="5" t="n">
        <x:v>45828</x:v>
      </x:c>
      <x:c r="C1952" s="3" t="str">
        <x:v>CUST-00582</x:v>
      </x:c>
      <x:c r="D1952" s="3" t="str">
        <x:v>East</x:v>
      </x:c>
      <x:c r="E1952" s="3" t="str">
        <x:v>Home &amp; Kitchen</x:v>
      </x:c>
      <x:c r="F1952" s="3" t="str">
        <x:v>Appliances</x:v>
      </x:c>
      <x:c r="G1952" s="3" t="str">
        <x:v>ColdBrew Coffee Maker</x:v>
      </x:c>
      <x:c r="H1952" s="3" t="n">
        <x:v>2</x:v>
      </x:c>
      <x:c r="I1952" s="7" t="n">
        <x:v>6282.18</x:v>
      </x:c>
      <x:c r="J1952" s="9" t="n">
        <x:v>0</x:v>
      </x:c>
      <x:c r="K1952" s="7" t="n">
        <x:v>12564.36</x:v>
      </x:c>
      <x:c r="L1952" s="7" t="n">
        <x:v>3945.79</x:v>
      </x:c>
      <x:c r="M1952" s="3" t="str">
        <x:v>Credit Card</x:v>
      </x:c>
      <x:c r="N1952" s="3" t="str">
        <x:f>TEXT(B1952,"yyyy-mm")</x:f>
        <x:v>2025-06</x:v>
      </x:c>
      <x:c r="O1952" s="3" t="str">
        <x:f>IF(J1952=0,"No discount",IF(J1952&lt;=0.1,"1-10%",IF(J1952&lt;=0.15,"11-15%",IF(J1952&lt;=0.2,"16-20%","21%+"))))</x:f>
        <x:v>No discount</x:v>
      </x:c>
      <x:c r="P1952" s="9" t="n">
        <x:f>IF(K1952=0,0,L1952/K1952)</x:f>
        <x:v>0.3140462387260473</x:v>
      </x:c>
      <x:c r="Q1952" s="3" t="str">
        <x:f>IF(L1952&lt;0,"Yes","No")</x:f>
        <x:v>No</x:v>
      </x:c>
    </x:row>
    <x:row r="1953" ht="21" customHeight="1">
      <x:c r="A1953" s="3" t="str">
        <x:v>ORD-100907</x:v>
      </x:c>
      <x:c r="B1953" s="5" t="n">
        <x:v>45828</x:v>
      </x:c>
      <x:c r="C1953" s="3" t="str">
        <x:v>CUST-00042</x:v>
      </x:c>
      <x:c r="D1953" s="3" t="str">
        <x:v>West</x:v>
      </x:c>
      <x:c r="E1953" s="3" t="str">
        <x:v>Sports</x:v>
      </x:c>
      <x:c r="F1953" s="3" t="str">
        <x:v>Outdoor</x:v>
      </x:c>
      <x:c r="G1953" s="3" t="str">
        <x:v>AllWeather Tent 4P</x:v>
      </x:c>
      <x:c r="H1953" s="3" t="n">
        <x:v>1</x:v>
      </x:c>
      <x:c r="I1953" s="7" t="n">
        <x:v>12139.68</x:v>
      </x:c>
      <x:c r="J1953" s="9" t="n">
        <x:v>0.05</x:v>
      </x:c>
      <x:c r="K1953" s="7" t="n">
        <x:v>11532.7</x:v>
      </x:c>
      <x:c r="L1953" s="7" t="n">
        <x:v>4105.66</x:v>
      </x:c>
      <x:c r="M1953" s="3" t="str">
        <x:v>Cash on Delivery</x:v>
      </x:c>
      <x:c r="N1953" s="3" t="str">
        <x:f>TEXT(B1953,"yyyy-mm")</x:f>
        <x:v>2025-06</x:v>
      </x:c>
      <x:c r="O1953" s="3" t="str">
        <x:f>IF(J1953=0,"No discount",IF(J1953&lt;=0.1,"1-10%",IF(J1953&lt;=0.15,"11-15%",IF(J1953&lt;=0.2,"16-20%","21%+"))))</x:f>
        <x:v>1-10%</x:v>
      </x:c>
      <x:c r="P1953" s="9" t="n">
        <x:f>IF(K1953=0,0,L1953/K1953)</x:f>
        <x:v>0.35600163014732017</x:v>
      </x:c>
      <x:c r="Q1953" s="3" t="str">
        <x:f>IF(L1953&lt;0,"Yes","No")</x:f>
        <x:v>No</x:v>
      </x:c>
    </x:row>
    <x:row r="1954" ht="21" customHeight="1">
      <x:c r="A1954" s="3" t="str">
        <x:v>ORD-100976</x:v>
      </x:c>
      <x:c r="B1954" s="5" t="n">
        <x:v>45828</x:v>
      </x:c>
      <x:c r="C1954" s="3" t="str">
        <x:v>CUST-00483</x:v>
      </x:c>
      <x:c r="D1954" s="3" t="str">
        <x:v>East</x:v>
      </x:c>
      <x:c r="E1954" s="3" t="str">
        <x:v>Electronics</x:v>
      </x:c>
      <x:c r="F1954" s="3" t="str">
        <x:v>Audio</x:v>
      </x:c>
      <x:c r="G1954" s="3" t="str">
        <x:v>SoundPods Pro</x:v>
      </x:c>
      <x:c r="H1954" s="3" t="n">
        <x:v>1</x:v>
      </x:c>
      <x:c r="I1954" s="7" t="n">
        <x:v>4886.76</x:v>
      </x:c>
      <x:c r="J1954" s="9" t="n">
        <x:v>0</x:v>
      </x:c>
      <x:c r="K1954" s="7" t="n">
        <x:v>4886.76</x:v>
      </x:c>
      <x:c r="L1954" s="7" t="n">
        <x:v>812.17</x:v>
      </x:c>
      <x:c r="M1954" s="3" t="str">
        <x:v>Credit Card</x:v>
      </x:c>
      <x:c r="N1954" s="3" t="str">
        <x:f>TEXT(B1954,"yyyy-mm")</x:f>
        <x:v>2025-06</x:v>
      </x:c>
      <x:c r="O1954" s="3" t="str">
        <x:f>IF(J1954=0,"No discount",IF(J1954&lt;=0.1,"1-10%",IF(J1954&lt;=0.15,"11-15%",IF(J1954&lt;=0.2,"16-20%","21%+"))))</x:f>
        <x:v>No discount</x:v>
      </x:c>
      <x:c r="P1954" s="9" t="n">
        <x:f>IF(K1954=0,0,L1954/K1954)</x:f>
        <x:v>0.16619805351603106</x:v>
      </x:c>
      <x:c r="Q1954" s="3" t="str">
        <x:f>IF(L1954&lt;0,"Yes","No")</x:f>
        <x:v>No</x:v>
      </x:c>
    </x:row>
    <x:row r="1955" ht="21" customHeight="1">
      <x:c r="A1955" s="3" t="str">
        <x:v>ORD-100164</x:v>
      </x:c>
      <x:c r="B1955" s="5" t="n">
        <x:v>45829</x:v>
      </x:c>
      <x:c r="C1955" s="3" t="str">
        <x:v>CUST-00427</x:v>
      </x:c>
      <x:c r="D1955" s="3" t="str">
        <x:v>West</x:v>
      </x:c>
      <x:c r="E1955" s="3" t="str">
        <x:v>Home &amp; Kitchen</x:v>
      </x:c>
      <x:c r="F1955" s="3" t="str">
        <x:v>Furniture</x:v>
      </x:c>
      <x:c r="G1955" s="3" t="str">
        <x:v>Oakwood Study Desk</x:v>
      </x:c>
      <x:c r="H1955" s="3" t="n">
        <x:v>2</x:v>
      </x:c>
      <x:c r="I1955" s="7" t="n">
        <x:v>12993.31</x:v>
      </x:c>
      <x:c r="J1955" s="9" t="n">
        <x:v>0.05</x:v>
      </x:c>
      <x:c r="K1955" s="7" t="n">
        <x:v>24687.29</x:v>
      </x:c>
      <x:c r="L1955" s="7" t="n">
        <x:v>7660.05</x:v>
      </x:c>
      <x:c r="M1955" s="3" t="str">
        <x:v>Credit Card</x:v>
      </x:c>
      <x:c r="N1955" s="3" t="str">
        <x:f>TEXT(B1955,"yyyy-mm")</x:f>
        <x:v>2025-06</x:v>
      </x:c>
      <x:c r="O1955" s="3" t="str">
        <x:f>IF(J1955=0,"No discount",IF(J1955&lt;=0.1,"1-10%",IF(J1955&lt;=0.15,"11-15%",IF(J1955&lt;=0.2,"16-20%","21%+"))))</x:f>
        <x:v>1-10%</x:v>
      </x:c>
      <x:c r="P1955" s="9" t="n">
        <x:f>IF(K1955=0,0,L1955/K1955)</x:f>
        <x:v>0.31028314569966975</x:v>
      </x:c>
      <x:c r="Q1955" s="3" t="str">
        <x:f>IF(L1955&lt;0,"Yes","No")</x:f>
        <x:v>No</x:v>
      </x:c>
    </x:row>
    <x:row r="1956" ht="21" customHeight="1">
      <x:c r="A1956" s="3" t="str">
        <x:v>ORD-100868</x:v>
      </x:c>
      <x:c r="B1956" s="5" t="n">
        <x:v>45829</x:v>
      </x:c>
      <x:c r="C1956" s="3" t="str">
        <x:v>CUST-00561</x:v>
      </x:c>
      <x:c r="D1956" s="3" t="str">
        <x:v>South</x:v>
      </x:c>
      <x:c r="E1956" s="3" t="str">
        <x:v>Fashion</x:v>
      </x:c>
      <x:c r="F1956" s="3" t="str">
        <x:v>Footwear</x:v>
      </x:c>
      <x:c r="G1956" s="3" t="str">
        <x:v>RunFlex Sneakers</x:v>
      </x:c>
      <x:c r="H1956" s="3" t="n">
        <x:v>1</x:v>
      </x:c>
      <x:c r="I1956" s="7" t="n">
        <x:v>3140.53</x:v>
      </x:c>
      <x:c r="J1956" s="9" t="n">
        <x:v>0.05</x:v>
      </x:c>
      <x:c r="K1956" s="7" t="n">
        <x:v>2983.5</x:v>
      </x:c>
      <x:c r="L1956" s="7" t="n">
        <x:v>971.5</x:v>
      </x:c>
      <x:c r="M1956" s="3" t="str">
        <x:v>UPI</x:v>
      </x:c>
      <x:c r="N1956" s="3" t="str">
        <x:f>TEXT(B1956,"yyyy-mm")</x:f>
        <x:v>2025-06</x:v>
      </x:c>
      <x:c r="O1956" s="3" t="str">
        <x:f>IF(J1956=0,"No discount",IF(J1956&lt;=0.1,"1-10%",IF(J1956&lt;=0.15,"11-15%",IF(J1956&lt;=0.2,"16-20%","21%+"))))</x:f>
        <x:v>1-10%</x:v>
      </x:c>
      <x:c r="P1956" s="9" t="n">
        <x:f>IF(K1956=0,0,L1956/K1956)</x:f>
        <x:v>0.3256242668007374</x:v>
      </x:c>
      <x:c r="Q1956" s="3" t="str">
        <x:f>IF(L1956&lt;0,"Yes","No")</x:f>
        <x:v>No</x:v>
      </x:c>
    </x:row>
    <x:row r="1957" ht="21" customHeight="1">
      <x:c r="A1957" s="3" t="str">
        <x:v>ORD-100930</x:v>
      </x:c>
      <x:c r="B1957" s="5" t="n">
        <x:v>45829</x:v>
      </x:c>
      <x:c r="C1957" s="3" t="str">
        <x:v>CUST-00496</x:v>
      </x:c>
      <x:c r="D1957" s="3" t="str">
        <x:v>West</x:v>
      </x:c>
      <x:c r="E1957" s="3" t="str">
        <x:v>Home &amp; Kitchen</x:v>
      </x:c>
      <x:c r="F1957" s="3" t="str">
        <x:v>Appliances</x:v>
      </x:c>
      <x:c r="G1957" s="3" t="str">
        <x:v>AirFryer Deluxe</x:v>
      </x:c>
      <x:c r="H1957" s="3" t="n">
        <x:v>2</x:v>
      </x:c>
      <x:c r="I1957" s="7" t="n">
        <x:v>8017.67</x:v>
      </x:c>
      <x:c r="J1957" s="9" t="n">
        <x:v>0.05</x:v>
      </x:c>
      <x:c r="K1957" s="7" t="n">
        <x:v>15233.57</x:v>
      </x:c>
      <x:c r="L1957" s="7" t="n">
        <x:v>4002.44</x:v>
      </x:c>
      <x:c r="M1957" s="3" t="str">
        <x:v>Credit Card</x:v>
      </x:c>
      <x:c r="N1957" s="3" t="str">
        <x:f>TEXT(B1957,"yyyy-mm")</x:f>
        <x:v>2025-06</x:v>
      </x:c>
      <x:c r="O1957" s="3" t="str">
        <x:f>IF(J1957=0,"No discount",IF(J1957&lt;=0.1,"1-10%",IF(J1957&lt;=0.15,"11-15%",IF(J1957&lt;=0.2,"16-20%","21%+"))))</x:f>
        <x:v>1-10%</x:v>
      </x:c>
      <x:c r="P1957" s="9" t="n">
        <x:f>IF(K1957=0,0,L1957/K1957)</x:f>
        <x:v>0.26273815001998874</x:v>
      </x:c>
      <x:c r="Q1957" s="3" t="str">
        <x:f>IF(L1957&lt;0,"Yes","No")</x:f>
        <x:v>No</x:v>
      </x:c>
    </x:row>
    <x:row r="1958" ht="21" customHeight="1">
      <x:c r="A1958" s="3" t="str">
        <x:v>ORD-101163</x:v>
      </x:c>
      <x:c r="B1958" s="5" t="n">
        <x:v>45829</x:v>
      </x:c>
      <x:c r="C1958" s="3" t="str">
        <x:v>CUST-00103</x:v>
      </x:c>
      <x:c r="D1958" s="3" t="str">
        <x:v>West</x:v>
      </x:c>
      <x:c r="E1958" s="3" t="str">
        <x:v>Electronics</x:v>
      </x:c>
      <x:c r="F1958" s="3" t="str">
        <x:v>Audio</x:v>
      </x:c>
      <x:c r="G1958" s="3" t="str">
        <x:v>BassBoom Speaker</x:v>
      </x:c>
      <x:c r="H1958" s="3" t="n">
        <x:v>1</x:v>
      </x:c>
      <x:c r="I1958" s="7" t="n">
        <x:v>8818.86</x:v>
      </x:c>
      <x:c r="J1958" s="9" t="n">
        <x:v>0.05</x:v>
      </x:c>
      <x:c r="K1958" s="7" t="n">
        <x:v>8377.92</x:v>
      </x:c>
      <x:c r="L1958" s="7" t="n">
        <x:v>706.41</x:v>
      </x:c>
      <x:c r="M1958" s="3" t="str">
        <x:v>UPI</x:v>
      </x:c>
      <x:c r="N1958" s="3" t="str">
        <x:f>TEXT(B1958,"yyyy-mm")</x:f>
        <x:v>2025-06</x:v>
      </x:c>
      <x:c r="O1958" s="3" t="str">
        <x:f>IF(J1958=0,"No discount",IF(J1958&lt;=0.1,"1-10%",IF(J1958&lt;=0.15,"11-15%",IF(J1958&lt;=0.2,"16-20%","21%+"))))</x:f>
        <x:v>1-10%</x:v>
      </x:c>
      <x:c r="P1958" s="9" t="n">
        <x:f>IF(K1958=0,0,L1958/K1958)</x:f>
        <x:v>0.08431806462701959</x:v>
      </x:c>
      <x:c r="Q1958" s="3" t="str">
        <x:f>IF(L1958&lt;0,"Yes","No")</x:f>
        <x:v>No</x:v>
      </x:c>
    </x:row>
    <x:row r="1959" ht="21" customHeight="1">
      <x:c r="A1959" s="3" t="str">
        <x:v>ORD-101261</x:v>
      </x:c>
      <x:c r="B1959" s="5" t="n">
        <x:v>45829</x:v>
      </x:c>
      <x:c r="C1959" s="3" t="str">
        <x:v>CUST-00437</x:v>
      </x:c>
      <x:c r="D1959" s="3" t="str">
        <x:v>West</x:v>
      </x:c>
      <x:c r="E1959" s="3" t="str">
        <x:v>Electronics</x:v>
      </x:c>
      <x:c r="F1959" s="3" t="str">
        <x:v>Laptop</x:v>
      </x:c>
      <x:c r="G1959" s="3" t="str">
        <x:v>ThinkPro 14</x:v>
      </x:c>
      <x:c r="H1959" s="3" t="n">
        <x:v>1</x:v>
      </x:c>
      <x:c r="I1959" s="7" t="n">
        <x:v>53864.1</x:v>
      </x:c>
      <x:c r="J1959" s="9" t="n">
        <x:v>0</x:v>
      </x:c>
      <x:c r="K1959" s="7" t="n">
        <x:v>53864.1</x:v>
      </x:c>
      <x:c r="L1959" s="7" t="n">
        <x:v>8004.3</x:v>
      </x:c>
      <x:c r="M1959" s="3" t="str">
        <x:v>UPI</x:v>
      </x:c>
      <x:c r="N1959" s="3" t="str">
        <x:f>TEXT(B1959,"yyyy-mm")</x:f>
        <x:v>2025-06</x:v>
      </x:c>
      <x:c r="O1959" s="3" t="str">
        <x:f>IF(J1959=0,"No discount",IF(J1959&lt;=0.1,"1-10%",IF(J1959&lt;=0.15,"11-15%",IF(J1959&lt;=0.2,"16-20%","21%+"))))</x:f>
        <x:v>No discount</x:v>
      </x:c>
      <x:c r="P1959" s="9" t="n">
        <x:f>IF(K1959=0,0,L1959/K1959)</x:f>
        <x:v>0.1486017588709363</x:v>
      </x:c>
      <x:c r="Q1959" s="3" t="str">
        <x:f>IF(L1959&lt;0,"Yes","No")</x:f>
        <x:v>No</x:v>
      </x:c>
    </x:row>
    <x:row r="1960" ht="21" customHeight="1">
      <x:c r="A1960" s="3" t="str">
        <x:v>ORD-100116</x:v>
      </x:c>
      <x:c r="B1960" s="5" t="n">
        <x:v>45830</x:v>
      </x:c>
      <x:c r="C1960" s="3" t="str">
        <x:v>CUST-00520</x:v>
      </x:c>
      <x:c r="D1960" s="3" t="str">
        <x:v>West</x:v>
      </x:c>
      <x:c r="E1960" s="3" t="str">
        <x:v>Sports</x:v>
      </x:c>
      <x:c r="F1960" s="3" t="str">
        <x:v>Fitness</x:v>
      </x:c>
      <x:c r="G1960" s="3" t="str">
        <x:v>Adjustable Dumbbell 24kg</x:v>
      </x:c>
      <x:c r="H1960" s="3" t="n">
        <x:v>1</x:v>
      </x:c>
      <x:c r="I1960" s="7" t="n">
        <x:v>10163.35</x:v>
      </x:c>
      <x:c r="J1960" s="9" t="n">
        <x:v>0.05</x:v>
      </x:c>
      <x:c r="K1960" s="7" t="n">
        <x:v>9655.18</x:v>
      </x:c>
      <x:c r="L1960" s="7" t="n">
        <x:v>2793.72</x:v>
      </x:c>
      <x:c r="M1960" s="3" t="str">
        <x:v>UPI</x:v>
      </x:c>
      <x:c r="N1960" s="3" t="str">
        <x:f>TEXT(B1960,"yyyy-mm")</x:f>
        <x:v>2025-06</x:v>
      </x:c>
      <x:c r="O1960" s="3" t="str">
        <x:f>IF(J1960=0,"No discount",IF(J1960&lt;=0.1,"1-10%",IF(J1960&lt;=0.15,"11-15%",IF(J1960&lt;=0.2,"16-20%","21%+"))))</x:f>
        <x:v>1-10%</x:v>
      </x:c>
      <x:c r="P1960" s="9" t="n">
        <x:f>IF(K1960=0,0,L1960/K1960)</x:f>
        <x:v>0.28934934408265817</x:v>
      </x:c>
      <x:c r="Q1960" s="3" t="str">
        <x:f>IF(L1960&lt;0,"Yes","No")</x:f>
        <x:v>No</x:v>
      </x:c>
    </x:row>
    <x:row r="1961" ht="21" customHeight="1">
      <x:c r="A1961" s="3" t="str">
        <x:v>ORD-100806</x:v>
      </x:c>
      <x:c r="B1961" s="5" t="n">
        <x:v>45830</x:v>
      </x:c>
      <x:c r="C1961" s="3" t="str">
        <x:v>CUST-00332</x:v>
      </x:c>
      <x:c r="D1961" s="3" t="str">
        <x:v>West</x:v>
      </x:c>
      <x:c r="E1961" s="3" t="str">
        <x:v>Sports</x:v>
      </x:c>
      <x:c r="F1961" s="3" t="str">
        <x:v>Fitness</x:v>
      </x:c>
      <x:c r="G1961" s="3" t="str">
        <x:v>Adjustable Dumbbell 24kg</x:v>
      </x:c>
      <x:c r="H1961" s="3" t="n">
        <x:v>1</x:v>
      </x:c>
      <x:c r="I1961" s="7" t="n">
        <x:v>10157.96</x:v>
      </x:c>
      <x:c r="J1961" s="9" t="n">
        <x:v>0.05</x:v>
      </x:c>
      <x:c r="K1961" s="7" t="n">
        <x:v>9650.06</x:v>
      </x:c>
      <x:c r="L1961" s="7" t="n">
        <x:v>3170.85</x:v>
      </x:c>
      <x:c r="M1961" s="3" t="str">
        <x:v>Debit Card</x:v>
      </x:c>
      <x:c r="N1961" s="3" t="str">
        <x:f>TEXT(B1961,"yyyy-mm")</x:f>
        <x:v>2025-06</x:v>
      </x:c>
      <x:c r="O1961" s="3" t="str">
        <x:f>IF(J1961=0,"No discount",IF(J1961&lt;=0.1,"1-10%",IF(J1961&lt;=0.15,"11-15%",IF(J1961&lt;=0.2,"16-20%","21%+"))))</x:f>
        <x:v>1-10%</x:v>
      </x:c>
      <x:c r="P1961" s="9" t="n">
        <x:f>IF(K1961=0,0,L1961/K1961)</x:f>
        <x:v>0.3285834492220774</x:v>
      </x:c>
      <x:c r="Q1961" s="3" t="str">
        <x:f>IF(L1961&lt;0,"Yes","No")</x:f>
        <x:v>No</x:v>
      </x:c>
    </x:row>
    <x:row r="1962" ht="21" customHeight="1">
      <x:c r="A1962" s="3" t="str">
        <x:v>ORD-100386</x:v>
      </x:c>
      <x:c r="B1962" s="5" t="n">
        <x:v>45831</x:v>
      </x:c>
      <x:c r="C1962" s="3" t="str">
        <x:v>CUST-00175</x:v>
      </x:c>
      <x:c r="D1962" s="3" t="str">
        <x:v>East</x:v>
      </x:c>
      <x:c r="E1962" s="3" t="str">
        <x:v>Fashion</x:v>
      </x:c>
      <x:c r="F1962" s="3" t="str">
        <x:v>Men</x:v>
      </x:c>
      <x:c r="G1962" s="3" t="str">
        <x:v>Oxford Casual Shirt</x:v>
      </x:c>
      <x:c r="H1962" s="3" t="n">
        <x:v>1</x:v>
      </x:c>
      <x:c r="I1962" s="7" t="n">
        <x:v>1362.95</x:v>
      </x:c>
      <x:c r="J1962" s="9" t="n">
        <x:v>0.1</x:v>
      </x:c>
      <x:c r="K1962" s="7" t="n">
        <x:v>1226.65</x:v>
      </x:c>
      <x:c r="L1962" s="7" t="n">
        <x:v>393.27</x:v>
      </x:c>
      <x:c r="M1962" s="3" t="str">
        <x:v>UPI</x:v>
      </x:c>
      <x:c r="N1962" s="3" t="str">
        <x:f>TEXT(B1962,"yyyy-mm")</x:f>
        <x:v>2025-06</x:v>
      </x:c>
      <x:c r="O1962" s="3" t="str">
        <x:f>IF(J1962=0,"No discount",IF(J1962&lt;=0.1,"1-10%",IF(J1962&lt;=0.15,"11-15%",IF(J1962&lt;=0.2,"16-20%","21%+"))))</x:f>
        <x:v>1-10%</x:v>
      </x:c>
      <x:c r="P1962" s="9" t="n">
        <x:f>IF(K1962=0,0,L1962/K1962)</x:f>
        <x:v>0.3206048995230913</x:v>
      </x:c>
      <x:c r="Q1962" s="3" t="str">
        <x:f>IF(L1962&lt;0,"Yes","No")</x:f>
        <x:v>No</x:v>
      </x:c>
    </x:row>
    <x:row r="1963" ht="21" customHeight="1">
      <x:c r="A1963" s="3" t="str">
        <x:v>ORD-100723</x:v>
      </x:c>
      <x:c r="B1963" s="5" t="n">
        <x:v>45831</x:v>
      </x:c>
      <x:c r="C1963" s="3" t="str">
        <x:v>CUST-00225</x:v>
      </x:c>
      <x:c r="D1963" s="3" t="str">
        <x:v>North</x:v>
      </x:c>
      <x:c r="E1963" s="3" t="str">
        <x:v>Sports</x:v>
      </x:c>
      <x:c r="F1963" s="3" t="str">
        <x:v>Outdoor</x:v>
      </x:c>
      <x:c r="G1963" s="3" t="str">
        <x:v>AllWeather Tent 4P</x:v>
      </x:c>
      <x:c r="H1963" s="3" t="n">
        <x:v>1</x:v>
      </x:c>
      <x:c r="I1963" s="7" t="n">
        <x:v>12042.45</x:v>
      </x:c>
      <x:c r="J1963" s="9" t="n">
        <x:v>0.05</x:v>
      </x:c>
      <x:c r="K1963" s="7" t="n">
        <x:v>11440.33</x:v>
      </x:c>
      <x:c r="L1963" s="7" t="n">
        <x:v>3442.5</x:v>
      </x:c>
      <x:c r="M1963" s="3" t="str">
        <x:v>Debit Card</x:v>
      </x:c>
      <x:c r="N1963" s="3" t="str">
        <x:f>TEXT(B1963,"yyyy-mm")</x:f>
        <x:v>2025-06</x:v>
      </x:c>
      <x:c r="O1963" s="3" t="str">
        <x:f>IF(J1963=0,"No discount",IF(J1963&lt;=0.1,"1-10%",IF(J1963&lt;=0.15,"11-15%",IF(J1963&lt;=0.2,"16-20%","21%+"))))</x:f>
        <x:v>1-10%</x:v>
      </x:c>
      <x:c r="P1963" s="9" t="n">
        <x:f>IF(K1963=0,0,L1963/K1963)</x:f>
        <x:v>0.3009091520961371</x:v>
      </x:c>
      <x:c r="Q1963" s="3" t="str">
        <x:f>IF(L1963&lt;0,"Yes","No")</x:f>
        <x:v>No</x:v>
      </x:c>
    </x:row>
    <x:row r="1964" ht="21" customHeight="1">
      <x:c r="A1964" s="3" t="str">
        <x:v>ORD-100788</x:v>
      </x:c>
      <x:c r="B1964" s="5" t="n">
        <x:v>45831</x:v>
      </x:c>
      <x:c r="C1964" s="3" t="str">
        <x:v>CUST-00358</x:v>
      </x:c>
      <x:c r="D1964" s="3" t="str">
        <x:v>South</x:v>
      </x:c>
      <x:c r="E1964" s="3" t="str">
        <x:v>Fashion</x:v>
      </x:c>
      <x:c r="F1964" s="3" t="str">
        <x:v>Women</x:v>
      </x:c>
      <x:c r="G1964" s="3" t="str">
        <x:v>Floral Summer Dress</x:v>
      </x:c>
      <x:c r="H1964" s="3" t="n">
        <x:v>5</x:v>
      </x:c>
      <x:c r="I1964" s="7" t="n">
        <x:v>1831.17</x:v>
      </x:c>
      <x:c r="J1964" s="9" t="n">
        <x:v>0.2</x:v>
      </x:c>
      <x:c r="K1964" s="7" t="n">
        <x:v>7324.68</x:v>
      </x:c>
      <x:c r="L1964" s="7" t="n">
        <x:v>1625.62</x:v>
      </x:c>
      <x:c r="M1964" s="3" t="str">
        <x:v>Cash on Delivery</x:v>
      </x:c>
      <x:c r="N1964" s="3" t="str">
        <x:f>TEXT(B1964,"yyyy-mm")</x:f>
        <x:v>2025-06</x:v>
      </x:c>
      <x:c r="O1964" s="3" t="str">
        <x:f>IF(J1964=0,"No discount",IF(J1964&lt;=0.1,"1-10%",IF(J1964&lt;=0.15,"11-15%",IF(J1964&lt;=0.2,"16-20%","21%+"))))</x:f>
        <x:v>16-20%</x:v>
      </x:c>
      <x:c r="P1964" s="9" t="n">
        <x:f>IF(K1964=0,0,L1964/K1964)</x:f>
        <x:v>0.22193734060737122</x:v>
      </x:c>
      <x:c r="Q1964" s="3" t="str">
        <x:f>IF(L1964&lt;0,"Yes","No")</x:f>
        <x:v>No</x:v>
      </x:c>
    </x:row>
    <x:row r="1965" ht="21" customHeight="1">
      <x:c r="A1965" s="3" t="str">
        <x:v>ORD-101698</x:v>
      </x:c>
      <x:c r="B1965" s="5" t="n">
        <x:v>45831</x:v>
      </x:c>
      <x:c r="C1965" s="3" t="str">
        <x:v>CUST-00031</x:v>
      </x:c>
      <x:c r="D1965" s="3" t="str">
        <x:v>North</x:v>
      </x:c>
      <x:c r="E1965" s="3" t="str">
        <x:v>Fashion</x:v>
      </x:c>
      <x:c r="F1965" s="3" t="str">
        <x:v>Footwear</x:v>
      </x:c>
      <x:c r="G1965" s="3" t="str">
        <x:v>RunFlex Sneakers</x:v>
      </x:c>
      <x:c r="H1965" s="3" t="n">
        <x:v>2</x:v>
      </x:c>
      <x:c r="I1965" s="7" t="n">
        <x:v>2901.19</x:v>
      </x:c>
      <x:c r="J1965" s="9" t="n">
        <x:v>0.05</x:v>
      </x:c>
      <x:c r="K1965" s="7" t="n">
        <x:v>5512.26</x:v>
      </x:c>
      <x:c r="L1965" s="7" t="n">
        <x:v>2161.41</x:v>
      </x:c>
      <x:c r="M1965" s="3" t="str">
        <x:v>UPI</x:v>
      </x:c>
      <x:c r="N1965" s="3" t="str">
        <x:f>TEXT(B1965,"yyyy-mm")</x:f>
        <x:v>2025-06</x:v>
      </x:c>
      <x:c r="O1965" s="3" t="str">
        <x:f>IF(J1965=0,"No discount",IF(J1965&lt;=0.1,"1-10%",IF(J1965&lt;=0.15,"11-15%",IF(J1965&lt;=0.2,"16-20%","21%+"))))</x:f>
        <x:v>1-10%</x:v>
      </x:c>
      <x:c r="P1965" s="9" t="n">
        <x:f>IF(K1965=0,0,L1965/K1965)</x:f>
        <x:v>0.3921095884446669</x:v>
      </x:c>
      <x:c r="Q1965" s="3" t="str">
        <x:f>IF(L1965&lt;0,"Yes","No")</x:f>
        <x:v>No</x:v>
      </x:c>
    </x:row>
    <x:row r="1966" ht="21" customHeight="1">
      <x:c r="A1966" s="3" t="str">
        <x:v>ORD-100114</x:v>
      </x:c>
      <x:c r="B1966" s="5" t="n">
        <x:v>45832</x:v>
      </x:c>
      <x:c r="C1966" s="3" t="str">
        <x:v>CUST-00296</x:v>
      </x:c>
      <x:c r="D1966" s="3" t="str">
        <x:v>West</x:v>
      </x:c>
      <x:c r="E1966" s="3" t="str">
        <x:v>Sports</x:v>
      </x:c>
      <x:c r="F1966" s="3" t="str">
        <x:v>Fitness</x:v>
      </x:c>
      <x:c r="G1966" s="3" t="str">
        <x:v>Adjustable Dumbbell 24kg</x:v>
      </x:c>
      <x:c r="H1966" s="3" t="n">
        <x:v>1</x:v>
      </x:c>
      <x:c r="I1966" s="7" t="n">
        <x:v>9578.27</x:v>
      </x:c>
      <x:c r="J1966" s="9" t="n">
        <x:v>0</x:v>
      </x:c>
      <x:c r="K1966" s="7" t="n">
        <x:v>9578.27</x:v>
      </x:c>
      <x:c r="L1966" s="7" t="n">
        <x:v>3452.72</x:v>
      </x:c>
      <x:c r="M1966" s="3" t="str">
        <x:v>Credit Card</x:v>
      </x:c>
      <x:c r="N1966" s="3" t="str">
        <x:f>TEXT(B1966,"yyyy-mm")</x:f>
        <x:v>2025-06</x:v>
      </x:c>
      <x:c r="O1966" s="3" t="str">
        <x:f>IF(J1966=0,"No discount",IF(J1966&lt;=0.1,"1-10%",IF(J1966&lt;=0.15,"11-15%",IF(J1966&lt;=0.2,"16-20%","21%+"))))</x:f>
        <x:v>No discount</x:v>
      </x:c>
      <x:c r="P1966" s="9" t="n">
        <x:f>IF(K1966=0,0,L1966/K1966)</x:f>
        <x:v>0.3604742818901534</x:v>
      </x:c>
      <x:c r="Q1966" s="3" t="str">
        <x:f>IF(L1966&lt;0,"Yes","No")</x:f>
        <x:v>No</x:v>
      </x:c>
    </x:row>
    <x:row r="1967" ht="21" customHeight="1">
      <x:c r="A1967" s="3" t="str">
        <x:v>ORD-100580</x:v>
      </x:c>
      <x:c r="B1967" s="5" t="n">
        <x:v>45832</x:v>
      </x:c>
      <x:c r="C1967" s="3" t="str">
        <x:v>CUST-00264</x:v>
      </x:c>
      <x:c r="D1967" s="3" t="str">
        <x:v>North</x:v>
      </x:c>
      <x:c r="E1967" s="3" t="str">
        <x:v>Beauty</x:v>
      </x:c>
      <x:c r="F1967" s="3" t="str">
        <x:v>Makeup</x:v>
      </x:c>
      <x:c r="G1967" s="3" t="str">
        <x:v>HD Foundation Kit</x:v>
      </x:c>
      <x:c r="H1967" s="3" t="n">
        <x:v>2</x:v>
      </x:c>
      <x:c r="I1967" s="7" t="n">
        <x:v>1564.03</x:v>
      </x:c>
      <x:c r="J1967" s="9" t="n">
        <x:v>0.05</x:v>
      </x:c>
      <x:c r="K1967" s="7" t="n">
        <x:v>2971.66</x:v>
      </x:c>
      <x:c r="L1967" s="7" t="n">
        <x:v>1425.49</x:v>
      </x:c>
      <x:c r="M1967" s="3" t="str">
        <x:v>UPI</x:v>
      </x:c>
      <x:c r="N1967" s="3" t="str">
        <x:f>TEXT(B1967,"yyyy-mm")</x:f>
        <x:v>2025-06</x:v>
      </x:c>
      <x:c r="O1967" s="3" t="str">
        <x:f>IF(J1967=0,"No discount",IF(J1967&lt;=0.1,"1-10%",IF(J1967&lt;=0.15,"11-15%",IF(J1967&lt;=0.2,"16-20%","21%+"))))</x:f>
        <x:v>1-10%</x:v>
      </x:c>
      <x:c r="P1967" s="9" t="n">
        <x:f>IF(K1967=0,0,L1967/K1967)</x:f>
        <x:v>0.4796948506895136</x:v>
      </x:c>
      <x:c r="Q1967" s="3" t="str">
        <x:f>IF(L1967&lt;0,"Yes","No")</x:f>
        <x:v>No</x:v>
      </x:c>
    </x:row>
    <x:row r="1968" ht="21" customHeight="1">
      <x:c r="A1968" s="3" t="str">
        <x:v>ORD-100773</x:v>
      </x:c>
      <x:c r="B1968" s="5" t="n">
        <x:v>45832</x:v>
      </x:c>
      <x:c r="C1968" s="3" t="str">
        <x:v>CUST-00490</x:v>
      </x:c>
      <x:c r="D1968" s="3" t="str">
        <x:v>South</x:v>
      </x:c>
      <x:c r="E1968" s="3" t="str">
        <x:v>Fashion</x:v>
      </x:c>
      <x:c r="F1968" s="3" t="str">
        <x:v>Women</x:v>
      </x:c>
      <x:c r="G1968" s="3" t="str">
        <x:v>Floral Summer Dress</x:v>
      </x:c>
      <x:c r="H1968" s="3" t="n">
        <x:v>2</x:v>
      </x:c>
      <x:c r="I1968" s="7" t="n">
        <x:v>1882.8</x:v>
      </x:c>
      <x:c r="J1968" s="9" t="n">
        <x:v>0.2</x:v>
      </x:c>
      <x:c r="K1968" s="7" t="n">
        <x:v>3012.48</x:v>
      </x:c>
      <x:c r="L1968" s="7" t="n">
        <x:v>551.48</x:v>
      </x:c>
      <x:c r="M1968" s="3" t="str">
        <x:v>UPI</x:v>
      </x:c>
      <x:c r="N1968" s="3" t="str">
        <x:f>TEXT(B1968,"yyyy-mm")</x:f>
        <x:v>2025-06</x:v>
      </x:c>
      <x:c r="O1968" s="3" t="str">
        <x:f>IF(J1968=0,"No discount",IF(J1968&lt;=0.1,"1-10%",IF(J1968&lt;=0.15,"11-15%",IF(J1968&lt;=0.2,"16-20%","21%+"))))</x:f>
        <x:v>16-20%</x:v>
      </x:c>
      <x:c r="P1968" s="9" t="n">
        <x:f>IF(K1968=0,0,L1968/K1968)</x:f>
        <x:v>0.18306511578500106</x:v>
      </x:c>
      <x:c r="Q1968" s="3" t="str">
        <x:f>IF(L1968&lt;0,"Yes","No")</x:f>
        <x:v>No</x:v>
      </x:c>
    </x:row>
    <x:row r="1969" ht="21" customHeight="1">
      <x:c r="A1969" s="3" t="str">
        <x:v>ORD-100775</x:v>
      </x:c>
      <x:c r="B1969" s="5" t="n">
        <x:v>45832</x:v>
      </x:c>
      <x:c r="C1969" s="3" t="str">
        <x:v>CUST-00321</x:v>
      </x:c>
      <x:c r="D1969" s="3" t="str">
        <x:v>North</x:v>
      </x:c>
      <x:c r="E1969" s="3" t="str">
        <x:v>Electronics</x:v>
      </x:c>
      <x:c r="F1969" s="3" t="str">
        <x:v>Mobile</x:v>
      </x:c>
      <x:c r="G1969" s="3" t="str">
        <x:v>Pixel Aura 12</x:v>
      </x:c>
      <x:c r="H1969" s="3" t="n">
        <x:v>1</x:v>
      </x:c>
      <x:c r="I1969" s="7" t="n">
        <x:v>32062.28</x:v>
      </x:c>
      <x:c r="J1969" s="9" t="n">
        <x:v>0</x:v>
      </x:c>
      <x:c r="K1969" s="7" t="n">
        <x:v>32062.28</x:v>
      </x:c>
      <x:c r="L1969" s="7" t="n">
        <x:v>6588.19</x:v>
      </x:c>
      <x:c r="M1969" s="3" t="str">
        <x:v>UPI</x:v>
      </x:c>
      <x:c r="N1969" s="3" t="str">
        <x:f>TEXT(B1969,"yyyy-mm")</x:f>
        <x:v>2025-06</x:v>
      </x:c>
      <x:c r="O1969" s="3" t="str">
        <x:f>IF(J1969=0,"No discount",IF(J1969&lt;=0.1,"1-10%",IF(J1969&lt;=0.15,"11-15%",IF(J1969&lt;=0.2,"16-20%","21%+"))))</x:f>
        <x:v>No discount</x:v>
      </x:c>
      <x:c r="P1969" s="9" t="n">
        <x:f>IF(K1969=0,0,L1969/K1969)</x:f>
        <x:v>0.20548102006469907</x:v>
      </x:c>
      <x:c r="Q1969" s="3" t="str">
        <x:f>IF(L1969&lt;0,"Yes","No")</x:f>
        <x:v>No</x:v>
      </x:c>
    </x:row>
    <x:row r="1970" ht="21" customHeight="1">
      <x:c r="A1970" s="3" t="str">
        <x:v>ORD-100811</x:v>
      </x:c>
      <x:c r="B1970" s="5" t="n">
        <x:v>45832</x:v>
      </x:c>
      <x:c r="C1970" s="3" t="str">
        <x:v>CUST-00213</x:v>
      </x:c>
      <x:c r="D1970" s="3" t="str">
        <x:v>West</x:v>
      </x:c>
      <x:c r="E1970" s="3" t="str">
        <x:v>Electronics</x:v>
      </x:c>
      <x:c r="F1970" s="3" t="str">
        <x:v>Laptop</x:v>
      </x:c>
      <x:c r="G1970" s="3" t="str">
        <x:v>AirBook Slim</x:v>
      </x:c>
      <x:c r="H1970" s="3" t="n">
        <x:v>2</x:v>
      </x:c>
      <x:c r="I1970" s="7" t="n">
        <x:v>77740.64</x:v>
      </x:c>
      <x:c r="J1970" s="9" t="n">
        <x:v>0.2</x:v>
      </x:c>
      <x:c r="K1970" s="7" t="n">
        <x:v>124385.02</x:v>
      </x:c>
      <x:c r="L1970" s="7" t="n">
        <x:v>-4404.61</x:v>
      </x:c>
      <x:c r="M1970" s="3" t="str">
        <x:v>Debit Card</x:v>
      </x:c>
      <x:c r="N1970" s="3" t="str">
        <x:f>TEXT(B1970,"yyyy-mm")</x:f>
        <x:v>2025-06</x:v>
      </x:c>
      <x:c r="O1970" s="3" t="str">
        <x:f>IF(J1970=0,"No discount",IF(J1970&lt;=0.1,"1-10%",IF(J1970&lt;=0.15,"11-15%",IF(J1970&lt;=0.2,"16-20%","21%+"))))</x:f>
        <x:v>16-20%</x:v>
      </x:c>
      <x:c r="P1970" s="9" t="n">
        <x:f>IF(K1970=0,0,L1970/K1970)</x:f>
        <x:v>-0.035411096931125624</x:v>
      </x:c>
      <x:c r="Q1970" s="3" t="str">
        <x:f>IF(L1970&lt;0,"Yes","No")</x:f>
        <x:v>Yes</x:v>
      </x:c>
    </x:row>
    <x:row r="1971" ht="21" customHeight="1">
      <x:c r="A1971" s="3" t="str">
        <x:v>ORD-101350</x:v>
      </x:c>
      <x:c r="B1971" s="5" t="n">
        <x:v>45832</x:v>
      </x:c>
      <x:c r="C1971" s="3" t="str">
        <x:v>CUST-00159</x:v>
      </x:c>
      <x:c r="D1971" s="3" t="str">
        <x:v>South</x:v>
      </x:c>
      <x:c r="E1971" s="3" t="str">
        <x:v>Fashion</x:v>
      </x:c>
      <x:c r="F1971" s="3" t="str">
        <x:v>Footwear</x:v>
      </x:c>
      <x:c r="G1971" s="3" t="str">
        <x:v>UrbanLoafers</x:v>
      </x:c>
      <x:c r="H1971" s="3" t="n">
        <x:v>5</x:v>
      </x:c>
      <x:c r="I1971" s="7" t="n">
        <x:v>3413.43</x:v>
      </x:c>
      <x:c r="J1971" s="9" t="n">
        <x:v>0.05</x:v>
      </x:c>
      <x:c r="K1971" s="7" t="n">
        <x:v>16213.79</x:v>
      </x:c>
      <x:c r="L1971" s="7" t="n">
        <x:v>5927.91</x:v>
      </x:c>
      <x:c r="M1971" s="3" t="str">
        <x:v>Credit Card</x:v>
      </x:c>
      <x:c r="N1971" s="3" t="str">
        <x:f>TEXT(B1971,"yyyy-mm")</x:f>
        <x:v>2025-06</x:v>
      </x:c>
      <x:c r="O1971" s="3" t="str">
        <x:f>IF(J1971=0,"No discount",IF(J1971&lt;=0.1,"1-10%",IF(J1971&lt;=0.15,"11-15%",IF(J1971&lt;=0.2,"16-20%","21%+"))))</x:f>
        <x:v>1-10%</x:v>
      </x:c>
      <x:c r="P1971" s="9" t="n">
        <x:f>IF(K1971=0,0,L1971/K1971)</x:f>
        <x:v>0.3656091512225087</x:v>
      </x:c>
      <x:c r="Q1971" s="3" t="str">
        <x:f>IF(L1971&lt;0,"Yes","No")</x:f>
        <x:v>No</x:v>
      </x:c>
    </x:row>
    <x:row r="1972" ht="21" customHeight="1">
      <x:c r="A1972" s="3" t="str">
        <x:v>ORD-101605</x:v>
      </x:c>
      <x:c r="B1972" s="5" t="n">
        <x:v>45832</x:v>
      </x:c>
      <x:c r="C1972" s="3" t="str">
        <x:v>CUST-00430</x:v>
      </x:c>
      <x:c r="D1972" s="3" t="str">
        <x:v>South</x:v>
      </x:c>
      <x:c r="E1972" s="3" t="str">
        <x:v>Fashion</x:v>
      </x:c>
      <x:c r="F1972" s="3" t="str">
        <x:v>Men</x:v>
      </x:c>
      <x:c r="G1972" s="3" t="str">
        <x:v>Oxford Casual Shirt</x:v>
      </x:c>
      <x:c r="H1972" s="3" t="n">
        <x:v>1</x:v>
      </x:c>
      <x:c r="I1972" s="7" t="n">
        <x:v>1322.01</x:v>
      </x:c>
      <x:c r="J1972" s="9" t="n">
        <x:v>0</x:v>
      </x:c>
      <x:c r="K1972" s="7" t="n">
        <x:v>1322.01</x:v>
      </x:c>
      <x:c r="L1972" s="7" t="n">
        <x:v>585.8</x:v>
      </x:c>
      <x:c r="M1972" s="3" t="str">
        <x:v>Net Banking</x:v>
      </x:c>
      <x:c r="N1972" s="3" t="str">
        <x:f>TEXT(B1972,"yyyy-mm")</x:f>
        <x:v>2025-06</x:v>
      </x:c>
      <x:c r="O1972" s="3" t="str">
        <x:f>IF(J1972=0,"No discount",IF(J1972&lt;=0.1,"1-10%",IF(J1972&lt;=0.15,"11-15%",IF(J1972&lt;=0.2,"16-20%","21%+"))))</x:f>
        <x:v>No discount</x:v>
      </x:c>
      <x:c r="P1972" s="9" t="n">
        <x:f>IF(K1972=0,0,L1972/K1972)</x:f>
        <x:v>0.4431131383272441</x:v>
      </x:c>
      <x:c r="Q1972" s="3" t="str">
        <x:f>IF(L1972&lt;0,"Yes","No")</x:f>
        <x:v>No</x:v>
      </x:c>
    </x:row>
    <x:row r="1973" ht="21" customHeight="1">
      <x:c r="A1973" s="3" t="str">
        <x:v>ORD-101607</x:v>
      </x:c>
      <x:c r="B1973" s="5" t="n">
        <x:v>45832</x:v>
      </x:c>
      <x:c r="C1973" s="3" t="str">
        <x:v>CUST-00246</x:v>
      </x:c>
      <x:c r="D1973" s="3" t="str">
        <x:v>East</x:v>
      </x:c>
      <x:c r="E1973" s="3" t="str">
        <x:v>Home &amp; Kitchen</x:v>
      </x:c>
      <x:c r="F1973" s="3" t="str">
        <x:v>Furniture</x:v>
      </x:c>
      <x:c r="G1973" s="3" t="str">
        <x:v>ErgoComfort Chair</x:v>
      </x:c>
      <x:c r="H1973" s="3" t="n">
        <x:v>1</x:v>
      </x:c>
      <x:c r="I1973" s="7" t="n">
        <x:v>8771.45</x:v>
      </x:c>
      <x:c r="J1973" s="9" t="n">
        <x:v>0.15</x:v>
      </x:c>
      <x:c r="K1973" s="7" t="n">
        <x:v>7455.73</x:v>
      </x:c>
      <x:c r="L1973" s="7" t="n">
        <x:v>893.53</x:v>
      </x:c>
      <x:c r="M1973" s="3" t="str">
        <x:v>UPI</x:v>
      </x:c>
      <x:c r="N1973" s="3" t="str">
        <x:f>TEXT(B1973,"yyyy-mm")</x:f>
        <x:v>2025-06</x:v>
      </x:c>
      <x:c r="O1973" s="3" t="str">
        <x:f>IF(J1973=0,"No discount",IF(J1973&lt;=0.1,"1-10%",IF(J1973&lt;=0.15,"11-15%",IF(J1973&lt;=0.2,"16-20%","21%+"))))</x:f>
        <x:v>11-15%</x:v>
      </x:c>
      <x:c r="P1973" s="9" t="n">
        <x:f>IF(K1973=0,0,L1973/K1973)</x:f>
        <x:v>0.1198447368668125</x:v>
      </x:c>
      <x:c r="Q1973" s="3" t="str">
        <x:f>IF(L1973&lt;0,"Yes","No")</x:f>
        <x:v>No</x:v>
      </x:c>
    </x:row>
    <x:row r="1974" ht="21" customHeight="1">
      <x:c r="A1974" s="3" t="str">
        <x:v>ORD-101628</x:v>
      </x:c>
      <x:c r="B1974" s="5" t="n">
        <x:v>45832</x:v>
      </x:c>
      <x:c r="C1974" s="3" t="str">
        <x:v>CUST-00152</x:v>
      </x:c>
      <x:c r="D1974" s="3" t="str">
        <x:v>North</x:v>
      </x:c>
      <x:c r="E1974" s="3" t="str">
        <x:v>Beauty</x:v>
      </x:c>
      <x:c r="F1974" s="3" t="str">
        <x:v>Makeup</x:v>
      </x:c>
      <x:c r="G1974" s="3" t="str">
        <x:v>HD Foundation Kit</x:v>
      </x:c>
      <x:c r="H1974" s="3" t="n">
        <x:v>2</x:v>
      </x:c>
      <x:c r="I1974" s="7" t="n">
        <x:v>1448.33</x:v>
      </x:c>
      <x:c r="J1974" s="9" t="n">
        <x:v>0.05</x:v>
      </x:c>
      <x:c r="K1974" s="7" t="n">
        <x:v>2751.83</x:v>
      </x:c>
      <x:c r="L1974" s="7" t="n">
        <x:v>1283.24</x:v>
      </x:c>
      <x:c r="M1974" s="3" t="str">
        <x:v>Debit Card</x:v>
      </x:c>
      <x:c r="N1974" s="3" t="str">
        <x:f>TEXT(B1974,"yyyy-mm")</x:f>
        <x:v>2025-06</x:v>
      </x:c>
      <x:c r="O1974" s="3" t="str">
        <x:f>IF(J1974=0,"No discount",IF(J1974&lt;=0.1,"1-10%",IF(J1974&lt;=0.15,"11-15%",IF(J1974&lt;=0.2,"16-20%","21%+"))))</x:f>
        <x:v>1-10%</x:v>
      </x:c>
      <x:c r="P1974" s="9" t="n">
        <x:f>IF(K1974=0,0,L1974/K1974)</x:f>
        <x:v>0.4663224109047434</x:v>
      </x:c>
      <x:c r="Q1974" s="3" t="str">
        <x:f>IF(L1974&lt;0,"Yes","No")</x:f>
        <x:v>No</x:v>
      </x:c>
    </x:row>
    <x:row r="1975" ht="21" customHeight="1">
      <x:c r="A1975" s="3" t="str">
        <x:v>ORD-100572</x:v>
      </x:c>
      <x:c r="B1975" s="5" t="n">
        <x:v>45833</x:v>
      </x:c>
      <x:c r="C1975" s="3" t="str">
        <x:v>CUST-00218</x:v>
      </x:c>
      <x:c r="D1975" s="3" t="str">
        <x:v>North</x:v>
      </x:c>
      <x:c r="E1975" s="3" t="str">
        <x:v>Sports</x:v>
      </x:c>
      <x:c r="F1975" s="3" t="str">
        <x:v>Outdoor</x:v>
      </x:c>
      <x:c r="G1975" s="3" t="str">
        <x:v>AllWeather Tent 4P</x:v>
      </x:c>
      <x:c r="H1975" s="3" t="n">
        <x:v>3</x:v>
      </x:c>
      <x:c r="I1975" s="7" t="n">
        <x:v>11551.59</x:v>
      </x:c>
      <x:c r="J1975" s="9" t="n">
        <x:v>0</x:v>
      </x:c>
      <x:c r="K1975" s="7" t="n">
        <x:v>34654.77</x:v>
      </x:c>
      <x:c r="L1975" s="7" t="n">
        <x:v>13754.2</x:v>
      </x:c>
      <x:c r="M1975" s="3" t="str">
        <x:v>Debit Card</x:v>
      </x:c>
      <x:c r="N1975" s="3" t="str">
        <x:f>TEXT(B1975,"yyyy-mm")</x:f>
        <x:v>2025-06</x:v>
      </x:c>
      <x:c r="O1975" s="3" t="str">
        <x:f>IF(J1975=0,"No discount",IF(J1975&lt;=0.1,"1-10%",IF(J1975&lt;=0.15,"11-15%",IF(J1975&lt;=0.2,"16-20%","21%+"))))</x:f>
        <x:v>No discount</x:v>
      </x:c>
      <x:c r="P1975" s="9" t="n">
        <x:f>IF(K1975=0,0,L1975/K1975)</x:f>
        <x:v>0.39689197186996195</x:v>
      </x:c>
      <x:c r="Q1975" s="3" t="str">
        <x:f>IF(L1975&lt;0,"Yes","No")</x:f>
        <x:v>No</x:v>
      </x:c>
    </x:row>
    <x:row r="1976" ht="21" customHeight="1">
      <x:c r="A1976" s="3" t="str">
        <x:v>ORD-100703</x:v>
      </x:c>
      <x:c r="B1976" s="5" t="n">
        <x:v>45833</x:v>
      </x:c>
      <x:c r="C1976" s="3" t="str">
        <x:v>CUST-00244</x:v>
      </x:c>
      <x:c r="D1976" s="3" t="str">
        <x:v>West</x:v>
      </x:c>
      <x:c r="E1976" s="3" t="str">
        <x:v>Sports</x:v>
      </x:c>
      <x:c r="F1976" s="3" t="str">
        <x:v>Outdoor</x:v>
      </x:c>
      <x:c r="G1976" s="3" t="str">
        <x:v>AllWeather Tent 4P</x:v>
      </x:c>
      <x:c r="H1976" s="3" t="n">
        <x:v>1</x:v>
      </x:c>
      <x:c r="I1976" s="7" t="n">
        <x:v>11415.44</x:v>
      </x:c>
      <x:c r="J1976" s="9" t="n">
        <x:v>0</x:v>
      </x:c>
      <x:c r="K1976" s="7" t="n">
        <x:v>11415.44</x:v>
      </x:c>
      <x:c r="L1976" s="7" t="n">
        <x:v>4385.14</x:v>
      </x:c>
      <x:c r="M1976" s="3" t="str">
        <x:v>UPI</x:v>
      </x:c>
      <x:c r="N1976" s="3" t="str">
        <x:f>TEXT(B1976,"yyyy-mm")</x:f>
        <x:v>2025-06</x:v>
      </x:c>
      <x:c r="O1976" s="3" t="str">
        <x:f>IF(J1976=0,"No discount",IF(J1976&lt;=0.1,"1-10%",IF(J1976&lt;=0.15,"11-15%",IF(J1976&lt;=0.2,"16-20%","21%+"))))</x:f>
        <x:v>No discount</x:v>
      </x:c>
      <x:c r="P1976" s="9" t="n">
        <x:f>IF(K1976=0,0,L1976/K1976)</x:f>
        <x:v>0.38414112815625157</x:v>
      </x:c>
      <x:c r="Q1976" s="3" t="str">
        <x:f>IF(L1976&lt;0,"Yes","No")</x:f>
        <x:v>No</x:v>
      </x:c>
    </x:row>
    <x:row r="1977" ht="21" customHeight="1">
      <x:c r="A1977" s="3" t="str">
        <x:v>ORD-101418</x:v>
      </x:c>
      <x:c r="B1977" s="5" t="n">
        <x:v>45833</x:v>
      </x:c>
      <x:c r="C1977" s="3" t="str">
        <x:v>CUST-00029</x:v>
      </x:c>
      <x:c r="D1977" s="3" t="str">
        <x:v>East</x:v>
      </x:c>
      <x:c r="E1977" s="3" t="str">
        <x:v>Fashion</x:v>
      </x:c>
      <x:c r="F1977" s="3" t="str">
        <x:v>Women</x:v>
      </x:c>
      <x:c r="G1977" s="3" t="str">
        <x:v>Floral Summer Dress</x:v>
      </x:c>
      <x:c r="H1977" s="3" t="n">
        <x:v>4</x:v>
      </x:c>
      <x:c r="I1977" s="7" t="n">
        <x:v>1833.1</x:v>
      </x:c>
      <x:c r="J1977" s="9" t="n">
        <x:v>0</x:v>
      </x:c>
      <x:c r="K1977" s="7" t="n">
        <x:v>7332.4</x:v>
      </x:c>
      <x:c r="L1977" s="7" t="n">
        <x:v>2831.8</x:v>
      </x:c>
      <x:c r="M1977" s="3" t="str">
        <x:v>UPI</x:v>
      </x:c>
      <x:c r="N1977" s="3" t="str">
        <x:f>TEXT(B1977,"yyyy-mm")</x:f>
        <x:v>2025-06</x:v>
      </x:c>
      <x:c r="O1977" s="3" t="str">
        <x:f>IF(J1977=0,"No discount",IF(J1977&lt;=0.1,"1-10%",IF(J1977&lt;=0.15,"11-15%",IF(J1977&lt;=0.2,"16-20%","21%+"))))</x:f>
        <x:v>No discount</x:v>
      </x:c>
      <x:c r="P1977" s="9" t="n">
        <x:f>IF(K1977=0,0,L1977/K1977)</x:f>
        <x:v>0.3862036986525558</x:v>
      </x:c>
      <x:c r="Q1977" s="3" t="str">
        <x:f>IF(L1977&lt;0,"Yes","No")</x:f>
        <x:v>No</x:v>
      </x:c>
    </x:row>
    <x:row r="1978" ht="21" customHeight="1">
      <x:c r="A1978" s="3" t="str">
        <x:v>ORD-101541</x:v>
      </x:c>
      <x:c r="B1978" s="5" t="n">
        <x:v>45833</x:v>
      </x:c>
      <x:c r="C1978" s="3" t="str">
        <x:v>CUST-00269</x:v>
      </x:c>
      <x:c r="D1978" s="3" t="str">
        <x:v>South</x:v>
      </x:c>
      <x:c r="E1978" s="3" t="str">
        <x:v>Sports</x:v>
      </x:c>
      <x:c r="F1978" s="3" t="str">
        <x:v>Fitness</x:v>
      </x:c>
      <x:c r="G1978" s="3" t="str">
        <x:v>ProYoga Mat</x:v>
      </x:c>
      <x:c r="H1978" s="3" t="n">
        <x:v>1</x:v>
      </x:c>
      <x:c r="I1978" s="7" t="n">
        <x:v>1317.09</x:v>
      </x:c>
      <x:c r="J1978" s="9" t="n">
        <x:v>0.1</x:v>
      </x:c>
      <x:c r="K1978" s="7" t="n">
        <x:v>1185.38</x:v>
      </x:c>
      <x:c r="L1978" s="7" t="n">
        <x:v>352.75</x:v>
      </x:c>
      <x:c r="M1978" s="3" t="str">
        <x:v>UPI</x:v>
      </x:c>
      <x:c r="N1978" s="3" t="str">
        <x:f>TEXT(B1978,"yyyy-mm")</x:f>
        <x:v>2025-06</x:v>
      </x:c>
      <x:c r="O1978" s="3" t="str">
        <x:f>IF(J1978=0,"No discount",IF(J1978&lt;=0.1,"1-10%",IF(J1978&lt;=0.15,"11-15%",IF(J1978&lt;=0.2,"16-20%","21%+"))))</x:f>
        <x:v>1-10%</x:v>
      </x:c>
      <x:c r="P1978" s="9" t="n">
        <x:f>IF(K1978=0,0,L1978/K1978)</x:f>
        <x:v>0.2975838971469065</x:v>
      </x:c>
      <x:c r="Q1978" s="3" t="str">
        <x:f>IF(L1978&lt;0,"Yes","No")</x:f>
        <x:v>No</x:v>
      </x:c>
    </x:row>
    <x:row r="1979" ht="21" customHeight="1">
      <x:c r="A1979" s="3" t="str">
        <x:v>ORD-100165</x:v>
      </x:c>
      <x:c r="B1979" s="5" t="n">
        <x:v>45834</x:v>
      </x:c>
      <x:c r="C1979" s="3" t="str">
        <x:v>CUST-00249</x:v>
      </x:c>
      <x:c r="D1979" s="3" t="str">
        <x:v>South</x:v>
      </x:c>
      <x:c r="E1979" s="3" t="str">
        <x:v>Sports</x:v>
      </x:c>
      <x:c r="F1979" s="3" t="str">
        <x:v>Fitness</x:v>
      </x:c>
      <x:c r="G1979" s="3" t="str">
        <x:v>Adjustable Dumbbell 24kg</x:v>
      </x:c>
      <x:c r="H1979" s="3" t="n">
        <x:v>1</x:v>
      </x:c>
      <x:c r="I1979" s="7" t="n">
        <x:v>9972.52</x:v>
      </x:c>
      <x:c r="J1979" s="9" t="n">
        <x:v>0.15</x:v>
      </x:c>
      <x:c r="K1979" s="7" t="n">
        <x:v>8476.64</x:v>
      </x:c>
      <x:c r="L1979" s="7" t="n">
        <x:v>1995.8</x:v>
      </x:c>
      <x:c r="M1979" s="3" t="str">
        <x:v>Debit Card</x:v>
      </x:c>
      <x:c r="N1979" s="3" t="str">
        <x:f>TEXT(B1979,"yyyy-mm")</x:f>
        <x:v>2025-06</x:v>
      </x:c>
      <x:c r="O1979" s="3" t="str">
        <x:f>IF(J1979=0,"No discount",IF(J1979&lt;=0.1,"1-10%",IF(J1979&lt;=0.15,"11-15%",IF(J1979&lt;=0.2,"16-20%","21%+"))))</x:f>
        <x:v>11-15%</x:v>
      </x:c>
      <x:c r="P1979" s="9" t="n">
        <x:f>IF(K1979=0,0,L1979/K1979)</x:f>
        <x:v>0.23544706393099155</x:v>
      </x:c>
      <x:c r="Q1979" s="3" t="str">
        <x:f>IF(L1979&lt;0,"Yes","No")</x:f>
        <x:v>No</x:v>
      </x:c>
    </x:row>
    <x:row r="1980" ht="21" customHeight="1">
      <x:c r="A1980" s="3" t="str">
        <x:v>ORD-100442</x:v>
      </x:c>
      <x:c r="B1980" s="5" t="n">
        <x:v>45834</x:v>
      </x:c>
      <x:c r="C1980" s="3" t="str">
        <x:v>CUST-00043</x:v>
      </x:c>
      <x:c r="D1980" s="3" t="str">
        <x:v>South</x:v>
      </x:c>
      <x:c r="E1980" s="3" t="str">
        <x:v>Sports</x:v>
      </x:c>
      <x:c r="F1980" s="3" t="str">
        <x:v>Outdoor</x:v>
      </x:c>
      <x:c r="G1980" s="3" t="str">
        <x:v>TrailHike Backpack 60L</x:v>
      </x:c>
      <x:c r="H1980" s="3" t="n">
        <x:v>1</x:v>
      </x:c>
      <x:c r="I1980" s="7" t="n">
        <x:v>3425.1</x:v>
      </x:c>
      <x:c r="J1980" s="9" t="n">
        <x:v>0.05</x:v>
      </x:c>
      <x:c r="K1980" s="7" t="n">
        <x:v>3253.84</x:v>
      </x:c>
      <x:c r="L1980" s="7" t="n">
        <x:v>1126.76</x:v>
      </x:c>
      <x:c r="M1980" s="3" t="str">
        <x:v>UPI</x:v>
      </x:c>
      <x:c r="N1980" s="3" t="str">
        <x:f>TEXT(B1980,"yyyy-mm")</x:f>
        <x:v>2025-06</x:v>
      </x:c>
      <x:c r="O1980" s="3" t="str">
        <x:f>IF(J1980=0,"No discount",IF(J1980&lt;=0.1,"1-10%",IF(J1980&lt;=0.15,"11-15%",IF(J1980&lt;=0.2,"16-20%","21%+"))))</x:f>
        <x:v>1-10%</x:v>
      </x:c>
      <x:c r="P1980" s="9" t="n">
        <x:f>IF(K1980=0,0,L1980/K1980)</x:f>
        <x:v>0.34628623411108106</x:v>
      </x:c>
      <x:c r="Q1980" s="3" t="str">
        <x:f>IF(L1980&lt;0,"Yes","No")</x:f>
        <x:v>No</x:v>
      </x:c>
    </x:row>
    <x:row r="1981" ht="21" customHeight="1">
      <x:c r="A1981" s="3" t="str">
        <x:v>ORD-101902</x:v>
      </x:c>
      <x:c r="B1981" s="5" t="n">
        <x:v>45834</x:v>
      </x:c>
      <x:c r="C1981" s="3" t="str">
        <x:v>CUST-00300</x:v>
      </x:c>
      <x:c r="D1981" s="3" t="str">
        <x:v>South</x:v>
      </x:c>
      <x:c r="E1981" s="3" t="str">
        <x:v>Sports</x:v>
      </x:c>
      <x:c r="F1981" s="3" t="str">
        <x:v>Outdoor</x:v>
      </x:c>
      <x:c r="G1981" s="3" t="str">
        <x:v>TrailHike Backpack 60L</x:v>
      </x:c>
      <x:c r="H1981" s="3" t="n">
        <x:v>1</x:v>
      </x:c>
      <x:c r="I1981" s="7" t="n">
        <x:v>3425.98</x:v>
      </x:c>
      <x:c r="J1981" s="9" t="n">
        <x:v>0.2</x:v>
      </x:c>
      <x:c r="K1981" s="7" t="n">
        <x:v>2740.78</x:v>
      </x:c>
      <x:c r="L1981" s="7" t="n">
        <x:v>445.2</x:v>
      </x:c>
      <x:c r="M1981" s="3" t="str">
        <x:v>UPI</x:v>
      </x:c>
      <x:c r="N1981" s="3" t="str">
        <x:f>TEXT(B1981,"yyyy-mm")</x:f>
        <x:v>2025-06</x:v>
      </x:c>
      <x:c r="O1981" s="3" t="str">
        <x:f>IF(J1981=0,"No discount",IF(J1981&lt;=0.1,"1-10%",IF(J1981&lt;=0.15,"11-15%",IF(J1981&lt;=0.2,"16-20%","21%+"))))</x:f>
        <x:v>16-20%</x:v>
      </x:c>
      <x:c r="P1981" s="9" t="n">
        <x:f>IF(K1981=0,0,L1981/K1981)</x:f>
        <x:v>0.16243551105889562</x:v>
      </x:c>
      <x:c r="Q1981" s="3" t="str">
        <x:f>IF(L1981&lt;0,"Yes","No")</x:f>
        <x:v>No</x:v>
      </x:c>
    </x:row>
    <x:row r="1982" ht="21" customHeight="1">
      <x:c r="A1982" s="3" t="str">
        <x:v>ORD-100086</x:v>
      </x:c>
      <x:c r="B1982" s="5" t="n">
        <x:v>45835</x:v>
      </x:c>
      <x:c r="C1982" s="3" t="str">
        <x:v>CUST-00518</x:v>
      </x:c>
      <x:c r="D1982" s="3" t="str">
        <x:v>South</x:v>
      </x:c>
      <x:c r="E1982" s="3" t="str">
        <x:v>Home &amp; Kitchen</x:v>
      </x:c>
      <x:c r="F1982" s="3" t="str">
        <x:v>Appliances</x:v>
      </x:c>
      <x:c r="G1982" s="3" t="str">
        <x:v>AirFryer Deluxe</x:v>
      </x:c>
      <x:c r="H1982" s="3" t="n">
        <x:v>1</x:v>
      </x:c>
      <x:c r="I1982" s="7" t="n">
        <x:v>8105.45</x:v>
      </x:c>
      <x:c r="J1982" s="9" t="n">
        <x:v>0</x:v>
      </x:c>
      <x:c r="K1982" s="7" t="n">
        <x:v>8105.45</x:v>
      </x:c>
      <x:c r="L1982" s="7" t="n">
        <x:v>2706.15</x:v>
      </x:c>
      <x:c r="M1982" s="3" t="str">
        <x:v>Cash on Delivery</x:v>
      </x:c>
      <x:c r="N1982" s="3" t="str">
        <x:f>TEXT(B1982,"yyyy-mm")</x:f>
        <x:v>2025-06</x:v>
      </x:c>
      <x:c r="O1982" s="3" t="str">
        <x:f>IF(J1982=0,"No discount",IF(J1982&lt;=0.1,"1-10%",IF(J1982&lt;=0.15,"11-15%",IF(J1982&lt;=0.2,"16-20%","21%+"))))</x:f>
        <x:v>No discount</x:v>
      </x:c>
      <x:c r="P1982" s="9" t="n">
        <x:f>IF(K1982=0,0,L1982/K1982)</x:f>
        <x:v>0.33386795304393957</x:v>
      </x:c>
      <x:c r="Q1982" s="3" t="str">
        <x:f>IF(L1982&lt;0,"Yes","No")</x:f>
        <x:v>No</x:v>
      </x:c>
    </x:row>
    <x:row r="1983" ht="21" customHeight="1">
      <x:c r="A1983" s="3" t="str">
        <x:v>ORD-100272</x:v>
      </x:c>
      <x:c r="B1983" s="5" t="n">
        <x:v>45835</x:v>
      </x:c>
      <x:c r="C1983" s="3" t="str">
        <x:v>CUST-00005</x:v>
      </x:c>
      <x:c r="D1983" s="3" t="str">
        <x:v>South</x:v>
      </x:c>
      <x:c r="E1983" s="3" t="str">
        <x:v>Sports</x:v>
      </x:c>
      <x:c r="F1983" s="3" t="str">
        <x:v>Fitness</x:v>
      </x:c>
      <x:c r="G1983" s="3" t="str">
        <x:v>ProYoga Mat</x:v>
      </x:c>
      <x:c r="H1983" s="3" t="n">
        <x:v>2</x:v>
      </x:c>
      <x:c r="I1983" s="7" t="n">
        <x:v>1286.45</x:v>
      </x:c>
      <x:c r="J1983" s="9" t="n">
        <x:v>0.1</x:v>
      </x:c>
      <x:c r="K1983" s="7" t="n">
        <x:v>2315.61</x:v>
      </x:c>
      <x:c r="L1983" s="7" t="n">
        <x:v>699.84</x:v>
      </x:c>
      <x:c r="M1983" s="3" t="str">
        <x:v>UPI</x:v>
      </x:c>
      <x:c r="N1983" s="3" t="str">
        <x:f>TEXT(B1983,"yyyy-mm")</x:f>
        <x:v>2025-06</x:v>
      </x:c>
      <x:c r="O1983" s="3" t="str">
        <x:f>IF(J1983=0,"No discount",IF(J1983&lt;=0.1,"1-10%",IF(J1983&lt;=0.15,"11-15%",IF(J1983&lt;=0.2,"16-20%","21%+"))))</x:f>
        <x:v>1-10%</x:v>
      </x:c>
      <x:c r="P1983" s="9" t="n">
        <x:f>IF(K1983=0,0,L1983/K1983)</x:f>
        <x:v>0.30222705896070584</x:v>
      </x:c>
      <x:c r="Q1983" s="3" t="str">
        <x:f>IF(L1983&lt;0,"Yes","No")</x:f>
        <x:v>No</x:v>
      </x:c>
    </x:row>
    <x:row r="1984" ht="21" customHeight="1">
      <x:c r="A1984" s="3" t="str">
        <x:v>ORD-100301</x:v>
      </x:c>
      <x:c r="B1984" s="5" t="n">
        <x:v>45835</x:v>
      </x:c>
      <x:c r="C1984" s="3" t="str">
        <x:v>CUST-00575</x:v>
      </x:c>
      <x:c r="D1984" s="3" t="str">
        <x:v>South</x:v>
      </x:c>
      <x:c r="E1984" s="3" t="str">
        <x:v>Fashion</x:v>
      </x:c>
      <x:c r="F1984" s="3" t="str">
        <x:v>Women</x:v>
      </x:c>
      <x:c r="G1984" s="3" t="str">
        <x:v>Knit Winter Sweater</x:v>
      </x:c>
      <x:c r="H1984" s="3" t="n">
        <x:v>1</x:v>
      </x:c>
      <x:c r="I1984" s="7" t="n">
        <x:v>2135.97</x:v>
      </x:c>
      <x:c r="J1984" s="9" t="n">
        <x:v>0</x:v>
      </x:c>
      <x:c r="K1984" s="7" t="n">
        <x:v>2135.97</x:v>
      </x:c>
      <x:c r="L1984" s="7" t="n">
        <x:v>868.38</x:v>
      </x:c>
      <x:c r="M1984" s="3" t="str">
        <x:v>UPI</x:v>
      </x:c>
      <x:c r="N1984" s="3" t="str">
        <x:f>TEXT(B1984,"yyyy-mm")</x:f>
        <x:v>2025-06</x:v>
      </x:c>
      <x:c r="O1984" s="3" t="str">
        <x:f>IF(J1984=0,"No discount",IF(J1984&lt;=0.1,"1-10%",IF(J1984&lt;=0.15,"11-15%",IF(J1984&lt;=0.2,"16-20%","21%+"))))</x:f>
        <x:v>No discount</x:v>
      </x:c>
      <x:c r="P1984" s="9" t="n">
        <x:f>IF(K1984=0,0,L1984/K1984)</x:f>
        <x:v>0.4065506538013175</x:v>
      </x:c>
      <x:c r="Q1984" s="3" t="str">
        <x:f>IF(L1984&lt;0,"Yes","No")</x:f>
        <x:v>No</x:v>
      </x:c>
    </x:row>
    <x:row r="1985" ht="21" customHeight="1">
      <x:c r="A1985" s="3" t="str">
        <x:v>ORD-100852</x:v>
      </x:c>
      <x:c r="B1985" s="5" t="n">
        <x:v>45835</x:v>
      </x:c>
      <x:c r="C1985" s="3" t="str">
        <x:v>CUST-00185</x:v>
      </x:c>
      <x:c r="D1985" s="3" t="str">
        <x:v>North</x:v>
      </x:c>
      <x:c r="E1985" s="3" t="str">
        <x:v>Sports</x:v>
      </x:c>
      <x:c r="F1985" s="3" t="str">
        <x:v>Fitness</x:v>
      </x:c>
      <x:c r="G1985" s="3" t="str">
        <x:v>ProYoga Mat</x:v>
      </x:c>
      <x:c r="H1985" s="3" t="n">
        <x:v>1</x:v>
      </x:c>
      <x:c r="I1985" s="7" t="n">
        <x:v>1313.73</x:v>
      </x:c>
      <x:c r="J1985" s="9" t="n">
        <x:v>0.1</x:v>
      </x:c>
      <x:c r="K1985" s="7" t="n">
        <x:v>1182.36</x:v>
      </x:c>
      <x:c r="L1985" s="7" t="n">
        <x:v>325.72</x:v>
      </x:c>
      <x:c r="M1985" s="3" t="str">
        <x:v>UPI</x:v>
      </x:c>
      <x:c r="N1985" s="3" t="str">
        <x:f>TEXT(B1985,"yyyy-mm")</x:f>
        <x:v>2025-06</x:v>
      </x:c>
      <x:c r="O1985" s="3" t="str">
        <x:f>IF(J1985=0,"No discount",IF(J1985&lt;=0.1,"1-10%",IF(J1985&lt;=0.15,"11-15%",IF(J1985&lt;=0.2,"16-20%","21%+"))))</x:f>
        <x:v>1-10%</x:v>
      </x:c>
      <x:c r="P1985" s="9" t="n">
        <x:f>IF(K1985=0,0,L1985/K1985)</x:f>
        <x:v>0.2754829324402044</x:v>
      </x:c>
      <x:c r="Q1985" s="3" t="str">
        <x:f>IF(L1985&lt;0,"Yes","No")</x:f>
        <x:v>No</x:v>
      </x:c>
    </x:row>
    <x:row r="1986" ht="21" customHeight="1">
      <x:c r="A1986" s="3" t="str">
        <x:v>ORD-100971</x:v>
      </x:c>
      <x:c r="B1986" s="5" t="n">
        <x:v>45835</x:v>
      </x:c>
      <x:c r="C1986" s="3" t="str">
        <x:v>CUST-00546</x:v>
      </x:c>
      <x:c r="D1986" s="3" t="str">
        <x:v>East</x:v>
      </x:c>
      <x:c r="E1986" s="3" t="str">
        <x:v>Fashion</x:v>
      </x:c>
      <x:c r="F1986" s="3" t="str">
        <x:v>Men</x:v>
      </x:c>
      <x:c r="G1986" s="3" t="str">
        <x:v>SlimFit Denim Jeans</x:v>
      </x:c>
      <x:c r="H1986" s="3" t="n">
        <x:v>3</x:v>
      </x:c>
      <x:c r="I1986" s="7" t="n">
        <x:v>2047.89</x:v>
      </x:c>
      <x:c r="J1986" s="9" t="n">
        <x:v>0</x:v>
      </x:c>
      <x:c r="K1986" s="7" t="n">
        <x:v>6143.67</x:v>
      </x:c>
      <x:c r="L1986" s="7" t="n">
        <x:v>2592.91</x:v>
      </x:c>
      <x:c r="M1986" s="3" t="str">
        <x:v>Credit Card</x:v>
      </x:c>
      <x:c r="N1986" s="3" t="str">
        <x:f>TEXT(B1986,"yyyy-mm")</x:f>
        <x:v>2025-06</x:v>
      </x:c>
      <x:c r="O1986" s="3" t="str">
        <x:f>IF(J1986=0,"No discount",IF(J1986&lt;=0.1,"1-10%",IF(J1986&lt;=0.15,"11-15%",IF(J1986&lt;=0.2,"16-20%","21%+"))))</x:f>
        <x:v>No discount</x:v>
      </x:c>
      <x:c r="P1986" s="9" t="n">
        <x:f>IF(K1986=0,0,L1986/K1986)</x:f>
        <x:v>0.4220457804537027</x:v>
      </x:c>
      <x:c r="Q1986" s="3" t="str">
        <x:f>IF(L1986&lt;0,"Yes","No")</x:f>
        <x:v>No</x:v>
      </x:c>
    </x:row>
    <x:row r="1987" ht="21" customHeight="1">
      <x:c r="A1987" s="3" t="str">
        <x:v>ORD-101205</x:v>
      </x:c>
      <x:c r="B1987" s="5" t="n">
        <x:v>45835</x:v>
      </x:c>
      <x:c r="C1987" s="3" t="str">
        <x:v>CUST-00024</x:v>
      </x:c>
      <x:c r="D1987" s="3" t="str">
        <x:v>West</x:v>
      </x:c>
      <x:c r="E1987" s="3" t="str">
        <x:v>Home &amp; Kitchen</x:v>
      </x:c>
      <x:c r="F1987" s="3" t="str">
        <x:v>Furniture</x:v>
      </x:c>
      <x:c r="G1987" s="3" t="str">
        <x:v>Oakwood Study Desk</x:v>
      </x:c>
      <x:c r="H1987" s="3" t="n">
        <x:v>2</x:v>
      </x:c>
      <x:c r="I1987" s="7" t="n">
        <x:v>12749.07</x:v>
      </x:c>
      <x:c r="J1987" s="9" t="n">
        <x:v>0.05</x:v>
      </x:c>
      <x:c r="K1987" s="7" t="n">
        <x:v>24223.23</x:v>
      </x:c>
      <x:c r="L1987" s="7" t="n">
        <x:v>7166.87</x:v>
      </x:c>
      <x:c r="M1987" s="3" t="str">
        <x:v>Credit Card</x:v>
      </x:c>
      <x:c r="N1987" s="3" t="str">
        <x:f>TEXT(B1987,"yyyy-mm")</x:f>
        <x:v>2025-06</x:v>
      </x:c>
      <x:c r="O1987" s="3" t="str">
        <x:f>IF(J1987=0,"No discount",IF(J1987&lt;=0.1,"1-10%",IF(J1987&lt;=0.15,"11-15%",IF(J1987&lt;=0.2,"16-20%","21%+"))))</x:f>
        <x:v>1-10%</x:v>
      </x:c>
      <x:c r="P1987" s="9" t="n">
        <x:f>IF(K1987=0,0,L1987/K1987)</x:f>
        <x:v>0.2958676444058039</x:v>
      </x:c>
      <x:c r="Q1987" s="3" t="str">
        <x:f>IF(L1987&lt;0,"Yes","No")</x:f>
        <x:v>No</x:v>
      </x:c>
    </x:row>
    <x:row r="1988" ht="21" customHeight="1">
      <x:c r="A1988" s="3" t="str">
        <x:v>ORD-101866</x:v>
      </x:c>
      <x:c r="B1988" s="5" t="n">
        <x:v>45835</x:v>
      </x:c>
      <x:c r="C1988" s="3" t="str">
        <x:v>CUST-00008</x:v>
      </x:c>
      <x:c r="D1988" s="3" t="str">
        <x:v>South</x:v>
      </x:c>
      <x:c r="E1988" s="3" t="str">
        <x:v>Electronics</x:v>
      </x:c>
      <x:c r="F1988" s="3" t="str">
        <x:v>Mobile</x:v>
      </x:c>
      <x:c r="G1988" s="3" t="str">
        <x:v>Pixel Aura 12</x:v>
      </x:c>
      <x:c r="H1988" s="3" t="n">
        <x:v>2</x:v>
      </x:c>
      <x:c r="I1988" s="7" t="n">
        <x:v>34469.74</x:v>
      </x:c>
      <x:c r="J1988" s="9" t="n">
        <x:v>0.2</x:v>
      </x:c>
      <x:c r="K1988" s="7" t="n">
        <x:v>55151.58</x:v>
      </x:c>
      <x:c r="L1988" s="7" t="n">
        <x:v>-3576.39</x:v>
      </x:c>
      <x:c r="M1988" s="3" t="str">
        <x:v>Debit Card</x:v>
      </x:c>
      <x:c r="N1988" s="3" t="str">
        <x:f>TEXT(B1988,"yyyy-mm")</x:f>
        <x:v>2025-06</x:v>
      </x:c>
      <x:c r="O1988" s="3" t="str">
        <x:f>IF(J1988=0,"No discount",IF(J1988&lt;=0.1,"1-10%",IF(J1988&lt;=0.15,"11-15%",IF(J1988&lt;=0.2,"16-20%","21%+"))))</x:f>
        <x:v>16-20%</x:v>
      </x:c>
      <x:c r="P1988" s="9" t="n">
        <x:f>IF(K1988=0,0,L1988/K1988)</x:f>
        <x:v>-0.06484655561998405</x:v>
      </x:c>
      <x:c r="Q1988" s="3" t="str">
        <x:f>IF(L1988&lt;0,"Yes","No")</x:f>
        <x:v>Yes</x:v>
      </x:c>
    </x:row>
    <x:row r="1989" ht="21" customHeight="1">
      <x:c r="A1989" s="3" t="str">
        <x:v>ORD-101942</x:v>
      </x:c>
      <x:c r="B1989" s="5" t="n">
        <x:v>45835</x:v>
      </x:c>
      <x:c r="C1989" s="3" t="str">
        <x:v>CUST-00222</x:v>
      </x:c>
      <x:c r="D1989" s="3" t="str">
        <x:v>West</x:v>
      </x:c>
      <x:c r="E1989" s="3" t="str">
        <x:v>Sports</x:v>
      </x:c>
      <x:c r="F1989" s="3" t="str">
        <x:v>Outdoor</x:v>
      </x:c>
      <x:c r="G1989" s="3" t="str">
        <x:v>AllWeather Tent 4P</x:v>
      </x:c>
      <x:c r="H1989" s="3" t="n">
        <x:v>1</x:v>
      </x:c>
      <x:c r="I1989" s="7" t="n">
        <x:v>12009.9</x:v>
      </x:c>
      <x:c r="J1989" s="9" t="n">
        <x:v>0.2</x:v>
      </x:c>
      <x:c r="K1989" s="7" t="n">
        <x:v>9607.92</x:v>
      </x:c>
      <x:c r="L1989" s="7" t="n">
        <x:v>1424.83</x:v>
      </x:c>
      <x:c r="M1989" s="3" t="str">
        <x:v>UPI</x:v>
      </x:c>
      <x:c r="N1989" s="3" t="str">
        <x:f>TEXT(B1989,"yyyy-mm")</x:f>
        <x:v>2025-06</x:v>
      </x:c>
      <x:c r="O1989" s="3" t="str">
        <x:f>IF(J1989=0,"No discount",IF(J1989&lt;=0.1,"1-10%",IF(J1989&lt;=0.15,"11-15%",IF(J1989&lt;=0.2,"16-20%","21%+"))))</x:f>
        <x:v>16-20%</x:v>
      </x:c>
      <x:c r="P1989" s="9" t="n">
        <x:f>IF(K1989=0,0,L1989/K1989)</x:f>
        <x:v>0.14829744627349103</x:v>
      </x:c>
      <x:c r="Q1989" s="3" t="str">
        <x:f>IF(L1989&lt;0,"Yes","No")</x:f>
        <x:v>No</x:v>
      </x:c>
    </x:row>
    <x:row r="1990" ht="21" customHeight="1">
      <x:c r="A1990" s="3" t="str">
        <x:v>ORD-100428</x:v>
      </x:c>
      <x:c r="B1990" s="5" t="n">
        <x:v>45836</x:v>
      </x:c>
      <x:c r="C1990" s="3" t="str">
        <x:v>CUST-00592</x:v>
      </x:c>
      <x:c r="D1990" s="3" t="str">
        <x:v>North</x:v>
      </x:c>
      <x:c r="E1990" s="3" t="str">
        <x:v>Electronics</x:v>
      </x:c>
      <x:c r="F1990" s="3" t="str">
        <x:v>Mobile</x:v>
      </x:c>
      <x:c r="G1990" s="3" t="str">
        <x:v>Galaxy Nova X5</x:v>
      </x:c>
      <x:c r="H1990" s="3" t="n">
        <x:v>3</x:v>
      </x:c>
      <x:c r="I1990" s="7" t="n">
        <x:v>25339.32</x:v>
      </x:c>
      <x:c r="J1990" s="9" t="n">
        <x:v>0.25</x:v>
      </x:c>
      <x:c r="K1990" s="7" t="n">
        <x:v>57013.47</x:v>
      </x:c>
      <x:c r="L1990" s="7" t="n">
        <x:v>-8408.65</x:v>
      </x:c>
      <x:c r="M1990" s="3" t="str">
        <x:v>UPI</x:v>
      </x:c>
      <x:c r="N1990" s="3" t="str">
        <x:f>TEXT(B1990,"yyyy-mm")</x:f>
        <x:v>2025-06</x:v>
      </x:c>
      <x:c r="O1990" s="3" t="str">
        <x:f>IF(J1990=0,"No discount",IF(J1990&lt;=0.1,"1-10%",IF(J1990&lt;=0.15,"11-15%",IF(J1990&lt;=0.2,"16-20%","21%+"))))</x:f>
        <x:v>21%+</x:v>
      </x:c>
      <x:c r="P1990" s="9" t="n">
        <x:f>IF(K1990=0,0,L1990/K1990)</x:f>
        <x:v>-0.1474853223282147</x:v>
      </x:c>
      <x:c r="Q1990" s="3" t="str">
        <x:f>IF(L1990&lt;0,"Yes","No")</x:f>
        <x:v>Yes</x:v>
      </x:c>
    </x:row>
    <x:row r="1991" ht="21" customHeight="1">
      <x:c r="A1991" s="3" t="str">
        <x:v>ORD-100474</x:v>
      </x:c>
      <x:c r="B1991" s="5" t="n">
        <x:v>45836</x:v>
      </x:c>
      <x:c r="C1991" s="3" t="str">
        <x:v>CUST-00546</x:v>
      </x:c>
      <x:c r="D1991" s="3" t="str">
        <x:v>West</x:v>
      </x:c>
      <x:c r="E1991" s="3" t="str">
        <x:v>Beauty</x:v>
      </x:c>
      <x:c r="F1991" s="3" t="str">
        <x:v>Makeup</x:v>
      </x:c>
      <x:c r="G1991" s="3" t="str">
        <x:v>HD Foundation Kit</x:v>
      </x:c>
      <x:c r="H1991" s="3" t="n">
        <x:v>1</x:v>
      </x:c>
      <x:c r="I1991" s="7" t="n">
        <x:v>1491.87</x:v>
      </x:c>
      <x:c r="J1991" s="9" t="n">
        <x:v>0.05</x:v>
      </x:c>
      <x:c r="K1991" s="7" t="n">
        <x:v>1417.28</x:v>
      </x:c>
      <x:c r="L1991" s="7" t="n">
        <x:v>698.17</x:v>
      </x:c>
      <x:c r="M1991" s="3" t="str">
        <x:v>Credit Card</x:v>
      </x:c>
      <x:c r="N1991" s="3" t="str">
        <x:f>TEXT(B1991,"yyyy-mm")</x:f>
        <x:v>2025-06</x:v>
      </x:c>
      <x:c r="O1991" s="3" t="str">
        <x:f>IF(J1991=0,"No discount",IF(J1991&lt;=0.1,"1-10%",IF(J1991&lt;=0.15,"11-15%",IF(J1991&lt;=0.2,"16-20%","21%+"))))</x:f>
        <x:v>1-10%</x:v>
      </x:c>
      <x:c r="P1991" s="9" t="n">
        <x:f>IF(K1991=0,0,L1991/K1991)</x:f>
        <x:v>0.4926126100699932</x:v>
      </x:c>
      <x:c r="Q1991" s="3" t="str">
        <x:f>IF(L1991&lt;0,"Yes","No")</x:f>
        <x:v>No</x:v>
      </x:c>
    </x:row>
    <x:row r="1992" ht="21" customHeight="1">
      <x:c r="A1992" s="3" t="str">
        <x:v>ORD-100494</x:v>
      </x:c>
      <x:c r="B1992" s="5" t="n">
        <x:v>45836</x:v>
      </x:c>
      <x:c r="C1992" s="3" t="str">
        <x:v>CUST-00117</x:v>
      </x:c>
      <x:c r="D1992" s="3" t="str">
        <x:v>East</x:v>
      </x:c>
      <x:c r="E1992" s="3" t="str">
        <x:v>Electronics</x:v>
      </x:c>
      <x:c r="F1992" s="3" t="str">
        <x:v>Mobile</x:v>
      </x:c>
      <x:c r="G1992" s="3" t="str">
        <x:v>Galaxy Nova X5</x:v>
      </x:c>
      <x:c r="H1992" s="3" t="n">
        <x:v>1</x:v>
      </x:c>
      <x:c r="I1992" s="7" t="n">
        <x:v>25736.74</x:v>
      </x:c>
      <x:c r="J1992" s="9" t="n">
        <x:v>0.2</x:v>
      </x:c>
      <x:c r="K1992" s="7" t="n">
        <x:v>20589.39</x:v>
      </x:c>
      <x:c r="L1992" s="7" t="n">
        <x:v>-932.86</x:v>
      </x:c>
      <x:c r="M1992" s="3" t="str">
        <x:v>Cash on Delivery</x:v>
      </x:c>
      <x:c r="N1992" s="3" t="str">
        <x:f>TEXT(B1992,"yyyy-mm")</x:f>
        <x:v>2025-06</x:v>
      </x:c>
      <x:c r="O1992" s="3" t="str">
        <x:f>IF(J1992=0,"No discount",IF(J1992&lt;=0.1,"1-10%",IF(J1992&lt;=0.15,"11-15%",IF(J1992&lt;=0.2,"16-20%","21%+"))))</x:f>
        <x:v>16-20%</x:v>
      </x:c>
      <x:c r="P1992" s="9" t="n">
        <x:f>IF(K1992=0,0,L1992/K1992)</x:f>
        <x:v>-0.04530780173671974</x:v>
      </x:c>
      <x:c r="Q1992" s="3" t="str">
        <x:f>IF(L1992&lt;0,"Yes","No")</x:f>
        <x:v>Yes</x:v>
      </x:c>
    </x:row>
    <x:row r="1993" ht="21" customHeight="1">
      <x:c r="A1993" s="3" t="str">
        <x:v>ORD-101252</x:v>
      </x:c>
      <x:c r="B1993" s="5" t="n">
        <x:v>45836</x:v>
      </x:c>
      <x:c r="C1993" s="3" t="str">
        <x:v>CUST-00537</x:v>
      </x:c>
      <x:c r="D1993" s="3" t="str">
        <x:v>South</x:v>
      </x:c>
      <x:c r="E1993" s="3" t="str">
        <x:v>Sports</x:v>
      </x:c>
      <x:c r="F1993" s="3" t="str">
        <x:v>Fitness</x:v>
      </x:c>
      <x:c r="G1993" s="3" t="str">
        <x:v>Adjustable Dumbbell 24kg</x:v>
      </x:c>
      <x:c r="H1993" s="3" t="n">
        <x:v>1</x:v>
      </x:c>
      <x:c r="I1993" s="7" t="n">
        <x:v>9652.95</x:v>
      </x:c>
      <x:c r="J1993" s="9" t="n">
        <x:v>0.15</x:v>
      </x:c>
      <x:c r="K1993" s="7" t="n">
        <x:v>8205.01</x:v>
      </x:c>
      <x:c r="L1993" s="7" t="n">
        <x:v>1921.84</x:v>
      </x:c>
      <x:c r="M1993" s="3" t="str">
        <x:v>Credit Card</x:v>
      </x:c>
      <x:c r="N1993" s="3" t="str">
        <x:f>TEXT(B1993,"yyyy-mm")</x:f>
        <x:v>2025-06</x:v>
      </x:c>
      <x:c r="O1993" s="3" t="str">
        <x:f>IF(J1993=0,"No discount",IF(J1993&lt;=0.1,"1-10%",IF(J1993&lt;=0.15,"11-15%",IF(J1993&lt;=0.2,"16-20%","21%+"))))</x:f>
        <x:v>11-15%</x:v>
      </x:c>
      <x:c r="P1993" s="9" t="n">
        <x:f>IF(K1993=0,0,L1993/K1993)</x:f>
        <x:v>0.23422762434171315</x:v>
      </x:c>
      <x:c r="Q1993" s="3" t="str">
        <x:f>IF(L1993&lt;0,"Yes","No")</x:f>
        <x:v>No</x:v>
      </x:c>
    </x:row>
    <x:row r="1994" ht="21" customHeight="1">
      <x:c r="A1994" s="3" t="str">
        <x:v>ORD-101496</x:v>
      </x:c>
      <x:c r="B1994" s="5" t="n">
        <x:v>45836</x:v>
      </x:c>
      <x:c r="C1994" s="3" t="str">
        <x:v>CUST-00116</x:v>
      </x:c>
      <x:c r="D1994" s="3" t="str">
        <x:v>North</x:v>
      </x:c>
      <x:c r="E1994" s="3" t="str">
        <x:v>Sports</x:v>
      </x:c>
      <x:c r="F1994" s="3" t="str">
        <x:v>Fitness</x:v>
      </x:c>
      <x:c r="G1994" s="3" t="str">
        <x:v>ProYoga Mat</x:v>
      </x:c>
      <x:c r="H1994" s="3" t="n">
        <x:v>1</x:v>
      </x:c>
      <x:c r="I1994" s="7" t="n">
        <x:v>1273.75</x:v>
      </x:c>
      <x:c r="J1994" s="9" t="n">
        <x:v>0</x:v>
      </x:c>
      <x:c r="K1994" s="7" t="n">
        <x:v>1273.75</x:v>
      </x:c>
      <x:c r="L1994" s="7" t="n">
        <x:v>439.59</x:v>
      </x:c>
      <x:c r="M1994" s="3" t="str">
        <x:v>Credit Card</x:v>
      </x:c>
      <x:c r="N1994" s="3" t="str">
        <x:f>TEXT(B1994,"yyyy-mm")</x:f>
        <x:v>2025-06</x:v>
      </x:c>
      <x:c r="O1994" s="3" t="str">
        <x:f>IF(J1994=0,"No discount",IF(J1994&lt;=0.1,"1-10%",IF(J1994&lt;=0.15,"11-15%",IF(J1994&lt;=0.2,"16-20%","21%+"))))</x:f>
        <x:v>No discount</x:v>
      </x:c>
      <x:c r="P1994" s="9" t="n">
        <x:f>IF(K1994=0,0,L1994/K1994)</x:f>
        <x:v>0.34511481844946024</x:v>
      </x:c>
      <x:c r="Q1994" s="3" t="str">
        <x:f>IF(L1994&lt;0,"Yes","No")</x:f>
        <x:v>No</x:v>
      </x:c>
    </x:row>
    <x:row r="1995" ht="21" customHeight="1">
      <x:c r="A1995" s="3" t="str">
        <x:v>ORD-101733</x:v>
      </x:c>
      <x:c r="B1995" s="5" t="n">
        <x:v>45836</x:v>
      </x:c>
      <x:c r="C1995" s="3" t="str">
        <x:v>CUST-00141</x:v>
      </x:c>
      <x:c r="D1995" s="3" t="str">
        <x:v>East</x:v>
      </x:c>
      <x:c r="E1995" s="3" t="str">
        <x:v>Electronics</x:v>
      </x:c>
      <x:c r="F1995" s="3" t="str">
        <x:v>Laptop</x:v>
      </x:c>
      <x:c r="G1995" s="3" t="str">
        <x:v>AirBook Slim</x:v>
      </x:c>
      <x:c r="H1995" s="3" t="n">
        <x:v>4</x:v>
      </x:c>
      <x:c r="I1995" s="7" t="n">
        <x:v>77249.3</x:v>
      </x:c>
      <x:c r="J1995" s="9" t="n">
        <x:v>0.05</x:v>
      </x:c>
      <x:c r="K1995" s="7" t="n">
        <x:v>293547.34</x:v>
      </x:c>
      <x:c r="L1995" s="7" t="n">
        <x:v>35495.69</x:v>
      </x:c>
      <x:c r="M1995" s="3" t="str">
        <x:v>Debit Card</x:v>
      </x:c>
      <x:c r="N1995" s="3" t="str">
        <x:f>TEXT(B1995,"yyyy-mm")</x:f>
        <x:v>2025-06</x:v>
      </x:c>
      <x:c r="O1995" s="3" t="str">
        <x:f>IF(J1995=0,"No discount",IF(J1995&lt;=0.1,"1-10%",IF(J1995&lt;=0.15,"11-15%",IF(J1995&lt;=0.2,"16-20%","21%+"))))</x:f>
        <x:v>1-10%</x:v>
      </x:c>
      <x:c r="P1995" s="9" t="n">
        <x:f>IF(K1995=0,0,L1995/K1995)</x:f>
        <x:v>0.12091981484144942</x:v>
      </x:c>
      <x:c r="Q1995" s="3" t="str">
        <x:f>IF(L1995&lt;0,"Yes","No")</x:f>
        <x:v>No</x:v>
      </x:c>
    </x:row>
    <x:row r="1996" ht="21" customHeight="1">
      <x:c r="A1996" s="3" t="str">
        <x:v>ORD-100418</x:v>
      </x:c>
      <x:c r="B1996" s="5" t="n">
        <x:v>45837</x:v>
      </x:c>
      <x:c r="C1996" s="3" t="str">
        <x:v>CUST-00452</x:v>
      </x:c>
      <x:c r="D1996" s="3" t="str">
        <x:v>North</x:v>
      </x:c>
      <x:c r="E1996" s="3" t="str">
        <x:v>Electronics</x:v>
      </x:c>
      <x:c r="F1996" s="3" t="str">
        <x:v>Audio</x:v>
      </x:c>
      <x:c r="G1996" s="3" t="str">
        <x:v>BassBoom Speaker</x:v>
      </x:c>
      <x:c r="H1996" s="3" t="n">
        <x:v>1</x:v>
      </x:c>
      <x:c r="I1996" s="7" t="n">
        <x:v>9123.95</x:v>
      </x:c>
      <x:c r="J1996" s="9" t="n">
        <x:v>0.15</x:v>
      </x:c>
      <x:c r="K1996" s="7" t="n">
        <x:v>7755.36</x:v>
      </x:c>
      <x:c r="L1996" s="7" t="n">
        <x:v>-121.85</x:v>
      </x:c>
      <x:c r="M1996" s="3" t="str">
        <x:v>UPI</x:v>
      </x:c>
      <x:c r="N1996" s="3" t="str">
        <x:f>TEXT(B1996,"yyyy-mm")</x:f>
        <x:v>2025-06</x:v>
      </x:c>
      <x:c r="O1996" s="3" t="str">
        <x:f>IF(J1996=0,"No discount",IF(J1996&lt;=0.1,"1-10%",IF(J1996&lt;=0.15,"11-15%",IF(J1996&lt;=0.2,"16-20%","21%+"))))</x:f>
        <x:v>11-15%</x:v>
      </x:c>
      <x:c r="P1996" s="9" t="n">
        <x:f>IF(K1996=0,0,L1996/K1996)</x:f>
        <x:v>-0.015711714220874338</x:v>
      </x:c>
      <x:c r="Q1996" s="3" t="str">
        <x:f>IF(L1996&lt;0,"Yes","No")</x:f>
        <x:v>Yes</x:v>
      </x:c>
    </x:row>
    <x:row r="1997" ht="21" customHeight="1">
      <x:c r="A1997" s="3" t="str">
        <x:v>ORD-100441</x:v>
      </x:c>
      <x:c r="B1997" s="5" t="n">
        <x:v>45837</x:v>
      </x:c>
      <x:c r="C1997" s="3" t="str">
        <x:v>CUST-00400</x:v>
      </x:c>
      <x:c r="D1997" s="3" t="str">
        <x:v>South</x:v>
      </x:c>
      <x:c r="E1997" s="3" t="str">
        <x:v>Fashion</x:v>
      </x:c>
      <x:c r="F1997" s="3" t="str">
        <x:v>Footwear</x:v>
      </x:c>
      <x:c r="G1997" s="3" t="str">
        <x:v>UrbanLoafers</x:v>
      </x:c>
      <x:c r="H1997" s="3" t="n">
        <x:v>1</x:v>
      </x:c>
      <x:c r="I1997" s="7" t="n">
        <x:v>3610.8</x:v>
      </x:c>
      <x:c r="J1997" s="9" t="n">
        <x:v>0</x:v>
      </x:c>
      <x:c r="K1997" s="7" t="n">
        <x:v>3610.8</x:v>
      </x:c>
      <x:c r="L1997" s="7" t="n">
        <x:v>1387.28</x:v>
      </x:c>
      <x:c r="M1997" s="3" t="str">
        <x:v>Credit Card</x:v>
      </x:c>
      <x:c r="N1997" s="3" t="str">
        <x:f>TEXT(B1997,"yyyy-mm")</x:f>
        <x:v>2025-06</x:v>
      </x:c>
      <x:c r="O1997" s="3" t="str">
        <x:f>IF(J1997=0,"No discount",IF(J1997&lt;=0.1,"1-10%",IF(J1997&lt;=0.15,"11-15%",IF(J1997&lt;=0.2,"16-20%","21%+"))))</x:f>
        <x:v>No discount</x:v>
      </x:c>
      <x:c r="P1997" s="9" t="n">
        <x:f>IF(K1997=0,0,L1997/K1997)</x:f>
        <x:v>0.3842029467154093</x:v>
      </x:c>
      <x:c r="Q1997" s="3" t="str">
        <x:f>IF(L1997&lt;0,"Yes","No")</x:f>
        <x:v>No</x:v>
      </x:c>
    </x:row>
    <x:row r="1998" ht="21" customHeight="1">
      <x:c r="A1998" s="3" t="str">
        <x:v>ORD-100650</x:v>
      </x:c>
      <x:c r="B1998" s="5" t="n">
        <x:v>45837</x:v>
      </x:c>
      <x:c r="C1998" s="3" t="str">
        <x:v>CUST-00392</x:v>
      </x:c>
      <x:c r="D1998" s="3" t="str">
        <x:v>North</x:v>
      </x:c>
      <x:c r="E1998" s="3" t="str">
        <x:v>Sports</x:v>
      </x:c>
      <x:c r="F1998" s="3" t="str">
        <x:v>Outdoor</x:v>
      </x:c>
      <x:c r="G1998" s="3" t="str">
        <x:v>TrailHike Backpack 60L</x:v>
      </x:c>
      <x:c r="H1998" s="3" t="n">
        <x:v>1</x:v>
      </x:c>
      <x:c r="I1998" s="7" t="n">
        <x:v>3472.04</x:v>
      </x:c>
      <x:c r="J1998" s="9" t="n">
        <x:v>0</x:v>
      </x:c>
      <x:c r="K1998" s="7" t="n">
        <x:v>3472.04</x:v>
      </x:c>
      <x:c r="L1998" s="7" t="n">
        <x:v>1410.97</x:v>
      </x:c>
      <x:c r="M1998" s="3" t="str">
        <x:v>UPI</x:v>
      </x:c>
      <x:c r="N1998" s="3" t="str">
        <x:f>TEXT(B1998,"yyyy-mm")</x:f>
        <x:v>2025-06</x:v>
      </x:c>
      <x:c r="O1998" s="3" t="str">
        <x:f>IF(J1998=0,"No discount",IF(J1998&lt;=0.1,"1-10%",IF(J1998&lt;=0.15,"11-15%",IF(J1998&lt;=0.2,"16-20%","21%+"))))</x:f>
        <x:v>No discount</x:v>
      </x:c>
      <x:c r="P1998" s="9" t="n">
        <x:f>IF(K1998=0,0,L1998/K1998)</x:f>
        <x:v>0.40638068685844636</x:v>
      </x:c>
      <x:c r="Q1998" s="3" t="str">
        <x:f>IF(L1998&lt;0,"Yes","No")</x:f>
        <x:v>No</x:v>
      </x:c>
    </x:row>
    <x:row r="1999" ht="21" customHeight="1">
      <x:c r="A1999" s="3" t="str">
        <x:v>ORD-100294</x:v>
      </x:c>
      <x:c r="B1999" s="5" t="n">
        <x:v>45838</x:v>
      </x:c>
      <x:c r="C1999" s="3" t="str">
        <x:v>CUST-00433</x:v>
      </x:c>
      <x:c r="D1999" s="3" t="str">
        <x:v>West</x:v>
      </x:c>
      <x:c r="E1999" s="3" t="str">
        <x:v>Fashion</x:v>
      </x:c>
      <x:c r="F1999" s="3" t="str">
        <x:v>Footwear</x:v>
      </x:c>
      <x:c r="G1999" s="3" t="str">
        <x:v>UrbanLoafers</x:v>
      </x:c>
      <x:c r="H1999" s="3" t="n">
        <x:v>2</x:v>
      </x:c>
      <x:c r="I1999" s="7" t="n">
        <x:v>3520.79</x:v>
      </x:c>
      <x:c r="J1999" s="9" t="n">
        <x:v>0.15</x:v>
      </x:c>
      <x:c r="K1999" s="7" t="n">
        <x:v>5985.34</x:v>
      </x:c>
      <x:c r="L1999" s="7" t="n">
        <x:v>1521.02</x:v>
      </x:c>
      <x:c r="M1999" s="3" t="str">
        <x:v>Debit Card</x:v>
      </x:c>
      <x:c r="N1999" s="3" t="str">
        <x:f>TEXT(B1999,"yyyy-mm")</x:f>
        <x:v>2025-06</x:v>
      </x:c>
      <x:c r="O1999" s="3" t="str">
        <x:f>IF(J1999=0,"No discount",IF(J1999&lt;=0.1,"1-10%",IF(J1999&lt;=0.15,"11-15%",IF(J1999&lt;=0.2,"16-20%","21%+"))))</x:f>
        <x:v>11-15%</x:v>
      </x:c>
      <x:c r="P1999" s="9" t="n">
        <x:f>IF(K1999=0,0,L1999/K1999)</x:f>
        <x:v>0.25412424356845226</x:v>
      </x:c>
      <x:c r="Q1999" s="3" t="str">
        <x:f>IF(L1999&lt;0,"Yes","No")</x:f>
        <x:v>No</x:v>
      </x:c>
    </x:row>
    <x:row r="2000" ht="21" customHeight="1">
      <x:c r="A2000" s="3" t="str">
        <x:v>ORD-100923</x:v>
      </x:c>
      <x:c r="B2000" s="5" t="n">
        <x:v>45838</x:v>
      </x:c>
      <x:c r="C2000" s="3" t="str">
        <x:v>CUST-00450</x:v>
      </x:c>
      <x:c r="D2000" s="3" t="str">
        <x:v>West</x:v>
      </x:c>
      <x:c r="E2000" s="3" t="str">
        <x:v>Fashion</x:v>
      </x:c>
      <x:c r="F2000" s="3" t="str">
        <x:v>Women</x:v>
      </x:c>
      <x:c r="G2000" s="3" t="str">
        <x:v>Floral Summer Dress</x:v>
      </x:c>
      <x:c r="H2000" s="3" t="n">
        <x:v>1</x:v>
      </x:c>
      <x:c r="I2000" s="7" t="n">
        <x:v>1830.82</x:v>
      </x:c>
      <x:c r="J2000" s="9" t="n">
        <x:v>0</x:v>
      </x:c>
      <x:c r="K2000" s="7" t="n">
        <x:v>1830.82</x:v>
      </x:c>
      <x:c r="L2000" s="7" t="n">
        <x:v>822.71</x:v>
      </x:c>
      <x:c r="M2000" s="3" t="str">
        <x:v>Net Banking</x:v>
      </x:c>
      <x:c r="N2000" s="3" t="str">
        <x:f>TEXT(B2000,"yyyy-mm")</x:f>
        <x:v>2025-06</x:v>
      </x:c>
      <x:c r="O2000" s="3" t="str">
        <x:f>IF(J2000=0,"No discount",IF(J2000&lt;=0.1,"1-10%",IF(J2000&lt;=0.15,"11-15%",IF(J2000&lt;=0.2,"16-20%","21%+"))))</x:f>
        <x:v>No discount</x:v>
      </x:c>
      <x:c r="P2000" s="9" t="n">
        <x:f>IF(K2000=0,0,L2000/K2000)</x:f>
        <x:v>0.44936695032826823</x:v>
      </x:c>
      <x:c r="Q2000" s="3" t="str">
        <x:f>IF(L2000&lt;0,"Yes","No")</x:f>
        <x:v>No</x:v>
      </x:c>
    </x:row>
    <x:row r="2001" ht="21" customHeight="1">
      <x:c r="A2001" s="3" t="str">
        <x:v>ORD-101513</x:v>
      </x:c>
      <x:c r="B2001" s="5" t="n">
        <x:v>45838</x:v>
      </x:c>
      <x:c r="C2001" s="3" t="str">
        <x:v>CUST-00297</x:v>
      </x:c>
      <x:c r="D2001" s="3" t="str">
        <x:v>South</x:v>
      </x:c>
      <x:c r="E2001" s="3" t="str">
        <x:v>Beauty</x:v>
      </x:c>
      <x:c r="F2001" s="3" t="str">
        <x:v>Makeup</x:v>
      </x:c>
      <x:c r="G2001" s="3" t="str">
        <x:v>Matte Lipstick Set</x:v>
      </x:c>
      <x:c r="H2001" s="3" t="n">
        <x:v>1</x:v>
      </x:c>
      <x:c r="I2001" s="7" t="n">
        <x:v>1029.81</x:v>
      </x:c>
      <x:c r="J2001" s="9" t="n">
        <x:v>0.1</x:v>
      </x:c>
      <x:c r="K2001" s="7" t="n">
        <x:v>926.83</x:v>
      </x:c>
      <x:c r="L2001" s="7" t="n">
        <x:v>374.02</x:v>
      </x:c>
      <x:c r="M2001" s="3" t="str">
        <x:v>Debit Card</x:v>
      </x:c>
      <x:c r="N2001" s="3" t="str">
        <x:f>TEXT(B2001,"yyyy-mm")</x:f>
        <x:v>2025-06</x:v>
      </x:c>
      <x:c r="O2001" s="3" t="str">
        <x:f>IF(J2001=0,"No discount",IF(J2001&lt;=0.1,"1-10%",IF(J2001&lt;=0.15,"11-15%",IF(J2001&lt;=0.2,"16-20%","21%+"))))</x:f>
        <x:v>1-10%</x:v>
      </x:c>
      <x:c r="P2001" s="9" t="n">
        <x:f>IF(K2001=0,0,L2001/K2001)</x:f>
        <x:v>0.4035475761466504</x:v>
      </x:c>
      <x:c r="Q2001" s="3" t="str">
        <x:f>IF(L2001&lt;0,"Yes","No")</x:f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5f2649685e94dbf"/>
  </x:tableParts>
</x:worksheet>
</file>

<file path=xl/worksheets/sheet8.xml><?xml version="1.0" encoding="utf-8"?>
<x:worksheet xmlns:x="http://schemas.openxmlformats.org/spreadsheetml/2006/main">
  <x:sheetPr>
    <x:tabColor rgb="FF9AA3A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0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21" customHeight="1">
      <x:c r="A1" s="2" t="str">
        <x:v>order_id</x:v>
      </x:c>
      <x:c r="B1" s="2" t="str">
        <x:v>order_date</x:v>
      </x:c>
      <x:c r="C1" s="2" t="str">
        <x:v>customer_id</x:v>
      </x:c>
      <x:c r="D1" s="2" t="str">
        <x:v>region</x:v>
      </x:c>
      <x:c r="E1" s="2" t="str">
        <x:v>category</x:v>
      </x:c>
      <x:c r="F1" s="2" t="str">
        <x:v>sub_category</x:v>
      </x:c>
      <x:c r="G1" s="2" t="str">
        <x:v>product</x:v>
      </x:c>
      <x:c r="H1" s="2" t="str">
        <x:v>quantity</x:v>
      </x:c>
      <x:c r="I1" s="2" t="str">
        <x:v>unit_price</x:v>
      </x:c>
      <x:c r="J1" s="2" t="str">
        <x:v>discount</x:v>
      </x:c>
      <x:c r="K1" s="2" t="str">
        <x:v>sales</x:v>
      </x:c>
      <x:c r="L1" s="2" t="str">
        <x:v>profit</x:v>
      </x:c>
      <x:c r="M1" s="2" t="str">
        <x:v>payment_method</x:v>
      </x:c>
      <x:c r="N1" s="3"/>
      <x:c r="O1" s="3"/>
      <x:c r="P1" s="3"/>
      <x:c r="Q1" s="3"/>
    </x:row>
    <x:row r="2" ht="21" customHeight="1">
      <x:c r="A2" s="2" t="str">
        <x:v>ORD-101070</x:v>
      </x:c>
      <x:c r="B2" s="4" t="n">
        <x:v>45292</x:v>
      </x:c>
      <x:c r="C2" s="2" t="str">
        <x:v>CUST-00391</x:v>
      </x:c>
      <x:c r="D2" s="2" t="str">
        <x:v>West</x:v>
      </x:c>
      <x:c r="E2" s="2" t="str">
        <x:v>Beauty</x:v>
      </x:c>
      <x:c r="F2" s="2" t="str">
        <x:v>Skincare</x:v>
      </x:c>
      <x:c r="G2" s="2" t="str">
        <x:v>HydraBoost Moisturizer</x:v>
      </x:c>
      <x:c r="H2" s="2" t="n">
        <x:v>1</x:v>
      </x:c>
      <x:c r="I2" s="6" t="n">
        <x:v>1234.37</x:v>
      </x:c>
      <x:c r="J2" s="8" t="n">
        <x:v>0.1</x:v>
      </x:c>
      <x:c r="K2" s="6" t="n">
        <x:v>1110.93</x:v>
      </x:c>
      <x:c r="L2" s="6" t="n">
        <x:v>498.1</x:v>
      </x:c>
      <x:c r="M2" s="2" t="str">
        <x:v>UPI</x:v>
      </x:c>
      <x:c r="N2" s="3"/>
      <x:c r="O2" s="3"/>
      <x:c r="P2" s="3"/>
      <x:c r="Q2" s="3"/>
    </x:row>
    <x:row r="3" ht="21" customHeight="1">
      <x:c r="A3" s="2" t="str">
        <x:v>ORD-101945</x:v>
      </x:c>
      <x:c r="B3" s="4" t="n">
        <x:v>45292</x:v>
      </x:c>
      <x:c r="C3" s="2" t="str">
        <x:v>CUST-00595</x:v>
      </x:c>
      <x:c r="D3" s="2" t="str">
        <x:v>East</x:v>
      </x:c>
      <x:c r="E3" s="2" t="str">
        <x:v>Electronics</x:v>
      </x:c>
      <x:c r="F3" s="2" t="str">
        <x:v>Laptop</x:v>
      </x:c>
      <x:c r="G3" s="2" t="str">
        <x:v>AirBook Slim</x:v>
      </x:c>
      <x:c r="H3" s="2" t="n">
        <x:v>1</x:v>
      </x:c>
      <x:c r="I3" s="6" t="n">
        <x:v>80111.49</x:v>
      </x:c>
      <x:c r="J3" s="8" t="n">
        <x:v>0.1</x:v>
      </x:c>
      <x:c r="K3" s="6" t="n">
        <x:v>72100.34</x:v>
      </x:c>
      <x:c r="L3" s="6" t="n">
        <x:v>5701.57</x:v>
      </x:c>
      <x:c r="M3" s="2" t="str">
        <x:v>Cash on Delivery</x:v>
      </x:c>
      <x:c r="N3" s="3"/>
      <x:c r="O3" s="3"/>
      <x:c r="P3" s="3"/>
      <x:c r="Q3" s="3"/>
    </x:row>
    <x:row r="4" ht="21" customHeight="1">
      <x:c r="A4" s="2" t="str">
        <x:v>ORD-100664</x:v>
      </x:c>
      <x:c r="B4" s="4" t="n">
        <x:v>45293</x:v>
      </x:c>
      <x:c r="C4" s="2" t="str">
        <x:v>CUST-00549</x:v>
      </x:c>
      <x:c r="D4" s="2" t="str">
        <x:v>East</x:v>
      </x:c>
      <x:c r="E4" s="2" t="str">
        <x:v>Electronics</x:v>
      </x:c>
      <x:c r="F4" s="2" t="str">
        <x:v>Mobile</x:v>
      </x:c>
      <x:c r="G4" s="2" t="str">
        <x:v>Galaxy Nova X5</x:v>
      </x:c>
      <x:c r="H4" s="2" t="n">
        <x:v>1</x:v>
      </x:c>
      <x:c r="I4" s="6" t="n">
        <x:v>24219.42</x:v>
      </x:c>
      <x:c r="J4" s="8" t="n">
        <x:v>0.1</x:v>
      </x:c>
      <x:c r="K4" s="6" t="n">
        <x:v>21797.48</x:v>
      </x:c>
      <x:c r="L4" s="6" t="n">
        <x:v>2187.61</x:v>
      </x:c>
      <x:c r="M4" s="2" t="str">
        <x:v>UPI</x:v>
      </x:c>
      <x:c r="N4" s="3"/>
      <x:c r="O4" s="3"/>
      <x:c r="P4" s="3"/>
      <x:c r="Q4" s="3"/>
    </x:row>
    <x:row r="5" ht="21" customHeight="1">
      <x:c r="A5" s="2" t="str">
        <x:v>ORD-101555</x:v>
      </x:c>
      <x:c r="B5" s="4" t="n">
        <x:v>45293</x:v>
      </x:c>
      <x:c r="C5" s="2" t="str">
        <x:v>CUST-00220</x:v>
      </x:c>
      <x:c r="D5" s="2" t="str">
        <x:v>North</x:v>
      </x:c>
      <x:c r="E5" s="2" t="str">
        <x:v>Home &amp; Kitchen</x:v>
      </x:c>
      <x:c r="F5" s="2" t="str">
        <x:v>Appliances</x:v>
      </x:c>
      <x:c r="G5" s="2" t="str">
        <x:v>ColdBrew Coffee Maker</x:v>
      </x:c>
      <x:c r="H5" s="2" t="n">
        <x:v>1</x:v>
      </x:c>
      <x:c r="I5" s="6" t="n">
        <x:v>6807.91</x:v>
      </x:c>
      <x:c r="J5" s="8" t="n">
        <x:v>0</x:v>
      </x:c>
      <x:c r="K5" s="6" t="n">
        <x:v>6807.91</x:v>
      </x:c>
      <x:c r="L5" s="6" t="n">
        <x:v>2498.96</x:v>
      </x:c>
      <x:c r="M5" s="2" t="str">
        <x:v>Credit Card</x:v>
      </x:c>
      <x:c r="N5" s="3"/>
      <x:c r="O5" s="3"/>
      <x:c r="P5" s="3"/>
      <x:c r="Q5" s="3"/>
    </x:row>
    <x:row r="6" ht="21" customHeight="1">
      <x:c r="A6" s="2" t="str">
        <x:v>ORD-101584</x:v>
      </x:c>
      <x:c r="B6" s="4" t="n">
        <x:v>45294</x:v>
      </x:c>
      <x:c r="C6" s="2" t="str">
        <x:v>CUST-00095</x:v>
      </x:c>
      <x:c r="D6" s="2" t="str">
        <x:v>North</x:v>
      </x:c>
      <x:c r="E6" s="2" t="str">
        <x:v>Beauty</x:v>
      </x:c>
      <x:c r="F6" s="2" t="str">
        <x:v>Skincare</x:v>
      </x:c>
      <x:c r="G6" s="2" t="str">
        <x:v>Vitamin C Serum</x:v>
      </x:c>
      <x:c r="H6" s="2" t="n">
        <x:v>1</x:v>
      </x:c>
      <x:c r="I6" s="6" t="n">
        <x:v>924.01</x:v>
      </x:c>
      <x:c r="J6" s="8" t="n">
        <x:v>0.1</x:v>
      </x:c>
      <x:c r="K6" s="6" t="n">
        <x:v>831.61</x:v>
      </x:c>
      <x:c r="L6" s="6" t="n">
        <x:v>394.97</x:v>
      </x:c>
      <x:c r="M6" s="2" t="str">
        <x:v>UPI</x:v>
      </x:c>
      <x:c r="N6" s="3"/>
      <x:c r="O6" s="3"/>
      <x:c r="P6" s="3"/>
      <x:c r="Q6" s="3"/>
    </x:row>
    <x:row r="7" ht="21" customHeight="1">
      <x:c r="A7" s="2" t="str">
        <x:v>ORD-101499</x:v>
      </x:c>
      <x:c r="B7" s="4" t="n">
        <x:v>45295</x:v>
      </x:c>
      <x:c r="C7" s="2" t="str">
        <x:v>CUST-00048</x:v>
      </x:c>
      <x:c r="D7" s="2" t="str">
        <x:v>South</x:v>
      </x:c>
      <x:c r="E7" s="2" t="str">
        <x:v>Fashion</x:v>
      </x:c>
      <x:c r="F7" s="2" t="str">
        <x:v>Footwear</x:v>
      </x:c>
      <x:c r="G7" s="2" t="str">
        <x:v>RunFlex Sneakers</x:v>
      </x:c>
      <x:c r="H7" s="2" t="n">
        <x:v>1</x:v>
      </x:c>
      <x:c r="I7" s="6" t="n">
        <x:v>2908.04</x:v>
      </x:c>
      <x:c r="J7" s="8" t="n">
        <x:v>0.05</x:v>
      </x:c>
      <x:c r="K7" s="6" t="n">
        <x:v>2762.64</x:v>
      </x:c>
      <x:c r="L7" s="6" t="n">
        <x:v>926.6</x:v>
      </x:c>
      <x:c r="M7" s="2" t="str">
        <x:v>Credit Card</x:v>
      </x:c>
      <x:c r="N7" s="3"/>
      <x:c r="O7" s="3"/>
      <x:c r="P7" s="3"/>
      <x:c r="Q7" s="3"/>
    </x:row>
    <x:row r="8" ht="21" customHeight="1">
      <x:c r="A8" s="2" t="str">
        <x:v>ORD-101151</x:v>
      </x:c>
      <x:c r="B8" s="4" t="n">
        <x:v>45296</x:v>
      </x:c>
      <x:c r="C8" s="2" t="str">
        <x:v>CUST-00042</x:v>
      </x:c>
      <x:c r="D8" s="2" t="str">
        <x:v>East</x:v>
      </x:c>
      <x:c r="E8" s="2" t="str">
        <x:v>Sports</x:v>
      </x:c>
      <x:c r="F8" s="2" t="str">
        <x:v>Outdoor</x:v>
      </x:c>
      <x:c r="G8" s="2" t="str">
        <x:v>AllWeather Tent 4P</x:v>
      </x:c>
      <x:c r="H8" s="2" t="n">
        <x:v>4</x:v>
      </x:c>
      <x:c r="I8" s="6" t="n">
        <x:v>12379.05</x:v>
      </x:c>
      <x:c r="J8" s="8" t="n">
        <x:v>0.2</x:v>
      </x:c>
      <x:c r="K8" s="6" t="n">
        <x:v>39612.96</x:v>
      </x:c>
      <x:c r="L8" s="6" t="n">
        <x:v>6475.71</x:v>
      </x:c>
      <x:c r="M8" s="2" t="str">
        <x:v>UPI</x:v>
      </x:c>
      <x:c r="N8" s="3"/>
      <x:c r="O8" s="3"/>
      <x:c r="P8" s="3"/>
      <x:c r="Q8" s="3"/>
    </x:row>
    <x:row r="9" ht="21" customHeight="1">
      <x:c r="A9" s="2" t="str">
        <x:v>ORD-101166</x:v>
      </x:c>
      <x:c r="B9" s="4" t="n">
        <x:v>45296</x:v>
      </x:c>
      <x:c r="C9" s="2" t="str">
        <x:v>CUST-00489</x:v>
      </x:c>
      <x:c r="D9" s="2" t="str">
        <x:v>North</x:v>
      </x:c>
      <x:c r="E9" s="2" t="str">
        <x:v>Electronics</x:v>
      </x:c>
      <x:c r="F9" s="2" t="str">
        <x:v>Laptop</x:v>
      </x:c>
      <x:c r="G9" s="2" t="str">
        <x:v>AirBook Slim</x:v>
      </x:c>
      <x:c r="H9" s="2" t="n">
        <x:v>1</x:v>
      </x:c>
      <x:c r="I9" s="6" t="n">
        <x:v>80903.62</x:v>
      </x:c>
      <x:c r="J9" s="8" t="n">
        <x:v>0.05</x:v>
      </x:c>
      <x:c r="K9" s="6" t="n">
        <x:v>76858.44</x:v>
      </x:c>
      <x:c r="L9" s="6" t="n">
        <x:v>7182.52</x:v>
      </x:c>
      <x:c r="M9" s="2" t="str">
        <x:v>Cash on Delivery</x:v>
      </x:c>
      <x:c r="N9" s="3"/>
      <x:c r="O9" s="3"/>
      <x:c r="P9" s="3"/>
      <x:c r="Q9" s="3"/>
    </x:row>
    <x:row r="10" ht="21" customHeight="1">
      <x:c r="A10" s="2" t="str">
        <x:v>ORD-101640</x:v>
      </x:c>
      <x:c r="B10" s="4" t="n">
        <x:v>45297</x:v>
      </x:c>
      <x:c r="C10" s="2" t="str">
        <x:v>CUST-00577</x:v>
      </x:c>
      <x:c r="D10" s="2" t="str">
        <x:v>South</x:v>
      </x:c>
      <x:c r="E10" s="2" t="str">
        <x:v>Sports</x:v>
      </x:c>
      <x:c r="F10" s="2" t="str">
        <x:v>Fitness</x:v>
      </x:c>
      <x:c r="G10" s="2" t="str">
        <x:v>ProYoga Mat</x:v>
      </x:c>
      <x:c r="H10" s="2" t="n">
        <x:v>3</x:v>
      </x:c>
      <x:c r="I10" s="6" t="n">
        <x:v>1307.21</x:v>
      </x:c>
      <x:c r="J10" s="8" t="n">
        <x:v>0.05</x:v>
      </x:c>
      <x:c r="K10" s="6" t="n">
        <x:v>3725.55</x:v>
      </x:c>
      <x:c r="L10" s="6" t="n">
        <x:v>1285.69</x:v>
      </x:c>
      <x:c r="M10" s="2" t="str">
        <x:v>UPI</x:v>
      </x:c>
      <x:c r="N10" s="3"/>
      <x:c r="O10" s="3"/>
      <x:c r="P10" s="3"/>
      <x:c r="Q10" s="3"/>
    </x:row>
    <x:row r="11" ht="21" customHeight="1">
      <x:c r="A11" s="2" t="str">
        <x:v>ORD-101882</x:v>
      </x:c>
      <x:c r="B11" s="4" t="n">
        <x:v>45297</x:v>
      </x:c>
      <x:c r="C11" s="2" t="str">
        <x:v>CUST-00130</x:v>
      </x:c>
      <x:c r="D11" s="2" t="str">
        <x:v>South</x:v>
      </x:c>
      <x:c r="E11" s="2" t="str">
        <x:v>Sports</x:v>
      </x:c>
      <x:c r="F11" s="2" t="str">
        <x:v>Outdoor</x:v>
      </x:c>
      <x:c r="G11" s="2" t="str">
        <x:v>TrailHike Backpack 60L</x:v>
      </x:c>
      <x:c r="H11" s="2" t="n">
        <x:v>2</x:v>
      </x:c>
      <x:c r="I11" s="6" t="n">
        <x:v>3333.3</x:v>
      </x:c>
      <x:c r="J11" s="8" t="n">
        <x:v>0.2</x:v>
      </x:c>
      <x:c r="K11" s="6" t="n">
        <x:v>5333.28</x:v>
      </x:c>
      <x:c r="L11" s="6" t="n">
        <x:v>623.79</x:v>
      </x:c>
      <x:c r="M11" s="2" t="str">
        <x:v>Net Banking</x:v>
      </x:c>
      <x:c r="N11" s="3"/>
      <x:c r="O11" s="3"/>
      <x:c r="P11" s="3"/>
      <x:c r="Q11" s="3"/>
    </x:row>
    <x:row r="12" ht="21" customHeight="1">
      <x:c r="A12" s="2" t="str">
        <x:v>ORD-100797</x:v>
      </x:c>
      <x:c r="B12" s="4" t="n">
        <x:v>45298</x:v>
      </x:c>
      <x:c r="C12" s="2" t="str">
        <x:v>CUST-00531</x:v>
      </x:c>
      <x:c r="D12" s="2" t="str">
        <x:v>West</x:v>
      </x:c>
      <x:c r="E12" s="2" t="str">
        <x:v>Beauty</x:v>
      </x:c>
      <x:c r="F12" s="2" t="str">
        <x:v>Makeup</x:v>
      </x:c>
      <x:c r="G12" s="2" t="str">
        <x:v>Matte Lipstick Set</x:v>
      </x:c>
      <x:c r="H12" s="2" t="n">
        <x:v>2</x:v>
      </x:c>
      <x:c r="I12" s="6" t="n">
        <x:v>1036.74</x:v>
      </x:c>
      <x:c r="J12" s="8" t="n">
        <x:v>0.2</x:v>
      </x:c>
      <x:c r="K12" s="6" t="n">
        <x:v>1658.78</x:v>
      </x:c>
      <x:c r="L12" s="6" t="n">
        <x:v>471.56</x:v>
      </x:c>
      <x:c r="M12" s="2" t="str">
        <x:v>UPI</x:v>
      </x:c>
      <x:c r="N12" s="3"/>
      <x:c r="O12" s="3"/>
      <x:c r="P12" s="3"/>
      <x:c r="Q12" s="3"/>
    </x:row>
    <x:row r="13" ht="21" customHeight="1">
      <x:c r="A13" s="2" t="str">
        <x:v>ORD-100938</x:v>
      </x:c>
      <x:c r="B13" s="4" t="n">
        <x:v>45298</x:v>
      </x:c>
      <x:c r="C13" s="2" t="str">
        <x:v>CUST-00522</x:v>
      </x:c>
      <x:c r="D13" s="2" t="str">
        <x:v>East</x:v>
      </x:c>
      <x:c r="E13" s="2" t="str">
        <x:v>Fashion</x:v>
      </x:c>
      <x:c r="F13" s="2" t="str">
        <x:v>Women</x:v>
      </x:c>
      <x:c r="G13" s="2" t="str">
        <x:v>Knit Winter Sweater</x:v>
      </x:c>
      <x:c r="H13" s="2" t="n">
        <x:v>2</x:v>
      </x:c>
      <x:c r="I13" s="6" t="n">
        <x:v>2226.69</x:v>
      </x:c>
      <x:c r="J13" s="8" t="n">
        <x:v>0.05</x:v>
      </x:c>
      <x:c r="K13" s="6" t="n">
        <x:v>4230.71</x:v>
      </x:c>
      <x:c r="L13" s="6" t="n">
        <x:v>1402.13</x:v>
      </x:c>
      <x:c r="M13" s="2" t="str">
        <x:v>UPI</x:v>
      </x:c>
      <x:c r="N13" s="3"/>
      <x:c r="O13" s="3"/>
      <x:c r="P13" s="3"/>
      <x:c r="Q13" s="3"/>
    </x:row>
    <x:row r="14" ht="21" customHeight="1">
      <x:c r="A14" s="2" t="str">
        <x:v>ORD-101263</x:v>
      </x:c>
      <x:c r="B14" s="4" t="n">
        <x:v>45298</x:v>
      </x:c>
      <x:c r="C14" s="2" t="str">
        <x:v>CUST-00133</x:v>
      </x:c>
      <x:c r="D14" s="2" t="str">
        <x:v>South</x:v>
      </x:c>
      <x:c r="E14" s="2" t="str">
        <x:v>Fashion</x:v>
      </x:c>
      <x:c r="F14" s="2" t="str">
        <x:v>Women</x:v>
      </x:c>
      <x:c r="G14" s="2" t="str">
        <x:v>Knit Winter Sweater</x:v>
      </x:c>
      <x:c r="H14" s="2" t="n">
        <x:v>2</x:v>
      </x:c>
      <x:c r="I14" s="6" t="n">
        <x:v>2115.88</x:v>
      </x:c>
      <x:c r="J14" s="8" t="n">
        <x:v>0.25</x:v>
      </x:c>
      <x:c r="K14" s="6" t="n">
        <x:v>3173.82</x:v>
      </x:c>
      <x:c r="L14" s="6" t="n">
        <x:v>443.82</x:v>
      </x:c>
      <x:c r="M14" s="2" t="str">
        <x:v>UPI</x:v>
      </x:c>
      <x:c r="N14" s="3"/>
      <x:c r="O14" s="3"/>
      <x:c r="P14" s="3"/>
      <x:c r="Q14" s="3"/>
    </x:row>
    <x:row r="15" ht="21" customHeight="1">
      <x:c r="A15" s="2" t="str">
        <x:v>ORD-101631</x:v>
      </x:c>
      <x:c r="B15" s="4" t="n">
        <x:v>45298</x:v>
      </x:c>
      <x:c r="C15" s="2" t="str">
        <x:v>CUST-00027</x:v>
      </x:c>
      <x:c r="D15" s="2" t="str">
        <x:v>South</x:v>
      </x:c>
      <x:c r="E15" s="2" t="str">
        <x:v>Electronics</x:v>
      </x:c>
      <x:c r="F15" s="2" t="str">
        <x:v>Laptop</x:v>
      </x:c>
      <x:c r="G15" s="2" t="str">
        <x:v>AirBook Slim</x:v>
      </x:c>
      <x:c r="H15" s="2" t="n">
        <x:v>2</x:v>
      </x:c>
      <x:c r="I15" s="6" t="n">
        <x:v>75503.57</x:v>
      </x:c>
      <x:c r="J15" s="8" t="n">
        <x:v>0</x:v>
      </x:c>
      <x:c r="K15" s="6" t="n">
        <x:v>151007.14</x:v>
      </x:c>
      <x:c r="L15" s="6" t="n">
        <x:v>25183.27</x:v>
      </x:c>
      <x:c r="M15" s="2" t="str">
        <x:v>UPI</x:v>
      </x:c>
      <x:c r="N15" s="3"/>
      <x:c r="O15" s="3"/>
      <x:c r="P15" s="3"/>
      <x:c r="Q15" s="3"/>
    </x:row>
    <x:row r="16" ht="21" customHeight="1">
      <x:c r="A16" s="2" t="str">
        <x:v>ORD-101717</x:v>
      </x:c>
      <x:c r="B16" s="4" t="n">
        <x:v>45298</x:v>
      </x:c>
      <x:c r="C16" s="2" t="str">
        <x:v>CUST-00315</x:v>
      </x:c>
      <x:c r="D16" s="2" t="str">
        <x:v>North</x:v>
      </x:c>
      <x:c r="E16" s="2" t="str">
        <x:v>Sports</x:v>
      </x:c>
      <x:c r="F16" s="2" t="str">
        <x:v>Outdoor</x:v>
      </x:c>
      <x:c r="G16" s="2" t="str">
        <x:v>AllWeather Tent 4P</x:v>
      </x:c>
      <x:c r="H16" s="2" t="n">
        <x:v>1</x:v>
      </x:c>
      <x:c r="I16" s="6" t="n">
        <x:v>12085.24</x:v>
      </x:c>
      <x:c r="J16" s="8" t="n">
        <x:v>0.1</x:v>
      </x:c>
      <x:c r="K16" s="6" t="n">
        <x:v>10876.72</x:v>
      </x:c>
      <x:c r="L16" s="6" t="n">
        <x:v>3298.41</x:v>
      </x:c>
      <x:c r="M16" s="2" t="str">
        <x:v>Debit Card</x:v>
      </x:c>
      <x:c r="N16" s="3"/>
      <x:c r="O16" s="3"/>
      <x:c r="P16" s="3"/>
      <x:c r="Q16" s="3"/>
    </x:row>
    <x:row r="17" ht="21" customHeight="1">
      <x:c r="A17" s="2" t="str">
        <x:v>ORD-101901</x:v>
      </x:c>
      <x:c r="B17" s="4" t="n">
        <x:v>45298</x:v>
      </x:c>
      <x:c r="C17" s="2" t="str">
        <x:v>CUST-00354</x:v>
      </x:c>
      <x:c r="D17" s="2" t="str">
        <x:v>South</x:v>
      </x:c>
      <x:c r="E17" s="2" t="str">
        <x:v>Sports</x:v>
      </x:c>
      <x:c r="F17" s="2" t="str">
        <x:v>Outdoor</x:v>
      </x:c>
      <x:c r="G17" s="2" t="str">
        <x:v>TrailHike Backpack 60L</x:v>
      </x:c>
      <x:c r="H17" s="2" t="n">
        <x:v>1</x:v>
      </x:c>
      <x:c r="I17" s="6" t="n">
        <x:v>3426.47</x:v>
      </x:c>
      <x:c r="J17" s="8" t="n">
        <x:v>0.15</x:v>
      </x:c>
      <x:c r="K17" s="6" t="n">
        <x:v>2912.5</x:v>
      </x:c>
      <x:c r="L17" s="6" t="n">
        <x:v>602.81</x:v>
      </x:c>
      <x:c r="M17" s="2" t="str">
        <x:v>Net Banking</x:v>
      </x:c>
      <x:c r="N17" s="3"/>
      <x:c r="O17" s="3"/>
      <x:c r="P17" s="3"/>
      <x:c r="Q17" s="3"/>
    </x:row>
    <x:row r="18" ht="21" customHeight="1">
      <x:c r="A18" s="2" t="str">
        <x:v>ORD-100355</x:v>
      </x:c>
      <x:c r="B18" s="4" t="n">
        <x:v>45299</x:v>
      </x:c>
      <x:c r="C18" s="2" t="str">
        <x:v>CUST-00194</x:v>
      </x:c>
      <x:c r="D18" s="2" t="str">
        <x:v>North</x:v>
      </x:c>
      <x:c r="E18" s="2" t="str">
        <x:v>Electronics</x:v>
      </x:c>
      <x:c r="F18" s="2" t="str">
        <x:v>Audio</x:v>
      </x:c>
      <x:c r="G18" s="2" t="str">
        <x:v>BassBoom Speaker</x:v>
      </x:c>
      <x:c r="H18" s="2" t="n">
        <x:v>4</x:v>
      </x:c>
      <x:c r="I18" s="6" t="n">
        <x:v>8557.27</x:v>
      </x:c>
      <x:c r="J18" s="8" t="n">
        <x:v>0.05</x:v>
      </x:c>
      <x:c r="K18" s="6" t="n">
        <x:v>32517.63</x:v>
      </x:c>
      <x:c r="L18" s="6" t="n">
        <x:v>3802.44</x:v>
      </x:c>
      <x:c r="M18" s="2" t="str">
        <x:v>UPI</x:v>
      </x:c>
      <x:c r="N18" s="3"/>
      <x:c r="O18" s="3"/>
      <x:c r="P18" s="3"/>
      <x:c r="Q18" s="3"/>
    </x:row>
    <x:row r="19" ht="21" customHeight="1">
      <x:c r="A19" s="2" t="str">
        <x:v>ORD-101920</x:v>
      </x:c>
      <x:c r="B19" s="4" t="n">
        <x:v>45299</x:v>
      </x:c>
      <x:c r="C19" s="2" t="str">
        <x:v>CUST-00578</x:v>
      </x:c>
      <x:c r="D19" s="2" t="str">
        <x:v>South</x:v>
      </x:c>
      <x:c r="E19" s="2" t="str">
        <x:v>Home &amp; Kitchen</x:v>
      </x:c>
      <x:c r="F19" s="2" t="str">
        <x:v>Appliances</x:v>
      </x:c>
      <x:c r="G19" s="2" t="str">
        <x:v>AirFryer Deluxe</x:v>
      </x:c>
      <x:c r="H19" s="2" t="n">
        <x:v>1</x:v>
      </x:c>
      <x:c r="I19" s="6" t="n">
        <x:v>8013.29</x:v>
      </x:c>
      <x:c r="J19" s="8" t="n">
        <x:v>0</x:v>
      </x:c>
      <x:c r="K19" s="6" t="n">
        <x:v>8013.29</x:v>
      </x:c>
      <x:c r="L19" s="6" t="n">
        <x:v>2928.63</x:v>
      </x:c>
      <x:c r="M19" s="2" t="str">
        <x:v>Cash on Delivery</x:v>
      </x:c>
      <x:c r="N19" s="3"/>
      <x:c r="O19" s="3"/>
      <x:c r="P19" s="3"/>
      <x:c r="Q19" s="3"/>
    </x:row>
    <x:row r="20" ht="21" customHeight="1">
      <x:c r="A20" s="2" t="str">
        <x:v>ORD-100590</x:v>
      </x:c>
      <x:c r="B20" s="4" t="n">
        <x:v>45300</x:v>
      </x:c>
      <x:c r="C20" s="2" t="str">
        <x:v>CUST-00380</x:v>
      </x:c>
      <x:c r="D20" s="2" t="str">
        <x:v>South</x:v>
      </x:c>
      <x:c r="E20" s="2" t="str">
        <x:v>Beauty</x:v>
      </x:c>
      <x:c r="F20" s="2" t="str">
        <x:v>Skincare</x:v>
      </x:c>
      <x:c r="G20" s="2" t="str">
        <x:v>HydraBoost Moisturizer</x:v>
      </x:c>
      <x:c r="H20" s="2" t="n">
        <x:v>2</x:v>
      </x:c>
      <x:c r="I20" s="6" t="n">
        <x:v>1236.5</x:v>
      </x:c>
      <x:c r="J20" s="8" t="n">
        <x:v>0.05</x:v>
      </x:c>
      <x:c r="K20" s="6" t="n">
        <x:v>2349.35</x:v>
      </x:c>
      <x:c r="L20" s="6" t="n">
        <x:v>1218.6</x:v>
      </x:c>
      <x:c r="M20" s="2" t="str">
        <x:v>UPI</x:v>
      </x:c>
      <x:c r="N20" s="3"/>
      <x:c r="O20" s="3"/>
      <x:c r="P20" s="3"/>
      <x:c r="Q20" s="3"/>
    </x:row>
    <x:row r="21" ht="21" customHeight="1">
      <x:c r="A21" s="2" t="str">
        <x:v>ORD-100603</x:v>
      </x:c>
      <x:c r="B21" s="4" t="n">
        <x:v>45300</x:v>
      </x:c>
      <x:c r="C21" s="2" t="str">
        <x:v>CUST-00149</x:v>
      </x:c>
      <x:c r="D21" s="2" t="str">
        <x:v>East</x:v>
      </x:c>
      <x:c r="E21" s="2" t="str">
        <x:v>Beauty</x:v>
      </x:c>
      <x:c r="F21" s="2" t="str">
        <x:v>Makeup</x:v>
      </x:c>
      <x:c r="G21" s="2" t="str">
        <x:v>HD Foundation Kit</x:v>
      </x:c>
      <x:c r="H21" s="2" t="n">
        <x:v>2</x:v>
      </x:c>
      <x:c r="I21" s="6" t="n">
        <x:v>1445.88</x:v>
      </x:c>
      <x:c r="J21" s="8" t="n">
        <x:v>0.1</x:v>
      </x:c>
      <x:c r="K21" s="6" t="n">
        <x:v>2602.58</x:v>
      </x:c>
      <x:c r="L21" s="6" t="n">
        <x:v>1125.78</x:v>
      </x:c>
      <x:c r="M21" s="2" t="str">
        <x:v>UPI</x:v>
      </x:c>
      <x:c r="N21" s="3"/>
      <x:c r="O21" s="3"/>
      <x:c r="P21" s="3"/>
      <x:c r="Q21" s="3"/>
    </x:row>
    <x:row r="22" ht="21" customHeight="1">
      <x:c r="A22" s="2" t="str">
        <x:v>ORD-100697</x:v>
      </x:c>
      <x:c r="B22" s="4" t="n">
        <x:v>45300</x:v>
      </x:c>
      <x:c r="C22" s="2" t="str">
        <x:v>CUST-00297</x:v>
      </x:c>
      <x:c r="D22" s="2" t="str">
        <x:v>West</x:v>
      </x:c>
      <x:c r="E22" s="2" t="str">
        <x:v>Electronics</x:v>
      </x:c>
      <x:c r="F22" s="2" t="str">
        <x:v>Mobile</x:v>
      </x:c>
      <x:c r="G22" s="2" t="str">
        <x:v>Galaxy Nova X5</x:v>
      </x:c>
      <x:c r="H22" s="2" t="n">
        <x:v>1</x:v>
      </x:c>
      <x:c r="I22" s="6" t="n">
        <x:v>25460.08</x:v>
      </x:c>
      <x:c r="J22" s="8" t="n">
        <x:v>0</x:v>
      </x:c>
      <x:c r="K22" s="6" t="n">
        <x:v>25460.08</x:v>
      </x:c>
      <x:c r="L22" s="6" t="n">
        <x:v>3670.41</x:v>
      </x:c>
      <x:c r="M22" s="2" t="str">
        <x:v>Credit Card</x:v>
      </x:c>
      <x:c r="N22" s="3"/>
      <x:c r="O22" s="3"/>
      <x:c r="P22" s="3"/>
      <x:c r="Q22" s="3"/>
    </x:row>
    <x:row r="23" ht="21" customHeight="1">
      <x:c r="A23" s="2" t="str">
        <x:v>ORD-100850</x:v>
      </x:c>
      <x:c r="B23" s="4" t="n">
        <x:v>45300</x:v>
      </x:c>
      <x:c r="C23" s="2" t="str">
        <x:v>CUST-00386</x:v>
      </x:c>
      <x:c r="D23" s="2" t="str">
        <x:v>South</x:v>
      </x:c>
      <x:c r="E23" s="2" t="str">
        <x:v>Electronics</x:v>
      </x:c>
      <x:c r="F23" s="2" t="str">
        <x:v>Audio</x:v>
      </x:c>
      <x:c r="G23" s="2" t="str">
        <x:v>BassBoom Speaker</x:v>
      </x:c>
      <x:c r="H23" s="2" t="n">
        <x:v>4</x:v>
      </x:c>
      <x:c r="I23" s="6" t="n">
        <x:v>8639.43</x:v>
      </x:c>
      <x:c r="J23" s="8" t="n">
        <x:v>0</x:v>
      </x:c>
      <x:c r="K23" s="6" t="n">
        <x:v>34557.72</x:v>
      </x:c>
      <x:c r="L23" s="6" t="n">
        <x:v>6787.42</x:v>
      </x:c>
      <x:c r="M23" s="2" t="str">
        <x:v>UPI</x:v>
      </x:c>
      <x:c r="N23" s="3"/>
      <x:c r="O23" s="3"/>
      <x:c r="P23" s="3"/>
      <x:c r="Q23" s="3"/>
    </x:row>
    <x:row r="24" ht="21" customHeight="1">
      <x:c r="A24" s="2" t="str">
        <x:v>ORD-100891</x:v>
      </x:c>
      <x:c r="B24" s="4" t="n">
        <x:v>45300</x:v>
      </x:c>
      <x:c r="C24" s="2" t="str">
        <x:v>CUST-00487</x:v>
      </x:c>
      <x:c r="D24" s="2" t="str">
        <x:v>North</x:v>
      </x:c>
      <x:c r="E24" s="2" t="str">
        <x:v>Beauty</x:v>
      </x:c>
      <x:c r="F24" s="2" t="str">
        <x:v>Makeup</x:v>
      </x:c>
      <x:c r="G24" s="2" t="str">
        <x:v>HD Foundation Kit</x:v>
      </x:c>
      <x:c r="H24" s="2" t="n">
        <x:v>2</x:v>
      </x:c>
      <x:c r="I24" s="6" t="n">
        <x:v>1559.15</x:v>
      </x:c>
      <x:c r="J24" s="8" t="n">
        <x:v>0.1</x:v>
      </x:c>
      <x:c r="K24" s="6" t="n">
        <x:v>2806.47</x:v>
      </x:c>
      <x:c r="L24" s="6" t="n">
        <x:v>1180.93</x:v>
      </x:c>
      <x:c r="M24" s="2" t="str">
        <x:v>UPI</x:v>
      </x:c>
      <x:c r="N24" s="3"/>
      <x:c r="O24" s="3"/>
      <x:c r="P24" s="3"/>
      <x:c r="Q24" s="3"/>
    </x:row>
    <x:row r="25" ht="21" customHeight="1">
      <x:c r="A25" s="2" t="str">
        <x:v>ORD-101138</x:v>
      </x:c>
      <x:c r="B25" s="4" t="n">
        <x:v>45300</x:v>
      </x:c>
      <x:c r="C25" s="2" t="str">
        <x:v>CUST-00439</x:v>
      </x:c>
      <x:c r="D25" s="2" t="str">
        <x:v>North</x:v>
      </x:c>
      <x:c r="E25" s="2" t="str">
        <x:v>Home &amp; Kitchen</x:v>
      </x:c>
      <x:c r="F25" s="2" t="str">
        <x:v>Furniture</x:v>
      </x:c>
      <x:c r="G25" s="2" t="str">
        <x:v>Oakwood Study Desk</x:v>
      </x:c>
      <x:c r="H25" s="2" t="n">
        <x:v>1</x:v>
      </x:c>
      <x:c r="I25" s="6" t="n">
        <x:v>13120.47</x:v>
      </x:c>
      <x:c r="J25" s="8" t="n">
        <x:v>0.1</x:v>
      </x:c>
      <x:c r="K25" s="6" t="n">
        <x:v>11808.42</x:v>
      </x:c>
      <x:c r="L25" s="6" t="n">
        <x:v>2872.47</x:v>
      </x:c>
      <x:c r="M25" s="2" t="str">
        <x:v>UPI</x:v>
      </x:c>
      <x:c r="N25" s="3"/>
      <x:c r="O25" s="3"/>
      <x:c r="P25" s="3"/>
      <x:c r="Q25" s="3"/>
    </x:row>
    <x:row r="26" ht="21" customHeight="1">
      <x:c r="A26" s="2" t="str">
        <x:v>ORD-101290</x:v>
      </x:c>
      <x:c r="B26" s="4" t="n">
        <x:v>45300</x:v>
      </x:c>
      <x:c r="C26" s="2" t="str">
        <x:v>CUST-00335</x:v>
      </x:c>
      <x:c r="D26" s="2" t="str">
        <x:v>North</x:v>
      </x:c>
      <x:c r="E26" s="2" t="str">
        <x:v>Fashion</x:v>
      </x:c>
      <x:c r="F26" s="2" t="str">
        <x:v>Men</x:v>
      </x:c>
      <x:c r="G26" s="2" t="str">
        <x:v>SlimFit Denim Jeans</x:v>
      </x:c>
      <x:c r="H26" s="2" t="n">
        <x:v>1</x:v>
      </x:c>
      <x:c r="I26" s="6" t="n">
        <x:v>2035.59</x:v>
      </x:c>
      <x:c r="J26" s="8" t="n">
        <x:v>0.15</x:v>
      </x:c>
      <x:c r="K26" s="6" t="n">
        <x:v>1730.25</x:v>
      </x:c>
      <x:c r="L26" s="6" t="n">
        <x:v>445.59</x:v>
      </x:c>
      <x:c r="M26" s="2" t="str">
        <x:v>UPI</x:v>
      </x:c>
      <x:c r="N26" s="3"/>
      <x:c r="O26" s="3"/>
      <x:c r="P26" s="3"/>
      <x:c r="Q26" s="3"/>
    </x:row>
    <x:row r="27" ht="21" customHeight="1">
      <x:c r="A27" s="2" t="str">
        <x:v>ORD-101421</x:v>
      </x:c>
      <x:c r="B27" s="4" t="n">
        <x:v>45300</x:v>
      </x:c>
      <x:c r="C27" s="2" t="str">
        <x:v>CUST-00314</x:v>
      </x:c>
      <x:c r="D27" s="2" t="str">
        <x:v>South</x:v>
      </x:c>
      <x:c r="E27" s="2" t="str">
        <x:v>Sports</x:v>
      </x:c>
      <x:c r="F27" s="2" t="str">
        <x:v>Fitness</x:v>
      </x:c>
      <x:c r="G27" s="2" t="str">
        <x:v>Adjustable Dumbbell 24kg</x:v>
      </x:c>
      <x:c r="H27" s="2" t="n">
        <x:v>1</x:v>
      </x:c>
      <x:c r="I27" s="6" t="n">
        <x:v>9578.12</x:v>
      </x:c>
      <x:c r="J27" s="8" t="n">
        <x:v>0</x:v>
      </x:c>
      <x:c r="K27" s="6" t="n">
        <x:v>9578.12</x:v>
      </x:c>
      <x:c r="L27" s="6" t="n">
        <x:v>3519.58</x:v>
      </x:c>
      <x:c r="M27" s="2" t="str">
        <x:v>Credit Card</x:v>
      </x:c>
      <x:c r="N27" s="3"/>
      <x:c r="O27" s="3"/>
      <x:c r="P27" s="3"/>
      <x:c r="Q27" s="3"/>
    </x:row>
    <x:row r="28" ht="21" customHeight="1">
      <x:c r="A28" s="2" t="str">
        <x:v>ORD-101454</x:v>
      </x:c>
      <x:c r="B28" s="4" t="n">
        <x:v>45300</x:v>
      </x:c>
      <x:c r="C28" s="2" t="str">
        <x:v>CUST-00359</x:v>
      </x:c>
      <x:c r="D28" s="2" t="str">
        <x:v>South</x:v>
      </x:c>
      <x:c r="E28" s="2" t="str">
        <x:v>Beauty</x:v>
      </x:c>
      <x:c r="F28" s="2" t="str">
        <x:v>Makeup</x:v>
      </x:c>
      <x:c r="G28" s="2" t="str">
        <x:v>Matte Lipstick Set</x:v>
      </x:c>
      <x:c r="H28" s="2" t="n">
        <x:v>2</x:v>
      </x:c>
      <x:c r="I28" s="6" t="n">
        <x:v>981.13</x:v>
      </x:c>
      <x:c r="J28" s="8" t="n">
        <x:v>0.05</x:v>
      </x:c>
      <x:c r="K28" s="6" t="n">
        <x:v>1864.15</x:v>
      </x:c>
      <x:c r="L28" s="6" t="n">
        <x:v>850.92</x:v>
      </x:c>
      <x:c r="M28" s="2" t="str">
        <x:v>Credit Card</x:v>
      </x:c>
      <x:c r="N28" s="3"/>
      <x:c r="O28" s="3"/>
      <x:c r="P28" s="3"/>
      <x:c r="Q28" s="3"/>
    </x:row>
    <x:row r="29" ht="21" customHeight="1">
      <x:c r="A29" s="2" t="str">
        <x:v>ORD-101959</x:v>
      </x:c>
      <x:c r="B29" s="4" t="n">
        <x:v>45300</x:v>
      </x:c>
      <x:c r="C29" s="2" t="str">
        <x:v>CUST-00202</x:v>
      </x:c>
      <x:c r="D29" s="2" t="str">
        <x:v>South</x:v>
      </x:c>
      <x:c r="E29" s="2" t="str">
        <x:v>Home &amp; Kitchen</x:v>
      </x:c>
      <x:c r="F29" s="2" t="str">
        <x:v>Furniture</x:v>
      </x:c>
      <x:c r="G29" s="2" t="str">
        <x:v>ErgoComfort Chair</x:v>
      </x:c>
      <x:c r="H29" s="2" t="n">
        <x:v>5</x:v>
      </x:c>
      <x:c r="I29" s="6" t="n">
        <x:v>8706.41</x:v>
      </x:c>
      <x:c r="J29" s="8" t="n">
        <x:v>0</x:v>
      </x:c>
      <x:c r="K29" s="6" t="n">
        <x:v>43532.05</x:v>
      </x:c>
      <x:c r="L29" s="6" t="n">
        <x:v>13561.59</x:v>
      </x:c>
      <x:c r="M29" s="2" t="str">
        <x:v>Debit Card</x:v>
      </x:c>
      <x:c r="N29" s="3"/>
      <x:c r="O29" s="3"/>
      <x:c r="P29" s="3"/>
      <x:c r="Q29" s="3"/>
    </x:row>
    <x:row r="30" ht="21" customHeight="1">
      <x:c r="A30" s="2" t="str">
        <x:v>ORD-100262</x:v>
      </x:c>
      <x:c r="B30" s="4" t="n">
        <x:v>45301</x:v>
      </x:c>
      <x:c r="C30" s="2" t="str">
        <x:v>CUST-00136</x:v>
      </x:c>
      <x:c r="D30" s="2" t="str">
        <x:v>East</x:v>
      </x:c>
      <x:c r="E30" s="2" t="str">
        <x:v>Fashion</x:v>
      </x:c>
      <x:c r="F30" s="2" t="str">
        <x:v>Men</x:v>
      </x:c>
      <x:c r="G30" s="2" t="str">
        <x:v>SlimFit Denim Jeans</x:v>
      </x:c>
      <x:c r="H30" s="2" t="n">
        <x:v>2</x:v>
      </x:c>
      <x:c r="I30" s="6" t="n">
        <x:v>1980.91</x:v>
      </x:c>
      <x:c r="J30" s="8" t="n">
        <x:v>0</x:v>
      </x:c>
      <x:c r="K30" s="6" t="n">
        <x:v>3961.82</x:v>
      </x:c>
      <x:c r="L30" s="6" t="n">
        <x:v>1511.85</x:v>
      </x:c>
      <x:c r="M30" s="2" t="str">
        <x:v>Debit Card</x:v>
      </x:c>
      <x:c r="N30" s="3"/>
      <x:c r="O30" s="3"/>
      <x:c r="P30" s="3"/>
      <x:c r="Q30" s="3"/>
    </x:row>
    <x:row r="31" ht="21" customHeight="1">
      <x:c r="A31" s="2" t="str">
        <x:v>ORD-101985</x:v>
      </x:c>
      <x:c r="B31" s="4" t="n">
        <x:v>45301</x:v>
      </x:c>
      <x:c r="C31" s="2" t="str">
        <x:v>CUST-00579</x:v>
      </x:c>
      <x:c r="D31" s="2" t="str">
        <x:v>East</x:v>
      </x:c>
      <x:c r="E31" s="2" t="str">
        <x:v>Fashion</x:v>
      </x:c>
      <x:c r="F31" s="2" t="str">
        <x:v>Footwear</x:v>
      </x:c>
      <x:c r="G31" s="2" t="str">
        <x:v>RunFlex Sneakers</x:v>
      </x:c>
      <x:c r="H31" s="2" t="n">
        <x:v>3</x:v>
      </x:c>
      <x:c r="I31" s="6" t="n">
        <x:v>3005.89</x:v>
      </x:c>
      <x:c r="J31" s="8" t="n">
        <x:v>0.1</x:v>
      </x:c>
      <x:c r="K31" s="6" t="n">
        <x:v>8115.9</x:v>
      </x:c>
      <x:c r="L31" s="6" t="n">
        <x:v>2620.57</x:v>
      </x:c>
      <x:c r="M31" s="2" t="str">
        <x:v>UPI</x:v>
      </x:c>
      <x:c r="N31" s="3"/>
      <x:c r="O31" s="3"/>
      <x:c r="P31" s="3"/>
      <x:c r="Q31" s="3"/>
    </x:row>
    <x:row r="32" ht="21" customHeight="1">
      <x:c r="A32" s="2" t="str">
        <x:v>ORD-101987</x:v>
      </x:c>
      <x:c r="B32" s="4" t="n">
        <x:v>45301</x:v>
      </x:c>
      <x:c r="C32" s="2" t="str">
        <x:v>CUST-00445</x:v>
      </x:c>
      <x:c r="D32" s="2" t="str">
        <x:v>North</x:v>
      </x:c>
      <x:c r="E32" s="2" t="str">
        <x:v>Electronics</x:v>
      </x:c>
      <x:c r="F32" s="2" t="str">
        <x:v>Mobile</x:v>
      </x:c>
      <x:c r="G32" s="2" t="str">
        <x:v>Galaxy Nova X5</x:v>
      </x:c>
      <x:c r="H32" s="2" t="n">
        <x:v>1</x:v>
      </x:c>
      <x:c r="I32" s="6" t="n">
        <x:v>25495.85</x:v>
      </x:c>
      <x:c r="J32" s="8" t="n">
        <x:v>0</x:v>
      </x:c>
      <x:c r="K32" s="6" t="n">
        <x:v>25495.85</x:v>
      </x:c>
      <x:c r="L32" s="6" t="n">
        <x:v>3772.82</x:v>
      </x:c>
      <x:c r="M32" s="2" t="str">
        <x:v>Credit Card</x:v>
      </x:c>
      <x:c r="N32" s="3"/>
      <x:c r="O32" s="3"/>
      <x:c r="P32" s="3"/>
      <x:c r="Q32" s="3"/>
    </x:row>
    <x:row r="33" ht="21" customHeight="1">
      <x:c r="A33" s="2" t="str">
        <x:v>ORD-100600</x:v>
      </x:c>
      <x:c r="B33" s="4" t="n">
        <x:v>45302</x:v>
      </x:c>
      <x:c r="C33" s="2" t="str">
        <x:v>CUST-00476</x:v>
      </x:c>
      <x:c r="D33" s="2" t="str">
        <x:v>East</x:v>
      </x:c>
      <x:c r="E33" s="2" t="str">
        <x:v>Electronics</x:v>
      </x:c>
      <x:c r="F33" s="2" t="str">
        <x:v>Mobile</x:v>
      </x:c>
      <x:c r="G33" s="2" t="str">
        <x:v>iPhone Zeta</x:v>
      </x:c>
      <x:c r="H33" s="2" t="n">
        <x:v>1</x:v>
      </x:c>
      <x:c r="I33" s="6" t="n">
        <x:v>72448.47</x:v>
      </x:c>
      <x:c r="J33" s="8" t="n">
        <x:v>0</x:v>
      </x:c>
      <x:c r="K33" s="6" t="n">
        <x:v>72448.47</x:v>
      </x:c>
      <x:c r="L33" s="6" t="n">
        <x:v>12470.89</x:v>
      </x:c>
      <x:c r="M33" s="2" t="str">
        <x:v>UPI</x:v>
      </x:c>
      <x:c r="N33" s="3"/>
      <x:c r="O33" s="3"/>
      <x:c r="P33" s="3"/>
      <x:c r="Q33" s="3"/>
    </x:row>
    <x:row r="34" ht="21" customHeight="1">
      <x:c r="A34" s="2" t="str">
        <x:v>ORD-101471</x:v>
      </x:c>
      <x:c r="B34" s="4" t="n">
        <x:v>45302</x:v>
      </x:c>
      <x:c r="C34" s="2" t="str">
        <x:v>CUST-00225</x:v>
      </x:c>
      <x:c r="D34" s="2" t="str">
        <x:v>North</x:v>
      </x:c>
      <x:c r="E34" s="2" t="str">
        <x:v>Fashion</x:v>
      </x:c>
      <x:c r="F34" s="2" t="str">
        <x:v>Footwear</x:v>
      </x:c>
      <x:c r="G34" s="2" t="str">
        <x:v>RunFlex Sneakers</x:v>
      </x:c>
      <x:c r="H34" s="2" t="n">
        <x:v>1</x:v>
      </x:c>
      <x:c r="I34" s="6" t="n">
        <x:v>2948.07</x:v>
      </x:c>
      <x:c r="J34" s="8" t="n">
        <x:v>0</x:v>
      </x:c>
      <x:c r="K34" s="6" t="n">
        <x:v>2948.07</x:v>
      </x:c>
      <x:c r="L34" s="6" t="n">
        <x:v>1255.55</x:v>
      </x:c>
      <x:c r="M34" s="2" t="str">
        <x:v>UPI</x:v>
      </x:c>
      <x:c r="N34" s="3"/>
      <x:c r="O34" s="3"/>
      <x:c r="P34" s="3"/>
      <x:c r="Q34" s="3"/>
    </x:row>
    <x:row r="35" ht="21" customHeight="1">
      <x:c r="A35" s="2" t="str">
        <x:v>ORD-101472</x:v>
      </x:c>
      <x:c r="B35" s="4" t="n">
        <x:v>45302</x:v>
      </x:c>
      <x:c r="C35" s="2" t="str">
        <x:v>CUST-00438</x:v>
      </x:c>
      <x:c r="D35" s="2" t="str">
        <x:v>South</x:v>
      </x:c>
      <x:c r="E35" s="2" t="str">
        <x:v>Fashion</x:v>
      </x:c>
      <x:c r="F35" s="2" t="str">
        <x:v>Women</x:v>
      </x:c>
      <x:c r="G35" s="2" t="str">
        <x:v>Knit Winter Sweater</x:v>
      </x:c>
      <x:c r="H35" s="2" t="n">
        <x:v>1</x:v>
      </x:c>
      <x:c r="I35" s="6" t="n">
        <x:v>2241.28</x:v>
      </x:c>
      <x:c r="J35" s="8" t="n">
        <x:v>0</x:v>
      </x:c>
      <x:c r="K35" s="6" t="n">
        <x:v>2241.28</x:v>
      </x:c>
      <x:c r="L35" s="6" t="n">
        <x:v>971.88</x:v>
      </x:c>
      <x:c r="M35" s="2" t="str">
        <x:v>Credit Card</x:v>
      </x:c>
      <x:c r="N35" s="3"/>
      <x:c r="O35" s="3"/>
      <x:c r="P35" s="3"/>
      <x:c r="Q35" s="3"/>
    </x:row>
    <x:row r="36" ht="21" customHeight="1">
      <x:c r="A36" s="2" t="str">
        <x:v>ORD-100153</x:v>
      </x:c>
      <x:c r="B36" s="4" t="n">
        <x:v>45303</x:v>
      </x:c>
      <x:c r="C36" s="2" t="str">
        <x:v>CUST-00369</x:v>
      </x:c>
      <x:c r="D36" s="2" t="str">
        <x:v>South</x:v>
      </x:c>
      <x:c r="E36" s="2" t="str">
        <x:v>Sports</x:v>
      </x:c>
      <x:c r="F36" s="2" t="str">
        <x:v>Outdoor</x:v>
      </x:c>
      <x:c r="G36" s="2" t="str">
        <x:v>TrailHike Backpack 60L</x:v>
      </x:c>
      <x:c r="H36" s="2" t="n">
        <x:v>1</x:v>
      </x:c>
      <x:c r="I36" s="6" t="n">
        <x:v>3480.36</x:v>
      </x:c>
      <x:c r="J36" s="8" t="n">
        <x:v>0.05</x:v>
      </x:c>
      <x:c r="K36" s="6" t="n">
        <x:v>3306.34</x:v>
      </x:c>
      <x:c r="L36" s="6" t="n">
        <x:v>1004.66</x:v>
      </x:c>
      <x:c r="M36" s="2" t="str">
        <x:v>Credit Card</x:v>
      </x:c>
      <x:c r="N36" s="3"/>
      <x:c r="O36" s="3"/>
      <x:c r="P36" s="3"/>
      <x:c r="Q36" s="3"/>
    </x:row>
    <x:row r="37" ht="21" customHeight="1">
      <x:c r="A37" s="2" t="str">
        <x:v>ORD-100308</x:v>
      </x:c>
      <x:c r="B37" s="4" t="n">
        <x:v>45303</x:v>
      </x:c>
      <x:c r="C37" s="2" t="str">
        <x:v>CUST-00569</x:v>
      </x:c>
      <x:c r="D37" s="2" t="str">
        <x:v>East</x:v>
      </x:c>
      <x:c r="E37" s="2" t="str">
        <x:v>Sports</x:v>
      </x:c>
      <x:c r="F37" s="2" t="str">
        <x:v>Outdoor</x:v>
      </x:c>
      <x:c r="G37" s="2" t="str">
        <x:v>TrailHike Backpack 60L</x:v>
      </x:c>
      <x:c r="H37" s="2" t="n">
        <x:v>1</x:v>
      </x:c>
      <x:c r="I37" s="6" t="n">
        <x:v>3661.83</x:v>
      </x:c>
      <x:c r="J37" s="8" t="n">
        <x:v>0.2</x:v>
      </x:c>
      <x:c r="K37" s="6" t="n">
        <x:v>2929.46</x:v>
      </x:c>
      <x:c r="L37" s="6" t="n">
        <x:v>525.46</x:v>
      </x:c>
      <x:c r="M37" s="2" t="str">
        <x:v>Cash on Delivery</x:v>
      </x:c>
      <x:c r="N37" s="3"/>
      <x:c r="O37" s="3"/>
      <x:c r="P37" s="3"/>
      <x:c r="Q37" s="3"/>
    </x:row>
    <x:row r="38" ht="21" customHeight="1">
      <x:c r="A38" s="2" t="str">
        <x:v>ORD-100221</x:v>
      </x:c>
      <x:c r="B38" s="4" t="n">
        <x:v>45304</x:v>
      </x:c>
      <x:c r="C38" s="2" t="str">
        <x:v>CUST-00484</x:v>
      </x:c>
      <x:c r="D38" s="2" t="str">
        <x:v>North</x:v>
      </x:c>
      <x:c r="E38" s="2" t="str">
        <x:v>Fashion</x:v>
      </x:c>
      <x:c r="F38" s="2" t="str">
        <x:v>Women</x:v>
      </x:c>
      <x:c r="G38" s="2" t="str">
        <x:v>Floral Summer Dress</x:v>
      </x:c>
      <x:c r="H38" s="2" t="n">
        <x:v>1</x:v>
      </x:c>
      <x:c r="I38" s="6" t="n">
        <x:v>1812.3</x:v>
      </x:c>
      <x:c r="J38" s="8" t="n">
        <x:v>0</x:v>
      </x:c>
      <x:c r="K38" s="6" t="n">
        <x:v>1812.3</x:v>
      </x:c>
      <x:c r="L38" s="6" t="n">
        <x:v>793.47</x:v>
      </x:c>
      <x:c r="M38" s="2" t="str">
        <x:v>Credit Card</x:v>
      </x:c>
      <x:c r="N38" s="3"/>
      <x:c r="O38" s="3"/>
      <x:c r="P38" s="3"/>
      <x:c r="Q38" s="3"/>
    </x:row>
    <x:row r="39" ht="21" customHeight="1">
      <x:c r="A39" s="2" t="str">
        <x:v>ORD-100617</x:v>
      </x:c>
      <x:c r="B39" s="4" t="n">
        <x:v>45304</x:v>
      </x:c>
      <x:c r="C39" s="2" t="str">
        <x:v>CUST-00525</x:v>
      </x:c>
      <x:c r="D39" s="2" t="str">
        <x:v>West</x:v>
      </x:c>
      <x:c r="E39" s="2" t="str">
        <x:v>Beauty</x:v>
      </x:c>
      <x:c r="F39" s="2" t="str">
        <x:v>Makeup</x:v>
      </x:c>
      <x:c r="G39" s="2" t="str">
        <x:v>Matte Lipstick Set</x:v>
      </x:c>
      <x:c r="H39" s="2" t="n">
        <x:v>3</x:v>
      </x:c>
      <x:c r="I39" s="6" t="n">
        <x:v>983.68</x:v>
      </x:c>
      <x:c r="J39" s="8" t="n">
        <x:v>0</x:v>
      </x:c>
      <x:c r="K39" s="6" t="n">
        <x:v>2951.04</x:v>
      </x:c>
      <x:c r="L39" s="6" t="n">
        <x:v>1740.37</x:v>
      </x:c>
      <x:c r="M39" s="2" t="str">
        <x:v>Debit Card</x:v>
      </x:c>
      <x:c r="N39" s="3"/>
      <x:c r="O39" s="3"/>
      <x:c r="P39" s="3"/>
      <x:c r="Q39" s="3"/>
    </x:row>
    <x:row r="40" ht="21" customHeight="1">
      <x:c r="A40" s="2" t="str">
        <x:v>ORD-100828</x:v>
      </x:c>
      <x:c r="B40" s="4" t="n">
        <x:v>45304</x:v>
      </x:c>
      <x:c r="C40" s="2" t="str">
        <x:v>CUST-00583</x:v>
      </x:c>
      <x:c r="D40" s="2" t="str">
        <x:v>North</x:v>
      </x:c>
      <x:c r="E40" s="2" t="str">
        <x:v>Beauty</x:v>
      </x:c>
      <x:c r="F40" s="2" t="str">
        <x:v>Makeup</x:v>
      </x:c>
      <x:c r="G40" s="2" t="str">
        <x:v>HD Foundation Kit</x:v>
      </x:c>
      <x:c r="H40" s="2" t="n">
        <x:v>2</x:v>
      </x:c>
      <x:c r="I40" s="6" t="n">
        <x:v>1465.16</x:v>
      </x:c>
      <x:c r="J40" s="8" t="n">
        <x:v>0</x:v>
      </x:c>
      <x:c r="K40" s="6" t="n">
        <x:v>2930.32</x:v>
      </x:c>
      <x:c r="L40" s="6" t="n">
        <x:v>1557.46</x:v>
      </x:c>
      <x:c r="M40" s="2" t="str">
        <x:v>Credit Card</x:v>
      </x:c>
      <x:c r="N40" s="3"/>
      <x:c r="O40" s="3"/>
      <x:c r="P40" s="3"/>
      <x:c r="Q40" s="3"/>
    </x:row>
    <x:row r="41" ht="21" customHeight="1">
      <x:c r="A41" s="2" t="str">
        <x:v>ORD-100901</x:v>
      </x:c>
      <x:c r="B41" s="4" t="n">
        <x:v>45304</x:v>
      </x:c>
      <x:c r="C41" s="2" t="str">
        <x:v>CUST-00132</x:v>
      </x:c>
      <x:c r="D41" s="2" t="str">
        <x:v>East</x:v>
      </x:c>
      <x:c r="E41" s="2" t="str">
        <x:v>Fashion</x:v>
      </x:c>
      <x:c r="F41" s="2" t="str">
        <x:v>Men</x:v>
      </x:c>
      <x:c r="G41" s="2" t="str">
        <x:v>Oxford Casual Shirt</x:v>
      </x:c>
      <x:c r="H41" s="2" t="n">
        <x:v>2</x:v>
      </x:c>
      <x:c r="I41" s="6" t="n">
        <x:v>1294.44</x:v>
      </x:c>
      <x:c r="J41" s="8" t="n">
        <x:v>0.2</x:v>
      </x:c>
      <x:c r="K41" s="6" t="n">
        <x:v>2071.1</x:v>
      </x:c>
      <x:c r="L41" s="6" t="n">
        <x:v>324.36</x:v>
      </x:c>
      <x:c r="M41" s="2" t="str">
        <x:v>UPI</x:v>
      </x:c>
      <x:c r="N41" s="3"/>
      <x:c r="O41" s="3"/>
      <x:c r="P41" s="3"/>
      <x:c r="Q41" s="3"/>
    </x:row>
    <x:row r="42" ht="21" customHeight="1">
      <x:c r="A42" s="2" t="str">
        <x:v>ORD-101386</x:v>
      </x:c>
      <x:c r="B42" s="4" t="n">
        <x:v>45304</x:v>
      </x:c>
      <x:c r="C42" s="2" t="str">
        <x:v>CUST-00593</x:v>
      </x:c>
      <x:c r="D42" s="2" t="str">
        <x:v>North</x:v>
      </x:c>
      <x:c r="E42" s="2" t="str">
        <x:v>Home &amp; Kitchen</x:v>
      </x:c>
      <x:c r="F42" s="2" t="str">
        <x:v>Appliances</x:v>
      </x:c>
      <x:c r="G42" s="2" t="str">
        <x:v>ColdBrew Coffee Maker</x:v>
      </x:c>
      <x:c r="H42" s="2" t="n">
        <x:v>2</x:v>
      </x:c>
      <x:c r="I42" s="6" t="n">
        <x:v>6607.16</x:v>
      </x:c>
      <x:c r="J42" s="8" t="n">
        <x:v>0.25</x:v>
      </x:c>
      <x:c r="K42" s="6" t="n">
        <x:v>9910.74</x:v>
      </x:c>
      <x:c r="L42" s="6" t="n">
        <x:v>682.24</x:v>
      </x:c>
      <x:c r="M42" s="2" t="str">
        <x:v>Cash on Delivery</x:v>
      </x:c>
      <x:c r="N42" s="3"/>
      <x:c r="O42" s="3"/>
      <x:c r="P42" s="3"/>
      <x:c r="Q42" s="3"/>
    </x:row>
    <x:row r="43" ht="21" customHeight="1">
      <x:c r="A43" s="2" t="str">
        <x:v>ORD-101570</x:v>
      </x:c>
      <x:c r="B43" s="4" t="n">
        <x:v>45304</x:v>
      </x:c>
      <x:c r="C43" s="2" t="str">
        <x:v>CUST-00473</x:v>
      </x:c>
      <x:c r="D43" s="2" t="str">
        <x:v>South</x:v>
      </x:c>
      <x:c r="E43" s="2" t="str">
        <x:v>Sports</x:v>
      </x:c>
      <x:c r="F43" s="2" t="str">
        <x:v>Fitness</x:v>
      </x:c>
      <x:c r="G43" s="2" t="str">
        <x:v>ProYoga Mat</x:v>
      </x:c>
      <x:c r="H43" s="2" t="n">
        <x:v>1</x:v>
      </x:c>
      <x:c r="I43" s="6" t="n">
        <x:v>1274.71</x:v>
      </x:c>
      <x:c r="J43" s="8" t="n">
        <x:v>0.05</x:v>
      </x:c>
      <x:c r="K43" s="6" t="n">
        <x:v>1210.97</x:v>
      </x:c>
      <x:c r="L43" s="6" t="n">
        <x:v>347.91</x:v>
      </x:c>
      <x:c r="M43" s="2" t="str">
        <x:v>UPI</x:v>
      </x:c>
      <x:c r="N43" s="3"/>
      <x:c r="O43" s="3"/>
      <x:c r="P43" s="3"/>
      <x:c r="Q43" s="3"/>
    </x:row>
    <x:row r="44" ht="21" customHeight="1">
      <x:c r="A44" s="2" t="str">
        <x:v>ORD-100638</x:v>
      </x:c>
      <x:c r="B44" s="4" t="n">
        <x:v>45305</x:v>
      </x:c>
      <x:c r="C44" s="2" t="str">
        <x:v>CUST-00128</x:v>
      </x:c>
      <x:c r="D44" s="2" t="str">
        <x:v>East</x:v>
      </x:c>
      <x:c r="E44" s="2" t="str">
        <x:v>Sports</x:v>
      </x:c>
      <x:c r="F44" s="2" t="str">
        <x:v>Fitness</x:v>
      </x:c>
      <x:c r="G44" s="2" t="str">
        <x:v>Adjustable Dumbbell 24kg</x:v>
      </x:c>
      <x:c r="H44" s="2" t="n">
        <x:v>1</x:v>
      </x:c>
      <x:c r="I44" s="6" t="n">
        <x:v>9947.92</x:v>
      </x:c>
      <x:c r="J44" s="8" t="n">
        <x:v>0.25</x:v>
      </x:c>
      <x:c r="K44" s="6" t="n">
        <x:v>7460.94</x:v>
      </x:c>
      <x:c r="L44" s="6" t="n">
        <x:v>696.72</x:v>
      </x:c>
      <x:c r="M44" s="2" t="str">
        <x:v>Credit Card</x:v>
      </x:c>
      <x:c r="N44" s="3"/>
      <x:c r="O44" s="3"/>
      <x:c r="P44" s="3"/>
      <x:c r="Q44" s="3"/>
    </x:row>
    <x:row r="45" ht="21" customHeight="1">
      <x:c r="A45" s="2" t="str">
        <x:v>ORD-100747</x:v>
      </x:c>
      <x:c r="B45" s="4" t="n">
        <x:v>45306</x:v>
      </x:c>
      <x:c r="C45" s="2" t="str">
        <x:v>CUST-00373</x:v>
      </x:c>
      <x:c r="D45" s="2" t="str">
        <x:v>East</x:v>
      </x:c>
      <x:c r="E45" s="2" t="str">
        <x:v>Electronics</x:v>
      </x:c>
      <x:c r="F45" s="2" t="str">
        <x:v>Mobile</x:v>
      </x:c>
      <x:c r="G45" s="2" t="str">
        <x:v>Galaxy Nova X5</x:v>
      </x:c>
      <x:c r="H45" s="2" t="n">
        <x:v>2</x:v>
      </x:c>
      <x:c r="I45" s="6" t="n">
        <x:v>25490.1</x:v>
      </x:c>
      <x:c r="J45" s="8" t="n">
        <x:v>0</x:v>
      </x:c>
      <x:c r="K45" s="6" t="n">
        <x:v>50980.2</x:v>
      </x:c>
      <x:c r="L45" s="6" t="n">
        <x:v>10295.49</x:v>
      </x:c>
      <x:c r="M45" s="2" t="str">
        <x:v>UPI</x:v>
      </x:c>
      <x:c r="N45" s="3"/>
      <x:c r="O45" s="3"/>
      <x:c r="P45" s="3"/>
      <x:c r="Q45" s="3"/>
    </x:row>
    <x:row r="46" ht="21" customHeight="1">
      <x:c r="A46" s="2" t="str">
        <x:v>ORD-101171</x:v>
      </x:c>
      <x:c r="B46" s="4" t="n">
        <x:v>45306</x:v>
      </x:c>
      <x:c r="C46" s="2" t="str">
        <x:v>CUST-00350</x:v>
      </x:c>
      <x:c r="D46" s="2" t="str">
        <x:v>West</x:v>
      </x:c>
      <x:c r="E46" s="2" t="str">
        <x:v>Fashion</x:v>
      </x:c>
      <x:c r="F46" s="2" t="str">
        <x:v>Men</x:v>
      </x:c>
      <x:c r="G46" s="2" t="str">
        <x:v>SlimFit Denim Jeans</x:v>
      </x:c>
      <x:c r="H46" s="2" t="n">
        <x:v>2</x:v>
      </x:c>
      <x:c r="I46" s="6" t="n">
        <x:v>1925.63</x:v>
      </x:c>
      <x:c r="J46" s="8" t="n">
        <x:v>0.1</x:v>
      </x:c>
      <x:c r="K46" s="6" t="n">
        <x:v>3466.13</x:v>
      </x:c>
      <x:c r="L46" s="6" t="n">
        <x:v>979.01</x:v>
      </x:c>
      <x:c r="M46" s="2" t="str">
        <x:v>Credit Card</x:v>
      </x:c>
      <x:c r="N46" s="3"/>
      <x:c r="O46" s="3"/>
      <x:c r="P46" s="3"/>
      <x:c r="Q46" s="3"/>
    </x:row>
    <x:row r="47" ht="21" customHeight="1">
      <x:c r="A47" s="2" t="str">
        <x:v>ORD-101637</x:v>
      </x:c>
      <x:c r="B47" s="4" t="n">
        <x:v>45306</x:v>
      </x:c>
      <x:c r="C47" s="2" t="str">
        <x:v>CUST-00273</x:v>
      </x:c>
      <x:c r="D47" s="2" t="str">
        <x:v>North</x:v>
      </x:c>
      <x:c r="E47" s="2" t="str">
        <x:v>Electronics</x:v>
      </x:c>
      <x:c r="F47" s="2" t="str">
        <x:v>Laptop</x:v>
      </x:c>
      <x:c r="G47" s="2" t="str">
        <x:v>ThinkPro 14</x:v>
      </x:c>
      <x:c r="H47" s="2" t="n">
        <x:v>1</x:v>
      </x:c>
      <x:c r="I47" s="6" t="n">
        <x:v>53234.47</x:v>
      </x:c>
      <x:c r="J47" s="8" t="n">
        <x:v>0.2</x:v>
      </x:c>
      <x:c r="K47" s="6" t="n">
        <x:v>42587.58</x:v>
      </x:c>
      <x:c r="L47" s="6" t="n">
        <x:v>-3732.08</x:v>
      </x:c>
      <x:c r="M47" s="2" t="str">
        <x:v>UPI</x:v>
      </x:c>
      <x:c r="N47" s="3"/>
      <x:c r="O47" s="3"/>
      <x:c r="P47" s="3"/>
      <x:c r="Q47" s="3"/>
    </x:row>
    <x:row r="48" ht="21" customHeight="1">
      <x:c r="A48" s="2" t="str">
        <x:v>ORD-100167</x:v>
      </x:c>
      <x:c r="B48" s="4" t="n">
        <x:v>45307</x:v>
      </x:c>
      <x:c r="C48" s="2" t="str">
        <x:v>CUST-00195</x:v>
      </x:c>
      <x:c r="D48" s="2" t="str">
        <x:v>South</x:v>
      </x:c>
      <x:c r="E48" s="2" t="str">
        <x:v>Electronics</x:v>
      </x:c>
      <x:c r="F48" s="2" t="str">
        <x:v>Mobile</x:v>
      </x:c>
      <x:c r="G48" s="2" t="str">
        <x:v>iPhone Zeta</x:v>
      </x:c>
      <x:c r="H48" s="2" t="n">
        <x:v>2</x:v>
      </x:c>
      <x:c r="I48" s="6" t="n">
        <x:v>69854.76</x:v>
      </x:c>
      <x:c r="J48" s="8" t="n">
        <x:v>0.1</x:v>
      </x:c>
      <x:c r="K48" s="6" t="n">
        <x:v>125738.57</x:v>
      </x:c>
      <x:c r="L48" s="6" t="n">
        <x:v>11889.58</x:v>
      </x:c>
      <x:c r="M48" s="2" t="str">
        <x:v>Cash on Delivery</x:v>
      </x:c>
      <x:c r="N48" s="3"/>
      <x:c r="O48" s="3"/>
      <x:c r="P48" s="3"/>
      <x:c r="Q48" s="3"/>
    </x:row>
    <x:row r="49" ht="21" customHeight="1">
      <x:c r="A49" s="2" t="str">
        <x:v>ORD-101009</x:v>
      </x:c>
      <x:c r="B49" s="4" t="n">
        <x:v>45307</x:v>
      </x:c>
      <x:c r="C49" s="2" t="str">
        <x:v>CUST-00391</x:v>
      </x:c>
      <x:c r="D49" s="2" t="str">
        <x:v>North</x:v>
      </x:c>
      <x:c r="E49" s="2" t="str">
        <x:v>Fashion</x:v>
      </x:c>
      <x:c r="F49" s="2" t="str">
        <x:v>Men</x:v>
      </x:c>
      <x:c r="G49" s="2" t="str">
        <x:v>Oxford Casual Shirt</x:v>
      </x:c>
      <x:c r="H49" s="2" t="n">
        <x:v>4</x:v>
      </x:c>
      <x:c r="I49" s="6" t="n">
        <x:v>1326.59</x:v>
      </x:c>
      <x:c r="J49" s="8" t="n">
        <x:v>0.2</x:v>
      </x:c>
      <x:c r="K49" s="6" t="n">
        <x:v>4245.09</x:v>
      </x:c>
      <x:c r="L49" s="6" t="n">
        <x:v>661.54</x:v>
      </x:c>
      <x:c r="M49" s="2" t="str">
        <x:v>UPI</x:v>
      </x:c>
      <x:c r="N49" s="3"/>
      <x:c r="O49" s="3"/>
      <x:c r="P49" s="3"/>
      <x:c r="Q49" s="3"/>
    </x:row>
    <x:row r="50" ht="21" customHeight="1">
      <x:c r="A50" s="2" t="str">
        <x:v>ORD-101245</x:v>
      </x:c>
      <x:c r="B50" s="4" t="n">
        <x:v>45307</x:v>
      </x:c>
      <x:c r="C50" s="2" t="str">
        <x:v>CUST-00003</x:v>
      </x:c>
      <x:c r="D50" s="2" t="str">
        <x:v>East</x:v>
      </x:c>
      <x:c r="E50" s="2" t="str">
        <x:v>Sports</x:v>
      </x:c>
      <x:c r="F50" s="2" t="str">
        <x:v>Outdoor</x:v>
      </x:c>
      <x:c r="G50" s="2" t="str">
        <x:v>TrailHike Backpack 60L</x:v>
      </x:c>
      <x:c r="H50" s="2" t="n">
        <x:v>1</x:v>
      </x:c>
      <x:c r="I50" s="6" t="n">
        <x:v>3406.61</x:v>
      </x:c>
      <x:c r="J50" s="8" t="n">
        <x:v>0.25</x:v>
      </x:c>
      <x:c r="K50" s="6" t="n">
        <x:v>2554.96</x:v>
      </x:c>
      <x:c r="L50" s="6" t="n">
        <x:v>216.93</x:v>
      </x:c>
      <x:c r="M50" s="2" t="str">
        <x:v>UPI</x:v>
      </x:c>
      <x:c r="N50" s="3"/>
      <x:c r="O50" s="3"/>
      <x:c r="P50" s="3"/>
      <x:c r="Q50" s="3"/>
    </x:row>
    <x:row r="51" ht="21" customHeight="1">
      <x:c r="A51" s="3" t="str">
        <x:v>ORD-101879</x:v>
      </x:c>
      <x:c r="B51" s="5" t="n">
        <x:v>45307</x:v>
      </x:c>
      <x:c r="C51" s="3" t="str">
        <x:v>CUST-00169</x:v>
      </x:c>
      <x:c r="D51" s="3" t="str">
        <x:v>South</x:v>
      </x:c>
      <x:c r="E51" s="3" t="str">
        <x:v>Home &amp; Kitchen</x:v>
      </x:c>
      <x:c r="F51" s="3" t="str">
        <x:v>Decor</x:v>
      </x:c>
      <x:c r="G51" s="3" t="str">
        <x:v>LED Wall Lamp</x:v>
      </x:c>
      <x:c r="H51" s="3" t="n">
        <x:v>3</x:v>
      </x:c>
      <x:c r="I51" s="7" t="n">
        <x:v>951.93</x:v>
      </x:c>
      <x:c r="J51" s="9" t="n">
        <x:v>0.1</x:v>
      </x:c>
      <x:c r="K51" s="7" t="n">
        <x:v>2570.21</x:v>
      </x:c>
      <x:c r="L51" s="7" t="n">
        <x:v>485.59</x:v>
      </x:c>
      <x:c r="M51" s="3" t="str">
        <x:v>Debit Card</x:v>
      </x:c>
      <x:c r="N51" s="3"/>
      <x:c r="O51" s="3"/>
      <x:c r="P51" s="3"/>
      <x:c r="Q51" s="3"/>
    </x:row>
    <x:row r="52" ht="21" customHeight="1">
      <x:c r="A52" s="3" t="str">
        <x:v>ORD-100161</x:v>
      </x:c>
      <x:c r="B52" s="5" t="n">
        <x:v>45308</x:v>
      </x:c>
      <x:c r="C52" s="3" t="str">
        <x:v>CUST-00069</x:v>
      </x:c>
      <x:c r="D52" s="3" t="str">
        <x:v>North</x:v>
      </x:c>
      <x:c r="E52" s="3" t="str">
        <x:v>Fashion</x:v>
      </x:c>
      <x:c r="F52" s="3" t="str">
        <x:v>Women</x:v>
      </x:c>
      <x:c r="G52" s="3" t="str">
        <x:v>Knit Winter Sweater</x:v>
      </x:c>
      <x:c r="H52" s="3" t="n">
        <x:v>1</x:v>
      </x:c>
      <x:c r="I52" s="7" t="n">
        <x:v>2281.51</x:v>
      </x:c>
      <x:c r="J52" s="9" t="n">
        <x:v>0</x:v>
      </x:c>
      <x:c r="K52" s="7" t="n">
        <x:v>2281.51</x:v>
      </x:c>
      <x:c r="L52" s="7" t="n">
        <x:v>1006.69</x:v>
      </x:c>
      <x:c r="M52" s="3" t="str">
        <x:v>Credit Card</x:v>
      </x:c>
      <x:c r="N52" s="3"/>
      <x:c r="O52" s="3"/>
      <x:c r="P52" s="3"/>
      <x:c r="Q52" s="3"/>
    </x:row>
    <x:row r="53" ht="21" customHeight="1">
      <x:c r="A53" s="3" t="str">
        <x:v>ORD-100375</x:v>
      </x:c>
      <x:c r="B53" s="5" t="n">
        <x:v>45308</x:v>
      </x:c>
      <x:c r="C53" s="3" t="str">
        <x:v>CUST-00310</x:v>
      </x:c>
      <x:c r="D53" s="3" t="str">
        <x:v>South</x:v>
      </x:c>
      <x:c r="E53" s="3" t="str">
        <x:v>Beauty</x:v>
      </x:c>
      <x:c r="F53" s="3" t="str">
        <x:v>Skincare</x:v>
      </x:c>
      <x:c r="G53" s="3" t="str">
        <x:v>HydraBoost Moisturizer</x:v>
      </x:c>
      <x:c r="H53" s="3" t="n">
        <x:v>2</x:v>
      </x:c>
      <x:c r="I53" s="7" t="n">
        <x:v>1169.52</x:v>
      </x:c>
      <x:c r="J53" s="9" t="n">
        <x:v>0.25</x:v>
      </x:c>
      <x:c r="K53" s="7" t="n">
        <x:v>1754.28</x:v>
      </x:c>
      <x:c r="L53" s="7" t="n">
        <x:v>525.29</x:v>
      </x:c>
      <x:c r="M53" s="3" t="str">
        <x:v>UPI</x:v>
      </x:c>
      <x:c r="N53" s="3"/>
      <x:c r="O53" s="3"/>
      <x:c r="P53" s="3"/>
      <x:c r="Q53" s="3"/>
    </x:row>
    <x:row r="54" ht="21" customHeight="1">
      <x:c r="A54" s="3" t="str">
        <x:v>ORD-100432</x:v>
      </x:c>
      <x:c r="B54" s="5" t="n">
        <x:v>45308</x:v>
      </x:c>
      <x:c r="C54" s="3" t="str">
        <x:v>CUST-00499</x:v>
      </x:c>
      <x:c r="D54" s="3" t="str">
        <x:v>North</x:v>
      </x:c>
      <x:c r="E54" s="3" t="str">
        <x:v>Beauty</x:v>
      </x:c>
      <x:c r="F54" s="3" t="str">
        <x:v>Makeup</x:v>
      </x:c>
      <x:c r="G54" s="3" t="str">
        <x:v>HD Foundation Kit</x:v>
      </x:c>
      <x:c r="H54" s="3" t="n">
        <x:v>3</x:v>
      </x:c>
      <x:c r="I54" s="7" t="n">
        <x:v>1573.57</x:v>
      </x:c>
      <x:c r="J54" s="9" t="n">
        <x:v>0</x:v>
      </x:c>
      <x:c r="K54" s="7" t="n">
        <x:v>4720.71</x:v>
      </x:c>
      <x:c r="L54" s="7" t="n">
        <x:v>2660.62</x:v>
      </x:c>
      <x:c r="M54" s="3" t="str">
        <x:v>UPI</x:v>
      </x:c>
      <x:c r="N54" s="3"/>
      <x:c r="O54" s="3"/>
      <x:c r="P54" s="3"/>
      <x:c r="Q54" s="3"/>
    </x:row>
    <x:row r="55" ht="21" customHeight="1">
      <x:c r="A55" s="3" t="str">
        <x:v>ORD-100453</x:v>
      </x:c>
      <x:c r="B55" s="5" t="n">
        <x:v>45308</x:v>
      </x:c>
      <x:c r="C55" s="3" t="str">
        <x:v>CUST-00058</x:v>
      </x:c>
      <x:c r="D55" s="3" t="str">
        <x:v>West</x:v>
      </x:c>
      <x:c r="E55" s="3" t="str">
        <x:v>Beauty</x:v>
      </x:c>
      <x:c r="F55" s="3" t="str">
        <x:v>Skincare</x:v>
      </x:c>
      <x:c r="G55" s="3" t="str">
        <x:v>HydraBoost Moisturizer</x:v>
      </x:c>
      <x:c r="H55" s="3" t="n">
        <x:v>1</x:v>
      </x:c>
      <x:c r="I55" s="7" t="n">
        <x:v>1216.19</x:v>
      </x:c>
      <x:c r="J55" s="9" t="n">
        <x:v>0.15</x:v>
      </x:c>
      <x:c r="K55" s="7" t="n">
        <x:v>1033.76</x:v>
      </x:c>
      <x:c r="L55" s="7" t="n">
        <x:v>390.22</x:v>
      </x:c>
      <x:c r="M55" s="3" t="str">
        <x:v>Debit Card</x:v>
      </x:c>
      <x:c r="N55" s="3"/>
      <x:c r="O55" s="3"/>
      <x:c r="P55" s="3"/>
      <x:c r="Q55" s="3"/>
    </x:row>
    <x:row r="56" ht="21" customHeight="1">
      <x:c r="A56" s="3" t="str">
        <x:v>ORD-100633</x:v>
      </x:c>
      <x:c r="B56" s="5" t="n">
        <x:v>45308</x:v>
      </x:c>
      <x:c r="C56" s="3" t="str">
        <x:v>CUST-00015</x:v>
      </x:c>
      <x:c r="D56" s="3" t="str">
        <x:v>West</x:v>
      </x:c>
      <x:c r="E56" s="3" t="str">
        <x:v>Sports</x:v>
      </x:c>
      <x:c r="F56" s="3" t="str">
        <x:v>Fitness</x:v>
      </x:c>
      <x:c r="G56" s="3" t="str">
        <x:v>ProYoga Mat</x:v>
      </x:c>
      <x:c r="H56" s="3" t="n">
        <x:v>1</x:v>
      </x:c>
      <x:c r="I56" s="7" t="n">
        <x:v>1260.26</x:v>
      </x:c>
      <x:c r="J56" s="9" t="n">
        <x:v>0.05</x:v>
      </x:c>
      <x:c r="K56" s="7" t="n">
        <x:v>1197.25</x:v>
      </x:c>
      <x:c r="L56" s="7" t="n">
        <x:v>362.14</x:v>
      </x:c>
      <x:c r="M56" s="3" t="str">
        <x:v>UPI</x:v>
      </x:c>
      <x:c r="N56" s="3"/>
      <x:c r="O56" s="3"/>
      <x:c r="P56" s="3"/>
      <x:c r="Q56" s="3"/>
    </x:row>
    <x:row r="57" ht="21" customHeight="1">
      <x:c r="A57" s="3" t="str">
        <x:v>ORD-100286</x:v>
      </x:c>
      <x:c r="B57" s="5" t="n">
        <x:v>45310</x:v>
      </x:c>
      <x:c r="C57" s="3" t="str">
        <x:v>CUST-00423</x:v>
      </x:c>
      <x:c r="D57" s="3" t="str">
        <x:v>South</x:v>
      </x:c>
      <x:c r="E57" s="3" t="str">
        <x:v>Sports</x:v>
      </x:c>
      <x:c r="F57" s="3" t="str">
        <x:v>Fitness</x:v>
      </x:c>
      <x:c r="G57" s="3" t="str">
        <x:v>ProYoga Mat</x:v>
      </x:c>
      <x:c r="H57" s="3" t="n">
        <x:v>1</x:v>
      </x:c>
      <x:c r="I57" s="7" t="n">
        <x:v>1292.26</x:v>
      </x:c>
      <x:c r="J57" s="9" t="n">
        <x:v>0.15</x:v>
      </x:c>
      <x:c r="K57" s="7" t="n">
        <x:v>1098.42</x:v>
      </x:c>
      <x:c r="L57" s="7" t="n">
        <x:v>259.26</x:v>
      </x:c>
      <x:c r="M57" s="3" t="str">
        <x:v>UPI</x:v>
      </x:c>
      <x:c r="N57" s="3"/>
      <x:c r="O57" s="3"/>
      <x:c r="P57" s="3"/>
      <x:c r="Q57" s="3"/>
    </x:row>
    <x:row r="58" ht="21" customHeight="1">
      <x:c r="A58" s="3" t="str">
        <x:v>ORD-101425</x:v>
      </x:c>
      <x:c r="B58" s="5" t="n">
        <x:v>45310</x:v>
      </x:c>
      <x:c r="C58" s="3" t="str">
        <x:v>CUST-00125</x:v>
      </x:c>
      <x:c r="D58" s="3" t="str">
        <x:v>North</x:v>
      </x:c>
      <x:c r="E58" s="3" t="str">
        <x:v>Fashion</x:v>
      </x:c>
      <x:c r="F58" s="3" t="str">
        <x:v>Footwear</x:v>
      </x:c>
      <x:c r="G58" s="3" t="str">
        <x:v>RunFlex Sneakers</x:v>
      </x:c>
      <x:c r="H58" s="3" t="n">
        <x:v>1</x:v>
      </x:c>
      <x:c r="I58" s="7" t="n">
        <x:v>3046.32</x:v>
      </x:c>
      <x:c r="J58" s="9" t="n">
        <x:v>0.05</x:v>
      </x:c>
      <x:c r="K58" s="7" t="n">
        <x:v>2894</x:v>
      </x:c>
      <x:c r="L58" s="7" t="n">
        <x:v>1039.33</x:v>
      </x:c>
      <x:c r="M58" s="3" t="str">
        <x:v>Net Banking</x:v>
      </x:c>
      <x:c r="N58" s="3"/>
      <x:c r="O58" s="3"/>
      <x:c r="P58" s="3"/>
      <x:c r="Q58" s="3"/>
    </x:row>
    <x:row r="59" ht="21" customHeight="1">
      <x:c r="A59" s="3" t="str">
        <x:v>ORD-101445</x:v>
      </x:c>
      <x:c r="B59" s="5" t="n">
        <x:v>45310</x:v>
      </x:c>
      <x:c r="C59" s="3" t="str">
        <x:v>CUST-00446</x:v>
      </x:c>
      <x:c r="D59" s="3" t="str">
        <x:v>West</x:v>
      </x:c>
      <x:c r="E59" s="3" t="str">
        <x:v>Beauty</x:v>
      </x:c>
      <x:c r="F59" s="3" t="str">
        <x:v>Skincare</x:v>
      </x:c>
      <x:c r="G59" s="3" t="str">
        <x:v>HydraBoost Moisturizer</x:v>
      </x:c>
      <x:c r="H59" s="3" t="n">
        <x:v>1</x:v>
      </x:c>
      <x:c r="I59" s="7" t="n">
        <x:v>1235.55</x:v>
      </x:c>
      <x:c r="J59" s="9" t="n">
        <x:v>0.05</x:v>
      </x:c>
      <x:c r="K59" s="7" t="n">
        <x:v>1173.77</x:v>
      </x:c>
      <x:c r="L59" s="7" t="n">
        <x:v>536.78</x:v>
      </x:c>
      <x:c r="M59" s="3" t="str">
        <x:v>Debit Card</x:v>
      </x:c>
      <x:c r="N59" s="3"/>
      <x:c r="O59" s="3"/>
      <x:c r="P59" s="3"/>
      <x:c r="Q59" s="3"/>
    </x:row>
    <x:row r="60" ht="21" customHeight="1">
      <x:c r="A60" s="3" t="str">
        <x:v>ORD-101484</x:v>
      </x:c>
      <x:c r="B60" s="5" t="n">
        <x:v>45310</x:v>
      </x:c>
      <x:c r="C60" s="3" t="str">
        <x:v>CUST-00532</x:v>
      </x:c>
      <x:c r="D60" s="3" t="str">
        <x:v>South</x:v>
      </x:c>
      <x:c r="E60" s="3" t="str">
        <x:v>Fashion</x:v>
      </x:c>
      <x:c r="F60" s="3" t="str">
        <x:v>Men</x:v>
      </x:c>
      <x:c r="G60" s="3" t="str">
        <x:v>SlimFit Denim Jeans</x:v>
      </x:c>
      <x:c r="H60" s="3" t="n">
        <x:v>2</x:v>
      </x:c>
      <x:c r="I60" s="7" t="n">
        <x:v>1939.5</x:v>
      </x:c>
      <x:c r="J60" s="9" t="n">
        <x:v>0.15</x:v>
      </x:c>
      <x:c r="K60" s="7" t="n">
        <x:v>3297.15</x:v>
      </x:c>
      <x:c r="L60" s="7" t="n">
        <x:v>760.63</x:v>
      </x:c>
      <x:c r="M60" s="3" t="str">
        <x:v>Net Banking</x:v>
      </x:c>
      <x:c r="N60" s="3"/>
      <x:c r="O60" s="3"/>
      <x:c r="P60" s="3"/>
      <x:c r="Q60" s="3"/>
    </x:row>
    <x:row r="61" ht="21" customHeight="1">
      <x:c r="A61" s="3" t="str">
        <x:v>ORD-101588</x:v>
      </x:c>
      <x:c r="B61" s="5" t="n">
        <x:v>45310</x:v>
      </x:c>
      <x:c r="C61" s="3" t="str">
        <x:v>CUST-00267</x:v>
      </x:c>
      <x:c r="D61" s="3" t="str">
        <x:v>West</x:v>
      </x:c>
      <x:c r="E61" s="3" t="str">
        <x:v>Home &amp; Kitchen</x:v>
      </x:c>
      <x:c r="F61" s="3" t="str">
        <x:v>Furniture</x:v>
      </x:c>
      <x:c r="G61" s="3" t="str">
        <x:v>ErgoComfort Chair</x:v>
      </x:c>
      <x:c r="H61" s="3" t="n">
        <x:v>2</x:v>
      </x:c>
      <x:c r="I61" s="7" t="n">
        <x:v>8676.41</x:v>
      </x:c>
      <x:c r="J61" s="9" t="n">
        <x:v>0.05</x:v>
      </x:c>
      <x:c r="K61" s="7" t="n">
        <x:v>16485.18</x:v>
      </x:c>
      <x:c r="L61" s="7" t="n">
        <x:v>4588.92</x:v>
      </x:c>
      <x:c r="M61" s="3" t="str">
        <x:v>UPI</x:v>
      </x:c>
      <x:c r="N61" s="3"/>
      <x:c r="O61" s="3"/>
      <x:c r="P61" s="3"/>
      <x:c r="Q61" s="3"/>
    </x:row>
    <x:row r="62" ht="21" customHeight="1">
      <x:c r="A62" s="3" t="str">
        <x:v>ORD-101593</x:v>
      </x:c>
      <x:c r="B62" s="5" t="n">
        <x:v>45310</x:v>
      </x:c>
      <x:c r="C62" s="3" t="str">
        <x:v>CUST-00408</x:v>
      </x:c>
      <x:c r="D62" s="3" t="str">
        <x:v>West</x:v>
      </x:c>
      <x:c r="E62" s="3" t="str">
        <x:v>Electronics</x:v>
      </x:c>
      <x:c r="F62" s="3" t="str">
        <x:v>Audio</x:v>
      </x:c>
      <x:c r="G62" s="3" t="str">
        <x:v>SoundPods Pro</x:v>
      </x:c>
      <x:c r="H62" s="3" t="n">
        <x:v>2</x:v>
      </x:c>
      <x:c r="I62" s="7" t="n">
        <x:v>5063.16</x:v>
      </x:c>
      <x:c r="J62" s="9" t="n">
        <x:v>0.25</x:v>
      </x:c>
      <x:c r="K62" s="7" t="n">
        <x:v>7594.74</x:v>
      </x:c>
      <x:c r="L62" s="7" t="n">
        <x:v>-642.48</x:v>
      </x:c>
      <x:c r="M62" s="3" t="str">
        <x:v>UPI</x:v>
      </x:c>
      <x:c r="N62" s="3"/>
      <x:c r="O62" s="3"/>
      <x:c r="P62" s="3"/>
      <x:c r="Q62" s="3"/>
    </x:row>
    <x:row r="63" ht="21" customHeight="1">
      <x:c r="A63" s="3" t="str">
        <x:v>ORD-100275</x:v>
      </x:c>
      <x:c r="B63" s="5" t="n">
        <x:v>45312</x:v>
      </x:c>
      <x:c r="C63" s="3" t="str">
        <x:v>CUST-00119</x:v>
      </x:c>
      <x:c r="D63" s="3" t="str">
        <x:v>North</x:v>
      </x:c>
      <x:c r="E63" s="3" t="str">
        <x:v>Fashion</x:v>
      </x:c>
      <x:c r="F63" s="3" t="str">
        <x:v>Men</x:v>
      </x:c>
      <x:c r="G63" s="3" t="str">
        <x:v>SlimFit Denim Jeans</x:v>
      </x:c>
      <x:c r="H63" s="3" t="n">
        <x:v>2</x:v>
      </x:c>
      <x:c r="I63" s="7" t="n">
        <x:v>1972.33</x:v>
      </x:c>
      <x:c r="J63" s="9" t="n">
        <x:v>0</x:v>
      </x:c>
      <x:c r="K63" s="7" t="n">
        <x:v>3944.66</x:v>
      </x:c>
      <x:c r="L63" s="7" t="n">
        <x:v>1704.26</x:v>
      </x:c>
      <x:c r="M63" s="3" t="str">
        <x:v>Net Banking</x:v>
      </x:c>
      <x:c r="N63" s="3"/>
      <x:c r="O63" s="3"/>
      <x:c r="P63" s="3"/>
      <x:c r="Q63" s="3"/>
    </x:row>
    <x:row r="64" ht="21" customHeight="1">
      <x:c r="A64" s="3" t="str">
        <x:v>ORD-101031</x:v>
      </x:c>
      <x:c r="B64" s="5" t="n">
        <x:v>45312</x:v>
      </x:c>
      <x:c r="C64" s="3" t="str">
        <x:v>CUST-00372</x:v>
      </x:c>
      <x:c r="D64" s="3" t="str">
        <x:v>South</x:v>
      </x:c>
      <x:c r="E64" s="3" t="str">
        <x:v>Electronics</x:v>
      </x:c>
      <x:c r="F64" s="3" t="str">
        <x:v>Audio</x:v>
      </x:c>
      <x:c r="G64" s="3" t="str">
        <x:v>SoundPods Pro</x:v>
      </x:c>
      <x:c r="H64" s="3" t="n">
        <x:v>4</x:v>
      </x:c>
      <x:c r="I64" s="7" t="n">
        <x:v>4768.74</x:v>
      </x:c>
      <x:c r="J64" s="9" t="n">
        <x:v>0</x:v>
      </x:c>
      <x:c r="K64" s="7" t="n">
        <x:v>19074.96</x:v>
      </x:c>
      <x:c r="L64" s="7" t="n">
        <x:v>4013.73</x:v>
      </x:c>
      <x:c r="M64" s="3" t="str">
        <x:v>Credit Card</x:v>
      </x:c>
      <x:c r="N64" s="3"/>
      <x:c r="O64" s="3"/>
      <x:c r="P64" s="3"/>
      <x:c r="Q64" s="3"/>
    </x:row>
    <x:row r="65" ht="21" customHeight="1">
      <x:c r="A65" s="3" t="str">
        <x:v>ORD-101189</x:v>
      </x:c>
      <x:c r="B65" s="5" t="n">
        <x:v>45312</x:v>
      </x:c>
      <x:c r="C65" s="3" t="str">
        <x:v>CUST-00303</x:v>
      </x:c>
      <x:c r="D65" s="3" t="str">
        <x:v>North</x:v>
      </x:c>
      <x:c r="E65" s="3" t="str">
        <x:v>Beauty</x:v>
      </x:c>
      <x:c r="F65" s="3" t="str">
        <x:v>Skincare</x:v>
      </x:c>
      <x:c r="G65" s="3" t="str">
        <x:v>HydraBoost Moisturizer</x:v>
      </x:c>
      <x:c r="H65" s="3" t="n">
        <x:v>1</x:v>
      </x:c>
      <x:c r="I65" s="7" t="n">
        <x:v>1234.34</x:v>
      </x:c>
      <x:c r="J65" s="9" t="n">
        <x:v>0.1</x:v>
      </x:c>
      <x:c r="K65" s="7" t="n">
        <x:v>1110.91</x:v>
      </x:c>
      <x:c r="L65" s="7" t="n">
        <x:v>463.62</x:v>
      </x:c>
      <x:c r="M65" s="3" t="str">
        <x:v>UPI</x:v>
      </x:c>
      <x:c r="N65" s="3"/>
      <x:c r="O65" s="3"/>
      <x:c r="P65" s="3"/>
      <x:c r="Q65" s="3"/>
    </x:row>
    <x:row r="66" ht="21" customHeight="1">
      <x:c r="A66" s="3" t="str">
        <x:v>ORD-100783</x:v>
      </x:c>
      <x:c r="B66" s="5" t="n">
        <x:v>45313</x:v>
      </x:c>
      <x:c r="C66" s="3" t="str">
        <x:v>CUST-00271</x:v>
      </x:c>
      <x:c r="D66" s="3" t="str">
        <x:v>East</x:v>
      </x:c>
      <x:c r="E66" s="3" t="str">
        <x:v>Fashion</x:v>
      </x:c>
      <x:c r="F66" s="3" t="str">
        <x:v>Women</x:v>
      </x:c>
      <x:c r="G66" s="3" t="str">
        <x:v>Floral Summer Dress</x:v>
      </x:c>
      <x:c r="H66" s="3" t="n">
        <x:v>1</x:v>
      </x:c>
      <x:c r="I66" s="7" t="n">
        <x:v>1790.94</x:v>
      </x:c>
      <x:c r="J66" s="9" t="n">
        <x:v>0.05</x:v>
      </x:c>
      <x:c r="K66" s="7" t="n">
        <x:v>1701.39</x:v>
      </x:c>
      <x:c r="L66" s="7" t="n">
        <x:v>679.67</x:v>
      </x:c>
      <x:c r="M66" s="3" t="str">
        <x:v>Credit Card</x:v>
      </x:c>
      <x:c r="N66" s="3"/>
      <x:c r="O66" s="3"/>
      <x:c r="P66" s="3"/>
      <x:c r="Q66" s="3"/>
    </x:row>
    <x:row r="67" ht="21" customHeight="1">
      <x:c r="A67" s="3" t="str">
        <x:v>ORD-100321</x:v>
      </x:c>
      <x:c r="B67" s="5" t="n">
        <x:v>45314</x:v>
      </x:c>
      <x:c r="C67" s="3" t="str">
        <x:v>CUST-00131</x:v>
      </x:c>
      <x:c r="D67" s="3" t="str">
        <x:v>North</x:v>
      </x:c>
      <x:c r="E67" s="3" t="str">
        <x:v>Fashion</x:v>
      </x:c>
      <x:c r="F67" s="3" t="str">
        <x:v>Women</x:v>
      </x:c>
      <x:c r="G67" s="3" t="str">
        <x:v>Knit Winter Sweater</x:v>
      </x:c>
      <x:c r="H67" s="3" t="n">
        <x:v>2</x:v>
      </x:c>
      <x:c r="I67" s="7" t="n">
        <x:v>2194.34</x:v>
      </x:c>
      <x:c r="J67" s="9" t="n">
        <x:v>0.05</x:v>
      </x:c>
      <x:c r="K67" s="7" t="n">
        <x:v>4169.25</x:v>
      </x:c>
      <x:c r="L67" s="7" t="n">
        <x:v>1414.86</x:v>
      </x:c>
      <x:c r="M67" s="3" t="str">
        <x:v>Debit Card</x:v>
      </x:c>
      <x:c r="N67" s="3"/>
      <x:c r="O67" s="3"/>
      <x:c r="P67" s="3"/>
      <x:c r="Q67" s="3"/>
    </x:row>
    <x:row r="68" ht="21" customHeight="1">
      <x:c r="A68" s="3" t="str">
        <x:v>ORD-100946</x:v>
      </x:c>
      <x:c r="B68" s="5" t="n">
        <x:v>45314</x:v>
      </x:c>
      <x:c r="C68" s="3" t="str">
        <x:v>CUST-00070</x:v>
      </x:c>
      <x:c r="D68" s="3" t="str">
        <x:v>South</x:v>
      </x:c>
      <x:c r="E68" s="3" t="str">
        <x:v>Fashion</x:v>
      </x:c>
      <x:c r="F68" s="3" t="str">
        <x:v>Men</x:v>
      </x:c>
      <x:c r="G68" s="3" t="str">
        <x:v>Oxford Casual Shirt</x:v>
      </x:c>
      <x:c r="H68" s="3" t="n">
        <x:v>2</x:v>
      </x:c>
      <x:c r="I68" s="7" t="n">
        <x:v>1290.98</x:v>
      </x:c>
      <x:c r="J68" s="9" t="n">
        <x:v>0.1</x:v>
      </x:c>
      <x:c r="K68" s="7" t="n">
        <x:v>2323.76</x:v>
      </x:c>
      <x:c r="L68" s="7" t="n">
        <x:v>676.74</x:v>
      </x:c>
      <x:c r="M68" s="3" t="str">
        <x:v>Credit Card</x:v>
      </x:c>
      <x:c r="N68" s="3"/>
      <x:c r="O68" s="3"/>
      <x:c r="P68" s="3"/>
      <x:c r="Q68" s="3"/>
    </x:row>
    <x:row r="69" ht="21" customHeight="1">
      <x:c r="A69" s="3" t="str">
        <x:v>ORD-101048</x:v>
      </x:c>
      <x:c r="B69" s="5" t="n">
        <x:v>45314</x:v>
      </x:c>
      <x:c r="C69" s="3" t="str">
        <x:v>CUST-00163</x:v>
      </x:c>
      <x:c r="D69" s="3" t="str">
        <x:v>North</x:v>
      </x:c>
      <x:c r="E69" s="3" t="str">
        <x:v>Sports</x:v>
      </x:c>
      <x:c r="F69" s="3" t="str">
        <x:v>Fitness</x:v>
      </x:c>
      <x:c r="G69" s="3" t="str">
        <x:v>ProYoga Mat</x:v>
      </x:c>
      <x:c r="H69" s="3" t="n">
        <x:v>2</x:v>
      </x:c>
      <x:c r="I69" s="7" t="n">
        <x:v>1246.37</x:v>
      </x:c>
      <x:c r="J69" s="9" t="n">
        <x:v>0</x:v>
      </x:c>
      <x:c r="K69" s="7" t="n">
        <x:v>2492.74</x:v>
      </x:c>
      <x:c r="L69" s="7" t="n">
        <x:v>925.56</x:v>
      </x:c>
      <x:c r="M69" s="3" t="str">
        <x:v>UPI</x:v>
      </x:c>
      <x:c r="N69" s="3"/>
      <x:c r="O69" s="3"/>
      <x:c r="P69" s="3"/>
      <x:c r="Q69" s="3"/>
    </x:row>
    <x:row r="70" ht="21" customHeight="1">
      <x:c r="A70" s="3" t="str">
        <x:v>ORD-101113</x:v>
      </x:c>
      <x:c r="B70" s="5" t="n">
        <x:v>45314</x:v>
      </x:c>
      <x:c r="C70" s="3" t="str">
        <x:v>CUST-00354</x:v>
      </x:c>
      <x:c r="D70" s="3" t="str">
        <x:v>North</x:v>
      </x:c>
      <x:c r="E70" s="3" t="str">
        <x:v>Fashion</x:v>
      </x:c>
      <x:c r="F70" s="3" t="str">
        <x:v>Women</x:v>
      </x:c>
      <x:c r="G70" s="3" t="str">
        <x:v>Knit Winter Sweater</x:v>
      </x:c>
      <x:c r="H70" s="3" t="n">
        <x:v>5</x:v>
      </x:c>
      <x:c r="I70" s="7" t="n">
        <x:v>2212.92</x:v>
      </x:c>
      <x:c r="J70" s="9" t="n">
        <x:v>0.1</x:v>
      </x:c>
      <x:c r="K70" s="7" t="n">
        <x:v>9958.14</x:v>
      </x:c>
      <x:c r="L70" s="7" t="n">
        <x:v>3153.13</x:v>
      </x:c>
      <x:c r="M70" s="3" t="str">
        <x:v>Debit Card</x:v>
      </x:c>
      <x:c r="N70" s="3"/>
      <x:c r="O70" s="3"/>
      <x:c r="P70" s="3"/>
      <x:c r="Q70" s="3"/>
    </x:row>
    <x:row r="71" ht="21" customHeight="1">
      <x:c r="A71" s="3" t="str">
        <x:v>ORD-101892</x:v>
      </x:c>
      <x:c r="B71" s="5" t="n">
        <x:v>45314</x:v>
      </x:c>
      <x:c r="C71" s="3" t="str">
        <x:v>CUST-00251</x:v>
      </x:c>
      <x:c r="D71" s="3" t="str">
        <x:v>North</x:v>
      </x:c>
      <x:c r="E71" s="3" t="str">
        <x:v>Home &amp; Kitchen</x:v>
      </x:c>
      <x:c r="F71" s="3" t="str">
        <x:v>Appliances</x:v>
      </x:c>
      <x:c r="G71" s="3" t="str">
        <x:v>ColdBrew Coffee Maker</x:v>
      </x:c>
      <x:c r="H71" s="3" t="n">
        <x:v>1</x:v>
      </x:c>
      <x:c r="I71" s="7" t="n">
        <x:v>6228.5</x:v>
      </x:c>
      <x:c r="J71" s="9" t="n">
        <x:v>0.25</x:v>
      </x:c>
      <x:c r="K71" s="7" t="n">
        <x:v>4671.38</x:v>
      </x:c>
      <x:c r="L71" s="7" t="n">
        <x:v>118.58</x:v>
      </x:c>
      <x:c r="M71" s="3" t="str">
        <x:v>UPI</x:v>
      </x:c>
      <x:c r="N71" s="3"/>
      <x:c r="O71" s="3"/>
      <x:c r="P71" s="3"/>
      <x:c r="Q71" s="3"/>
    </x:row>
    <x:row r="72" ht="21" customHeight="1">
      <x:c r="A72" s="3" t="str">
        <x:v>ORD-100385</x:v>
      </x:c>
      <x:c r="B72" s="5" t="n">
        <x:v>45315</x:v>
      </x:c>
      <x:c r="C72" s="3" t="str">
        <x:v>CUST-00551</x:v>
      </x:c>
      <x:c r="D72" s="3" t="str">
        <x:v>North</x:v>
      </x:c>
      <x:c r="E72" s="3" t="str">
        <x:v>Fashion</x:v>
      </x:c>
      <x:c r="F72" s="3" t="str">
        <x:v>Footwear</x:v>
      </x:c>
      <x:c r="G72" s="3" t="str">
        <x:v>RunFlex Sneakers</x:v>
      </x:c>
      <x:c r="H72" s="3" t="n">
        <x:v>3</x:v>
      </x:c>
      <x:c r="I72" s="7" t="n">
        <x:v>2853.17</x:v>
      </x:c>
      <x:c r="J72" s="9" t="n">
        <x:v>0.2</x:v>
      </x:c>
      <x:c r="K72" s="7" t="n">
        <x:v>6847.61</x:v>
      </x:c>
      <x:c r="L72" s="7" t="n">
        <x:v>1407.21</x:v>
      </x:c>
      <x:c r="M72" s="3" t="str">
        <x:v>Credit Card</x:v>
      </x:c>
      <x:c r="N72" s="3"/>
      <x:c r="O72" s="3"/>
      <x:c r="P72" s="3"/>
      <x:c r="Q72" s="3"/>
    </x:row>
    <x:row r="73" ht="21" customHeight="1">
      <x:c r="A73" s="3" t="str">
        <x:v>ORD-100476</x:v>
      </x:c>
      <x:c r="B73" s="5" t="n">
        <x:v>45315</x:v>
      </x:c>
      <x:c r="C73" s="3" t="str">
        <x:v>CUST-00555</x:v>
      </x:c>
      <x:c r="D73" s="3" t="str">
        <x:v>West</x:v>
      </x:c>
      <x:c r="E73" s="3" t="str">
        <x:v>Fashion</x:v>
      </x:c>
      <x:c r="F73" s="3" t="str">
        <x:v>Women</x:v>
      </x:c>
      <x:c r="G73" s="3" t="str">
        <x:v>Floral Summer Dress</x:v>
      </x:c>
      <x:c r="H73" s="3" t="n">
        <x:v>1</x:v>
      </x:c>
      <x:c r="I73" s="7" t="n">
        <x:v>1834.46</x:v>
      </x:c>
      <x:c r="J73" s="9" t="n">
        <x:v>0</x:v>
      </x:c>
      <x:c r="K73" s="7" t="n">
        <x:v>1834.46</x:v>
      </x:c>
      <x:c r="L73" s="7" t="n">
        <x:v>769.93</x:v>
      </x:c>
      <x:c r="M73" s="3" t="str">
        <x:v>Credit Card</x:v>
      </x:c>
      <x:c r="N73" s="3"/>
      <x:c r="O73" s="3"/>
      <x:c r="P73" s="3"/>
      <x:c r="Q73" s="3"/>
    </x:row>
    <x:row r="74" ht="21" customHeight="1">
      <x:c r="A74" s="3" t="str">
        <x:v>ORD-100620</x:v>
      </x:c>
      <x:c r="B74" s="5" t="n">
        <x:v>45315</x:v>
      </x:c>
      <x:c r="C74" s="3" t="str">
        <x:v>CUST-00033</x:v>
      </x:c>
      <x:c r="D74" s="3" t="str">
        <x:v>East</x:v>
      </x:c>
      <x:c r="E74" s="3" t="str">
        <x:v>Sports</x:v>
      </x:c>
      <x:c r="F74" s="3" t="str">
        <x:v>Outdoor</x:v>
      </x:c>
      <x:c r="G74" s="3" t="str">
        <x:v>AllWeather Tent 4P</x:v>
      </x:c>
      <x:c r="H74" s="3" t="n">
        <x:v>1</x:v>
      </x:c>
      <x:c r="I74" s="7" t="n">
        <x:v>12302.13</x:v>
      </x:c>
      <x:c r="J74" s="9" t="n">
        <x:v>0.05</x:v>
      </x:c>
      <x:c r="K74" s="7" t="n">
        <x:v>11687.02</x:v>
      </x:c>
      <x:c r="L74" s="7" t="n">
        <x:v>4014.81</x:v>
      </x:c>
      <x:c r="M74" s="3" t="str">
        <x:v>UPI</x:v>
      </x:c>
      <x:c r="N74" s="3"/>
      <x:c r="O74" s="3"/>
      <x:c r="P74" s="3"/>
      <x:c r="Q74" s="3"/>
    </x:row>
    <x:row r="75" ht="21" customHeight="1">
      <x:c r="A75" s="3" t="str">
        <x:v>ORD-101951</x:v>
      </x:c>
      <x:c r="B75" s="5" t="n">
        <x:v>45315</x:v>
      </x:c>
      <x:c r="C75" s="3" t="str">
        <x:v>CUST-00353</x:v>
      </x:c>
      <x:c r="D75" s="3" t="str">
        <x:v>North</x:v>
      </x:c>
      <x:c r="E75" s="3" t="str">
        <x:v>Fashion</x:v>
      </x:c>
      <x:c r="F75" s="3" t="str">
        <x:v>Women</x:v>
      </x:c>
      <x:c r="G75" s="3" t="str">
        <x:v>Floral Summer Dress</x:v>
      </x:c>
      <x:c r="H75" s="3" t="n">
        <x:v>1</x:v>
      </x:c>
      <x:c r="I75" s="7" t="n">
        <x:v>1859.38</x:v>
      </x:c>
      <x:c r="J75" s="9" t="n">
        <x:v>0.05</x:v>
      </x:c>
      <x:c r="K75" s="7" t="n">
        <x:v>1766.41</x:v>
      </x:c>
      <x:c r="L75" s="7" t="n">
        <x:v>574.77</x:v>
      </x:c>
      <x:c r="M75" s="3" t="str">
        <x:v>Credit Card</x:v>
      </x:c>
      <x:c r="N75" s="3"/>
      <x:c r="O75" s="3"/>
      <x:c r="P75" s="3"/>
      <x:c r="Q75" s="3"/>
    </x:row>
    <x:row r="76" ht="21" customHeight="1">
      <x:c r="A76" s="3" t="str">
        <x:v>ORD-100943</x:v>
      </x:c>
      <x:c r="B76" s="5" t="n">
        <x:v>45316</x:v>
      </x:c>
      <x:c r="C76" s="3" t="str">
        <x:v>CUST-00392</x:v>
      </x:c>
      <x:c r="D76" s="3" t="str">
        <x:v>North</x:v>
      </x:c>
      <x:c r="E76" s="3" t="str">
        <x:v>Home &amp; Kitchen</x:v>
      </x:c>
      <x:c r="F76" s="3" t="str">
        <x:v>Appliances</x:v>
      </x:c>
      <x:c r="G76" s="3" t="str">
        <x:v>AirFryer Deluxe</x:v>
      </x:c>
      <x:c r="H76" s="3" t="n">
        <x:v>5</x:v>
      </x:c>
      <x:c r="I76" s="7" t="n">
        <x:v>7614.63</x:v>
      </x:c>
      <x:c r="J76" s="9" t="n">
        <x:v>0.15</x:v>
      </x:c>
      <x:c r="K76" s="7" t="n">
        <x:v>32362.18</x:v>
      </x:c>
      <x:c r="L76" s="7" t="n">
        <x:v>5626.07</x:v>
      </x:c>
      <x:c r="M76" s="3" t="str">
        <x:v>Debit Card</x:v>
      </x:c>
      <x:c r="N76" s="3"/>
      <x:c r="O76" s="3"/>
      <x:c r="P76" s="3"/>
      <x:c r="Q76" s="3"/>
    </x:row>
    <x:row r="77" ht="21" customHeight="1">
      <x:c r="A77" s="3" t="str">
        <x:v>ORD-101034</x:v>
      </x:c>
      <x:c r="B77" s="5" t="n">
        <x:v>45316</x:v>
      </x:c>
      <x:c r="C77" s="3" t="str">
        <x:v>CUST-00171</x:v>
      </x:c>
      <x:c r="D77" s="3" t="str">
        <x:v>West</x:v>
      </x:c>
      <x:c r="E77" s="3" t="str">
        <x:v>Home &amp; Kitchen</x:v>
      </x:c>
      <x:c r="F77" s="3" t="str">
        <x:v>Appliances</x:v>
      </x:c>
      <x:c r="G77" s="3" t="str">
        <x:v>ColdBrew Coffee Maker</x:v>
      </x:c>
      <x:c r="H77" s="3" t="n">
        <x:v>1</x:v>
      </x:c>
      <x:c r="I77" s="7" t="n">
        <x:v>6445.54</x:v>
      </x:c>
      <x:c r="J77" s="9" t="n">
        <x:v>0.2</x:v>
      </x:c>
      <x:c r="K77" s="7" t="n">
        <x:v>5156.43</x:v>
      </x:c>
      <x:c r="L77" s="7" t="n">
        <x:v>379.13</x:v>
      </x:c>
      <x:c r="M77" s="3" t="str">
        <x:v>UPI</x:v>
      </x:c>
      <x:c r="N77" s="3"/>
      <x:c r="O77" s="3"/>
      <x:c r="P77" s="3"/>
      <x:c r="Q77" s="3"/>
    </x:row>
    <x:row r="78" ht="21" customHeight="1">
      <x:c r="A78" s="3" t="str">
        <x:v>ORD-101090</x:v>
      </x:c>
      <x:c r="B78" s="5" t="n">
        <x:v>45316</x:v>
      </x:c>
      <x:c r="C78" s="3" t="str">
        <x:v>CUST-00376</x:v>
      </x:c>
      <x:c r="D78" s="3" t="str">
        <x:v>North</x:v>
      </x:c>
      <x:c r="E78" s="3" t="str">
        <x:v>Home &amp; Kitchen</x:v>
      </x:c>
      <x:c r="F78" s="3" t="str">
        <x:v>Appliances</x:v>
      </x:c>
      <x:c r="G78" s="3" t="str">
        <x:v>ColdBrew Coffee Maker</x:v>
      </x:c>
      <x:c r="H78" s="3" t="n">
        <x:v>1</x:v>
      </x:c>
      <x:c r="I78" s="7" t="n">
        <x:v>6629.49</x:v>
      </x:c>
      <x:c r="J78" s="9" t="n">
        <x:v>0.05</x:v>
      </x:c>
      <x:c r="K78" s="7" t="n">
        <x:v>6298.02</x:v>
      </x:c>
      <x:c r="L78" s="7" t="n">
        <x:v>1923.62</x:v>
      </x:c>
      <x:c r="M78" s="3" t="str">
        <x:v>UPI</x:v>
      </x:c>
      <x:c r="N78" s="3"/>
      <x:c r="O78" s="3"/>
      <x:c r="P78" s="3"/>
      <x:c r="Q78" s="3"/>
    </x:row>
    <x:row r="79" ht="21" customHeight="1">
      <x:c r="A79" s="3" t="str">
        <x:v>ORD-100025</x:v>
      </x:c>
      <x:c r="B79" s="5" t="n">
        <x:v>45317</x:v>
      </x:c>
      <x:c r="C79" s="3" t="str">
        <x:v>CUST-00341</x:v>
      </x:c>
      <x:c r="D79" s="3" t="str">
        <x:v>East</x:v>
      </x:c>
      <x:c r="E79" s="3" t="str">
        <x:v>Home &amp; Kitchen</x:v>
      </x:c>
      <x:c r="F79" s="3" t="str">
        <x:v>Decor</x:v>
      </x:c>
      <x:c r="G79" s="3" t="str">
        <x:v>Ceramic Vase Set</x:v>
      </x:c>
      <x:c r="H79" s="3" t="n">
        <x:v>4</x:v>
      </x:c>
      <x:c r="I79" s="7" t="n">
        <x:v>1461.45</x:v>
      </x:c>
      <x:c r="J79" s="9" t="n">
        <x:v>0</x:v>
      </x:c>
      <x:c r="K79" s="7" t="n">
        <x:v>5845.8</x:v>
      </x:c>
      <x:c r="L79" s="7" t="n">
        <x:v>1743.35</x:v>
      </x:c>
      <x:c r="M79" s="3" t="str">
        <x:v>Net Banking</x:v>
      </x:c>
      <x:c r="N79" s="3"/>
      <x:c r="O79" s="3"/>
      <x:c r="P79" s="3"/>
      <x:c r="Q79" s="3"/>
    </x:row>
    <x:row r="80" ht="21" customHeight="1">
      <x:c r="A80" s="3" t="str">
        <x:v>ORD-101597</x:v>
      </x:c>
      <x:c r="B80" s="5" t="n">
        <x:v>45317</x:v>
      </x:c>
      <x:c r="C80" s="3" t="str">
        <x:v>CUST-00091</x:v>
      </x:c>
      <x:c r="D80" s="3" t="str">
        <x:v>East</x:v>
      </x:c>
      <x:c r="E80" s="3" t="str">
        <x:v>Home &amp; Kitchen</x:v>
      </x:c>
      <x:c r="F80" s="3" t="str">
        <x:v>Appliances</x:v>
      </x:c>
      <x:c r="G80" s="3" t="str">
        <x:v>AirFryer Deluxe</x:v>
      </x:c>
      <x:c r="H80" s="3" t="n">
        <x:v>4</x:v>
      </x:c>
      <x:c r="I80" s="7" t="n">
        <x:v>7934.18</x:v>
      </x:c>
      <x:c r="J80" s="9" t="n">
        <x:v>0.3</x:v>
      </x:c>
      <x:c r="K80" s="7" t="n">
        <x:v>22215.7</x:v>
      </x:c>
      <x:c r="L80" s="7" t="n">
        <x:v>-833.07</x:v>
      </x:c>
      <x:c r="M80" s="3" t="str">
        <x:v>UPI</x:v>
      </x:c>
      <x:c r="N80" s="3"/>
      <x:c r="O80" s="3"/>
      <x:c r="P80" s="3"/>
      <x:c r="Q80" s="3"/>
    </x:row>
    <x:row r="81" ht="21" customHeight="1">
      <x:c r="A81" s="3" t="str">
        <x:v>ORD-100083</x:v>
      </x:c>
      <x:c r="B81" s="5" t="n">
        <x:v>45318</x:v>
      </x:c>
      <x:c r="C81" s="3" t="str">
        <x:v>CUST-00367</x:v>
      </x:c>
      <x:c r="D81" s="3" t="str">
        <x:v>East</x:v>
      </x:c>
      <x:c r="E81" s="3" t="str">
        <x:v>Fashion</x:v>
      </x:c>
      <x:c r="F81" s="3" t="str">
        <x:v>Footwear</x:v>
      </x:c>
      <x:c r="G81" s="3" t="str">
        <x:v>RunFlex Sneakers</x:v>
      </x:c>
      <x:c r="H81" s="3" t="n">
        <x:v>3</x:v>
      </x:c>
      <x:c r="I81" s="7" t="n">
        <x:v>3081.28</x:v>
      </x:c>
      <x:c r="J81" s="9" t="n">
        <x:v>0</x:v>
      </x:c>
      <x:c r="K81" s="7" t="n">
        <x:v>9243.84</x:v>
      </x:c>
      <x:c r="L81" s="7" t="n">
        <x:v>4095.87</x:v>
      </x:c>
      <x:c r="M81" s="3" t="str">
        <x:v>UPI</x:v>
      </x:c>
      <x:c r="N81" s="3"/>
      <x:c r="O81" s="3"/>
      <x:c r="P81" s="3"/>
      <x:c r="Q81" s="3"/>
    </x:row>
    <x:row r="82" ht="21" customHeight="1">
      <x:c r="A82" s="3" t="str">
        <x:v>ORD-100847</x:v>
      </x:c>
      <x:c r="B82" s="5" t="n">
        <x:v>45318</x:v>
      </x:c>
      <x:c r="C82" s="3" t="str">
        <x:v>CUST-00289</x:v>
      </x:c>
      <x:c r="D82" s="3" t="str">
        <x:v>North</x:v>
      </x:c>
      <x:c r="E82" s="3" t="str">
        <x:v>Beauty</x:v>
      </x:c>
      <x:c r="F82" s="3" t="str">
        <x:v>Skincare</x:v>
      </x:c>
      <x:c r="G82" s="3" t="str">
        <x:v>Vitamin C Serum</x:v>
      </x:c>
      <x:c r="H82" s="3" t="n">
        <x:v>2</x:v>
      </x:c>
      <x:c r="I82" s="7" t="n">
        <x:v>934.12</x:v>
      </x:c>
      <x:c r="J82" s="9" t="n">
        <x:v>0</x:v>
      </x:c>
      <x:c r="K82" s="7" t="n">
        <x:v>1868.24</x:v>
      </x:c>
      <x:c r="L82" s="7" t="n">
        <x:v>1033.2</x:v>
      </x:c>
      <x:c r="M82" s="3" t="str">
        <x:v>Credit Card</x:v>
      </x:c>
      <x:c r="N82" s="3"/>
      <x:c r="O82" s="3"/>
      <x:c r="P82" s="3"/>
      <x:c r="Q82" s="3"/>
    </x:row>
    <x:row r="83" ht="21" customHeight="1">
      <x:c r="A83" s="3" t="str">
        <x:v>ORD-100982</x:v>
      </x:c>
      <x:c r="B83" s="5" t="n">
        <x:v>45318</x:v>
      </x:c>
      <x:c r="C83" s="3" t="str">
        <x:v>CUST-00186</x:v>
      </x:c>
      <x:c r="D83" s="3" t="str">
        <x:v>North</x:v>
      </x:c>
      <x:c r="E83" s="3" t="str">
        <x:v>Sports</x:v>
      </x:c>
      <x:c r="F83" s="3" t="str">
        <x:v>Fitness</x:v>
      </x:c>
      <x:c r="G83" s="3" t="str">
        <x:v>Adjustable Dumbbell 24kg</x:v>
      </x:c>
      <x:c r="H83" s="3" t="n">
        <x:v>2</x:v>
      </x:c>
      <x:c r="I83" s="7" t="n">
        <x:v>9959.75</x:v>
      </x:c>
      <x:c r="J83" s="9" t="n">
        <x:v>0.05</x:v>
      </x:c>
      <x:c r="K83" s="7" t="n">
        <x:v>18923.52</x:v>
      </x:c>
      <x:c r="L83" s="7" t="n">
        <x:v>6653</x:v>
      </x:c>
      <x:c r="M83" s="3" t="str">
        <x:v>UPI</x:v>
      </x:c>
      <x:c r="N83" s="3"/>
      <x:c r="O83" s="3"/>
      <x:c r="P83" s="3"/>
      <x:c r="Q83" s="3"/>
    </x:row>
    <x:row r="84" ht="21" customHeight="1">
      <x:c r="A84" s="3" t="str">
        <x:v>ORD-101266</x:v>
      </x:c>
      <x:c r="B84" s="5" t="n">
        <x:v>45318</x:v>
      </x:c>
      <x:c r="C84" s="3" t="str">
        <x:v>CUST-00007</x:v>
      </x:c>
      <x:c r="D84" s="3" t="str">
        <x:v>North</x:v>
      </x:c>
      <x:c r="E84" s="3" t="str">
        <x:v>Beauty</x:v>
      </x:c>
      <x:c r="F84" s="3" t="str">
        <x:v>Makeup</x:v>
      </x:c>
      <x:c r="G84" s="3" t="str">
        <x:v>HD Foundation Kit</x:v>
      </x:c>
      <x:c r="H84" s="3" t="n">
        <x:v>3</x:v>
      </x:c>
      <x:c r="I84" s="7" t="n">
        <x:v>1530.88</x:v>
      </x:c>
      <x:c r="J84" s="9" t="n">
        <x:v>0.05</x:v>
      </x:c>
      <x:c r="K84" s="7" t="n">
        <x:v>4363.01</x:v>
      </x:c>
      <x:c r="L84" s="7" t="n">
        <x:v>2188.45</x:v>
      </x:c>
      <x:c r="M84" s="3" t="str">
        <x:v>UPI</x:v>
      </x:c>
      <x:c r="N84" s="3"/>
      <x:c r="O84" s="3"/>
      <x:c r="P84" s="3"/>
      <x:c r="Q84" s="3"/>
    </x:row>
    <x:row r="85" ht="21" customHeight="1">
      <x:c r="A85" s="3" t="str">
        <x:v>ORD-100438</x:v>
      </x:c>
      <x:c r="B85" s="5" t="n">
        <x:v>45319</x:v>
      </x:c>
      <x:c r="C85" s="3" t="str">
        <x:v>CUST-00085</x:v>
      </x:c>
      <x:c r="D85" s="3" t="str">
        <x:v>West</x:v>
      </x:c>
      <x:c r="E85" s="3" t="str">
        <x:v>Beauty</x:v>
      </x:c>
      <x:c r="F85" s="3" t="str">
        <x:v>Makeup</x:v>
      </x:c>
      <x:c r="G85" s="3" t="str">
        <x:v>HD Foundation Kit</x:v>
      </x:c>
      <x:c r="H85" s="3" t="n">
        <x:v>1</x:v>
      </x:c>
      <x:c r="I85" s="7" t="n">
        <x:v>1449.39</x:v>
      </x:c>
      <x:c r="J85" s="9" t="n">
        <x:v>0.05</x:v>
      </x:c>
      <x:c r="K85" s="7" t="n">
        <x:v>1376.92</x:v>
      </x:c>
      <x:c r="L85" s="7" t="n">
        <x:v>628.74</x:v>
      </x:c>
      <x:c r="M85" s="3" t="str">
        <x:v>Debit Card</x:v>
      </x:c>
      <x:c r="N85" s="3"/>
      <x:c r="O85" s="3"/>
      <x:c r="P85" s="3"/>
      <x:c r="Q85" s="3"/>
    </x:row>
    <x:row r="86" ht="21" customHeight="1">
      <x:c r="A86" s="3" t="str">
        <x:v>ORD-100954</x:v>
      </x:c>
      <x:c r="B86" s="5" t="n">
        <x:v>45319</x:v>
      </x:c>
      <x:c r="C86" s="3" t="str">
        <x:v>CUST-00451</x:v>
      </x:c>
      <x:c r="D86" s="3" t="str">
        <x:v>West</x:v>
      </x:c>
      <x:c r="E86" s="3" t="str">
        <x:v>Home &amp; Kitchen</x:v>
      </x:c>
      <x:c r="F86" s="3" t="str">
        <x:v>Furniture</x:v>
      </x:c>
      <x:c r="G86" s="3" t="str">
        <x:v>Oakwood Study Desk</x:v>
      </x:c>
      <x:c r="H86" s="3" t="n">
        <x:v>1</x:v>
      </x:c>
      <x:c r="I86" s="7" t="n">
        <x:v>13637.26</x:v>
      </x:c>
      <x:c r="J86" s="9" t="n">
        <x:v>0</x:v>
      </x:c>
      <x:c r="K86" s="7" t="n">
        <x:v>13637.26</x:v>
      </x:c>
      <x:c r="L86" s="7" t="n">
        <x:v>4208.98</x:v>
      </x:c>
      <x:c r="M86" s="3" t="str">
        <x:v>Debit Card</x:v>
      </x:c>
      <x:c r="N86" s="3"/>
      <x:c r="O86" s="3"/>
      <x:c r="P86" s="3"/>
      <x:c r="Q86" s="3"/>
    </x:row>
    <x:row r="87" ht="21" customHeight="1">
      <x:c r="A87" s="3" t="str">
        <x:v>ORD-101007</x:v>
      </x:c>
      <x:c r="B87" s="5" t="n">
        <x:v>45320</x:v>
      </x:c>
      <x:c r="C87" s="3" t="str">
        <x:v>CUST-00311</x:v>
      </x:c>
      <x:c r="D87" s="3" t="str">
        <x:v>South</x:v>
      </x:c>
      <x:c r="E87" s="3" t="str">
        <x:v>Fashion</x:v>
      </x:c>
      <x:c r="F87" s="3" t="str">
        <x:v>Men</x:v>
      </x:c>
      <x:c r="G87" s="3" t="str">
        <x:v>Oxford Casual Shirt</x:v>
      </x:c>
      <x:c r="H87" s="3" t="n">
        <x:v>4</x:v>
      </x:c>
      <x:c r="I87" s="7" t="n">
        <x:v>1308.26</x:v>
      </x:c>
      <x:c r="J87" s="9" t="n">
        <x:v>0.15</x:v>
      </x:c>
      <x:c r="K87" s="7" t="n">
        <x:v>4448.08</x:v>
      </x:c>
      <x:c r="L87" s="7" t="n">
        <x:v>984.67</x:v>
      </x:c>
      <x:c r="M87" s="3" t="str">
        <x:v>UPI</x:v>
      </x:c>
      <x:c r="N87" s="3"/>
      <x:c r="O87" s="3"/>
      <x:c r="P87" s="3"/>
      <x:c r="Q87" s="3"/>
    </x:row>
    <x:row r="88" ht="21" customHeight="1">
      <x:c r="A88" s="3" t="str">
        <x:v>ORD-101633</x:v>
      </x:c>
      <x:c r="B88" s="5" t="n">
        <x:v>45320</x:v>
      </x:c>
      <x:c r="C88" s="3" t="str">
        <x:v>CUST-00540</x:v>
      </x:c>
      <x:c r="D88" s="3" t="str">
        <x:v>South</x:v>
      </x:c>
      <x:c r="E88" s="3" t="str">
        <x:v>Sports</x:v>
      </x:c>
      <x:c r="F88" s="3" t="str">
        <x:v>Outdoor</x:v>
      </x:c>
      <x:c r="G88" s="3" t="str">
        <x:v>TrailHike Backpack 60L</x:v>
      </x:c>
      <x:c r="H88" s="3" t="n">
        <x:v>2</x:v>
      </x:c>
      <x:c r="I88" s="7" t="n">
        <x:v>3632.6</x:v>
      </x:c>
      <x:c r="J88" s="9" t="n">
        <x:v>0.05</x:v>
      </x:c>
      <x:c r="K88" s="7" t="n">
        <x:v>6901.94</x:v>
      </x:c>
      <x:c r="L88" s="7" t="n">
        <x:v>2225.77</x:v>
      </x:c>
      <x:c r="M88" s="3" t="str">
        <x:v>UPI</x:v>
      </x:c>
      <x:c r="N88" s="3"/>
      <x:c r="O88" s="3"/>
      <x:c r="P88" s="3"/>
      <x:c r="Q88" s="3"/>
    </x:row>
    <x:row r="89" ht="21" customHeight="1">
      <x:c r="A89" s="3" t="str">
        <x:v>ORD-101915</x:v>
      </x:c>
      <x:c r="B89" s="5" t="n">
        <x:v>45320</x:v>
      </x:c>
      <x:c r="C89" s="3" t="str">
        <x:v>CUST-00550</x:v>
      </x:c>
      <x:c r="D89" s="3" t="str">
        <x:v>North</x:v>
      </x:c>
      <x:c r="E89" s="3" t="str">
        <x:v>Sports</x:v>
      </x:c>
      <x:c r="F89" s="3" t="str">
        <x:v>Outdoor</x:v>
      </x:c>
      <x:c r="G89" s="3" t="str">
        <x:v>AllWeather Tent 4P</x:v>
      </x:c>
      <x:c r="H89" s="3" t="n">
        <x:v>1</x:v>
      </x:c>
      <x:c r="I89" s="7" t="n">
        <x:v>12024.58</x:v>
      </x:c>
      <x:c r="J89" s="9" t="n">
        <x:v>0.15</x:v>
      </x:c>
      <x:c r="K89" s="7" t="n">
        <x:v>10220.89</x:v>
      </x:c>
      <x:c r="L89" s="7" t="n">
        <x:v>2254.93</x:v>
      </x:c>
      <x:c r="M89" s="3" t="str">
        <x:v>UPI</x:v>
      </x:c>
      <x:c r="N89" s="3"/>
      <x:c r="O89" s="3"/>
      <x:c r="P89" s="3"/>
      <x:c r="Q89" s="3"/>
    </x:row>
    <x:row r="90" ht="21" customHeight="1">
      <x:c r="A90" s="3" t="str">
        <x:v>ORD-100532</x:v>
      </x:c>
      <x:c r="B90" s="5" t="n">
        <x:v>45321</x:v>
      </x:c>
      <x:c r="C90" s="3" t="str">
        <x:v>CUST-00269</x:v>
      </x:c>
      <x:c r="D90" s="3" t="str">
        <x:v>East</x:v>
      </x:c>
      <x:c r="E90" s="3" t="str">
        <x:v>Sports</x:v>
      </x:c>
      <x:c r="F90" s="3" t="str">
        <x:v>Fitness</x:v>
      </x:c>
      <x:c r="G90" s="3" t="str">
        <x:v>Adjustable Dumbbell 24kg</x:v>
      </x:c>
      <x:c r="H90" s="3" t="n">
        <x:v>3</x:v>
      </x:c>
      <x:c r="I90" s="7" t="n">
        <x:v>10494.16</x:v>
      </x:c>
      <x:c r="J90" s="9" t="n">
        <x:v>0.1</x:v>
      </x:c>
      <x:c r="K90" s="7" t="n">
        <x:v>28334.23</x:v>
      </x:c>
      <x:c r="L90" s="7" t="n">
        <x:v>7016.61</x:v>
      </x:c>
      <x:c r="M90" s="3" t="str">
        <x:v>UPI</x:v>
      </x:c>
      <x:c r="N90" s="3"/>
      <x:c r="O90" s="3"/>
      <x:c r="P90" s="3"/>
      <x:c r="Q90" s="3"/>
    </x:row>
    <x:row r="91" ht="21" customHeight="1">
      <x:c r="A91" s="3" t="str">
        <x:v>ORD-101275</x:v>
      </x:c>
      <x:c r="B91" s="5" t="n">
        <x:v>45321</x:v>
      </x:c>
      <x:c r="C91" s="3" t="str">
        <x:v>CUST-00177</x:v>
      </x:c>
      <x:c r="D91" s="3" t="str">
        <x:v>East</x:v>
      </x:c>
      <x:c r="E91" s="3" t="str">
        <x:v>Sports</x:v>
      </x:c>
      <x:c r="F91" s="3" t="str">
        <x:v>Fitness</x:v>
      </x:c>
      <x:c r="G91" s="3" t="str">
        <x:v>Adjustable Dumbbell 24kg</x:v>
      </x:c>
      <x:c r="H91" s="3" t="n">
        <x:v>1</x:v>
      </x:c>
      <x:c r="I91" s="7" t="n">
        <x:v>9714.1</x:v>
      </x:c>
      <x:c r="J91" s="9" t="n">
        <x:v>0.05</x:v>
      </x:c>
      <x:c r="K91" s="7" t="n">
        <x:v>9228.4</x:v>
      </x:c>
      <x:c r="L91" s="7" t="n">
        <x:v>2934</x:v>
      </x:c>
      <x:c r="M91" s="3" t="str">
        <x:v>UPI</x:v>
      </x:c>
      <x:c r="N91" s="3"/>
      <x:c r="O91" s="3"/>
      <x:c r="P91" s="3"/>
      <x:c r="Q91" s="3"/>
    </x:row>
    <x:row r="92" ht="21" customHeight="1">
      <x:c r="A92" s="3" t="str">
        <x:v>ORD-101963</x:v>
      </x:c>
      <x:c r="B92" s="5" t="n">
        <x:v>45321</x:v>
      </x:c>
      <x:c r="C92" s="3" t="str">
        <x:v>CUST-00171</x:v>
      </x:c>
      <x:c r="D92" s="3" t="str">
        <x:v>North</x:v>
      </x:c>
      <x:c r="E92" s="3" t="str">
        <x:v>Fashion</x:v>
      </x:c>
      <x:c r="F92" s="3" t="str">
        <x:v>Women</x:v>
      </x:c>
      <x:c r="G92" s="3" t="str">
        <x:v>Knit Winter Sweater</x:v>
      </x:c>
      <x:c r="H92" s="3" t="n">
        <x:v>1</x:v>
      </x:c>
      <x:c r="I92" s="7" t="n">
        <x:v>2248.45</x:v>
      </x:c>
      <x:c r="J92" s="9" t="n">
        <x:v>0.15</x:v>
      </x:c>
      <x:c r="K92" s="7" t="n">
        <x:v>1911.18</x:v>
      </x:c>
      <x:c r="L92" s="7" t="n">
        <x:v>411.95</x:v>
      </x:c>
      <x:c r="M92" s="3" t="str">
        <x:v>Credit Card</x:v>
      </x:c>
      <x:c r="N92" s="3"/>
      <x:c r="O92" s="3"/>
      <x:c r="P92" s="3"/>
      <x:c r="Q92" s="3"/>
    </x:row>
    <x:row r="93" ht="21" customHeight="1">
      <x:c r="A93" s="3" t="str">
        <x:v>ORD-100960</x:v>
      </x:c>
      <x:c r="B93" s="5" t="n">
        <x:v>45322</x:v>
      </x:c>
      <x:c r="C93" s="3" t="str">
        <x:v>CUST-00314</x:v>
      </x:c>
      <x:c r="D93" s="3" t="str">
        <x:v>East</x:v>
      </x:c>
      <x:c r="E93" s="3" t="str">
        <x:v>Fashion</x:v>
      </x:c>
      <x:c r="F93" s="3" t="str">
        <x:v>Women</x:v>
      </x:c>
      <x:c r="G93" s="3" t="str">
        <x:v>Floral Summer Dress</x:v>
      </x:c>
      <x:c r="H93" s="3" t="n">
        <x:v>1</x:v>
      </x:c>
      <x:c r="I93" s="7" t="n">
        <x:v>1736.28</x:v>
      </x:c>
      <x:c r="J93" s="9" t="n">
        <x:v>0.05</x:v>
      </x:c>
      <x:c r="K93" s="7" t="n">
        <x:v>1649.47</x:v>
      </x:c>
      <x:c r="L93" s="7" t="n">
        <x:v>638.76</x:v>
      </x:c>
      <x:c r="M93" s="3" t="str">
        <x:v>UPI</x:v>
      </x:c>
      <x:c r="N93" s="3"/>
      <x:c r="O93" s="3"/>
      <x:c r="P93" s="3"/>
      <x:c r="Q93" s="3"/>
    </x:row>
    <x:row r="94" ht="21" customHeight="1">
      <x:c r="A94" s="3" t="str">
        <x:v>ORD-100092</x:v>
      </x:c>
      <x:c r="B94" s="5" t="n">
        <x:v>45323</x:v>
      </x:c>
      <x:c r="C94" s="3" t="str">
        <x:v>CUST-00544</x:v>
      </x:c>
      <x:c r="D94" s="3" t="str">
        <x:v>North</x:v>
      </x:c>
      <x:c r="E94" s="3" t="str">
        <x:v>Home &amp; Kitchen</x:v>
      </x:c>
      <x:c r="F94" s="3" t="str">
        <x:v>Decor</x:v>
      </x:c>
      <x:c r="G94" s="3" t="str">
        <x:v>LED Wall Lamp</x:v>
      </x:c>
      <x:c r="H94" s="3" t="n">
        <x:v>1</x:v>
      </x:c>
      <x:c r="I94" s="7" t="n">
        <x:v>1005.63</x:v>
      </x:c>
      <x:c r="J94" s="9" t="n">
        <x:v>0.2</x:v>
      </x:c>
      <x:c r="K94" s="7" t="n">
        <x:v>804.5</x:v>
      </x:c>
      <x:c r="L94" s="7" t="n">
        <x:v>74.06</x:v>
      </x:c>
      <x:c r="M94" s="3" t="str">
        <x:v>Credit Card</x:v>
      </x:c>
      <x:c r="N94" s="3"/>
      <x:c r="O94" s="3"/>
      <x:c r="P94" s="3"/>
      <x:c r="Q94" s="3"/>
    </x:row>
    <x:row r="95" ht="21" customHeight="1">
      <x:c r="A95" s="3" t="str">
        <x:v>ORD-100132</x:v>
      </x:c>
      <x:c r="B95" s="5" t="n">
        <x:v>45323</x:v>
      </x:c>
      <x:c r="C95" s="3" t="str">
        <x:v>CUST-00559</x:v>
      </x:c>
      <x:c r="D95" s="3" t="str">
        <x:v>East</x:v>
      </x:c>
      <x:c r="E95" s="3" t="str">
        <x:v>Electronics</x:v>
      </x:c>
      <x:c r="F95" s="3" t="str">
        <x:v>Mobile</x:v>
      </x:c>
      <x:c r="G95" s="3" t="str">
        <x:v>Galaxy Nova X5</x:v>
      </x:c>
      <x:c r="H95" s="3" t="n">
        <x:v>1</x:v>
      </x:c>
      <x:c r="I95" s="7" t="n">
        <x:v>25190.92</x:v>
      </x:c>
      <x:c r="J95" s="9" t="n">
        <x:v>0.1</x:v>
      </x:c>
      <x:c r="K95" s="7" t="n">
        <x:v>22671.83</x:v>
      </x:c>
      <x:c r="L95" s="7" t="n">
        <x:v>1747.78</x:v>
      </x:c>
      <x:c r="M95" s="3" t="str">
        <x:v>UPI</x:v>
      </x:c>
      <x:c r="N95" s="3"/>
      <x:c r="O95" s="3"/>
      <x:c r="P95" s="3"/>
      <x:c r="Q95" s="3"/>
    </x:row>
    <x:row r="96" ht="21" customHeight="1">
      <x:c r="A96" s="3" t="str">
        <x:v>ORD-100246</x:v>
      </x:c>
      <x:c r="B96" s="5" t="n">
        <x:v>45323</x:v>
      </x:c>
      <x:c r="C96" s="3" t="str">
        <x:v>CUST-00169</x:v>
      </x:c>
      <x:c r="D96" s="3" t="str">
        <x:v>East</x:v>
      </x:c>
      <x:c r="E96" s="3" t="str">
        <x:v>Fashion</x:v>
      </x:c>
      <x:c r="F96" s="3" t="str">
        <x:v>Footwear</x:v>
      </x:c>
      <x:c r="G96" s="3" t="str">
        <x:v>RunFlex Sneakers</x:v>
      </x:c>
      <x:c r="H96" s="3" t="n">
        <x:v>1</x:v>
      </x:c>
      <x:c r="I96" s="7" t="n">
        <x:v>2876.97</x:v>
      </x:c>
      <x:c r="J96" s="9" t="n">
        <x:v>0.2</x:v>
      </x:c>
      <x:c r="K96" s="7" t="n">
        <x:v>2301.58</x:v>
      </x:c>
      <x:c r="L96" s="7" t="n">
        <x:v>454.61</x:v>
      </x:c>
      <x:c r="M96" s="3" t="str">
        <x:v>Credit Card</x:v>
      </x:c>
      <x:c r="N96" s="3"/>
      <x:c r="O96" s="3"/>
      <x:c r="P96" s="3"/>
      <x:c r="Q96" s="3"/>
    </x:row>
    <x:row r="97" ht="21" customHeight="1">
      <x:c r="A97" s="3" t="str">
        <x:v>ORD-100413</x:v>
      </x:c>
      <x:c r="B97" s="5" t="n">
        <x:v>45323</x:v>
      </x:c>
      <x:c r="C97" s="3" t="str">
        <x:v>CUST-00385</x:v>
      </x:c>
      <x:c r="D97" s="3" t="str">
        <x:v>North</x:v>
      </x:c>
      <x:c r="E97" s="3" t="str">
        <x:v>Beauty</x:v>
      </x:c>
      <x:c r="F97" s="3" t="str">
        <x:v>Skincare</x:v>
      </x:c>
      <x:c r="G97" s="3" t="str">
        <x:v>Vitamin C Serum</x:v>
      </x:c>
      <x:c r="H97" s="3" t="n">
        <x:v>2</x:v>
      </x:c>
      <x:c r="I97" s="7" t="n">
        <x:v>936.42</x:v>
      </x:c>
      <x:c r="J97" s="9" t="n">
        <x:v>0.05</x:v>
      </x:c>
      <x:c r="K97" s="7" t="n">
        <x:v>1779.2</x:v>
      </x:c>
      <x:c r="L97" s="7" t="n">
        <x:v>918.36</x:v>
      </x:c>
      <x:c r="M97" s="3" t="str">
        <x:v>UPI</x:v>
      </x:c>
      <x:c r="N97" s="3"/>
      <x:c r="O97" s="3"/>
      <x:c r="P97" s="3"/>
      <x:c r="Q97" s="3"/>
    </x:row>
    <x:row r="98" ht="21" customHeight="1">
      <x:c r="A98" s="3" t="str">
        <x:v>ORD-101084</x:v>
      </x:c>
      <x:c r="B98" s="5" t="n">
        <x:v>45324</x:v>
      </x:c>
      <x:c r="C98" s="3" t="str">
        <x:v>CUST-00360</x:v>
      </x:c>
      <x:c r="D98" s="3" t="str">
        <x:v>West</x:v>
      </x:c>
      <x:c r="E98" s="3" t="str">
        <x:v>Sports</x:v>
      </x:c>
      <x:c r="F98" s="3" t="str">
        <x:v>Fitness</x:v>
      </x:c>
      <x:c r="G98" s="3" t="str">
        <x:v>Adjustable Dumbbell 24kg</x:v>
      </x:c>
      <x:c r="H98" s="3" t="n">
        <x:v>1</x:v>
      </x:c>
      <x:c r="I98" s="7" t="n">
        <x:v>9802.81</x:v>
      </x:c>
      <x:c r="J98" s="9" t="n">
        <x:v>0.05</x:v>
      </x:c>
      <x:c r="K98" s="7" t="n">
        <x:v>9312.67</x:v>
      </x:c>
      <x:c r="L98" s="7" t="n">
        <x:v>3092.18</x:v>
      </x:c>
      <x:c r="M98" s="3" t="str">
        <x:v>Credit Card</x:v>
      </x:c>
      <x:c r="N98" s="3"/>
      <x:c r="O98" s="3"/>
      <x:c r="P98" s="3"/>
      <x:c r="Q98" s="3"/>
    </x:row>
    <x:row r="99" ht="21" customHeight="1">
      <x:c r="A99" s="3" t="str">
        <x:v>ORD-101514</x:v>
      </x:c>
      <x:c r="B99" s="5" t="n">
        <x:v>45324</x:v>
      </x:c>
      <x:c r="C99" s="3" t="str">
        <x:v>CUST-00143</x:v>
      </x:c>
      <x:c r="D99" s="3" t="str">
        <x:v>West</x:v>
      </x:c>
      <x:c r="E99" s="3" t="str">
        <x:v>Home &amp; Kitchen</x:v>
      </x:c>
      <x:c r="F99" s="3" t="str">
        <x:v>Furniture</x:v>
      </x:c>
      <x:c r="G99" s="3" t="str">
        <x:v>Oakwood Study Desk</x:v>
      </x:c>
      <x:c r="H99" s="3" t="n">
        <x:v>2</x:v>
      </x:c>
      <x:c r="I99" s="7" t="n">
        <x:v>12861.86</x:v>
      </x:c>
      <x:c r="J99" s="9" t="n">
        <x:v>0.05</x:v>
      </x:c>
      <x:c r="K99" s="7" t="n">
        <x:v>24437.53</x:v>
      </x:c>
      <x:c r="L99" s="7" t="n">
        <x:v>5701.11</x:v>
      </x:c>
      <x:c r="M99" s="3" t="str">
        <x:v>UPI</x:v>
      </x:c>
      <x:c r="N99" s="3"/>
      <x:c r="O99" s="3"/>
      <x:c r="P99" s="3"/>
      <x:c r="Q99" s="3"/>
    </x:row>
    <x:row r="100" ht="21" customHeight="1">
      <x:c r="A100" s="3" t="str">
        <x:v>ORD-101672</x:v>
      </x:c>
      <x:c r="B100" s="5" t="n">
        <x:v>45324</x:v>
      </x:c>
      <x:c r="C100" s="3" t="str">
        <x:v>CUST-00214</x:v>
      </x:c>
      <x:c r="D100" s="3" t="str">
        <x:v>South</x:v>
      </x:c>
      <x:c r="E100" s="3" t="str">
        <x:v>Sports</x:v>
      </x:c>
      <x:c r="F100" s="3" t="str">
        <x:v>Fitness</x:v>
      </x:c>
      <x:c r="G100" s="3" t="str">
        <x:v>Adjustable Dumbbell 24kg</x:v>
      </x:c>
      <x:c r="H100" s="3" t="n">
        <x:v>1</x:v>
      </x:c>
      <x:c r="I100" s="7" t="n">
        <x:v>10022.36</x:v>
      </x:c>
      <x:c r="J100" s="9" t="n">
        <x:v>0.2</x:v>
      </x:c>
      <x:c r="K100" s="7" t="n">
        <x:v>8017.89</x:v>
      </x:c>
      <x:c r="L100" s="7" t="n">
        <x:v>1187.68</x:v>
      </x:c>
      <x:c r="M100" s="3" t="str">
        <x:v>Net Banking</x:v>
      </x:c>
      <x:c r="N100" s="3"/>
      <x:c r="O100" s="3"/>
      <x:c r="P100" s="3"/>
      <x:c r="Q100" s="3"/>
    </x:row>
    <x:row r="101" ht="21" customHeight="1">
      <x:c r="A101" s="3" t="str">
        <x:v>ORD-101958</x:v>
      </x:c>
      <x:c r="B101" s="5" t="n">
        <x:v>45324</x:v>
      </x:c>
      <x:c r="C101" s="3" t="str">
        <x:v>CUST-00313</x:v>
      </x:c>
      <x:c r="D101" s="3" t="str">
        <x:v>East</x:v>
      </x:c>
      <x:c r="E101" s="3" t="str">
        <x:v>Beauty</x:v>
      </x:c>
      <x:c r="F101" s="3" t="str">
        <x:v>Skincare</x:v>
      </x:c>
      <x:c r="G101" s="3" t="str">
        <x:v>HydraBoost Moisturizer</x:v>
      </x:c>
      <x:c r="H101" s="3" t="n">
        <x:v>1</x:v>
      </x:c>
      <x:c r="I101" s="7" t="n">
        <x:v>1226.43</x:v>
      </x:c>
      <x:c r="J101" s="9" t="n">
        <x:v>0.2</x:v>
      </x:c>
      <x:c r="K101" s="7" t="n">
        <x:v>981.14</x:v>
      </x:c>
      <x:c r="L101" s="7" t="n">
        <x:v>352.96</x:v>
      </x:c>
      <x:c r="M101" s="3" t="str">
        <x:v>Net Banking</x:v>
      </x:c>
      <x:c r="N101" s="3"/>
      <x:c r="O101" s="3"/>
      <x:c r="P101" s="3"/>
      <x:c r="Q101" s="3"/>
    </x:row>
    <x:row r="102" ht="21" customHeight="1">
      <x:c r="A102" s="3" t="str">
        <x:v>ORD-100242</x:v>
      </x:c>
      <x:c r="B102" s="5" t="n">
        <x:v>45325</x:v>
      </x:c>
      <x:c r="C102" s="3" t="str">
        <x:v>CUST-00326</x:v>
      </x:c>
      <x:c r="D102" s="3" t="str">
        <x:v>North</x:v>
      </x:c>
      <x:c r="E102" s="3" t="str">
        <x:v>Beauty</x:v>
      </x:c>
      <x:c r="F102" s="3" t="str">
        <x:v>Makeup</x:v>
      </x:c>
      <x:c r="G102" s="3" t="str">
        <x:v>Matte Lipstick Set</x:v>
      </x:c>
      <x:c r="H102" s="3" t="n">
        <x:v>2</x:v>
      </x:c>
      <x:c r="I102" s="7" t="n">
        <x:v>986.85</x:v>
      </x:c>
      <x:c r="J102" s="9" t="n">
        <x:v>0.15</x:v>
      </x:c>
      <x:c r="K102" s="7" t="n">
        <x:v>1677.64</x:v>
      </x:c>
      <x:c r="L102" s="7" t="n">
        <x:v>664.71</x:v>
      </x:c>
      <x:c r="M102" s="3" t="str">
        <x:v>UPI</x:v>
      </x:c>
      <x:c r="N102" s="3"/>
      <x:c r="O102" s="3"/>
      <x:c r="P102" s="3"/>
      <x:c r="Q102" s="3"/>
    </x:row>
    <x:row r="103" ht="21" customHeight="1">
      <x:c r="A103" s="3" t="str">
        <x:v>ORD-100731</x:v>
      </x:c>
      <x:c r="B103" s="5" t="n">
        <x:v>45325</x:v>
      </x:c>
      <x:c r="C103" s="3" t="str">
        <x:v>CUST-00088</x:v>
      </x:c>
      <x:c r="D103" s="3" t="str">
        <x:v>South</x:v>
      </x:c>
      <x:c r="E103" s="3" t="str">
        <x:v>Fashion</x:v>
      </x:c>
      <x:c r="F103" s="3" t="str">
        <x:v>Footwear</x:v>
      </x:c>
      <x:c r="G103" s="3" t="str">
        <x:v>RunFlex Sneakers</x:v>
      </x:c>
      <x:c r="H103" s="3" t="n">
        <x:v>1</x:v>
      </x:c>
      <x:c r="I103" s="7" t="n">
        <x:v>3075.93</x:v>
      </x:c>
      <x:c r="J103" s="9" t="n">
        <x:v>0.1</x:v>
      </x:c>
      <x:c r="K103" s="7" t="n">
        <x:v>2768.34</x:v>
      </x:c>
      <x:c r="L103" s="7" t="n">
        <x:v>802.07</x:v>
      </x:c>
      <x:c r="M103" s="3" t="str">
        <x:v>Credit Card</x:v>
      </x:c>
      <x:c r="N103" s="3"/>
      <x:c r="O103" s="3"/>
      <x:c r="P103" s="3"/>
      <x:c r="Q103" s="3"/>
    </x:row>
    <x:row r="104" ht="21" customHeight="1">
      <x:c r="A104" s="3" t="str">
        <x:v>ORD-101452</x:v>
      </x:c>
      <x:c r="B104" s="5" t="n">
        <x:v>45325</x:v>
      </x:c>
      <x:c r="C104" s="3" t="str">
        <x:v>CUST-00251</x:v>
      </x:c>
      <x:c r="D104" s="3" t="str">
        <x:v>North</x:v>
      </x:c>
      <x:c r="E104" s="3" t="str">
        <x:v>Home &amp; Kitchen</x:v>
      </x:c>
      <x:c r="F104" s="3" t="str">
        <x:v>Furniture</x:v>
      </x:c>
      <x:c r="G104" s="3" t="str">
        <x:v>ErgoComfort Chair</x:v>
      </x:c>
      <x:c r="H104" s="3" t="n">
        <x:v>3</x:v>
      </x:c>
      <x:c r="I104" s="7" t="n">
        <x:v>8861.82</x:v>
      </x:c>
      <x:c r="J104" s="9" t="n">
        <x:v>0.05</x:v>
      </x:c>
      <x:c r="K104" s="7" t="n">
        <x:v>25256.19</x:v>
      </x:c>
      <x:c r="L104" s="7" t="n">
        <x:v>7267.47</x:v>
      </x:c>
      <x:c r="M104" s="3" t="str">
        <x:v>Net Banking</x:v>
      </x:c>
      <x:c r="N104" s="3"/>
      <x:c r="O104" s="3"/>
      <x:c r="P104" s="3"/>
      <x:c r="Q104" s="3"/>
    </x:row>
    <x:row r="105" ht="21" customHeight="1">
      <x:c r="A105" s="3" t="str">
        <x:v>ORD-101646</x:v>
      </x:c>
      <x:c r="B105" s="5" t="n">
        <x:v>45325</x:v>
      </x:c>
      <x:c r="C105" s="3" t="str">
        <x:v>CUST-00556</x:v>
      </x:c>
      <x:c r="D105" s="3" t="str">
        <x:v>North</x:v>
      </x:c>
      <x:c r="E105" s="3" t="str">
        <x:v>Beauty</x:v>
      </x:c>
      <x:c r="F105" s="3" t="str">
        <x:v>Skincare</x:v>
      </x:c>
      <x:c r="G105" s="3" t="str">
        <x:v>Vitamin C Serum</x:v>
      </x:c>
      <x:c r="H105" s="3" t="n">
        <x:v>1</x:v>
      </x:c>
      <x:c r="I105" s="7" t="n">
        <x:v>887.44</x:v>
      </x:c>
      <x:c r="J105" s="9" t="n">
        <x:v>0</x:v>
      </x:c>
      <x:c r="K105" s="7" t="n">
        <x:v>887.44</x:v>
      </x:c>
      <x:c r="L105" s="7" t="n">
        <x:v>511.19</x:v>
      </x:c>
      <x:c r="M105" s="3" t="str">
        <x:v>Debit Card</x:v>
      </x:c>
      <x:c r="N105" s="3"/>
      <x:c r="O105" s="3"/>
      <x:c r="P105" s="3"/>
      <x:c r="Q105" s="3"/>
    </x:row>
    <x:row r="106" ht="21" customHeight="1">
      <x:c r="A106" s="3" t="str">
        <x:v>ORD-101144</x:v>
      </x:c>
      <x:c r="B106" s="5" t="n">
        <x:v>45326</x:v>
      </x:c>
      <x:c r="C106" s="3" t="str">
        <x:v>CUST-00401</x:v>
      </x:c>
      <x:c r="D106" s="3" t="str">
        <x:v>South</x:v>
      </x:c>
      <x:c r="E106" s="3" t="str">
        <x:v>Fashion</x:v>
      </x:c>
      <x:c r="F106" s="3" t="str">
        <x:v>Men</x:v>
      </x:c>
      <x:c r="G106" s="3" t="str">
        <x:v>SlimFit Denim Jeans</x:v>
      </x:c>
      <x:c r="H106" s="3" t="n">
        <x:v>1</x:v>
      </x:c>
      <x:c r="I106" s="7" t="n">
        <x:v>1963.01</x:v>
      </x:c>
      <x:c r="J106" s="9" t="n">
        <x:v>0.05</x:v>
      </x:c>
      <x:c r="K106" s="7" t="n">
        <x:v>1864.86</x:v>
      </x:c>
      <x:c r="L106" s="7" t="n">
        <x:v>637.11</x:v>
      </x:c>
      <x:c r="M106" s="3" t="str">
        <x:v>UPI</x:v>
      </x:c>
      <x:c r="N106" s="3"/>
      <x:c r="O106" s="3"/>
      <x:c r="P106" s="3"/>
      <x:c r="Q106" s="3"/>
    </x:row>
    <x:row r="107" ht="21" customHeight="1">
      <x:c r="A107" s="3" t="str">
        <x:v>ORD-100676</x:v>
      </x:c>
      <x:c r="B107" s="5" t="n">
        <x:v>45327</x:v>
      </x:c>
      <x:c r="C107" s="3" t="str">
        <x:v>CUST-00128</x:v>
      </x:c>
      <x:c r="D107" s="3" t="str">
        <x:v>North</x:v>
      </x:c>
      <x:c r="E107" s="3" t="str">
        <x:v>Electronics</x:v>
      </x:c>
      <x:c r="F107" s="3" t="str">
        <x:v>Audio</x:v>
      </x:c>
      <x:c r="G107" s="3" t="str">
        <x:v>BassBoom Speaker</x:v>
      </x:c>
      <x:c r="H107" s="3" t="n">
        <x:v>3</x:v>
      </x:c>
      <x:c r="I107" s="7" t="n">
        <x:v>8664.97</x:v>
      </x:c>
      <x:c r="J107" s="9" t="n">
        <x:v>0</x:v>
      </x:c>
      <x:c r="K107" s="7" t="n">
        <x:v>25994.91</x:v>
      </x:c>
      <x:c r="L107" s="7" t="n">
        <x:v>4068.16</x:v>
      </x:c>
      <x:c r="M107" s="3" t="str">
        <x:v>Credit Card</x:v>
      </x:c>
      <x:c r="N107" s="3"/>
      <x:c r="O107" s="3"/>
      <x:c r="P107" s="3"/>
      <x:c r="Q107" s="3"/>
    </x:row>
    <x:row r="108" ht="21" customHeight="1">
      <x:c r="A108" s="3" t="str">
        <x:v>ORD-101910</x:v>
      </x:c>
      <x:c r="B108" s="5" t="n">
        <x:v>45328</x:v>
      </x:c>
      <x:c r="C108" s="3" t="str">
        <x:v>CUST-00070</x:v>
      </x:c>
      <x:c r="D108" s="3" t="str">
        <x:v>East</x:v>
      </x:c>
      <x:c r="E108" s="3" t="str">
        <x:v>Home &amp; Kitchen</x:v>
      </x:c>
      <x:c r="F108" s="3" t="str">
        <x:v>Appliances</x:v>
      </x:c>
      <x:c r="G108" s="3" t="str">
        <x:v>AirFryer Deluxe</x:v>
      </x:c>
      <x:c r="H108" s="3" t="n">
        <x:v>1</x:v>
      </x:c>
      <x:c r="I108" s="7" t="n">
        <x:v>8360.28</x:v>
      </x:c>
      <x:c r="J108" s="9" t="n">
        <x:v>0</x:v>
      </x:c>
      <x:c r="K108" s="7" t="n">
        <x:v>8360.28</x:v>
      </x:c>
      <x:c r="L108" s="7" t="n">
        <x:v>2915.23</x:v>
      </x:c>
      <x:c r="M108" s="3" t="str">
        <x:v>Debit Card</x:v>
      </x:c>
      <x:c r="N108" s="3"/>
      <x:c r="O108" s="3"/>
      <x:c r="P108" s="3"/>
      <x:c r="Q108" s="3"/>
    </x:row>
    <x:row r="109" ht="21" customHeight="1">
      <x:c r="A109" s="3" t="str">
        <x:v>ORD-101531</x:v>
      </x:c>
      <x:c r="B109" s="5" t="n">
        <x:v>45329</x:v>
      </x:c>
      <x:c r="C109" s="3" t="str">
        <x:v>CUST-00501</x:v>
      </x:c>
      <x:c r="D109" s="3" t="str">
        <x:v>West</x:v>
      </x:c>
      <x:c r="E109" s="3" t="str">
        <x:v>Electronics</x:v>
      </x:c>
      <x:c r="F109" s="3" t="str">
        <x:v>Laptop</x:v>
      </x:c>
      <x:c r="G109" s="3" t="str">
        <x:v>AirBook Slim</x:v>
      </x:c>
      <x:c r="H109" s="3" t="n">
        <x:v>2</x:v>
      </x:c>
      <x:c r="I109" s="7" t="n">
        <x:v>78678.76</x:v>
      </x:c>
      <x:c r="J109" s="9" t="n">
        <x:v>0.3</x:v>
      </x:c>
      <x:c r="K109" s="7" t="n">
        <x:v>110150.26</x:v>
      </x:c>
      <x:c r="L109" s="7" t="n">
        <x:v>-20290.05</x:v>
      </x:c>
      <x:c r="M109" s="3" t="str">
        <x:v>Credit Card</x:v>
      </x:c>
      <x:c r="N109" s="3"/>
      <x:c r="O109" s="3"/>
      <x:c r="P109" s="3"/>
      <x:c r="Q109" s="3"/>
    </x:row>
    <x:row r="110" ht="21" customHeight="1">
      <x:c r="A110" s="3" t="str">
        <x:v>ORD-101537</x:v>
      </x:c>
      <x:c r="B110" s="5" t="n">
        <x:v>45329</x:v>
      </x:c>
      <x:c r="C110" s="3" t="str">
        <x:v>CUST-00546</x:v>
      </x:c>
      <x:c r="D110" s="3" t="str">
        <x:v>East</x:v>
      </x:c>
      <x:c r="E110" s="3" t="str">
        <x:v>Home &amp; Kitchen</x:v>
      </x:c>
      <x:c r="F110" s="3" t="str">
        <x:v>Decor</x:v>
      </x:c>
      <x:c r="G110" s="3" t="str">
        <x:v>LED Wall Lamp</x:v>
      </x:c>
      <x:c r="H110" s="3" t="n">
        <x:v>1</x:v>
      </x:c>
      <x:c r="I110" s="7" t="n">
        <x:v>954.31</x:v>
      </x:c>
      <x:c r="J110" s="9" t="n">
        <x:v>0.25</x:v>
      </x:c>
      <x:c r="K110" s="7" t="n">
        <x:v>715.73</x:v>
      </x:c>
      <x:c r="L110" s="7" t="n">
        <x:v>35.43</x:v>
      </x:c>
      <x:c r="M110" s="3" t="str">
        <x:v>UPI</x:v>
      </x:c>
      <x:c r="N110" s="3"/>
      <x:c r="O110" s="3"/>
      <x:c r="P110" s="3"/>
      <x:c r="Q110" s="3"/>
    </x:row>
    <x:row r="111" ht="21" customHeight="1">
      <x:c r="A111" s="3" t="str">
        <x:v>ORD-101088</x:v>
      </x:c>
      <x:c r="B111" s="5" t="n">
        <x:v>45332</x:v>
      </x:c>
      <x:c r="C111" s="3" t="str">
        <x:v>CUST-00340</x:v>
      </x:c>
      <x:c r="D111" s="3" t="str">
        <x:v>North</x:v>
      </x:c>
      <x:c r="E111" s="3" t="str">
        <x:v>Sports</x:v>
      </x:c>
      <x:c r="F111" s="3" t="str">
        <x:v>Outdoor</x:v>
      </x:c>
      <x:c r="G111" s="3" t="str">
        <x:v>AllWeather Tent 4P</x:v>
      </x:c>
      <x:c r="H111" s="3" t="n">
        <x:v>3</x:v>
      </x:c>
      <x:c r="I111" s="7" t="n">
        <x:v>12268.17</x:v>
      </x:c>
      <x:c r="J111" s="9" t="n">
        <x:v>0.1</x:v>
      </x:c>
      <x:c r="K111" s="7" t="n">
        <x:v>33124.06</x:v>
      </x:c>
      <x:c r="L111" s="7" t="n">
        <x:v>8123.89</x:v>
      </x:c>
      <x:c r="M111" s="3" t="str">
        <x:v>Credit Card</x:v>
      </x:c>
      <x:c r="N111" s="3"/>
      <x:c r="O111" s="3"/>
      <x:c r="P111" s="3"/>
      <x:c r="Q111" s="3"/>
    </x:row>
    <x:row r="112" ht="21" customHeight="1">
      <x:c r="A112" s="3" t="str">
        <x:v>ORD-101098</x:v>
      </x:c>
      <x:c r="B112" s="5" t="n">
        <x:v>45332</x:v>
      </x:c>
      <x:c r="C112" s="3" t="str">
        <x:v>CUST-00403</x:v>
      </x:c>
      <x:c r="D112" s="3" t="str">
        <x:v>North</x:v>
      </x:c>
      <x:c r="E112" s="3" t="str">
        <x:v>Sports</x:v>
      </x:c>
      <x:c r="F112" s="3" t="str">
        <x:v>Fitness</x:v>
      </x:c>
      <x:c r="G112" s="3" t="str">
        <x:v>ProYoga Mat</x:v>
      </x:c>
      <x:c r="H112" s="3" t="n">
        <x:v>2</x:v>
      </x:c>
      <x:c r="I112" s="7" t="n">
        <x:v>1334.48</x:v>
      </x:c>
      <x:c r="J112" s="9" t="n">
        <x:v>0</x:v>
      </x:c>
      <x:c r="K112" s="7" t="n">
        <x:v>2668.96</x:v>
      </x:c>
      <x:c r="L112" s="7" t="n">
        <x:v>999.84</x:v>
      </x:c>
      <x:c r="M112" s="3" t="str">
        <x:v>UPI</x:v>
      </x:c>
      <x:c r="N112" s="3"/>
      <x:c r="O112" s="3"/>
      <x:c r="P112" s="3"/>
      <x:c r="Q112" s="3"/>
    </x:row>
    <x:row r="113" ht="21" customHeight="1">
      <x:c r="A113" s="3" t="str">
        <x:v>ORD-101581</x:v>
      </x:c>
      <x:c r="B113" s="5" t="n">
        <x:v>45332</x:v>
      </x:c>
      <x:c r="C113" s="3" t="str">
        <x:v>CUST-00121</x:v>
      </x:c>
      <x:c r="D113" s="3" t="str">
        <x:v>North</x:v>
      </x:c>
      <x:c r="E113" s="3" t="str">
        <x:v>Fashion</x:v>
      </x:c>
      <x:c r="F113" s="3" t="str">
        <x:v>Women</x:v>
      </x:c>
      <x:c r="G113" s="3" t="str">
        <x:v>Floral Summer Dress</x:v>
      </x:c>
      <x:c r="H113" s="3" t="n">
        <x:v>3</x:v>
      </x:c>
      <x:c r="I113" s="7" t="n">
        <x:v>1885.29</x:v>
      </x:c>
      <x:c r="J113" s="9" t="n">
        <x:v>0.15</x:v>
      </x:c>
      <x:c r="K113" s="7" t="n">
        <x:v>4807.49</x:v>
      </x:c>
      <x:c r="L113" s="7" t="n">
        <x:v>1104.7</x:v>
      </x:c>
      <x:c r="M113" s="3" t="str">
        <x:v>Credit Card</x:v>
      </x:c>
      <x:c r="N113" s="3"/>
      <x:c r="O113" s="3"/>
      <x:c r="P113" s="3"/>
      <x:c r="Q113" s="3"/>
    </x:row>
    <x:row r="114" ht="21" customHeight="1">
      <x:c r="A114" s="3" t="str">
        <x:v>ORD-101726</x:v>
      </x:c>
      <x:c r="B114" s="5" t="n">
        <x:v>45332</x:v>
      </x:c>
      <x:c r="C114" s="3" t="str">
        <x:v>CUST-00381</x:v>
      </x:c>
      <x:c r="D114" s="3" t="str">
        <x:v>East</x:v>
      </x:c>
      <x:c r="E114" s="3" t="str">
        <x:v>Fashion</x:v>
      </x:c>
      <x:c r="F114" s="3" t="str">
        <x:v>Men</x:v>
      </x:c>
      <x:c r="G114" s="3" t="str">
        <x:v>SlimFit Denim Jeans</x:v>
      </x:c>
      <x:c r="H114" s="3" t="n">
        <x:v>3</x:v>
      </x:c>
      <x:c r="I114" s="7" t="n">
        <x:v>1940.83</x:v>
      </x:c>
      <x:c r="J114" s="9" t="n">
        <x:v>0</x:v>
      </x:c>
      <x:c r="K114" s="7" t="n">
        <x:v>5822.49</x:v>
      </x:c>
      <x:c r="L114" s="7" t="n">
        <x:v>2390.77</x:v>
      </x:c>
      <x:c r="M114" s="3" t="str">
        <x:v>Debit Card</x:v>
      </x:c>
      <x:c r="N114" s="3"/>
      <x:c r="O114" s="3"/>
      <x:c r="P114" s="3"/>
      <x:c r="Q114" s="3"/>
    </x:row>
    <x:row r="115" ht="21" customHeight="1">
      <x:c r="A115" s="3" t="str">
        <x:v>ORD-100538</x:v>
      </x:c>
      <x:c r="B115" s="5" t="n">
        <x:v>45333</x:v>
      </x:c>
      <x:c r="C115" s="3" t="str">
        <x:v>CUST-00575</x:v>
      </x:c>
      <x:c r="D115" s="3" t="str">
        <x:v>West</x:v>
      </x:c>
      <x:c r="E115" s="3" t="str">
        <x:v>Electronics</x:v>
      </x:c>
      <x:c r="F115" s="3" t="str">
        <x:v>Mobile</x:v>
      </x:c>
      <x:c r="G115" s="3" t="str">
        <x:v>Galaxy Nova X5</x:v>
      </x:c>
      <x:c r="H115" s="3" t="n">
        <x:v>1</x:v>
      </x:c>
      <x:c r="I115" s="7" t="n">
        <x:v>25513.89</x:v>
      </x:c>
      <x:c r="J115" s="9" t="n">
        <x:v>0</x:v>
      </x:c>
      <x:c r="K115" s="7" t="n">
        <x:v>25513.89</x:v>
      </x:c>
      <x:c r="L115" s="7" t="n">
        <x:v>4462.75</x:v>
      </x:c>
      <x:c r="M115" s="3" t="str">
        <x:v>Net Banking</x:v>
      </x:c>
      <x:c r="N115" s="3"/>
      <x:c r="O115" s="3"/>
      <x:c r="P115" s="3"/>
      <x:c r="Q115" s="3"/>
    </x:row>
    <x:row r="116" ht="21" customHeight="1">
      <x:c r="A116" s="3" t="str">
        <x:v>ORD-101283</x:v>
      </x:c>
      <x:c r="B116" s="5" t="n">
        <x:v>45333</x:v>
      </x:c>
      <x:c r="C116" s="3" t="str">
        <x:v>CUST-00285</x:v>
      </x:c>
      <x:c r="D116" s="3" t="str">
        <x:v>West</x:v>
      </x:c>
      <x:c r="E116" s="3" t="str">
        <x:v>Home &amp; Kitchen</x:v>
      </x:c>
      <x:c r="F116" s="3" t="str">
        <x:v>Appliances</x:v>
      </x:c>
      <x:c r="G116" s="3" t="str">
        <x:v>ColdBrew Coffee Maker</x:v>
      </x:c>
      <x:c r="H116" s="3" t="n">
        <x:v>1</x:v>
      </x:c>
      <x:c r="I116" s="7" t="n">
        <x:v>6430.34</x:v>
      </x:c>
      <x:c r="J116" s="9" t="n">
        <x:v>0.1</x:v>
      </x:c>
      <x:c r="K116" s="7" t="n">
        <x:v>5787.31</x:v>
      </x:c>
      <x:c r="L116" s="7" t="n">
        <x:v>1040.97</x:v>
      </x:c>
      <x:c r="M116" s="3" t="str">
        <x:v>Debit Card</x:v>
      </x:c>
      <x:c r="N116" s="3"/>
      <x:c r="O116" s="3"/>
      <x:c r="P116" s="3"/>
      <x:c r="Q116" s="3"/>
    </x:row>
    <x:row r="117" ht="21" customHeight="1">
      <x:c r="A117" s="3" t="str">
        <x:v>ORD-100560</x:v>
      </x:c>
      <x:c r="B117" s="5" t="n">
        <x:v>45334</x:v>
      </x:c>
      <x:c r="C117" s="3" t="str">
        <x:v>CUST-00172</x:v>
      </x:c>
      <x:c r="D117" s="3" t="str">
        <x:v>East</x:v>
      </x:c>
      <x:c r="E117" s="3" t="str">
        <x:v>Electronics</x:v>
      </x:c>
      <x:c r="F117" s="3" t="str">
        <x:v>Laptop</x:v>
      </x:c>
      <x:c r="G117" s="3" t="str">
        <x:v>AirBook Slim</x:v>
      </x:c>
      <x:c r="H117" s="3" t="n">
        <x:v>5</x:v>
      </x:c>
      <x:c r="I117" s="7" t="n">
        <x:v>82748.76</x:v>
      </x:c>
      <x:c r="J117" s="9" t="n">
        <x:v>0.15</x:v>
      </x:c>
      <x:c r="K117" s="7" t="n">
        <x:v>351682.23</x:v>
      </x:c>
      <x:c r="L117" s="7" t="n">
        <x:v>10561.79</x:v>
      </x:c>
      <x:c r="M117" s="3" t="str">
        <x:v>Net Banking</x:v>
      </x:c>
      <x:c r="N117" s="3"/>
      <x:c r="O117" s="3"/>
      <x:c r="P117" s="3"/>
      <x:c r="Q117" s="3"/>
    </x:row>
    <x:row r="118" ht="21" customHeight="1">
      <x:c r="A118" s="3" t="str">
        <x:v>ORD-100585</x:v>
      </x:c>
      <x:c r="B118" s="5" t="n">
        <x:v>45334</x:v>
      </x:c>
      <x:c r="C118" s="3" t="str">
        <x:v>CUST-00476</x:v>
      </x:c>
      <x:c r="D118" s="3" t="str">
        <x:v>West</x:v>
      </x:c>
      <x:c r="E118" s="3" t="str">
        <x:v>Fashion</x:v>
      </x:c>
      <x:c r="F118" s="3" t="str">
        <x:v>Men</x:v>
      </x:c>
      <x:c r="G118" s="3" t="str">
        <x:v>Oxford Casual Shirt</x:v>
      </x:c>
      <x:c r="H118" s="3" t="n">
        <x:v>1</x:v>
      </x:c>
      <x:c r="I118" s="7" t="n">
        <x:v>1265.9</x:v>
      </x:c>
      <x:c r="J118" s="9" t="n">
        <x:v>0</x:v>
      </x:c>
      <x:c r="K118" s="7" t="n">
        <x:v>1265.9</x:v>
      </x:c>
      <x:c r="L118" s="7" t="n">
        <x:v>577.51</x:v>
      </x:c>
      <x:c r="M118" s="3" t="str">
        <x:v>Credit Card</x:v>
      </x:c>
      <x:c r="N118" s="3"/>
      <x:c r="O118" s="3"/>
      <x:c r="P118" s="3"/>
      <x:c r="Q118" s="3"/>
    </x:row>
    <x:row r="119" ht="21" customHeight="1">
      <x:c r="A119" s="3" t="str">
        <x:v>ORD-100655</x:v>
      </x:c>
      <x:c r="B119" s="5" t="n">
        <x:v>45334</x:v>
      </x:c>
      <x:c r="C119" s="3" t="str">
        <x:v>CUST-00535</x:v>
      </x:c>
      <x:c r="D119" s="3" t="str">
        <x:v>East</x:v>
      </x:c>
      <x:c r="E119" s="3" t="str">
        <x:v>Electronics</x:v>
      </x:c>
      <x:c r="F119" s="3" t="str">
        <x:v>Audio</x:v>
      </x:c>
      <x:c r="G119" s="3" t="str">
        <x:v>SoundPods Pro</x:v>
      </x:c>
      <x:c r="H119" s="3" t="n">
        <x:v>1</x:v>
      </x:c>
      <x:c r="I119" s="7" t="n">
        <x:v>4799.44</x:v>
      </x:c>
      <x:c r="J119" s="9" t="n">
        <x:v>0.1</x:v>
      </x:c>
      <x:c r="K119" s="7" t="n">
        <x:v>4319.5</x:v>
      </x:c>
      <x:c r="L119" s="7" t="n">
        <x:v>129.09</x:v>
      </x:c>
      <x:c r="M119" s="3" t="str">
        <x:v>UPI</x:v>
      </x:c>
      <x:c r="N119" s="3"/>
      <x:c r="O119" s="3"/>
      <x:c r="P119" s="3"/>
      <x:c r="Q119" s="3"/>
    </x:row>
    <x:row r="120" ht="21" customHeight="1">
      <x:c r="A120" s="3" t="str">
        <x:v>ORD-101287</x:v>
      </x:c>
      <x:c r="B120" s="5" t="n">
        <x:v>45334</x:v>
      </x:c>
      <x:c r="C120" s="3" t="str">
        <x:v>CUST-00033</x:v>
      </x:c>
      <x:c r="D120" s="3" t="str">
        <x:v>North</x:v>
      </x:c>
      <x:c r="E120" s="3" t="str">
        <x:v>Electronics</x:v>
      </x:c>
      <x:c r="F120" s="3" t="str">
        <x:v>Mobile</x:v>
      </x:c>
      <x:c r="G120" s="3" t="str">
        <x:v>iPhone Zeta</x:v>
      </x:c>
      <x:c r="H120" s="3" t="n">
        <x:v>3</x:v>
      </x:c>
      <x:c r="I120" s="7" t="n">
        <x:v>67310.58</x:v>
      </x:c>
      <x:c r="J120" s="9" t="n">
        <x:v>0.1</x:v>
      </x:c>
      <x:c r="K120" s="7" t="n">
        <x:v>181738.57</x:v>
      </x:c>
      <x:c r="L120" s="7" t="n">
        <x:v>10105.86</x:v>
      </x:c>
      <x:c r="M120" s="3" t="str">
        <x:v>Net Banking</x:v>
      </x:c>
      <x:c r="N120" s="3"/>
      <x:c r="O120" s="3"/>
      <x:c r="P120" s="3"/>
      <x:c r="Q120" s="3"/>
    </x:row>
    <x:row r="121" ht="21" customHeight="1">
      <x:c r="A121" s="3" t="str">
        <x:v>ORD-101326</x:v>
      </x:c>
      <x:c r="B121" s="5" t="n">
        <x:v>45334</x:v>
      </x:c>
      <x:c r="C121" s="3" t="str">
        <x:v>CUST-00003</x:v>
      </x:c>
      <x:c r="D121" s="3" t="str">
        <x:v>South</x:v>
      </x:c>
      <x:c r="E121" s="3" t="str">
        <x:v>Fashion</x:v>
      </x:c>
      <x:c r="F121" s="3" t="str">
        <x:v>Footwear</x:v>
      </x:c>
      <x:c r="G121" s="3" t="str">
        <x:v>UrbanLoafers</x:v>
      </x:c>
      <x:c r="H121" s="3" t="n">
        <x:v>1</x:v>
      </x:c>
      <x:c r="I121" s="7" t="n">
        <x:v>3469.75</x:v>
      </x:c>
      <x:c r="J121" s="9" t="n">
        <x:v>0.15</x:v>
      </x:c>
      <x:c r="K121" s="7" t="n">
        <x:v>2949.29</x:v>
      </x:c>
      <x:c r="L121" s="7" t="n">
        <x:v>811.38</x:v>
      </x:c>
      <x:c r="M121" s="3" t="str">
        <x:v>Debit Card</x:v>
      </x:c>
      <x:c r="N121" s="3"/>
      <x:c r="O121" s="3"/>
      <x:c r="P121" s="3"/>
      <x:c r="Q121" s="3"/>
    </x:row>
    <x:row r="122" ht="21" customHeight="1">
      <x:c r="A122" s="3" t="str">
        <x:v>ORD-101736</x:v>
      </x:c>
      <x:c r="B122" s="5" t="n">
        <x:v>45334</x:v>
      </x:c>
      <x:c r="C122" s="3" t="str">
        <x:v>CUST-00245</x:v>
      </x:c>
      <x:c r="D122" s="3" t="str">
        <x:v>West</x:v>
      </x:c>
      <x:c r="E122" s="3" t="str">
        <x:v>Sports</x:v>
      </x:c>
      <x:c r="F122" s="3" t="str">
        <x:v>Outdoor</x:v>
      </x:c>
      <x:c r="G122" s="3" t="str">
        <x:v>TrailHike Backpack 60L</x:v>
      </x:c>
      <x:c r="H122" s="3" t="n">
        <x:v>1</x:v>
      </x:c>
      <x:c r="I122" s="7" t="n">
        <x:v>3464.46</x:v>
      </x:c>
      <x:c r="J122" s="9" t="n">
        <x:v>0.05</x:v>
      </x:c>
      <x:c r="K122" s="7" t="n">
        <x:v>3291.24</x:v>
      </x:c>
      <x:c r="L122" s="7" t="n">
        <x:v>1016.83</x:v>
      </x:c>
      <x:c r="M122" s="3" t="str">
        <x:v>UPI</x:v>
      </x:c>
      <x:c r="N122" s="3"/>
      <x:c r="O122" s="3"/>
      <x:c r="P122" s="3"/>
      <x:c r="Q122" s="3"/>
    </x:row>
    <x:row r="123" ht="21" customHeight="1">
      <x:c r="A123" s="3" t="str">
        <x:v>ORD-101739</x:v>
      </x:c>
      <x:c r="B123" s="5" t="n">
        <x:v>45334</x:v>
      </x:c>
      <x:c r="C123" s="3" t="str">
        <x:v>CUST-00547</x:v>
      </x:c>
      <x:c r="D123" s="3" t="str">
        <x:v>West</x:v>
      </x:c>
      <x:c r="E123" s="3" t="str">
        <x:v>Sports</x:v>
      </x:c>
      <x:c r="F123" s="3" t="str">
        <x:v>Outdoor</x:v>
      </x:c>
      <x:c r="G123" s="3" t="str">
        <x:v>AllWeather Tent 4P</x:v>
      </x:c>
      <x:c r="H123" s="3" t="n">
        <x:v>2</x:v>
      </x:c>
      <x:c r="I123" s="7" t="n">
        <x:v>12427.93</x:v>
      </x:c>
      <x:c r="J123" s="9" t="n">
        <x:v>0.05</x:v>
      </x:c>
      <x:c r="K123" s="7" t="n">
        <x:v>23613.07</x:v>
      </x:c>
      <x:c r="L123" s="7" t="n">
        <x:v>7755.91</x:v>
      </x:c>
      <x:c r="M123" s="3" t="str">
        <x:v>Cash on Delivery</x:v>
      </x:c>
      <x:c r="N123" s="3"/>
      <x:c r="O123" s="3"/>
      <x:c r="P123" s="3"/>
      <x:c r="Q123" s="3"/>
    </x:row>
    <x:row r="124" ht="21" customHeight="1">
      <x:c r="A124" s="3" t="str">
        <x:v>ORD-100497</x:v>
      </x:c>
      <x:c r="B124" s="5" t="n">
        <x:v>45336</x:v>
      </x:c>
      <x:c r="C124" s="3" t="str">
        <x:v>CUST-00011</x:v>
      </x:c>
      <x:c r="D124" s="3" t="str">
        <x:v>South</x:v>
      </x:c>
      <x:c r="E124" s="3" t="str">
        <x:v>Electronics</x:v>
      </x:c>
      <x:c r="F124" s="3" t="str">
        <x:v>Mobile</x:v>
      </x:c>
      <x:c r="G124" s="3" t="str">
        <x:v>Pixel Aura 12</x:v>
      </x:c>
      <x:c r="H124" s="3" t="n">
        <x:v>2</x:v>
      </x:c>
      <x:c r="I124" s="7" t="n">
        <x:v>31704.84</x:v>
      </x:c>
      <x:c r="J124" s="9" t="n">
        <x:v>0</x:v>
      </x:c>
      <x:c r="K124" s="7" t="n">
        <x:v>63409.68</x:v>
      </x:c>
      <x:c r="L124" s="7" t="n">
        <x:v>12900.35</x:v>
      </x:c>
      <x:c r="M124" s="3" t="str">
        <x:v>UPI</x:v>
      </x:c>
      <x:c r="N124" s="3"/>
      <x:c r="O124" s="3"/>
      <x:c r="P124" s="3"/>
      <x:c r="Q124" s="3"/>
    </x:row>
    <x:row r="125" ht="21" customHeight="1">
      <x:c r="A125" s="3" t="str">
        <x:v>ORD-101089</x:v>
      </x:c>
      <x:c r="B125" s="5" t="n">
        <x:v>45336</x:v>
      </x:c>
      <x:c r="C125" s="3" t="str">
        <x:v>CUST-00229</x:v>
      </x:c>
      <x:c r="D125" s="3" t="str">
        <x:v>South</x:v>
      </x:c>
      <x:c r="E125" s="3" t="str">
        <x:v>Sports</x:v>
      </x:c>
      <x:c r="F125" s="3" t="str">
        <x:v>Fitness</x:v>
      </x:c>
      <x:c r="G125" s="3" t="str">
        <x:v>ProYoga Mat</x:v>
      </x:c>
      <x:c r="H125" s="3" t="n">
        <x:v>5</x:v>
      </x:c>
      <x:c r="I125" s="7" t="n">
        <x:v>1296.68</x:v>
      </x:c>
      <x:c r="J125" s="9" t="n">
        <x:v>0</x:v>
      </x:c>
      <x:c r="K125" s="7" t="n">
        <x:v>6483.4</x:v>
      </x:c>
      <x:c r="L125" s="7" t="n">
        <x:v>2333.53</x:v>
      </x:c>
      <x:c r="M125" s="3" t="str">
        <x:v>Debit Card</x:v>
      </x:c>
      <x:c r="N125" s="3"/>
      <x:c r="O125" s="3"/>
      <x:c r="P125" s="3"/>
      <x:c r="Q125" s="3"/>
    </x:row>
    <x:row r="126" ht="21" customHeight="1">
      <x:c r="A126" s="3" t="str">
        <x:v>ORD-101460</x:v>
      </x:c>
      <x:c r="B126" s="5" t="n">
        <x:v>45336</x:v>
      </x:c>
      <x:c r="C126" s="3" t="str">
        <x:v>CUST-00309</x:v>
      </x:c>
      <x:c r="D126" s="3" t="str">
        <x:v>North</x:v>
      </x:c>
      <x:c r="E126" s="3" t="str">
        <x:v>Electronics</x:v>
      </x:c>
      <x:c r="F126" s="3" t="str">
        <x:v>Mobile</x:v>
      </x:c>
      <x:c r="G126" s="3" t="str">
        <x:v>Galaxy Nova X5</x:v>
      </x:c>
      <x:c r="H126" s="3" t="n">
        <x:v>1</x:v>
      </x:c>
      <x:c r="I126" s="7" t="n">
        <x:v>25984.5</x:v>
      </x:c>
      <x:c r="J126" s="9" t="n">
        <x:v>0</x:v>
      </x:c>
      <x:c r="K126" s="7" t="n">
        <x:v>25984.5</x:v>
      </x:c>
      <x:c r="L126" s="7" t="n">
        <x:v>4824.82</x:v>
      </x:c>
      <x:c r="M126" s="3" t="str">
        <x:v>Credit Card</x:v>
      </x:c>
      <x:c r="N126" s="3"/>
      <x:c r="O126" s="3"/>
      <x:c r="P126" s="3"/>
      <x:c r="Q126" s="3"/>
    </x:row>
    <x:row r="127" ht="21" customHeight="1">
      <x:c r="A127" s="3" t="str">
        <x:v>ORD-100023</x:v>
      </x:c>
      <x:c r="B127" s="5" t="n">
        <x:v>45337</x:v>
      </x:c>
      <x:c r="C127" s="3" t="str">
        <x:v>CUST-00134</x:v>
      </x:c>
      <x:c r="D127" s="3" t="str">
        <x:v>East</x:v>
      </x:c>
      <x:c r="E127" s="3" t="str">
        <x:v>Home &amp; Kitchen</x:v>
      </x:c>
      <x:c r="F127" s="3" t="str">
        <x:v>Furniture</x:v>
      </x:c>
      <x:c r="G127" s="3" t="str">
        <x:v>ErgoComfort Chair</x:v>
      </x:c>
      <x:c r="H127" s="3" t="n">
        <x:v>1</x:v>
      </x:c>
      <x:c r="I127" s="7" t="n">
        <x:v>9366.3</x:v>
      </x:c>
      <x:c r="J127" s="9" t="n">
        <x:v>0</x:v>
      </x:c>
      <x:c r="K127" s="7" t="n">
        <x:v>9366.3</x:v>
      </x:c>
      <x:c r="L127" s="7" t="n">
        <x:v>2754.29</x:v>
      </x:c>
      <x:c r="M127" s="3" t="str">
        <x:v>Debit Card</x:v>
      </x:c>
      <x:c r="N127" s="3"/>
      <x:c r="O127" s="3"/>
      <x:c r="P127" s="3"/>
      <x:c r="Q127" s="3"/>
    </x:row>
    <x:row r="128" ht="21" customHeight="1">
      <x:c r="A128" s="3" t="str">
        <x:v>ORD-100678</x:v>
      </x:c>
      <x:c r="B128" s="5" t="n">
        <x:v>45337</x:v>
      </x:c>
      <x:c r="C128" s="3" t="str">
        <x:v>CUST-00193</x:v>
      </x:c>
      <x:c r="D128" s="3" t="str">
        <x:v>South</x:v>
      </x:c>
      <x:c r="E128" s="3" t="str">
        <x:v>Fashion</x:v>
      </x:c>
      <x:c r="F128" s="3" t="str">
        <x:v>Footwear</x:v>
      </x:c>
      <x:c r="G128" s="3" t="str">
        <x:v>UrbanLoafers</x:v>
      </x:c>
      <x:c r="H128" s="3" t="n">
        <x:v>2</x:v>
      </x:c>
      <x:c r="I128" s="7" t="n">
        <x:v>3669.06</x:v>
      </x:c>
      <x:c r="J128" s="9" t="n">
        <x:v>0.1</x:v>
      </x:c>
      <x:c r="K128" s="7" t="n">
        <x:v>6604.31</x:v>
      </x:c>
      <x:c r="L128" s="7" t="n">
        <x:v>1936.18</x:v>
      </x:c>
      <x:c r="M128" s="3" t="str">
        <x:v>UPI</x:v>
      </x:c>
      <x:c r="N128" s="3"/>
      <x:c r="O128" s="3"/>
      <x:c r="P128" s="3"/>
      <x:c r="Q128" s="3"/>
    </x:row>
    <x:row r="129" ht="21" customHeight="1">
      <x:c r="A129" s="3" t="str">
        <x:v>ORD-101585</x:v>
      </x:c>
      <x:c r="B129" s="5" t="n">
        <x:v>45337</x:v>
      </x:c>
      <x:c r="C129" s="3" t="str">
        <x:v>CUST-00555</x:v>
      </x:c>
      <x:c r="D129" s="3" t="str">
        <x:v>East</x:v>
      </x:c>
      <x:c r="E129" s="3" t="str">
        <x:v>Sports</x:v>
      </x:c>
      <x:c r="F129" s="3" t="str">
        <x:v>Fitness</x:v>
      </x:c>
      <x:c r="G129" s="3" t="str">
        <x:v>ProYoga Mat</x:v>
      </x:c>
      <x:c r="H129" s="3" t="n">
        <x:v>1</x:v>
      </x:c>
      <x:c r="I129" s="7" t="n">
        <x:v>1355.35</x:v>
      </x:c>
      <x:c r="J129" s="9" t="n">
        <x:v>0.05</x:v>
      </x:c>
      <x:c r="K129" s="7" t="n">
        <x:v>1287.58</x:v>
      </x:c>
      <x:c r="L129" s="7" t="n">
        <x:v>440.19</x:v>
      </x:c>
      <x:c r="M129" s="3" t="str">
        <x:v>Credit Card</x:v>
      </x:c>
      <x:c r="N129" s="3"/>
      <x:c r="O129" s="3"/>
      <x:c r="P129" s="3"/>
      <x:c r="Q129" s="3"/>
    </x:row>
    <x:row r="130" ht="21" customHeight="1">
      <x:c r="A130" s="3" t="str">
        <x:v>ORD-100534</x:v>
      </x:c>
      <x:c r="B130" s="5" t="n">
        <x:v>45338</x:v>
      </x:c>
      <x:c r="C130" s="3" t="str">
        <x:v>CUST-00517</x:v>
      </x:c>
      <x:c r="D130" s="3" t="str">
        <x:v>East</x:v>
      </x:c>
      <x:c r="E130" s="3" t="str">
        <x:v>Electronics</x:v>
      </x:c>
      <x:c r="F130" s="3" t="str">
        <x:v>Mobile</x:v>
      </x:c>
      <x:c r="G130" s="3" t="str">
        <x:v>Pixel Aura 12</x:v>
      </x:c>
      <x:c r="H130" s="3" t="n">
        <x:v>4</x:v>
      </x:c>
      <x:c r="I130" s="7" t="n">
        <x:v>32518.21</x:v>
      </x:c>
      <x:c r="J130" s="9" t="n">
        <x:v>0.05</x:v>
      </x:c>
      <x:c r="K130" s="7" t="n">
        <x:v>123569.2</x:v>
      </x:c>
      <x:c r="L130" s="7" t="n">
        <x:v>16188.8</x:v>
      </x:c>
      <x:c r="M130" s="3" t="str">
        <x:v>Debit Card</x:v>
      </x:c>
      <x:c r="N130" s="3"/>
      <x:c r="O130" s="3"/>
      <x:c r="P130" s="3"/>
      <x:c r="Q130" s="3"/>
    </x:row>
    <x:row r="131" ht="21" customHeight="1">
      <x:c r="A131" s="3" t="str">
        <x:v>ORD-100961</x:v>
      </x:c>
      <x:c r="B131" s="5" t="n">
        <x:v>45339</x:v>
      </x:c>
      <x:c r="C131" s="3" t="str">
        <x:v>CUST-00538</x:v>
      </x:c>
      <x:c r="D131" s="3" t="str">
        <x:v>South</x:v>
      </x:c>
      <x:c r="E131" s="3" t="str">
        <x:v>Sports</x:v>
      </x:c>
      <x:c r="F131" s="3" t="str">
        <x:v>Outdoor</x:v>
      </x:c>
      <x:c r="G131" s="3" t="str">
        <x:v>AllWeather Tent 4P</x:v>
      </x:c>
      <x:c r="H131" s="3" t="n">
        <x:v>2</x:v>
      </x:c>
      <x:c r="I131" s="7" t="n">
        <x:v>11430.04</x:v>
      </x:c>
      <x:c r="J131" s="9" t="n">
        <x:v>0</x:v>
      </x:c>
      <x:c r="K131" s="7" t="n">
        <x:v>22860.08</x:v>
      </x:c>
      <x:c r="L131" s="7" t="n">
        <x:v>7824.54</x:v>
      </x:c>
      <x:c r="M131" s="3" t="str">
        <x:v>Debit Card</x:v>
      </x:c>
      <x:c r="N131" s="3"/>
      <x:c r="O131" s="3"/>
      <x:c r="P131" s="3"/>
      <x:c r="Q131" s="3"/>
    </x:row>
    <x:row r="132" ht="21" customHeight="1">
      <x:c r="A132" s="3" t="str">
        <x:v>ORD-101216</x:v>
      </x:c>
      <x:c r="B132" s="5" t="n">
        <x:v>45339</x:v>
      </x:c>
      <x:c r="C132" s="3" t="str">
        <x:v>CUST-00099</x:v>
      </x:c>
      <x:c r="D132" s="3" t="str">
        <x:v>South</x:v>
      </x:c>
      <x:c r="E132" s="3" t="str">
        <x:v>Sports</x:v>
      </x:c>
      <x:c r="F132" s="3" t="str">
        <x:v>Fitness</x:v>
      </x:c>
      <x:c r="G132" s="3" t="str">
        <x:v>Adjustable Dumbbell 24kg</x:v>
      </x:c>
      <x:c r="H132" s="3" t="n">
        <x:v>2</x:v>
      </x:c>
      <x:c r="I132" s="7" t="n">
        <x:v>9836.51</x:v>
      </x:c>
      <x:c r="J132" s="9" t="n">
        <x:v>0.15</x:v>
      </x:c>
      <x:c r="K132" s="7" t="n">
        <x:v>16722.07</x:v>
      </x:c>
      <x:c r="L132" s="7" t="n">
        <x:v>3459.63</x:v>
      </x:c>
      <x:c r="M132" s="3" t="str">
        <x:v>Credit Card</x:v>
      </x:c>
      <x:c r="N132" s="3"/>
      <x:c r="O132" s="3"/>
      <x:c r="P132" s="3"/>
      <x:c r="Q132" s="3"/>
    </x:row>
    <x:row r="133" ht="21" customHeight="1">
      <x:c r="A133" s="3" t="str">
        <x:v>ORD-101474</x:v>
      </x:c>
      <x:c r="B133" s="5" t="n">
        <x:v>45339</x:v>
      </x:c>
      <x:c r="C133" s="3" t="str">
        <x:v>CUST-00304</x:v>
      </x:c>
      <x:c r="D133" s="3" t="str">
        <x:v>West</x:v>
      </x:c>
      <x:c r="E133" s="3" t="str">
        <x:v>Fashion</x:v>
      </x:c>
      <x:c r="F133" s="3" t="str">
        <x:v>Footwear</x:v>
      </x:c>
      <x:c r="G133" s="3" t="str">
        <x:v>UrbanLoafers</x:v>
      </x:c>
      <x:c r="H133" s="3" t="n">
        <x:v>3</x:v>
      </x:c>
      <x:c r="I133" s="7" t="n">
        <x:v>3334.21</x:v>
      </x:c>
      <x:c r="J133" s="9" t="n">
        <x:v>0</x:v>
      </x:c>
      <x:c r="K133" s="7" t="n">
        <x:v>10002.63</x:v>
      </x:c>
      <x:c r="L133" s="7" t="n">
        <x:v>4017.74</x:v>
      </x:c>
      <x:c r="M133" s="3" t="str">
        <x:v>Debit Card</x:v>
      </x:c>
      <x:c r="N133" s="3"/>
      <x:c r="O133" s="3"/>
      <x:c r="P133" s="3"/>
      <x:c r="Q133" s="3"/>
    </x:row>
    <x:row r="134" ht="21" customHeight="1">
      <x:c r="A134" s="3" t="str">
        <x:v>ORD-101992</x:v>
      </x:c>
      <x:c r="B134" s="5" t="n">
        <x:v>45339</x:v>
      </x:c>
      <x:c r="C134" s="3" t="str">
        <x:v>CUST-00144</x:v>
      </x:c>
      <x:c r="D134" s="3" t="str">
        <x:v>South</x:v>
      </x:c>
      <x:c r="E134" s="3" t="str">
        <x:v>Home &amp; Kitchen</x:v>
      </x:c>
      <x:c r="F134" s="3" t="str">
        <x:v>Decor</x:v>
      </x:c>
      <x:c r="G134" s="3" t="str">
        <x:v>LED Wall Lamp</x:v>
      </x:c>
      <x:c r="H134" s="3" t="n">
        <x:v>1</x:v>
      </x:c>
      <x:c r="I134" s="7" t="n">
        <x:v>1003.44</x:v>
      </x:c>
      <x:c r="J134" s="9" t="n">
        <x:v>0</x:v>
      </x:c>
      <x:c r="K134" s="7" t="n">
        <x:v>1003.44</x:v>
      </x:c>
      <x:c r="L134" s="7" t="n">
        <x:v>359.4</x:v>
      </x:c>
      <x:c r="M134" s="3" t="str">
        <x:v>UPI</x:v>
      </x:c>
      <x:c r="N134" s="3"/>
      <x:c r="O134" s="3"/>
      <x:c r="P134" s="3"/>
      <x:c r="Q134" s="3"/>
    </x:row>
    <x:row r="135" ht="21" customHeight="1">
      <x:c r="A135" s="3" t="str">
        <x:v>ORD-101221</x:v>
      </x:c>
      <x:c r="B135" s="5" t="n">
        <x:v>45340</x:v>
      </x:c>
      <x:c r="C135" s="3" t="str">
        <x:v>CUST-00579</x:v>
      </x:c>
      <x:c r="D135" s="3" t="str">
        <x:v>North</x:v>
      </x:c>
      <x:c r="E135" s="3" t="str">
        <x:v>Beauty</x:v>
      </x:c>
      <x:c r="F135" s="3" t="str">
        <x:v>Skincare</x:v>
      </x:c>
      <x:c r="G135" s="3" t="str">
        <x:v>HydraBoost Moisturizer</x:v>
      </x:c>
      <x:c r="H135" s="3" t="n">
        <x:v>1</x:v>
      </x:c>
      <x:c r="I135" s="7" t="n">
        <x:v>1183.93</x:v>
      </x:c>
      <x:c r="J135" s="9" t="n">
        <x:v>0</x:v>
      </x:c>
      <x:c r="K135" s="7" t="n">
        <x:v>1183.93</x:v>
      </x:c>
      <x:c r="L135" s="7" t="n">
        <x:v>672.36</x:v>
      </x:c>
      <x:c r="M135" s="3" t="str">
        <x:v>Credit Card</x:v>
      </x:c>
      <x:c r="N135" s="3"/>
      <x:c r="O135" s="3"/>
      <x:c r="P135" s="3"/>
      <x:c r="Q135" s="3"/>
    </x:row>
    <x:row r="136" ht="21" customHeight="1">
      <x:c r="A136" s="3" t="str">
        <x:v>ORD-101379</x:v>
      </x:c>
      <x:c r="B136" s="5" t="n">
        <x:v>45340</x:v>
      </x:c>
      <x:c r="C136" s="3" t="str">
        <x:v>CUST-00055</x:v>
      </x:c>
      <x:c r="D136" s="3" t="str">
        <x:v>North</x:v>
      </x:c>
      <x:c r="E136" s="3" t="str">
        <x:v>Fashion</x:v>
      </x:c>
      <x:c r="F136" s="3" t="str">
        <x:v>Women</x:v>
      </x:c>
      <x:c r="G136" s="3" t="str">
        <x:v>Floral Summer Dress</x:v>
      </x:c>
      <x:c r="H136" s="3" t="n">
        <x:v>1</x:v>
      </x:c>
      <x:c r="I136" s="7" t="n">
        <x:v>1872.35</x:v>
      </x:c>
      <x:c r="J136" s="9" t="n">
        <x:v>0.4</x:v>
      </x:c>
      <x:c r="K136" s="7" t="n">
        <x:v>1123.41</x:v>
      </x:c>
      <x:c r="L136" s="7" t="n">
        <x:v>-2.78</x:v>
      </x:c>
      <x:c r="M136" s="3" t="str">
        <x:v>Net Banking</x:v>
      </x:c>
      <x:c r="N136" s="3"/>
      <x:c r="O136" s="3"/>
      <x:c r="P136" s="3"/>
      <x:c r="Q136" s="3"/>
    </x:row>
    <x:row r="137" ht="21" customHeight="1">
      <x:c r="A137" s="3" t="str">
        <x:v>ORD-101517</x:v>
      </x:c>
      <x:c r="B137" s="5" t="n">
        <x:v>45340</x:v>
      </x:c>
      <x:c r="C137" s="3" t="str">
        <x:v>CUST-00048</x:v>
      </x:c>
      <x:c r="D137" s="3" t="str">
        <x:v>East</x:v>
      </x:c>
      <x:c r="E137" s="3" t="str">
        <x:v>Beauty</x:v>
      </x:c>
      <x:c r="F137" s="3" t="str">
        <x:v>Makeup</x:v>
      </x:c>
      <x:c r="G137" s="3" t="str">
        <x:v>HD Foundation Kit</x:v>
      </x:c>
      <x:c r="H137" s="3" t="n">
        <x:v>5</x:v>
      </x:c>
      <x:c r="I137" s="7" t="n">
        <x:v>1446.44</x:v>
      </x:c>
      <x:c r="J137" s="9" t="n">
        <x:v>0</x:v>
      </x:c>
      <x:c r="K137" s="7" t="n">
        <x:v>7232.2</x:v>
      </x:c>
      <x:c r="L137" s="7" t="n">
        <x:v>4243.93</x:v>
      </x:c>
      <x:c r="M137" s="3" t="str">
        <x:v>Net Banking</x:v>
      </x:c>
      <x:c r="N137" s="3"/>
      <x:c r="O137" s="3"/>
      <x:c r="P137" s="3"/>
      <x:c r="Q137" s="3"/>
    </x:row>
    <x:row r="138" ht="21" customHeight="1">
      <x:c r="A138" s="3" t="str">
        <x:v>ORD-101981</x:v>
      </x:c>
      <x:c r="B138" s="5" t="n">
        <x:v>45340</x:v>
      </x:c>
      <x:c r="C138" s="3" t="str">
        <x:v>CUST-00049</x:v>
      </x:c>
      <x:c r="D138" s="3" t="str">
        <x:v>East</x:v>
      </x:c>
      <x:c r="E138" s="3" t="str">
        <x:v>Beauty</x:v>
      </x:c>
      <x:c r="F138" s="3" t="str">
        <x:v>Skincare</x:v>
      </x:c>
      <x:c r="G138" s="3" t="str">
        <x:v>Vitamin C Serum</x:v>
      </x:c>
      <x:c r="H138" s="3" t="n">
        <x:v>2</x:v>
      </x:c>
      <x:c r="I138" s="7" t="n">
        <x:v>885.18</x:v>
      </x:c>
      <x:c r="J138" s="9" t="n">
        <x:v>0.05</x:v>
      </x:c>
      <x:c r="K138" s="7" t="n">
        <x:v>1681.84</x:v>
      </x:c>
      <x:c r="L138" s="7" t="n">
        <x:v>768.47</x:v>
      </x:c>
      <x:c r="M138" s="3" t="str">
        <x:v>Credit Card</x:v>
      </x:c>
      <x:c r="N138" s="3"/>
      <x:c r="O138" s="3"/>
      <x:c r="P138" s="3"/>
      <x:c r="Q138" s="3"/>
    </x:row>
    <x:row r="139" ht="21" customHeight="1">
      <x:c r="A139" s="3" t="str">
        <x:v>ORD-100207</x:v>
      </x:c>
      <x:c r="B139" s="5" t="n">
        <x:v>45341</x:v>
      </x:c>
      <x:c r="C139" s="3" t="str">
        <x:v>CUST-00471</x:v>
      </x:c>
      <x:c r="D139" s="3" t="str">
        <x:v>West</x:v>
      </x:c>
      <x:c r="E139" s="3" t="str">
        <x:v>Fashion</x:v>
      </x:c>
      <x:c r="F139" s="3" t="str">
        <x:v>Women</x:v>
      </x:c>
      <x:c r="G139" s="3" t="str">
        <x:v>Knit Winter Sweater</x:v>
      </x:c>
      <x:c r="H139" s="3" t="n">
        <x:v>1</x:v>
      </x:c>
      <x:c r="I139" s="7" t="n">
        <x:v>2209.4</x:v>
      </x:c>
      <x:c r="J139" s="9" t="n">
        <x:v>0</x:v>
      </x:c>
      <x:c r="K139" s="7" t="n">
        <x:v>2209.4</x:v>
      </x:c>
      <x:c r="L139" s="7" t="n">
        <x:v>862.65</x:v>
      </x:c>
      <x:c r="M139" s="3" t="str">
        <x:v>Debit Card</x:v>
      </x:c>
      <x:c r="N139" s="3"/>
      <x:c r="O139" s="3"/>
      <x:c r="P139" s="3"/>
      <x:c r="Q139" s="3"/>
    </x:row>
    <x:row r="140" ht="21" customHeight="1">
      <x:c r="A140" s="3" t="str">
        <x:v>ORD-100261</x:v>
      </x:c>
      <x:c r="B140" s="5" t="n">
        <x:v>45342</x:v>
      </x:c>
      <x:c r="C140" s="3" t="str">
        <x:v>CUST-00586</x:v>
      </x:c>
      <x:c r="D140" s="3" t="str">
        <x:v>North</x:v>
      </x:c>
      <x:c r="E140" s="3" t="str">
        <x:v>Fashion</x:v>
      </x:c>
      <x:c r="F140" s="3" t="str">
        <x:v>Women</x:v>
      </x:c>
      <x:c r="G140" s="3" t="str">
        <x:v>Knit Winter Sweater</x:v>
      </x:c>
      <x:c r="H140" s="3" t="n">
        <x:v>1</x:v>
      </x:c>
      <x:c r="I140" s="7" t="n">
        <x:v>2145.93</x:v>
      </x:c>
      <x:c r="J140" s="9" t="n">
        <x:v>0.2</x:v>
      </x:c>
      <x:c r="K140" s="7" t="n">
        <x:v>1716.74</x:v>
      </x:c>
      <x:c r="L140" s="7" t="n">
        <x:v>371.62</x:v>
      </x:c>
      <x:c r="M140" s="3" t="str">
        <x:v>UPI</x:v>
      </x:c>
      <x:c r="N140" s="3"/>
      <x:c r="O140" s="3"/>
      <x:c r="P140" s="3"/>
      <x:c r="Q140" s="3"/>
    </x:row>
    <x:row r="141" ht="21" customHeight="1">
      <x:c r="A141" s="3" t="str">
        <x:v>ORD-100398</x:v>
      </x:c>
      <x:c r="B141" s="5" t="n">
        <x:v>45342</x:v>
      </x:c>
      <x:c r="C141" s="3" t="str">
        <x:v>CUST-00451</x:v>
      </x:c>
      <x:c r="D141" s="3" t="str">
        <x:v>South</x:v>
      </x:c>
      <x:c r="E141" s="3" t="str">
        <x:v>Beauty</x:v>
      </x:c>
      <x:c r="F141" s="3" t="str">
        <x:v>Skincare</x:v>
      </x:c>
      <x:c r="G141" s="3" t="str">
        <x:v>Vitamin C Serum</x:v>
      </x:c>
      <x:c r="H141" s="3" t="n">
        <x:v>1</x:v>
      </x:c>
      <x:c r="I141" s="7" t="n">
        <x:v>857.86</x:v>
      </x:c>
      <x:c r="J141" s="9" t="n">
        <x:v>0.2</x:v>
      </x:c>
      <x:c r="K141" s="7" t="n">
        <x:v>686.29</x:v>
      </x:c>
      <x:c r="L141" s="7" t="n">
        <x:v>246.84</x:v>
      </x:c>
      <x:c r="M141" s="3" t="str">
        <x:v>UPI</x:v>
      </x:c>
      <x:c r="N141" s="3"/>
      <x:c r="O141" s="3"/>
      <x:c r="P141" s="3"/>
      <x:c r="Q141" s="3"/>
    </x:row>
    <x:row r="142" ht="21" customHeight="1">
      <x:c r="A142" s="3" t="str">
        <x:v>ORD-101367</x:v>
      </x:c>
      <x:c r="B142" s="5" t="n">
        <x:v>45342</x:v>
      </x:c>
      <x:c r="C142" s="3" t="str">
        <x:v>CUST-00409</x:v>
      </x:c>
      <x:c r="D142" s="3" t="str">
        <x:v>South</x:v>
      </x:c>
      <x:c r="E142" s="3" t="str">
        <x:v>Home &amp; Kitchen</x:v>
      </x:c>
      <x:c r="F142" s="3" t="str">
        <x:v>Decor</x:v>
      </x:c>
      <x:c r="G142" s="3" t="str">
        <x:v>Ceramic Vase Set</x:v>
      </x:c>
      <x:c r="H142" s="3" t="n">
        <x:v>1</x:v>
      </x:c>
      <x:c r="I142" s="7" t="n">
        <x:v>1442.99</x:v>
      </x:c>
      <x:c r="J142" s="9" t="n">
        <x:v>0.1</x:v>
      </x:c>
      <x:c r="K142" s="7" t="n">
        <x:v>1298.69</x:v>
      </x:c>
      <x:c r="L142" s="7" t="n">
        <x:v>317.62</x:v>
      </x:c>
      <x:c r="M142" s="3" t="str">
        <x:v>UPI</x:v>
      </x:c>
      <x:c r="N142" s="3"/>
      <x:c r="O142" s="3"/>
      <x:c r="P142" s="3"/>
      <x:c r="Q142" s="3"/>
    </x:row>
    <x:row r="143" ht="21" customHeight="1">
      <x:c r="A143" s="3" t="str">
        <x:v>ORD-100420</x:v>
      </x:c>
      <x:c r="B143" s="5" t="n">
        <x:v>45343</x:v>
      </x:c>
      <x:c r="C143" s="3" t="str">
        <x:v>CUST-00056</x:v>
      </x:c>
      <x:c r="D143" s="3" t="str">
        <x:v>North</x:v>
      </x:c>
      <x:c r="E143" s="3" t="str">
        <x:v>Beauty</x:v>
      </x:c>
      <x:c r="F143" s="3" t="str">
        <x:v>Skincare</x:v>
      </x:c>
      <x:c r="G143" s="3" t="str">
        <x:v>Vitamin C Serum</x:v>
      </x:c>
      <x:c r="H143" s="3" t="n">
        <x:v>1</x:v>
      </x:c>
      <x:c r="I143" s="7" t="n">
        <x:v>884.5</x:v>
      </x:c>
      <x:c r="J143" s="9" t="n">
        <x:v>0.1</x:v>
      </x:c>
      <x:c r="K143" s="7" t="n">
        <x:v>796.05</x:v>
      </x:c>
      <x:c r="L143" s="7" t="n">
        <x:v>342.69</x:v>
      </x:c>
      <x:c r="M143" s="3" t="str">
        <x:v>Credit Card</x:v>
      </x:c>
      <x:c r="N143" s="3"/>
      <x:c r="O143" s="3"/>
      <x:c r="P143" s="3"/>
      <x:c r="Q143" s="3"/>
    </x:row>
    <x:row r="144" ht="21" customHeight="1">
      <x:c r="A144" s="3" t="str">
        <x:v>ORD-101305</x:v>
      </x:c>
      <x:c r="B144" s="5" t="n">
        <x:v>45343</x:v>
      </x:c>
      <x:c r="C144" s="3" t="str">
        <x:v>CUST-00498</x:v>
      </x:c>
      <x:c r="D144" s="3" t="str">
        <x:v>East</x:v>
      </x:c>
      <x:c r="E144" s="3" t="str">
        <x:v>Home &amp; Kitchen</x:v>
      </x:c>
      <x:c r="F144" s="3" t="str">
        <x:v>Decor</x:v>
      </x:c>
      <x:c r="G144" s="3" t="str">
        <x:v>LED Wall Lamp</x:v>
      </x:c>
      <x:c r="H144" s="3" t="n">
        <x:v>1</x:v>
      </x:c>
      <x:c r="I144" s="7" t="n">
        <x:v>982.05</x:v>
      </x:c>
      <x:c r="J144" s="9" t="n">
        <x:v>0.05</x:v>
      </x:c>
      <x:c r="K144" s="7" t="n">
        <x:v>932.95</x:v>
      </x:c>
      <x:c r="L144" s="7" t="n">
        <x:v>260.89</x:v>
      </x:c>
      <x:c r="M144" s="3" t="str">
        <x:v>Debit Card</x:v>
      </x:c>
      <x:c r="N144" s="3"/>
      <x:c r="O144" s="3"/>
      <x:c r="P144" s="3"/>
      <x:c r="Q144" s="3"/>
    </x:row>
    <x:row r="145" ht="21" customHeight="1">
      <x:c r="A145" s="3" t="str">
        <x:v>ORD-101317</x:v>
      </x:c>
      <x:c r="B145" s="5" t="n">
        <x:v>45343</x:v>
      </x:c>
      <x:c r="C145" s="3" t="str">
        <x:v>CUST-00364</x:v>
      </x:c>
      <x:c r="D145" s="3" t="str">
        <x:v>West</x:v>
      </x:c>
      <x:c r="E145" s="3" t="str">
        <x:v>Beauty</x:v>
      </x:c>
      <x:c r="F145" s="3" t="str">
        <x:v>Skincare</x:v>
      </x:c>
      <x:c r="G145" s="3" t="str">
        <x:v>HydraBoost Moisturizer</x:v>
      </x:c>
      <x:c r="H145" s="3" t="n">
        <x:v>2</x:v>
      </x:c>
      <x:c r="I145" s="7" t="n">
        <x:v>1252.15</x:v>
      </x:c>
      <x:c r="J145" s="9" t="n">
        <x:v>0.05</x:v>
      </x:c>
      <x:c r="K145" s="7" t="n">
        <x:v>2379.09</x:v>
      </x:c>
      <x:c r="L145" s="7" t="n">
        <x:v>1204.11</x:v>
      </x:c>
      <x:c r="M145" s="3" t="str">
        <x:v>Credit Card</x:v>
      </x:c>
      <x:c r="N145" s="3"/>
      <x:c r="O145" s="3"/>
      <x:c r="P145" s="3"/>
      <x:c r="Q145" s="3"/>
    </x:row>
    <x:row r="146" ht="21" customHeight="1">
      <x:c r="A146" s="3" t="str">
        <x:v>ORD-101580</x:v>
      </x:c>
      <x:c r="B146" s="5" t="n">
        <x:v>45343</x:v>
      </x:c>
      <x:c r="C146" s="3" t="str">
        <x:v>CUST-00542</x:v>
      </x:c>
      <x:c r="D146" s="3" t="str">
        <x:v>North</x:v>
      </x:c>
      <x:c r="E146" s="3" t="str">
        <x:v>Electronics</x:v>
      </x:c>
      <x:c r="F146" s="3" t="str">
        <x:v>Audio</x:v>
      </x:c>
      <x:c r="G146" s="3" t="str">
        <x:v>SoundPods Pro</x:v>
      </x:c>
      <x:c r="H146" s="3" t="n">
        <x:v>2</x:v>
      </x:c>
      <x:c r="I146" s="7" t="n">
        <x:v>5058.84</x:v>
      </x:c>
      <x:c r="J146" s="9" t="n">
        <x:v>0.05</x:v>
      </x:c>
      <x:c r="K146" s="7" t="n">
        <x:v>9611.8</x:v>
      </x:c>
      <x:c r="L146" s="7" t="n">
        <x:v>1229.16</x:v>
      </x:c>
      <x:c r="M146" s="3" t="str">
        <x:v>UPI</x:v>
      </x:c>
      <x:c r="N146" s="3"/>
      <x:c r="O146" s="3"/>
      <x:c r="P146" s="3"/>
      <x:c r="Q146" s="3"/>
    </x:row>
    <x:row r="147" ht="21" customHeight="1">
      <x:c r="A147" s="3" t="str">
        <x:v>ORD-101586</x:v>
      </x:c>
      <x:c r="B147" s="5" t="n">
        <x:v>45343</x:v>
      </x:c>
      <x:c r="C147" s="3" t="str">
        <x:v>CUST-00528</x:v>
      </x:c>
      <x:c r="D147" s="3" t="str">
        <x:v>North</x:v>
      </x:c>
      <x:c r="E147" s="3" t="str">
        <x:v>Home &amp; Kitchen</x:v>
      </x:c>
      <x:c r="F147" s="3" t="str">
        <x:v>Decor</x:v>
      </x:c>
      <x:c r="G147" s="3" t="str">
        <x:v>Ceramic Vase Set</x:v>
      </x:c>
      <x:c r="H147" s="3" t="n">
        <x:v>4</x:v>
      </x:c>
      <x:c r="I147" s="7" t="n">
        <x:v>1506.14</x:v>
      </x:c>
      <x:c r="J147" s="9" t="n">
        <x:v>0.2</x:v>
      </x:c>
      <x:c r="K147" s="7" t="n">
        <x:v>4819.65</x:v>
      </x:c>
      <x:c r="L147" s="7" t="n">
        <x:v>474.26</x:v>
      </x:c>
      <x:c r="M147" s="3" t="str">
        <x:v>UPI</x:v>
      </x:c>
      <x:c r="N147" s="3"/>
      <x:c r="O147" s="3"/>
      <x:c r="P147" s="3"/>
      <x:c r="Q147" s="3"/>
    </x:row>
    <x:row r="148" ht="21" customHeight="1">
      <x:c r="A148" s="3" t="str">
        <x:v>ORD-100093</x:v>
      </x:c>
      <x:c r="B148" s="5" t="n">
        <x:v>45345</x:v>
      </x:c>
      <x:c r="C148" s="3" t="str">
        <x:v>CUST-00051</x:v>
      </x:c>
      <x:c r="D148" s="3" t="str">
        <x:v>West</x:v>
      </x:c>
      <x:c r="E148" s="3" t="str">
        <x:v>Fashion</x:v>
      </x:c>
      <x:c r="F148" s="3" t="str">
        <x:v>Women</x:v>
      </x:c>
      <x:c r="G148" s="3" t="str">
        <x:v>Knit Winter Sweater</x:v>
      </x:c>
      <x:c r="H148" s="3" t="n">
        <x:v>1</x:v>
      </x:c>
      <x:c r="I148" s="7" t="n">
        <x:v>2157.58</x:v>
      </x:c>
      <x:c r="J148" s="9" t="n">
        <x:v>0</x:v>
      </x:c>
      <x:c r="K148" s="7" t="n">
        <x:v>2157.58</x:v>
      </x:c>
      <x:c r="L148" s="7" t="n">
        <x:v>875.87</x:v>
      </x:c>
      <x:c r="M148" s="3" t="str">
        <x:v>Credit Card</x:v>
      </x:c>
      <x:c r="N148" s="3"/>
      <x:c r="O148" s="3"/>
      <x:c r="P148" s="3"/>
      <x:c r="Q148" s="3"/>
    </x:row>
    <x:row r="149" ht="21" customHeight="1">
      <x:c r="A149" s="3" t="str">
        <x:v>ORD-100771</x:v>
      </x:c>
      <x:c r="B149" s="5" t="n">
        <x:v>45345</x:v>
      </x:c>
      <x:c r="C149" s="3" t="str">
        <x:v>CUST-00045</x:v>
      </x:c>
      <x:c r="D149" s="3" t="str">
        <x:v>North</x:v>
      </x:c>
      <x:c r="E149" s="3" t="str">
        <x:v>Electronics</x:v>
      </x:c>
      <x:c r="F149" s="3" t="str">
        <x:v>Mobile</x:v>
      </x:c>
      <x:c r="G149" s="3" t="str">
        <x:v>Galaxy Nova X5</x:v>
      </x:c>
      <x:c r="H149" s="3" t="n">
        <x:v>5</x:v>
      </x:c>
      <x:c r="I149" s="7" t="n">
        <x:v>25559.61</x:v>
      </x:c>
      <x:c r="J149" s="9" t="n">
        <x:v>0.2</x:v>
      </x:c>
      <x:c r="K149" s="7" t="n">
        <x:v>102238.44</x:v>
      </x:c>
      <x:c r="L149" s="7" t="n">
        <x:v>-7350.2</x:v>
      </x:c>
      <x:c r="M149" s="3" t="str">
        <x:v>Debit Card</x:v>
      </x:c>
      <x:c r="N149" s="3"/>
      <x:c r="O149" s="3"/>
      <x:c r="P149" s="3"/>
      <x:c r="Q149" s="3"/>
    </x:row>
    <x:row r="150" ht="21" customHeight="1">
      <x:c r="A150" s="3" t="str">
        <x:v>ORD-101519</x:v>
      </x:c>
      <x:c r="B150" s="5" t="n">
        <x:v>45345</x:v>
      </x:c>
      <x:c r="C150" s="3" t="str">
        <x:v>CUST-00492</x:v>
      </x:c>
      <x:c r="D150" s="3" t="str">
        <x:v>North</x:v>
      </x:c>
      <x:c r="E150" s="3" t="str">
        <x:v>Beauty</x:v>
      </x:c>
      <x:c r="F150" s="3" t="str">
        <x:v>Makeup</x:v>
      </x:c>
      <x:c r="G150" s="3" t="str">
        <x:v>Matte Lipstick Set</x:v>
      </x:c>
      <x:c r="H150" s="3" t="n">
        <x:v>3</x:v>
      </x:c>
      <x:c r="I150" s="7" t="n">
        <x:v>1015.48</x:v>
      </x:c>
      <x:c r="J150" s="9" t="n">
        <x:v>0.3</x:v>
      </x:c>
      <x:c r="K150" s="7" t="n">
        <x:v>2132.51</x:v>
      </x:c>
      <x:c r="L150" s="7" t="n">
        <x:v>504.93</x:v>
      </x:c>
      <x:c r="M150" s="3" t="str">
        <x:v>Credit Card</x:v>
      </x:c>
      <x:c r="N150" s="3"/>
      <x:c r="O150" s="3"/>
      <x:c r="P150" s="3"/>
      <x:c r="Q150" s="3"/>
    </x:row>
    <x:row r="151" ht="21" customHeight="1">
      <x:c r="A151" s="3" t="str">
        <x:v>ORD-101695</x:v>
      </x:c>
      <x:c r="B151" s="5" t="n">
        <x:v>45345</x:v>
      </x:c>
      <x:c r="C151" s="3" t="str">
        <x:v>CUST-00259</x:v>
      </x:c>
      <x:c r="D151" s="3" t="str">
        <x:v>East</x:v>
      </x:c>
      <x:c r="E151" s="3" t="str">
        <x:v>Sports</x:v>
      </x:c>
      <x:c r="F151" s="3" t="str">
        <x:v>Outdoor</x:v>
      </x:c>
      <x:c r="G151" s="3" t="str">
        <x:v>AllWeather Tent 4P</x:v>
      </x:c>
      <x:c r="H151" s="3" t="n">
        <x:v>2</x:v>
      </x:c>
      <x:c r="I151" s="7" t="n">
        <x:v>11811.5</x:v>
      </x:c>
      <x:c r="J151" s="9" t="n">
        <x:v>0.1</x:v>
      </x:c>
      <x:c r="K151" s="7" t="n">
        <x:v>21260.7</x:v>
      </x:c>
      <x:c r="L151" s="7" t="n">
        <x:v>5881.05</x:v>
      </x:c>
      <x:c r="M151" s="3" t="str">
        <x:v>Debit Card</x:v>
      </x:c>
      <x:c r="N151" s="3"/>
      <x:c r="O151" s="3"/>
      <x:c r="P151" s="3"/>
      <x:c r="Q151" s="3"/>
    </x:row>
    <x:row r="152" ht="21" customHeight="1">
      <x:c r="A152" s="3" t="str">
        <x:v>ORD-101814</x:v>
      </x:c>
      <x:c r="B152" s="5" t="n">
        <x:v>45345</x:v>
      </x:c>
      <x:c r="C152" s="3" t="str">
        <x:v>CUST-00393</x:v>
      </x:c>
      <x:c r="D152" s="3" t="str">
        <x:v>West</x:v>
      </x:c>
      <x:c r="E152" s="3" t="str">
        <x:v>Electronics</x:v>
      </x:c>
      <x:c r="F152" s="3" t="str">
        <x:v>Laptop</x:v>
      </x:c>
      <x:c r="G152" s="3" t="str">
        <x:v>AirBook Slim</x:v>
      </x:c>
      <x:c r="H152" s="3" t="n">
        <x:v>3</x:v>
      </x:c>
      <x:c r="I152" s="7" t="n">
        <x:v>78479.83</x:v>
      </x:c>
      <x:c r="J152" s="9" t="n">
        <x:v>0.25</x:v>
      </x:c>
      <x:c r="K152" s="7" t="n">
        <x:v>176579.62</x:v>
      </x:c>
      <x:c r="L152" s="7" t="n">
        <x:v>-21706.3</x:v>
      </x:c>
      <x:c r="M152" s="3" t="str">
        <x:v>UPI</x:v>
      </x:c>
      <x:c r="N152" s="3"/>
      <x:c r="O152" s="3"/>
      <x:c r="P152" s="3"/>
      <x:c r="Q152" s="3"/>
    </x:row>
    <x:row r="153" ht="21" customHeight="1">
      <x:c r="A153" s="3" t="str">
        <x:v>ORD-101923</x:v>
      </x:c>
      <x:c r="B153" s="5" t="n">
        <x:v>45345</x:v>
      </x:c>
      <x:c r="C153" s="3" t="str">
        <x:v>CUST-00496</x:v>
      </x:c>
      <x:c r="D153" s="3" t="str">
        <x:v>East</x:v>
      </x:c>
      <x:c r="E153" s="3" t="str">
        <x:v>Fashion</x:v>
      </x:c>
      <x:c r="F153" s="3" t="str">
        <x:v>Men</x:v>
      </x:c>
      <x:c r="G153" s="3" t="str">
        <x:v>SlimFit Denim Jeans</x:v>
      </x:c>
      <x:c r="H153" s="3" t="n">
        <x:v>3</x:v>
      </x:c>
      <x:c r="I153" s="7" t="n">
        <x:v>1954.75</x:v>
      </x:c>
      <x:c r="J153" s="9" t="n">
        <x:v>0.15</x:v>
      </x:c>
      <x:c r="K153" s="7" t="n">
        <x:v>4984.61</x:v>
      </x:c>
      <x:c r="L153" s="7" t="n">
        <x:v>1111.45</x:v>
      </x:c>
      <x:c r="M153" s="3" t="str">
        <x:v>Credit Card</x:v>
      </x:c>
      <x:c r="N153" s="3"/>
      <x:c r="O153" s="3"/>
      <x:c r="P153" s="3"/>
      <x:c r="Q153" s="3"/>
    </x:row>
    <x:row r="154" ht="21" customHeight="1">
      <x:c r="A154" s="3" t="str">
        <x:v>ORD-100993</x:v>
      </x:c>
      <x:c r="B154" s="5" t="n">
        <x:v>45346</x:v>
      </x:c>
      <x:c r="C154" s="3" t="str">
        <x:v>CUST-00449</x:v>
      </x:c>
      <x:c r="D154" s="3" t="str">
        <x:v>West</x:v>
      </x:c>
      <x:c r="E154" s="3" t="str">
        <x:v>Home &amp; Kitchen</x:v>
      </x:c>
      <x:c r="F154" s="3" t="str">
        <x:v>Furniture</x:v>
      </x:c>
      <x:c r="G154" s="3" t="str">
        <x:v>Oakwood Study Desk</x:v>
      </x:c>
      <x:c r="H154" s="3" t="n">
        <x:v>2</x:v>
      </x:c>
      <x:c r="I154" s="7" t="n">
        <x:v>13187.44</x:v>
      </x:c>
      <x:c r="J154" s="9" t="n">
        <x:v>0.15</x:v>
      </x:c>
      <x:c r="K154" s="7" t="n">
        <x:v>22418.65</x:v>
      </x:c>
      <x:c r="L154" s="7" t="n">
        <x:v>3627.92</x:v>
      </x:c>
      <x:c r="M154" s="3" t="str">
        <x:v>Credit Card</x:v>
      </x:c>
      <x:c r="N154" s="3"/>
      <x:c r="O154" s="3"/>
      <x:c r="P154" s="3"/>
      <x:c r="Q154" s="3"/>
    </x:row>
    <x:row r="155" ht="21" customHeight="1">
      <x:c r="A155" s="3" t="str">
        <x:v>ORD-100284</x:v>
      </x:c>
      <x:c r="B155" s="5" t="n">
        <x:v>45347</x:v>
      </x:c>
      <x:c r="C155" s="3" t="str">
        <x:v>CUST-00161</x:v>
      </x:c>
      <x:c r="D155" s="3" t="str">
        <x:v>South</x:v>
      </x:c>
      <x:c r="E155" s="3" t="str">
        <x:v>Sports</x:v>
      </x:c>
      <x:c r="F155" s="3" t="str">
        <x:v>Fitness</x:v>
      </x:c>
      <x:c r="G155" s="3" t="str">
        <x:v>Adjustable Dumbbell 24kg</x:v>
      </x:c>
      <x:c r="H155" s="3" t="n">
        <x:v>1</x:v>
      </x:c>
      <x:c r="I155" s="7" t="n">
        <x:v>9883.89</x:v>
      </x:c>
      <x:c r="J155" s="9" t="n">
        <x:v>0.1</x:v>
      </x:c>
      <x:c r="K155" s="7" t="n">
        <x:v>8895.5</x:v>
      </x:c>
      <x:c r="L155" s="7" t="n">
        <x:v>2598.58</x:v>
      </x:c>
      <x:c r="M155" s="3" t="str">
        <x:v>Cash on Delivery</x:v>
      </x:c>
      <x:c r="N155" s="3"/>
      <x:c r="O155" s="3"/>
      <x:c r="P155" s="3"/>
      <x:c r="Q155" s="3"/>
    </x:row>
    <x:row r="156" ht="21" customHeight="1">
      <x:c r="A156" s="3" t="str">
        <x:v>ORD-101281</x:v>
      </x:c>
      <x:c r="B156" s="5" t="n">
        <x:v>45347</x:v>
      </x:c>
      <x:c r="C156" s="3" t="str">
        <x:v>CUST-00178</x:v>
      </x:c>
      <x:c r="D156" s="3" t="str">
        <x:v>East</x:v>
      </x:c>
      <x:c r="E156" s="3" t="str">
        <x:v>Beauty</x:v>
      </x:c>
      <x:c r="F156" s="3" t="str">
        <x:v>Skincare</x:v>
      </x:c>
      <x:c r="G156" s="3" t="str">
        <x:v>Vitamin C Serum</x:v>
      </x:c>
      <x:c r="H156" s="3" t="n">
        <x:v>1</x:v>
      </x:c>
      <x:c r="I156" s="7" t="n">
        <x:v>921.72</x:v>
      </x:c>
      <x:c r="J156" s="9" t="n">
        <x:v>0.15</x:v>
      </x:c>
      <x:c r="K156" s="7" t="n">
        <x:v>783.46</x:v>
      </x:c>
      <x:c r="L156" s="7" t="n">
        <x:v>270.59</x:v>
      </x:c>
      <x:c r="M156" s="3" t="str">
        <x:v>UPI</x:v>
      </x:c>
      <x:c r="N156" s="3"/>
      <x:c r="O156" s="3"/>
      <x:c r="P156" s="3"/>
      <x:c r="Q156" s="3"/>
    </x:row>
    <x:row r="157" ht="21" customHeight="1">
      <x:c r="A157" s="3" t="str">
        <x:v>ORD-100817</x:v>
      </x:c>
      <x:c r="B157" s="5" t="n">
        <x:v>45348</x:v>
      </x:c>
      <x:c r="C157" s="3" t="str">
        <x:v>CUST-00201</x:v>
      </x:c>
      <x:c r="D157" s="3" t="str">
        <x:v>West</x:v>
      </x:c>
      <x:c r="E157" s="3" t="str">
        <x:v>Electronics</x:v>
      </x:c>
      <x:c r="F157" s="3" t="str">
        <x:v>Laptop</x:v>
      </x:c>
      <x:c r="G157" s="3" t="str">
        <x:v>ThinkPro 14</x:v>
      </x:c>
      <x:c r="H157" s="3" t="n">
        <x:v>2</x:v>
      </x:c>
      <x:c r="I157" s="7" t="n">
        <x:v>53917.82</x:v>
      </x:c>
      <x:c r="J157" s="9" t="n">
        <x:v>0.05</x:v>
      </x:c>
      <x:c r="K157" s="7" t="n">
        <x:v>102443.86</x:v>
      </x:c>
      <x:c r="L157" s="7" t="n">
        <x:v>15416.44</x:v>
      </x:c>
      <x:c r="M157" s="3" t="str">
        <x:v>UPI</x:v>
      </x:c>
      <x:c r="N157" s="3"/>
      <x:c r="O157" s="3"/>
      <x:c r="P157" s="3"/>
      <x:c r="Q157" s="3"/>
    </x:row>
    <x:row r="158" ht="21" customHeight="1">
      <x:c r="A158" s="3" t="str">
        <x:v>ORD-101006</x:v>
      </x:c>
      <x:c r="B158" s="5" t="n">
        <x:v>45348</x:v>
      </x:c>
      <x:c r="C158" s="3" t="str">
        <x:v>CUST-00043</x:v>
      </x:c>
      <x:c r="D158" s="3" t="str">
        <x:v>East</x:v>
      </x:c>
      <x:c r="E158" s="3" t="str">
        <x:v>Sports</x:v>
      </x:c>
      <x:c r="F158" s="3" t="str">
        <x:v>Fitness</x:v>
      </x:c>
      <x:c r="G158" s="3" t="str">
        <x:v>Adjustable Dumbbell 24kg</x:v>
      </x:c>
      <x:c r="H158" s="3" t="n">
        <x:v>2</x:v>
      </x:c>
      <x:c r="I158" s="7" t="n">
        <x:v>9804.92</x:v>
      </x:c>
      <x:c r="J158" s="9" t="n">
        <x:v>0.1</x:v>
      </x:c>
      <x:c r="K158" s="7" t="n">
        <x:v>17648.86</x:v>
      </x:c>
      <x:c r="L158" s="7" t="n">
        <x:v>5372.01</x:v>
      </x:c>
      <x:c r="M158" s="3" t="str">
        <x:v>Debit Card</x:v>
      </x:c>
      <x:c r="N158" s="3"/>
      <x:c r="O158" s="3"/>
      <x:c r="P158" s="3"/>
      <x:c r="Q158" s="3"/>
    </x:row>
    <x:row r="159" ht="21" customHeight="1">
      <x:c r="A159" s="3" t="str">
        <x:v>ORD-101668</x:v>
      </x:c>
      <x:c r="B159" s="5" t="n">
        <x:v>45348</x:v>
      </x:c>
      <x:c r="C159" s="3" t="str">
        <x:v>CUST-00447</x:v>
      </x:c>
      <x:c r="D159" s="3" t="str">
        <x:v>South</x:v>
      </x:c>
      <x:c r="E159" s="3" t="str">
        <x:v>Electronics</x:v>
      </x:c>
      <x:c r="F159" s="3" t="str">
        <x:v>Laptop</x:v>
      </x:c>
      <x:c r="G159" s="3" t="str">
        <x:v>ThinkPro 14</x:v>
      </x:c>
      <x:c r="H159" s="3" t="n">
        <x:v>4</x:v>
      </x:c>
      <x:c r="I159" s="7" t="n">
        <x:v>54921.2</x:v>
      </x:c>
      <x:c r="J159" s="9" t="n">
        <x:v>0</x:v>
      </x:c>
      <x:c r="K159" s="7" t="n">
        <x:v>219684.8</x:v>
      </x:c>
      <x:c r="L159" s="7" t="n">
        <x:v>31410.92</x:v>
      </x:c>
      <x:c r="M159" s="3" t="str">
        <x:v>UPI</x:v>
      </x:c>
      <x:c r="N159" s="3"/>
      <x:c r="O159" s="3"/>
      <x:c r="P159" s="3"/>
      <x:c r="Q159" s="3"/>
    </x:row>
    <x:row r="160" ht="21" customHeight="1">
      <x:c r="A160" s="3" t="str">
        <x:v>ORD-100162</x:v>
      </x:c>
      <x:c r="B160" s="5" t="n">
        <x:v>45349</x:v>
      </x:c>
      <x:c r="C160" s="3" t="str">
        <x:v>CUST-00297</x:v>
      </x:c>
      <x:c r="D160" s="3" t="str">
        <x:v>North</x:v>
      </x:c>
      <x:c r="E160" s="3" t="str">
        <x:v>Electronics</x:v>
      </x:c>
      <x:c r="F160" s="3" t="str">
        <x:v>Audio</x:v>
      </x:c>
      <x:c r="G160" s="3" t="str">
        <x:v>SoundPods Pro</x:v>
      </x:c>
      <x:c r="H160" s="3" t="n">
        <x:v>1</x:v>
      </x:c>
      <x:c r="I160" s="7" t="n">
        <x:v>5185.07</x:v>
      </x:c>
      <x:c r="J160" s="9" t="n">
        <x:v>0.1</x:v>
      </x:c>
      <x:c r="K160" s="7" t="n">
        <x:v>4666.56</x:v>
      </x:c>
      <x:c r="L160" s="7" t="n">
        <x:v>208.03</x:v>
      </x:c>
      <x:c r="M160" s="3" t="str">
        <x:v>Credit Card</x:v>
      </x:c>
      <x:c r="N160" s="3"/>
      <x:c r="O160" s="3"/>
      <x:c r="P160" s="3"/>
      <x:c r="Q160" s="3"/>
    </x:row>
    <x:row r="161" ht="21" customHeight="1">
      <x:c r="A161" s="3" t="str">
        <x:v>ORD-100258</x:v>
      </x:c>
      <x:c r="B161" s="5" t="n">
        <x:v>45349</x:v>
      </x:c>
      <x:c r="C161" s="3" t="str">
        <x:v>CUST-00163</x:v>
      </x:c>
      <x:c r="D161" s="3" t="str">
        <x:v>South</x:v>
      </x:c>
      <x:c r="E161" s="3" t="str">
        <x:v>Beauty</x:v>
      </x:c>
      <x:c r="F161" s="3" t="str">
        <x:v>Skincare</x:v>
      </x:c>
      <x:c r="G161" s="3" t="str">
        <x:v>Vitamin C Serum</x:v>
      </x:c>
      <x:c r="H161" s="3" t="n">
        <x:v>1</x:v>
      </x:c>
      <x:c r="I161" s="7" t="n">
        <x:v>890.65</x:v>
      </x:c>
      <x:c r="J161" s="9" t="n">
        <x:v>0.25</x:v>
      </x:c>
      <x:c r="K161" s="7" t="n">
        <x:v>667.99</x:v>
      </x:c>
      <x:c r="L161" s="7" t="n">
        <x:v>174.52</x:v>
      </x:c>
      <x:c r="M161" s="3" t="str">
        <x:v>UPI</x:v>
      </x:c>
      <x:c r="N161" s="3"/>
      <x:c r="O161" s="3"/>
      <x:c r="P161" s="3"/>
      <x:c r="Q161" s="3"/>
    </x:row>
    <x:row r="162" ht="21" customHeight="1">
      <x:c r="A162" s="3" t="str">
        <x:v>ORD-100716</x:v>
      </x:c>
      <x:c r="B162" s="5" t="n">
        <x:v>45349</x:v>
      </x:c>
      <x:c r="C162" s="3" t="str">
        <x:v>CUST-00274</x:v>
      </x:c>
      <x:c r="D162" s="3" t="str">
        <x:v>South</x:v>
      </x:c>
      <x:c r="E162" s="3" t="str">
        <x:v>Electronics</x:v>
      </x:c>
      <x:c r="F162" s="3" t="str">
        <x:v>Mobile</x:v>
      </x:c>
      <x:c r="G162" s="3" t="str">
        <x:v>Galaxy Nova X5</x:v>
      </x:c>
      <x:c r="H162" s="3" t="n">
        <x:v>1</x:v>
      </x:c>
      <x:c r="I162" s="7" t="n">
        <x:v>24859.82</x:v>
      </x:c>
      <x:c r="J162" s="9" t="n">
        <x:v>0.1</x:v>
      </x:c>
      <x:c r="K162" s="7" t="n">
        <x:v>22373.84</x:v>
      </x:c>
      <x:c r="L162" s="7" t="n">
        <x:v>851.36</x:v>
      </x:c>
      <x:c r="M162" s="3" t="str">
        <x:v>UPI</x:v>
      </x:c>
      <x:c r="N162" s="3"/>
      <x:c r="O162" s="3"/>
      <x:c r="P162" s="3"/>
      <x:c r="Q162" s="3"/>
    </x:row>
    <x:row r="163" ht="21" customHeight="1">
      <x:c r="A163" s="3" t="str">
        <x:v>ORD-101473</x:v>
      </x:c>
      <x:c r="B163" s="5" t="n">
        <x:v>45349</x:v>
      </x:c>
      <x:c r="C163" s="3" t="str">
        <x:v>CUST-00178</x:v>
      </x:c>
      <x:c r="D163" s="3" t="str">
        <x:v>North</x:v>
      </x:c>
      <x:c r="E163" s="3" t="str">
        <x:v>Fashion</x:v>
      </x:c>
      <x:c r="F163" s="3" t="str">
        <x:v>Women</x:v>
      </x:c>
      <x:c r="G163" s="3" t="str">
        <x:v>Knit Winter Sweater</x:v>
      </x:c>
      <x:c r="H163" s="3" t="n">
        <x:v>2</x:v>
      </x:c>
      <x:c r="I163" s="7" t="n">
        <x:v>2286.66</x:v>
      </x:c>
      <x:c r="J163" s="9" t="n">
        <x:v>0.05</x:v>
      </x:c>
      <x:c r="K163" s="7" t="n">
        <x:v>4344.65</x:v>
      </x:c>
      <x:c r="L163" s="7" t="n">
        <x:v>1420.84</x:v>
      </x:c>
      <x:c r="M163" s="3" t="str">
        <x:v>UPI</x:v>
      </x:c>
      <x:c r="N163" s="3"/>
      <x:c r="O163" s="3"/>
      <x:c r="P163" s="3"/>
      <x:c r="Q163" s="3"/>
    </x:row>
    <x:row r="164" ht="21" customHeight="1">
      <x:c r="A164" s="3" t="str">
        <x:v>ORD-100018</x:v>
      </x:c>
      <x:c r="B164" s="5" t="n">
        <x:v>45350</x:v>
      </x:c>
      <x:c r="C164" s="3" t="str">
        <x:v>CUST-00489</x:v>
      </x:c>
      <x:c r="D164" s="3" t="str">
        <x:v>South</x:v>
      </x:c>
      <x:c r="E164" s="3" t="str">
        <x:v>Home &amp; Kitchen</x:v>
      </x:c>
      <x:c r="F164" s="3" t="str">
        <x:v>Decor</x:v>
      </x:c>
      <x:c r="G164" s="3" t="str">
        <x:v>LED Wall Lamp</x:v>
      </x:c>
      <x:c r="H164" s="3" t="n">
        <x:v>1</x:v>
      </x:c>
      <x:c r="I164" s="7" t="n">
        <x:v>1045.82</x:v>
      </x:c>
      <x:c r="J164" s="9" t="n">
        <x:v>0</x:v>
      </x:c>
      <x:c r="K164" s="7" t="n">
        <x:v>1045.82</x:v>
      </x:c>
      <x:c r="L164" s="7" t="n">
        <x:v>351.75</x:v>
      </x:c>
      <x:c r="M164" s="3" t="str">
        <x:v>Debit Card</x:v>
      </x:c>
      <x:c r="N164" s="3"/>
      <x:c r="O164" s="3"/>
      <x:c r="P164" s="3"/>
      <x:c r="Q164" s="3"/>
    </x:row>
    <x:row r="165" ht="21" customHeight="1">
      <x:c r="A165" s="3" t="str">
        <x:v>ORD-100623</x:v>
      </x:c>
      <x:c r="B165" s="5" t="n">
        <x:v>45350</x:v>
      </x:c>
      <x:c r="C165" s="3" t="str">
        <x:v>CUST-00012</x:v>
      </x:c>
      <x:c r="D165" s="3" t="str">
        <x:v>East</x:v>
      </x:c>
      <x:c r="E165" s="3" t="str">
        <x:v>Electronics</x:v>
      </x:c>
      <x:c r="F165" s="3" t="str">
        <x:v>Mobile</x:v>
      </x:c>
      <x:c r="G165" s="3" t="str">
        <x:v>Galaxy Nova X5</x:v>
      </x:c>
      <x:c r="H165" s="3" t="n">
        <x:v>1</x:v>
      </x:c>
      <x:c r="I165" s="7" t="n">
        <x:v>24458.57</x:v>
      </x:c>
      <x:c r="J165" s="9" t="n">
        <x:v>0.3</x:v>
      </x:c>
      <x:c r="K165" s="7" t="n">
        <x:v>17121</x:v>
      </x:c>
      <x:c r="L165" s="7" t="n">
        <x:v>-3190.62</x:v>
      </x:c>
      <x:c r="M165" s="3" t="str">
        <x:v>UPI</x:v>
      </x:c>
      <x:c r="N165" s="3"/>
      <x:c r="O165" s="3"/>
      <x:c r="P165" s="3"/>
      <x:c r="Q165" s="3"/>
    </x:row>
    <x:row r="166" ht="21" customHeight="1">
      <x:c r="A166" s="3" t="str">
        <x:v>ORD-100814</x:v>
      </x:c>
      <x:c r="B166" s="5" t="n">
        <x:v>45350</x:v>
      </x:c>
      <x:c r="C166" s="3" t="str">
        <x:v>CUST-00114</x:v>
      </x:c>
      <x:c r="D166" s="3" t="str">
        <x:v>South</x:v>
      </x:c>
      <x:c r="E166" s="3" t="str">
        <x:v>Electronics</x:v>
      </x:c>
      <x:c r="F166" s="3" t="str">
        <x:v>Mobile</x:v>
      </x:c>
      <x:c r="G166" s="3" t="str">
        <x:v>Pixel Aura 12</x:v>
      </x:c>
      <x:c r="H166" s="3" t="n">
        <x:v>1</x:v>
      </x:c>
      <x:c r="I166" s="7" t="n">
        <x:v>34164.51</x:v>
      </x:c>
      <x:c r="J166" s="9" t="n">
        <x:v>0.1</x:v>
      </x:c>
      <x:c r="K166" s="7" t="n">
        <x:v>30748.06</x:v>
      </x:c>
      <x:c r="L166" s="7" t="n">
        <x:v>3060.81</x:v>
      </x:c>
      <x:c r="M166" s="3" t="str">
        <x:v>UPI</x:v>
      </x:c>
      <x:c r="N166" s="3"/>
      <x:c r="O166" s="3"/>
      <x:c r="P166" s="3"/>
      <x:c r="Q166" s="3"/>
    </x:row>
    <x:row r="167" ht="21" customHeight="1">
      <x:c r="A167" s="3" t="str">
        <x:v>ORD-101136</x:v>
      </x:c>
      <x:c r="B167" s="5" t="n">
        <x:v>45350</x:v>
      </x:c>
      <x:c r="C167" s="3" t="str">
        <x:v>CUST-00443</x:v>
      </x:c>
      <x:c r="D167" s="3" t="str">
        <x:v>North</x:v>
      </x:c>
      <x:c r="E167" s="3" t="str">
        <x:v>Electronics</x:v>
      </x:c>
      <x:c r="F167" s="3" t="str">
        <x:v>Audio</x:v>
      </x:c>
      <x:c r="G167" s="3" t="str">
        <x:v>BassBoom Speaker</x:v>
      </x:c>
      <x:c r="H167" s="3" t="n">
        <x:v>1</x:v>
      </x:c>
      <x:c r="I167" s="7" t="n">
        <x:v>9058.91</x:v>
      </x:c>
      <x:c r="J167" s="9" t="n">
        <x:v>0.05</x:v>
      </x:c>
      <x:c r="K167" s="7" t="n">
        <x:v>8605.96</x:v>
      </x:c>
      <x:c r="L167" s="7" t="n">
        <x:v>915.9</x:v>
      </x:c>
      <x:c r="M167" s="3" t="str">
        <x:v>Credit Card</x:v>
      </x:c>
      <x:c r="N167" s="3"/>
      <x:c r="O167" s="3"/>
      <x:c r="P167" s="3"/>
      <x:c r="Q167" s="3"/>
    </x:row>
    <x:row r="168" ht="21" customHeight="1">
      <x:c r="A168" s="3" t="str">
        <x:v>ORD-100259</x:v>
      </x:c>
      <x:c r="B168" s="5" t="n">
        <x:v>45351</x:v>
      </x:c>
      <x:c r="C168" s="3" t="str">
        <x:v>CUST-00468</x:v>
      </x:c>
      <x:c r="D168" s="3" t="str">
        <x:v>North</x:v>
      </x:c>
      <x:c r="E168" s="3" t="str">
        <x:v>Electronics</x:v>
      </x:c>
      <x:c r="F168" s="3" t="str">
        <x:v>Laptop</x:v>
      </x:c>
      <x:c r="G168" s="3" t="str">
        <x:v>AirBook Slim</x:v>
      </x:c>
      <x:c r="H168" s="3" t="n">
        <x:v>1</x:v>
      </x:c>
      <x:c r="I168" s="7" t="n">
        <x:v>81995.69</x:v>
      </x:c>
      <x:c r="J168" s="9" t="n">
        <x:v>0.2</x:v>
      </x:c>
      <x:c r="K168" s="7" t="n">
        <x:v>65596.55</x:v>
      </x:c>
      <x:c r="L168" s="7" t="n">
        <x:v>-5751.78</x:v>
      </x:c>
      <x:c r="M168" s="3" t="str">
        <x:v>Debit Card</x:v>
      </x:c>
      <x:c r="N168" s="3"/>
      <x:c r="O168" s="3"/>
      <x:c r="P168" s="3"/>
      <x:c r="Q168" s="3"/>
    </x:row>
    <x:row r="169" ht="21" customHeight="1">
      <x:c r="A169" s="3" t="str">
        <x:v>ORD-101875</x:v>
      </x:c>
      <x:c r="B169" s="5" t="n">
        <x:v>45351</x:v>
      </x:c>
      <x:c r="C169" s="3" t="str">
        <x:v>CUST-00226</x:v>
      </x:c>
      <x:c r="D169" s="3" t="str">
        <x:v>South</x:v>
      </x:c>
      <x:c r="E169" s="3" t="str">
        <x:v>Electronics</x:v>
      </x:c>
      <x:c r="F169" s="3" t="str">
        <x:v>Laptop</x:v>
      </x:c>
      <x:c r="G169" s="3" t="str">
        <x:v>AirBook Slim</x:v>
      </x:c>
      <x:c r="H169" s="3" t="n">
        <x:v>1</x:v>
      </x:c>
      <x:c r="I169" s="7" t="n">
        <x:v>82367.86</x:v>
      </x:c>
      <x:c r="J169" s="9" t="n">
        <x:v>0.05</x:v>
      </x:c>
      <x:c r="K169" s="7" t="n">
        <x:v>78249.47</x:v>
      </x:c>
      <x:c r="L169" s="7" t="n">
        <x:v>9073.84</x:v>
      </x:c>
      <x:c r="M169" s="3" t="str">
        <x:v>UPI</x:v>
      </x:c>
      <x:c r="N169" s="3"/>
      <x:c r="O169" s="3"/>
      <x:c r="P169" s="3"/>
      <x:c r="Q169" s="3"/>
    </x:row>
    <x:row r="170" ht="21" customHeight="1">
      <x:c r="A170" s="3" t="str">
        <x:v>ORD-101389</x:v>
      </x:c>
      <x:c r="B170" s="5" t="n">
        <x:v>45352</x:v>
      </x:c>
      <x:c r="C170" s="3" t="str">
        <x:v>CUST-00397</x:v>
      </x:c>
      <x:c r="D170" s="3" t="str">
        <x:v>West</x:v>
      </x:c>
      <x:c r="E170" s="3" t="str">
        <x:v>Home &amp; Kitchen</x:v>
      </x:c>
      <x:c r="F170" s="3" t="str">
        <x:v>Appliances</x:v>
      </x:c>
      <x:c r="G170" s="3" t="str">
        <x:v>ColdBrew Coffee Maker</x:v>
      </x:c>
      <x:c r="H170" s="3" t="n">
        <x:v>1</x:v>
      </x:c>
      <x:c r="I170" s="7" t="n">
        <x:v>6219.97</x:v>
      </x:c>
      <x:c r="J170" s="9" t="n">
        <x:v>0.05</x:v>
      </x:c>
      <x:c r="K170" s="7" t="n">
        <x:v>5908.97</x:v>
      </x:c>
      <x:c r="L170" s="7" t="n">
        <x:v>1401.88</x:v>
      </x:c>
      <x:c r="M170" s="3" t="str">
        <x:v>Credit Card</x:v>
      </x:c>
      <x:c r="N170" s="3"/>
      <x:c r="O170" s="3"/>
      <x:c r="P170" s="3"/>
      <x:c r="Q170" s="3"/>
    </x:row>
    <x:row r="171" ht="21" customHeight="1">
      <x:c r="A171" s="3" t="str">
        <x:v>ORD-101969</x:v>
      </x:c>
      <x:c r="B171" s="5" t="n">
        <x:v>45352</x:v>
      </x:c>
      <x:c r="C171" s="3" t="str">
        <x:v>CUST-00240</x:v>
      </x:c>
      <x:c r="D171" s="3" t="str">
        <x:v>South</x:v>
      </x:c>
      <x:c r="E171" s="3" t="str">
        <x:v>Fashion</x:v>
      </x:c>
      <x:c r="F171" s="3" t="str">
        <x:v>Women</x:v>
      </x:c>
      <x:c r="G171" s="3" t="str">
        <x:v>Floral Summer Dress</x:v>
      </x:c>
      <x:c r="H171" s="3" t="n">
        <x:v>1</x:v>
      </x:c>
      <x:c r="I171" s="7" t="n">
        <x:v>1801.01</x:v>
      </x:c>
      <x:c r="J171" s="9" t="n">
        <x:v>0.1</x:v>
      </x:c>
      <x:c r="K171" s="7" t="n">
        <x:v>1620.91</x:v>
      </x:c>
      <x:c r="L171" s="7" t="n">
        <x:v>531.14</x:v>
      </x:c>
      <x:c r="M171" s="3" t="str">
        <x:v>UPI</x:v>
      </x:c>
      <x:c r="N171" s="3"/>
      <x:c r="O171" s="3"/>
      <x:c r="P171" s="3"/>
      <x:c r="Q171" s="3"/>
    </x:row>
    <x:row r="172" ht="21" customHeight="1">
      <x:c r="A172" s="3" t="str">
        <x:v>ORD-101049</x:v>
      </x:c>
      <x:c r="B172" s="5" t="n">
        <x:v>45353</x:v>
      </x:c>
      <x:c r="C172" s="3" t="str">
        <x:v>CUST-00109</x:v>
      </x:c>
      <x:c r="D172" s="3" t="str">
        <x:v>West</x:v>
      </x:c>
      <x:c r="E172" s="3" t="str">
        <x:v>Home &amp; Kitchen</x:v>
      </x:c>
      <x:c r="F172" s="3" t="str">
        <x:v>Appliances</x:v>
      </x:c>
      <x:c r="G172" s="3" t="str">
        <x:v>ColdBrew Coffee Maker</x:v>
      </x:c>
      <x:c r="H172" s="3" t="n">
        <x:v>1</x:v>
      </x:c>
      <x:c r="I172" s="7" t="n">
        <x:v>6644.4</x:v>
      </x:c>
      <x:c r="J172" s="9" t="n">
        <x:v>0.05</x:v>
      </x:c>
      <x:c r="K172" s="7" t="n">
        <x:v>6312.18</x:v>
      </x:c>
      <x:c r="L172" s="7" t="n">
        <x:v>1686.16</x:v>
      </x:c>
      <x:c r="M172" s="3" t="str">
        <x:v>UPI</x:v>
      </x:c>
      <x:c r="N172" s="3"/>
      <x:c r="O172" s="3"/>
      <x:c r="P172" s="3"/>
      <x:c r="Q172" s="3"/>
    </x:row>
    <x:row r="173" ht="21" customHeight="1">
      <x:c r="A173" s="3" t="str">
        <x:v>ORD-100798</x:v>
      </x:c>
      <x:c r="B173" s="5" t="n">
        <x:v>45354</x:v>
      </x:c>
      <x:c r="C173" s="3" t="str">
        <x:v>CUST-00599</x:v>
      </x:c>
      <x:c r="D173" s="3" t="str">
        <x:v>North</x:v>
      </x:c>
      <x:c r="E173" s="3" t="str">
        <x:v>Sports</x:v>
      </x:c>
      <x:c r="F173" s="3" t="str">
        <x:v>Fitness</x:v>
      </x:c>
      <x:c r="G173" s="3" t="str">
        <x:v>ProYoga Mat</x:v>
      </x:c>
      <x:c r="H173" s="3" t="n">
        <x:v>1</x:v>
      </x:c>
      <x:c r="I173" s="7" t="n">
        <x:v>1318.47</x:v>
      </x:c>
      <x:c r="J173" s="9" t="n">
        <x:v>0.2</x:v>
      </x:c>
      <x:c r="K173" s="7" t="n">
        <x:v>1054.78</x:v>
      </x:c>
      <x:c r="L173" s="7" t="n">
        <x:v>144.17</x:v>
      </x:c>
      <x:c r="M173" s="3" t="str">
        <x:v>UPI</x:v>
      </x:c>
      <x:c r="N173" s="3"/>
      <x:c r="O173" s="3"/>
      <x:c r="P173" s="3"/>
      <x:c r="Q173" s="3"/>
    </x:row>
    <x:row r="174" ht="21" customHeight="1">
      <x:c r="A174" s="3" t="str">
        <x:v>ORD-101041</x:v>
      </x:c>
      <x:c r="B174" s="5" t="n">
        <x:v>45354</x:v>
      </x:c>
      <x:c r="C174" s="3" t="str">
        <x:v>CUST-00520</x:v>
      </x:c>
      <x:c r="D174" s="3" t="str">
        <x:v>East</x:v>
      </x:c>
      <x:c r="E174" s="3" t="str">
        <x:v>Fashion</x:v>
      </x:c>
      <x:c r="F174" s="3" t="str">
        <x:v>Women</x:v>
      </x:c>
      <x:c r="G174" s="3" t="str">
        <x:v>Floral Summer Dress</x:v>
      </x:c>
      <x:c r="H174" s="3" t="n">
        <x:v>2</x:v>
      </x:c>
      <x:c r="I174" s="7" t="n">
        <x:v>1836.11</x:v>
      </x:c>
      <x:c r="J174" s="9" t="n">
        <x:v>0.05</x:v>
      </x:c>
      <x:c r="K174" s="7" t="n">
        <x:v>3488.61</x:v>
      </x:c>
      <x:c r="L174" s="7" t="n">
        <x:v>1256.03</x:v>
      </x:c>
      <x:c r="M174" s="3" t="str">
        <x:v>Credit Card</x:v>
      </x:c>
      <x:c r="N174" s="3"/>
      <x:c r="O174" s="3"/>
      <x:c r="P174" s="3"/>
      <x:c r="Q174" s="3"/>
    </x:row>
    <x:row r="175" ht="21" customHeight="1">
      <x:c r="A175" s="3" t="str">
        <x:v>ORD-101833</x:v>
      </x:c>
      <x:c r="B175" s="5" t="n">
        <x:v>45354</x:v>
      </x:c>
      <x:c r="C175" s="3" t="str">
        <x:v>CUST-00427</x:v>
      </x:c>
      <x:c r="D175" s="3" t="str">
        <x:v>North</x:v>
      </x:c>
      <x:c r="E175" s="3" t="str">
        <x:v>Beauty</x:v>
      </x:c>
      <x:c r="F175" s="3" t="str">
        <x:v>Skincare</x:v>
      </x:c>
      <x:c r="G175" s="3" t="str">
        <x:v>HydraBoost Moisturizer</x:v>
      </x:c>
      <x:c r="H175" s="3" t="n">
        <x:v>1</x:v>
      </x:c>
      <x:c r="I175" s="7" t="n">
        <x:v>1254.21</x:v>
      </x:c>
      <x:c r="J175" s="9" t="n">
        <x:v>0.2</x:v>
      </x:c>
      <x:c r="K175" s="7" t="n">
        <x:v>1003.37</x:v>
      </x:c>
      <x:c r="L175" s="7" t="n">
        <x:v>310.62</x:v>
      </x:c>
      <x:c r="M175" s="3" t="str">
        <x:v>Credit Card</x:v>
      </x:c>
      <x:c r="N175" s="3"/>
      <x:c r="O175" s="3"/>
      <x:c r="P175" s="3"/>
      <x:c r="Q175" s="3"/>
    </x:row>
    <x:row r="176" ht="21" customHeight="1">
      <x:c r="A176" s="3" t="str">
        <x:v>ORD-101922</x:v>
      </x:c>
      <x:c r="B176" s="5" t="n">
        <x:v>45354</x:v>
      </x:c>
      <x:c r="C176" s="3" t="str">
        <x:v>CUST-00085</x:v>
      </x:c>
      <x:c r="D176" s="3" t="str">
        <x:v>West</x:v>
      </x:c>
      <x:c r="E176" s="3" t="str">
        <x:v>Electronics</x:v>
      </x:c>
      <x:c r="F176" s="3" t="str">
        <x:v>Audio</x:v>
      </x:c>
      <x:c r="G176" s="3" t="str">
        <x:v>BassBoom Speaker</x:v>
      </x:c>
      <x:c r="H176" s="3" t="n">
        <x:v>1</x:v>
      </x:c>
      <x:c r="I176" s="7" t="n">
        <x:v>9208.22</x:v>
      </x:c>
      <x:c r="J176" s="9" t="n">
        <x:v>0</x:v>
      </x:c>
      <x:c r="K176" s="7" t="n">
        <x:v>9208.22</x:v>
      </x:c>
      <x:c r="L176" s="7" t="n">
        <x:v>1769.8</x:v>
      </x:c>
      <x:c r="M176" s="3" t="str">
        <x:v>UPI</x:v>
      </x:c>
      <x:c r="N176" s="3"/>
      <x:c r="O176" s="3"/>
      <x:c r="P176" s="3"/>
      <x:c r="Q176" s="3"/>
    </x:row>
    <x:row r="177" ht="21" customHeight="1">
      <x:c r="A177" s="3" t="str">
        <x:v>ORD-100103</x:v>
      </x:c>
      <x:c r="B177" s="5" t="n">
        <x:v>45355</x:v>
      </x:c>
      <x:c r="C177" s="3" t="str">
        <x:v>CUST-00352</x:v>
      </x:c>
      <x:c r="D177" s="3" t="str">
        <x:v>South</x:v>
      </x:c>
      <x:c r="E177" s="3" t="str">
        <x:v>Sports</x:v>
      </x:c>
      <x:c r="F177" s="3" t="str">
        <x:v>Outdoor</x:v>
      </x:c>
      <x:c r="G177" s="3" t="str">
        <x:v>TrailHike Backpack 60L</x:v>
      </x:c>
      <x:c r="H177" s="3" t="n">
        <x:v>1</x:v>
      </x:c>
      <x:c r="I177" s="7" t="n">
        <x:v>3552.13</x:v>
      </x:c>
      <x:c r="J177" s="9" t="n">
        <x:v>0.15</x:v>
      </x:c>
      <x:c r="K177" s="7" t="n">
        <x:v>3019.31</x:v>
      </x:c>
      <x:c r="L177" s="7" t="n">
        <x:v>583.4</x:v>
      </x:c>
      <x:c r="M177" s="3" t="str">
        <x:v>UPI</x:v>
      </x:c>
      <x:c r="N177" s="3"/>
      <x:c r="O177" s="3"/>
      <x:c r="P177" s="3"/>
      <x:c r="Q177" s="3"/>
    </x:row>
    <x:row r="178" ht="21" customHeight="1">
      <x:c r="A178" s="3" t="str">
        <x:v>ORD-100882</x:v>
      </x:c>
      <x:c r="B178" s="5" t="n">
        <x:v>45355</x:v>
      </x:c>
      <x:c r="C178" s="3" t="str">
        <x:v>CUST-00558</x:v>
      </x:c>
      <x:c r="D178" s="3" t="str">
        <x:v>North</x:v>
      </x:c>
      <x:c r="E178" s="3" t="str">
        <x:v>Beauty</x:v>
      </x:c>
      <x:c r="F178" s="3" t="str">
        <x:v>Skincare</x:v>
      </x:c>
      <x:c r="G178" s="3" t="str">
        <x:v>Vitamin C Serum</x:v>
      </x:c>
      <x:c r="H178" s="3" t="n">
        <x:v>3</x:v>
      </x:c>
      <x:c r="I178" s="7" t="n">
        <x:v>891.77</x:v>
      </x:c>
      <x:c r="J178" s="9" t="n">
        <x:v>0</x:v>
      </x:c>
      <x:c r="K178" s="7" t="n">
        <x:v>2675.31</x:v>
      </x:c>
      <x:c r="L178" s="7" t="n">
        <x:v>1545.43</x:v>
      </x:c>
      <x:c r="M178" s="3" t="str">
        <x:v>Credit Card</x:v>
      </x:c>
      <x:c r="N178" s="3"/>
      <x:c r="O178" s="3"/>
      <x:c r="P178" s="3"/>
      <x:c r="Q178" s="3"/>
    </x:row>
    <x:row r="179" ht="21" customHeight="1">
      <x:c r="A179" s="3" t="str">
        <x:v>ORD-100558</x:v>
      </x:c>
      <x:c r="B179" s="5" t="n">
        <x:v>45357</x:v>
      </x:c>
      <x:c r="C179" s="3" t="str">
        <x:v>CUST-00117</x:v>
      </x:c>
      <x:c r="D179" s="3" t="str">
        <x:v>West</x:v>
      </x:c>
      <x:c r="E179" s="3" t="str">
        <x:v>Electronics</x:v>
      </x:c>
      <x:c r="F179" s="3" t="str">
        <x:v>Mobile</x:v>
      </x:c>
      <x:c r="G179" s="3" t="str">
        <x:v>Pixel Aura 12</x:v>
      </x:c>
      <x:c r="H179" s="3" t="n">
        <x:v>3</x:v>
      </x:c>
      <x:c r="I179" s="7" t="n">
        <x:v>31872.43</x:v>
      </x:c>
      <x:c r="J179" s="9" t="n">
        <x:v>0.05</x:v>
      </x:c>
      <x:c r="K179" s="7" t="n">
        <x:v>90836.43</x:v>
      </x:c>
      <x:c r="L179" s="7" t="n">
        <x:v>13510.64</x:v>
      </x:c>
      <x:c r="M179" s="3" t="str">
        <x:v>UPI</x:v>
      </x:c>
      <x:c r="N179" s="3"/>
      <x:c r="O179" s="3"/>
      <x:c r="P179" s="3"/>
      <x:c r="Q179" s="3"/>
    </x:row>
    <x:row r="180" ht="21" customHeight="1">
      <x:c r="A180" s="3" t="str">
        <x:v>ORD-101201</x:v>
      </x:c>
      <x:c r="B180" s="5" t="n">
        <x:v>45357</x:v>
      </x:c>
      <x:c r="C180" s="3" t="str">
        <x:v>CUST-00249</x:v>
      </x:c>
      <x:c r="D180" s="3" t="str">
        <x:v>East</x:v>
      </x:c>
      <x:c r="E180" s="3" t="str">
        <x:v>Fashion</x:v>
      </x:c>
      <x:c r="F180" s="3" t="str">
        <x:v>Footwear</x:v>
      </x:c>
      <x:c r="G180" s="3" t="str">
        <x:v>UrbanLoafers</x:v>
      </x:c>
      <x:c r="H180" s="3" t="n">
        <x:v>1</x:v>
      </x:c>
      <x:c r="I180" s="7" t="n">
        <x:v>3504.48</x:v>
      </x:c>
      <x:c r="J180" s="9" t="n">
        <x:v>0.25</x:v>
      </x:c>
      <x:c r="K180" s="7" t="n">
        <x:v>2628.36</x:v>
      </x:c>
      <x:c r="L180" s="7" t="n">
        <x:v>322.62</x:v>
      </x:c>
      <x:c r="M180" s="3" t="str">
        <x:v>Credit Card</x:v>
      </x:c>
      <x:c r="N180" s="3"/>
      <x:c r="O180" s="3"/>
      <x:c r="P180" s="3"/>
      <x:c r="Q180" s="3"/>
    </x:row>
    <x:row r="181" ht="21" customHeight="1">
      <x:c r="A181" s="3" t="str">
        <x:v>ORD-100609</x:v>
      </x:c>
      <x:c r="B181" s="5" t="n">
        <x:v>45358</x:v>
      </x:c>
      <x:c r="C181" s="3" t="str">
        <x:v>CUST-00134</x:v>
      </x:c>
      <x:c r="D181" s="3" t="str">
        <x:v>East</x:v>
      </x:c>
      <x:c r="E181" s="3" t="str">
        <x:v>Home &amp; Kitchen</x:v>
      </x:c>
      <x:c r="F181" s="3" t="str">
        <x:v>Decor</x:v>
      </x:c>
      <x:c r="G181" s="3" t="str">
        <x:v>Ceramic Vase Set</x:v>
      </x:c>
      <x:c r="H181" s="3" t="n">
        <x:v>1</x:v>
      </x:c>
      <x:c r="I181" s="7" t="n">
        <x:v>1449.74</x:v>
      </x:c>
      <x:c r="J181" s="9" t="n">
        <x:v>0.05</x:v>
      </x:c>
      <x:c r="K181" s="7" t="n">
        <x:v>1377.25</x:v>
      </x:c>
      <x:c r="L181" s="7" t="n">
        <x:v>378.27</x:v>
      </x:c>
      <x:c r="M181" s="3" t="str">
        <x:v>Credit Card</x:v>
      </x:c>
      <x:c r="N181" s="3"/>
      <x:c r="O181" s="3"/>
      <x:c r="P181" s="3"/>
      <x:c r="Q181" s="3"/>
    </x:row>
    <x:row r="182" ht="21" customHeight="1">
      <x:c r="A182" s="3" t="str">
        <x:v>ORD-100611</x:v>
      </x:c>
      <x:c r="B182" s="5" t="n">
        <x:v>45358</x:v>
      </x:c>
      <x:c r="C182" s="3" t="str">
        <x:v>CUST-00398</x:v>
      </x:c>
      <x:c r="D182" s="3" t="str">
        <x:v>North</x:v>
      </x:c>
      <x:c r="E182" s="3" t="str">
        <x:v>Fashion</x:v>
      </x:c>
      <x:c r="F182" s="3" t="str">
        <x:v>Men</x:v>
      </x:c>
      <x:c r="G182" s="3" t="str">
        <x:v>Oxford Casual Shirt</x:v>
      </x:c>
      <x:c r="H182" s="3" t="n">
        <x:v>3</x:v>
      </x:c>
      <x:c r="I182" s="7" t="n">
        <x:v>1359.84</x:v>
      </x:c>
      <x:c r="J182" s="9" t="n">
        <x:v>0.2</x:v>
      </x:c>
      <x:c r="K182" s="7" t="n">
        <x:v>3263.62</x:v>
      </x:c>
      <x:c r="L182" s="7" t="n">
        <x:v>720.83</x:v>
      </x:c>
      <x:c r="M182" s="3" t="str">
        <x:v>UPI</x:v>
      </x:c>
      <x:c r="N182" s="3"/>
      <x:c r="O182" s="3"/>
      <x:c r="P182" s="3"/>
      <x:c r="Q182" s="3"/>
    </x:row>
    <x:row r="183" ht="21" customHeight="1">
      <x:c r="A183" s="3" t="str">
        <x:v>ORD-101091</x:v>
      </x:c>
      <x:c r="B183" s="5" t="n">
        <x:v>45358</x:v>
      </x:c>
      <x:c r="C183" s="3" t="str">
        <x:v>CUST-00367</x:v>
      </x:c>
      <x:c r="D183" s="3" t="str">
        <x:v>South</x:v>
      </x:c>
      <x:c r="E183" s="3" t="str">
        <x:v>Sports</x:v>
      </x:c>
      <x:c r="F183" s="3" t="str">
        <x:v>Fitness</x:v>
      </x:c>
      <x:c r="G183" s="3" t="str">
        <x:v>Adjustable Dumbbell 24kg</x:v>
      </x:c>
      <x:c r="H183" s="3" t="n">
        <x:v>2</x:v>
      </x:c>
      <x:c r="I183" s="7" t="n">
        <x:v>9972.66</x:v>
      </x:c>
      <x:c r="J183" s="9" t="n">
        <x:v>0</x:v>
      </x:c>
      <x:c r="K183" s="7" t="n">
        <x:v>19945.32</x:v>
      </x:c>
      <x:c r="L183" s="7" t="n">
        <x:v>7226.43</x:v>
      </x:c>
      <x:c r="M183" s="3" t="str">
        <x:v>Credit Card</x:v>
      </x:c>
      <x:c r="N183" s="3"/>
      <x:c r="O183" s="3"/>
      <x:c r="P183" s="3"/>
      <x:c r="Q183" s="3"/>
    </x:row>
    <x:row r="184" ht="21" customHeight="1">
      <x:c r="A184" s="3" t="str">
        <x:v>ORD-100217</x:v>
      </x:c>
      <x:c r="B184" s="5" t="n">
        <x:v>45359</x:v>
      </x:c>
      <x:c r="C184" s="3" t="str">
        <x:v>CUST-00448</x:v>
      </x:c>
      <x:c r="D184" s="3" t="str">
        <x:v>West</x:v>
      </x:c>
      <x:c r="E184" s="3" t="str">
        <x:v>Electronics</x:v>
      </x:c>
      <x:c r="F184" s="3" t="str">
        <x:v>Audio</x:v>
      </x:c>
      <x:c r="G184" s="3" t="str">
        <x:v>SoundPods Pro</x:v>
      </x:c>
      <x:c r="H184" s="3" t="n">
        <x:v>1</x:v>
      </x:c>
      <x:c r="I184" s="7" t="n">
        <x:v>5004.65</x:v>
      </x:c>
      <x:c r="J184" s="9" t="n">
        <x:v>0.05</x:v>
      </x:c>
      <x:c r="K184" s="7" t="n">
        <x:v>4754.42</x:v>
      </x:c>
      <x:c r="L184" s="7" t="n">
        <x:v>469.53</x:v>
      </x:c>
      <x:c r="M184" s="3" t="str">
        <x:v>Credit Card</x:v>
      </x:c>
      <x:c r="N184" s="3"/>
      <x:c r="O184" s="3"/>
      <x:c r="P184" s="3"/>
      <x:c r="Q184" s="3"/>
    </x:row>
    <x:row r="185" ht="21" customHeight="1">
      <x:c r="A185" s="3" t="str">
        <x:v>ORD-100396</x:v>
      </x:c>
      <x:c r="B185" s="5" t="n">
        <x:v>45359</x:v>
      </x:c>
      <x:c r="C185" s="3" t="str">
        <x:v>CUST-00450</x:v>
      </x:c>
      <x:c r="D185" s="3" t="str">
        <x:v>West</x:v>
      </x:c>
      <x:c r="E185" s="3" t="str">
        <x:v>Sports</x:v>
      </x:c>
      <x:c r="F185" s="3" t="str">
        <x:v>Outdoor</x:v>
      </x:c>
      <x:c r="G185" s="3" t="str">
        <x:v>TrailHike Backpack 60L</x:v>
      </x:c>
      <x:c r="H185" s="3" t="n">
        <x:v>1</x:v>
      </x:c>
      <x:c r="I185" s="7" t="n">
        <x:v>3467.02</x:v>
      </x:c>
      <x:c r="J185" s="9" t="n">
        <x:v>0</x:v>
      </x:c>
      <x:c r="K185" s="7" t="n">
        <x:v>3467.02</x:v>
      </x:c>
      <x:c r="L185" s="7" t="n">
        <x:v>1447.5</x:v>
      </x:c>
      <x:c r="M185" s="3" t="str">
        <x:v>Cash on Delivery</x:v>
      </x:c>
      <x:c r="N185" s="3"/>
      <x:c r="O185" s="3"/>
      <x:c r="P185" s="3"/>
      <x:c r="Q185" s="3"/>
    </x:row>
    <x:row r="186" ht="21" customHeight="1">
      <x:c r="A186" s="3" t="str">
        <x:v>ORD-100583</x:v>
      </x:c>
      <x:c r="B186" s="5" t="n">
        <x:v>45359</x:v>
      </x:c>
      <x:c r="C186" s="3" t="str">
        <x:v>CUST-00418</x:v>
      </x:c>
      <x:c r="D186" s="3" t="str">
        <x:v>South</x:v>
      </x:c>
      <x:c r="E186" s="3" t="str">
        <x:v>Beauty</x:v>
      </x:c>
      <x:c r="F186" s="3" t="str">
        <x:v>Skincare</x:v>
      </x:c>
      <x:c r="G186" s="3" t="str">
        <x:v>HydraBoost Moisturizer</x:v>
      </x:c>
      <x:c r="H186" s="3" t="n">
        <x:v>1</x:v>
      </x:c>
      <x:c r="I186" s="7" t="n">
        <x:v>1252.88</x:v>
      </x:c>
      <x:c r="J186" s="9" t="n">
        <x:v>0.05</x:v>
      </x:c>
      <x:c r="K186" s="7" t="n">
        <x:v>1190.24</x:v>
      </x:c>
      <x:c r="L186" s="7" t="n">
        <x:v>564.22</x:v>
      </x:c>
      <x:c r="M186" s="3" t="str">
        <x:v>Credit Card</x:v>
      </x:c>
      <x:c r="N186" s="3"/>
      <x:c r="O186" s="3"/>
      <x:c r="P186" s="3"/>
      <x:c r="Q186" s="3"/>
    </x:row>
    <x:row r="187" ht="21" customHeight="1">
      <x:c r="A187" s="3" t="str">
        <x:v>ORD-101003</x:v>
      </x:c>
      <x:c r="B187" s="5" t="n">
        <x:v>45359</x:v>
      </x:c>
      <x:c r="C187" s="3" t="str">
        <x:v>CUST-00375</x:v>
      </x:c>
      <x:c r="D187" s="3" t="str">
        <x:v>West</x:v>
      </x:c>
      <x:c r="E187" s="3" t="str">
        <x:v>Beauty</x:v>
      </x:c>
      <x:c r="F187" s="3" t="str">
        <x:v>Skincare</x:v>
      </x:c>
      <x:c r="G187" s="3" t="str">
        <x:v>Vitamin C Serum</x:v>
      </x:c>
      <x:c r="H187" s="3" t="n">
        <x:v>1</x:v>
      </x:c>
      <x:c r="I187" s="7" t="n">
        <x:v>943.71</x:v>
      </x:c>
      <x:c r="J187" s="9" t="n">
        <x:v>0.1</x:v>
      </x:c>
      <x:c r="K187" s="7" t="n">
        <x:v>849.34</x:v>
      </x:c>
      <x:c r="L187" s="7" t="n">
        <x:v>398</x:v>
      </x:c>
      <x:c r="M187" s="3" t="str">
        <x:v>Net Banking</x:v>
      </x:c>
      <x:c r="N187" s="3"/>
      <x:c r="O187" s="3"/>
      <x:c r="P187" s="3"/>
      <x:c r="Q187" s="3"/>
    </x:row>
    <x:row r="188" ht="21" customHeight="1">
      <x:c r="A188" s="3" t="str">
        <x:v>ORD-101370</x:v>
      </x:c>
      <x:c r="B188" s="5" t="n">
        <x:v>45359</x:v>
      </x:c>
      <x:c r="C188" s="3" t="str">
        <x:v>CUST-00360</x:v>
      </x:c>
      <x:c r="D188" s="3" t="str">
        <x:v>East</x:v>
      </x:c>
      <x:c r="E188" s="3" t="str">
        <x:v>Electronics</x:v>
      </x:c>
      <x:c r="F188" s="3" t="str">
        <x:v>Mobile</x:v>
      </x:c>
      <x:c r="G188" s="3" t="str">
        <x:v>Pixel Aura 12</x:v>
      </x:c>
      <x:c r="H188" s="3" t="n">
        <x:v>1</x:v>
      </x:c>
      <x:c r="I188" s="7" t="n">
        <x:v>33138.4</x:v>
      </x:c>
      <x:c r="J188" s="9" t="n">
        <x:v>0.25</x:v>
      </x:c>
      <x:c r="K188" s="7" t="n">
        <x:v>24853.8</x:v>
      </x:c>
      <x:c r="L188" s="7" t="n">
        <x:v>-1814.36</x:v>
      </x:c>
      <x:c r="M188" s="3" t="str">
        <x:v>UPI</x:v>
      </x:c>
      <x:c r="N188" s="3"/>
      <x:c r="O188" s="3"/>
      <x:c r="P188" s="3"/>
      <x:c r="Q188" s="3"/>
    </x:row>
    <x:row r="189" ht="21" customHeight="1">
      <x:c r="A189" s="3" t="str">
        <x:v>ORD-101405</x:v>
      </x:c>
      <x:c r="B189" s="5" t="n">
        <x:v>45359</x:v>
      </x:c>
      <x:c r="C189" s="3" t="str">
        <x:v>CUST-00369</x:v>
      </x:c>
      <x:c r="D189" s="3" t="str">
        <x:v>North</x:v>
      </x:c>
      <x:c r="E189" s="3" t="str">
        <x:v>Electronics</x:v>
      </x:c>
      <x:c r="F189" s="3" t="str">
        <x:v>Laptop</x:v>
      </x:c>
      <x:c r="G189" s="3" t="str">
        <x:v>ThinkPro 14</x:v>
      </x:c>
      <x:c r="H189" s="3" t="n">
        <x:v>1</x:v>
      </x:c>
      <x:c r="I189" s="7" t="n">
        <x:v>53782.21</x:v>
      </x:c>
      <x:c r="J189" s="9" t="n">
        <x:v>0.05</x:v>
      </x:c>
      <x:c r="K189" s="7" t="n">
        <x:v>51093.1</x:v>
      </x:c>
      <x:c r="L189" s="7" t="n">
        <x:v>5079.36</x:v>
      </x:c>
      <x:c r="M189" s="3" t="str">
        <x:v>Debit Card</x:v>
      </x:c>
      <x:c r="N189" s="3"/>
      <x:c r="O189" s="3"/>
      <x:c r="P189" s="3"/>
      <x:c r="Q189" s="3"/>
    </x:row>
    <x:row r="190" ht="21" customHeight="1">
      <x:c r="A190" s="3" t="str">
        <x:v>ORD-101697</x:v>
      </x:c>
      <x:c r="B190" s="5" t="n">
        <x:v>45359</x:v>
      </x:c>
      <x:c r="C190" s="3" t="str">
        <x:v>CUST-00412</x:v>
      </x:c>
      <x:c r="D190" s="3" t="str">
        <x:v>West</x:v>
      </x:c>
      <x:c r="E190" s="3" t="str">
        <x:v>Electronics</x:v>
      </x:c>
      <x:c r="F190" s="3" t="str">
        <x:v>Laptop</x:v>
      </x:c>
      <x:c r="G190" s="3" t="str">
        <x:v>ThinkPro 14</x:v>
      </x:c>
      <x:c r="H190" s="3" t="n">
        <x:v>1</x:v>
      </x:c>
      <x:c r="I190" s="7" t="n">
        <x:v>55215.81</x:v>
      </x:c>
      <x:c r="J190" s="9" t="n">
        <x:v>0.05</x:v>
      </x:c>
      <x:c r="K190" s="7" t="n">
        <x:v>52455.02</x:v>
      </x:c>
      <x:c r="L190" s="7" t="n">
        <x:v>6499.52</x:v>
      </x:c>
      <x:c r="M190" s="3" t="str">
        <x:v>Cash on Delivery</x:v>
      </x:c>
      <x:c r="N190" s="3"/>
      <x:c r="O190" s="3"/>
      <x:c r="P190" s="3"/>
      <x:c r="Q190" s="3"/>
    </x:row>
    <x:row r="191" ht="21" customHeight="1">
      <x:c r="A191" s="3" t="str">
        <x:v>ORD-100472</x:v>
      </x:c>
      <x:c r="B191" s="5" t="n">
        <x:v>45360</x:v>
      </x:c>
      <x:c r="C191" s="3" t="str">
        <x:v>CUST-00210</x:v>
      </x:c>
      <x:c r="D191" s="3" t="str">
        <x:v>South</x:v>
      </x:c>
      <x:c r="E191" s="3" t="str">
        <x:v>Electronics</x:v>
      </x:c>
      <x:c r="F191" s="3" t="str">
        <x:v>Audio</x:v>
      </x:c>
      <x:c r="G191" s="3" t="str">
        <x:v>BassBoom Speaker</x:v>
      </x:c>
      <x:c r="H191" s="3" t="n">
        <x:v>3</x:v>
      </x:c>
      <x:c r="I191" s="7" t="n">
        <x:v>8878.05</x:v>
      </x:c>
      <x:c r="J191" s="9" t="n">
        <x:v>0</x:v>
      </x:c>
      <x:c r="K191" s="7" t="n">
        <x:v>26634.15</x:v>
      </x:c>
      <x:c r="L191" s="7" t="n">
        <x:v>5047.99</x:v>
      </x:c>
      <x:c r="M191" s="3" t="str">
        <x:v>UPI</x:v>
      </x:c>
      <x:c r="N191" s="3"/>
      <x:c r="O191" s="3"/>
      <x:c r="P191" s="3"/>
      <x:c r="Q191" s="3"/>
    </x:row>
    <x:row r="192" ht="21" customHeight="1">
      <x:c r="A192" s="3" t="str">
        <x:v>ORD-101345</x:v>
      </x:c>
      <x:c r="B192" s="5" t="n">
        <x:v>45360</x:v>
      </x:c>
      <x:c r="C192" s="3" t="str">
        <x:v>CUST-00397</x:v>
      </x:c>
      <x:c r="D192" s="3" t="str">
        <x:v>North</x:v>
      </x:c>
      <x:c r="E192" s="3" t="str">
        <x:v>Fashion</x:v>
      </x:c>
      <x:c r="F192" s="3" t="str">
        <x:v>Footwear</x:v>
      </x:c>
      <x:c r="G192" s="3" t="str">
        <x:v>UrbanLoafers</x:v>
      </x:c>
      <x:c r="H192" s="3" t="n">
        <x:v>2</x:v>
      </x:c>
      <x:c r="I192" s="7" t="n">
        <x:v>3638.17</x:v>
      </x:c>
      <x:c r="J192" s="9" t="n">
        <x:v>0.15</x:v>
      </x:c>
      <x:c r="K192" s="7" t="n">
        <x:v>6184.89</x:v>
      </x:c>
      <x:c r="L192" s="7" t="n">
        <x:v>1458.34</x:v>
      </x:c>
      <x:c r="M192" s="3" t="str">
        <x:v>Credit Card</x:v>
      </x:c>
      <x:c r="N192" s="3"/>
      <x:c r="O192" s="3"/>
      <x:c r="P192" s="3"/>
      <x:c r="Q192" s="3"/>
    </x:row>
    <x:row r="193" ht="21" customHeight="1">
      <x:c r="A193" s="3" t="str">
        <x:v>ORD-101443</x:v>
      </x:c>
      <x:c r="B193" s="5" t="n">
        <x:v>45360</x:v>
      </x:c>
      <x:c r="C193" s="3" t="str">
        <x:v>CUST-00439</x:v>
      </x:c>
      <x:c r="D193" s="3" t="str">
        <x:v>South</x:v>
      </x:c>
      <x:c r="E193" s="3" t="str">
        <x:v>Beauty</x:v>
      </x:c>
      <x:c r="F193" s="3" t="str">
        <x:v>Makeup</x:v>
      </x:c>
      <x:c r="G193" s="3" t="str">
        <x:v>HD Foundation Kit</x:v>
      </x:c>
      <x:c r="H193" s="3" t="n">
        <x:v>1</x:v>
      </x:c>
      <x:c r="I193" s="7" t="n">
        <x:v>1465.55</x:v>
      </x:c>
      <x:c r="J193" s="9" t="n">
        <x:v>0.05</x:v>
      </x:c>
      <x:c r="K193" s="7" t="n">
        <x:v>1392.27</x:v>
      </x:c>
      <x:c r="L193" s="7" t="n">
        <x:v>683.04</x:v>
      </x:c>
      <x:c r="M193" s="3" t="str">
        <x:v>UPI</x:v>
      </x:c>
      <x:c r="N193" s="3"/>
      <x:c r="O193" s="3"/>
      <x:c r="P193" s="3"/>
      <x:c r="Q193" s="3"/>
    </x:row>
    <x:row r="194" ht="21" customHeight="1">
      <x:c r="A194" s="3" t="str">
        <x:v>ORD-100117</x:v>
      </x:c>
      <x:c r="B194" s="5" t="n">
        <x:v>45361</x:v>
      </x:c>
      <x:c r="C194" s="3" t="str">
        <x:v>CUST-00107</x:v>
      </x:c>
      <x:c r="D194" s="3" t="str">
        <x:v>East</x:v>
      </x:c>
      <x:c r="E194" s="3" t="str">
        <x:v>Beauty</x:v>
      </x:c>
      <x:c r="F194" s="3" t="str">
        <x:v>Skincare</x:v>
      </x:c>
      <x:c r="G194" s="3" t="str">
        <x:v>HydraBoost Moisturizer</x:v>
      </x:c>
      <x:c r="H194" s="3" t="n">
        <x:v>3</x:v>
      </x:c>
      <x:c r="I194" s="7" t="n">
        <x:v>1185.44</x:v>
      </x:c>
      <x:c r="J194" s="9" t="n">
        <x:v>0</x:v>
      </x:c>
      <x:c r="K194" s="7" t="n">
        <x:v>3556.32</x:v>
      </x:c>
      <x:c r="L194" s="7" t="n">
        <x:v>1919.93</x:v>
      </x:c>
      <x:c r="M194" s="3" t="str">
        <x:v>UPI</x:v>
      </x:c>
      <x:c r="N194" s="3"/>
      <x:c r="O194" s="3"/>
      <x:c r="P194" s="3"/>
      <x:c r="Q194" s="3"/>
    </x:row>
    <x:row r="195" ht="21" customHeight="1">
      <x:c r="A195" s="3" t="str">
        <x:v>ORD-100444</x:v>
      </x:c>
      <x:c r="B195" s="5" t="n">
        <x:v>45361</x:v>
      </x:c>
      <x:c r="C195" s="3" t="str">
        <x:v>CUST-00101</x:v>
      </x:c>
      <x:c r="D195" s="3" t="str">
        <x:v>East</x:v>
      </x:c>
      <x:c r="E195" s="3" t="str">
        <x:v>Sports</x:v>
      </x:c>
      <x:c r="F195" s="3" t="str">
        <x:v>Outdoor</x:v>
      </x:c>
      <x:c r="G195" s="3" t="str">
        <x:v>TrailHike Backpack 60L</x:v>
      </x:c>
      <x:c r="H195" s="3" t="n">
        <x:v>2</x:v>
      </x:c>
      <x:c r="I195" s="7" t="n">
        <x:v>3392.25</x:v>
      </x:c>
      <x:c r="J195" s="9" t="n">
        <x:v>0.1</x:v>
      </x:c>
      <x:c r="K195" s="7" t="n">
        <x:v>6106.05</x:v>
      </x:c>
      <x:c r="L195" s="7" t="n">
        <x:v>1538.68</x:v>
      </x:c>
      <x:c r="M195" s="3" t="str">
        <x:v>UPI</x:v>
      </x:c>
      <x:c r="N195" s="3"/>
      <x:c r="O195" s="3"/>
      <x:c r="P195" s="3"/>
      <x:c r="Q195" s="3"/>
    </x:row>
    <x:row r="196" ht="21" customHeight="1">
      <x:c r="A196" s="3" t="str">
        <x:v>ORD-100601</x:v>
      </x:c>
      <x:c r="B196" s="5" t="n">
        <x:v>45361</x:v>
      </x:c>
      <x:c r="C196" s="3" t="str">
        <x:v>CUST-00199</x:v>
      </x:c>
      <x:c r="D196" s="3" t="str">
        <x:v>East</x:v>
      </x:c>
      <x:c r="E196" s="3" t="str">
        <x:v>Sports</x:v>
      </x:c>
      <x:c r="F196" s="3" t="str">
        <x:v>Fitness</x:v>
      </x:c>
      <x:c r="G196" s="3" t="str">
        <x:v>Adjustable Dumbbell 24kg</x:v>
      </x:c>
      <x:c r="H196" s="3" t="n">
        <x:v>2</x:v>
      </x:c>
      <x:c r="I196" s="7" t="n">
        <x:v>9525.02</x:v>
      </x:c>
      <x:c r="J196" s="9" t="n">
        <x:v>0.1</x:v>
      </x:c>
      <x:c r="K196" s="7" t="n">
        <x:v>17145.04</x:v>
      </x:c>
      <x:c r="L196" s="7" t="n">
        <x:v>4567.04</x:v>
      </x:c>
      <x:c r="M196" s="3" t="str">
        <x:v>UPI</x:v>
      </x:c>
      <x:c r="N196" s="3"/>
      <x:c r="O196" s="3"/>
      <x:c r="P196" s="3"/>
      <x:c r="Q196" s="3"/>
    </x:row>
    <x:row r="197" ht="21" customHeight="1">
      <x:c r="A197" s="3" t="str">
        <x:v>ORD-101095</x:v>
      </x:c>
      <x:c r="B197" s="5" t="n">
        <x:v>45361</x:v>
      </x:c>
      <x:c r="C197" s="3" t="str">
        <x:v>CUST-00075</x:v>
      </x:c>
      <x:c r="D197" s="3" t="str">
        <x:v>West</x:v>
      </x:c>
      <x:c r="E197" s="3" t="str">
        <x:v>Sports</x:v>
      </x:c>
      <x:c r="F197" s="3" t="str">
        <x:v>Outdoor</x:v>
      </x:c>
      <x:c r="G197" s="3" t="str">
        <x:v>TrailHike Backpack 60L</x:v>
      </x:c>
      <x:c r="H197" s="3" t="n">
        <x:v>1</x:v>
      </x:c>
      <x:c r="I197" s="7" t="n">
        <x:v>3545.68</x:v>
      </x:c>
      <x:c r="J197" s="9" t="n">
        <x:v>0.05</x:v>
      </x:c>
      <x:c r="K197" s="7" t="n">
        <x:v>3368.4</x:v>
      </x:c>
      <x:c r="L197" s="7" t="n">
        <x:v>1097.47</x:v>
      </x:c>
      <x:c r="M197" s="3" t="str">
        <x:v>UPI</x:v>
      </x:c>
      <x:c r="N197" s="3"/>
      <x:c r="O197" s="3"/>
      <x:c r="P197" s="3"/>
      <x:c r="Q197" s="3"/>
    </x:row>
    <x:row r="198" ht="21" customHeight="1">
      <x:c r="A198" s="3" t="str">
        <x:v>ORD-101155</x:v>
      </x:c>
      <x:c r="B198" s="5" t="n">
        <x:v>45362</x:v>
      </x:c>
      <x:c r="C198" s="3" t="str">
        <x:v>CUST-00160</x:v>
      </x:c>
      <x:c r="D198" s="3" t="str">
        <x:v>West</x:v>
      </x:c>
      <x:c r="E198" s="3" t="str">
        <x:v>Home &amp; Kitchen</x:v>
      </x:c>
      <x:c r="F198" s="3" t="str">
        <x:v>Decor</x:v>
      </x:c>
      <x:c r="G198" s="3" t="str">
        <x:v>Ceramic Vase Set</x:v>
      </x:c>
      <x:c r="H198" s="3" t="n">
        <x:v>4</x:v>
      </x:c>
      <x:c r="I198" s="7" t="n">
        <x:v>1448.62</x:v>
      </x:c>
      <x:c r="J198" s="9" t="n">
        <x:v>0</x:v>
      </x:c>
      <x:c r="K198" s="7" t="n">
        <x:v>5794.48</x:v>
      </x:c>
      <x:c r="L198" s="7" t="n">
        <x:v>1725.64</x:v>
      </x:c>
      <x:c r="M198" s="3" t="str">
        <x:v>UPI</x:v>
      </x:c>
      <x:c r="N198" s="3"/>
      <x:c r="O198" s="3"/>
      <x:c r="P198" s="3"/>
      <x:c r="Q198" s="3"/>
    </x:row>
    <x:row r="199" ht="21" customHeight="1">
      <x:c r="A199" s="3" t="str">
        <x:v>ORD-101569</x:v>
      </x:c>
      <x:c r="B199" s="5" t="n">
        <x:v>45363</x:v>
      </x:c>
      <x:c r="C199" s="3" t="str">
        <x:v>CUST-00202</x:v>
      </x:c>
      <x:c r="D199" s="3" t="str">
        <x:v>West</x:v>
      </x:c>
      <x:c r="E199" s="3" t="str">
        <x:v>Electronics</x:v>
      </x:c>
      <x:c r="F199" s="3" t="str">
        <x:v>Mobile</x:v>
      </x:c>
      <x:c r="G199" s="3" t="str">
        <x:v>Galaxy Nova X5</x:v>
      </x:c>
      <x:c r="H199" s="3" t="n">
        <x:v>1</x:v>
      </x:c>
      <x:c r="I199" s="7" t="n">
        <x:v>25730.03</x:v>
      </x:c>
      <x:c r="J199" s="9" t="n">
        <x:v>0.05</x:v>
      </x:c>
      <x:c r="K199" s="7" t="n">
        <x:v>24443.53</x:v>
      </x:c>
      <x:c r="L199" s="7" t="n">
        <x:v>2781.04</x:v>
      </x:c>
      <x:c r="M199" s="3" t="str">
        <x:v>Debit Card</x:v>
      </x:c>
      <x:c r="N199" s="3"/>
      <x:c r="O199" s="3"/>
      <x:c r="P199" s="3"/>
      <x:c r="Q199" s="3"/>
    </x:row>
    <x:row r="200" ht="21" customHeight="1">
      <x:c r="A200" s="3" t="str">
        <x:v>ORD-101756</x:v>
      </x:c>
      <x:c r="B200" s="5" t="n">
        <x:v>45363</x:v>
      </x:c>
      <x:c r="C200" s="3" t="str">
        <x:v>CUST-00227</x:v>
      </x:c>
      <x:c r="D200" s="3" t="str">
        <x:v>South</x:v>
      </x:c>
      <x:c r="E200" s="3" t="str">
        <x:v>Home &amp; Kitchen</x:v>
      </x:c>
      <x:c r="F200" s="3" t="str">
        <x:v>Decor</x:v>
      </x:c>
      <x:c r="G200" s="3" t="str">
        <x:v>LED Wall Lamp</x:v>
      </x:c>
      <x:c r="H200" s="3" t="n">
        <x:v>1</x:v>
      </x:c>
      <x:c r="I200" s="7" t="n">
        <x:v>1040.44</x:v>
      </x:c>
      <x:c r="J200" s="9" t="n">
        <x:v>0.05</x:v>
      </x:c>
      <x:c r="K200" s="7" t="n">
        <x:v>988.42</x:v>
      </x:c>
      <x:c r="L200" s="7" t="n">
        <x:v>264.8</x:v>
      </x:c>
      <x:c r="M200" s="3" t="str">
        <x:v>Credit Card</x:v>
      </x:c>
      <x:c r="N200" s="3"/>
      <x:c r="O200" s="3"/>
      <x:c r="P200" s="3"/>
      <x:c r="Q200" s="3"/>
    </x:row>
    <x:row r="201" ht="21" customHeight="1">
      <x:c r="A201" s="3" t="str">
        <x:v>ORD-100269</x:v>
      </x:c>
      <x:c r="B201" s="5" t="n">
        <x:v>45364</x:v>
      </x:c>
      <x:c r="C201" s="3" t="str">
        <x:v>CUST-00200</x:v>
      </x:c>
      <x:c r="D201" s="3" t="str">
        <x:v>South</x:v>
      </x:c>
      <x:c r="E201" s="3" t="str">
        <x:v>Home &amp; Kitchen</x:v>
      </x:c>
      <x:c r="F201" s="3" t="str">
        <x:v>Furniture</x:v>
      </x:c>
      <x:c r="G201" s="3" t="str">
        <x:v>ErgoComfort Chair</x:v>
      </x:c>
      <x:c r="H201" s="3" t="n">
        <x:v>1</x:v>
      </x:c>
      <x:c r="I201" s="7" t="n">
        <x:v>8883.53</x:v>
      </x:c>
      <x:c r="J201" s="9" t="n">
        <x:v>0.2</x:v>
      </x:c>
      <x:c r="K201" s="7" t="n">
        <x:v>7106.82</x:v>
      </x:c>
      <x:c r="L201" s="7" t="n">
        <x:v>759.33</x:v>
      </x:c>
      <x:c r="M201" s="3" t="str">
        <x:v>UPI</x:v>
      </x:c>
      <x:c r="N201" s="3"/>
      <x:c r="O201" s="3"/>
      <x:c r="P201" s="3"/>
      <x:c r="Q201" s="3"/>
    </x:row>
    <x:row r="202" ht="21" customHeight="1">
      <x:c r="A202" s="3" t="str">
        <x:v>ORD-100305</x:v>
      </x:c>
      <x:c r="B202" s="5" t="n">
        <x:v>45364</x:v>
      </x:c>
      <x:c r="C202" s="3" t="str">
        <x:v>CUST-00234</x:v>
      </x:c>
      <x:c r="D202" s="3" t="str">
        <x:v>North</x:v>
      </x:c>
      <x:c r="E202" s="3" t="str">
        <x:v>Electronics</x:v>
      </x:c>
      <x:c r="F202" s="3" t="str">
        <x:v>Audio</x:v>
      </x:c>
      <x:c r="G202" s="3" t="str">
        <x:v>SoundPods Pro</x:v>
      </x:c>
      <x:c r="H202" s="3" t="n">
        <x:v>1</x:v>
      </x:c>
      <x:c r="I202" s="7" t="n">
        <x:v>4767.99</x:v>
      </x:c>
      <x:c r="J202" s="9" t="n">
        <x:v>0.15</x:v>
      </x:c>
      <x:c r="K202" s="7" t="n">
        <x:v>4052.79</x:v>
      </x:c>
      <x:c r="L202" s="7" t="n">
        <x:v>-107.97</x:v>
      </x:c>
      <x:c r="M202" s="3" t="str">
        <x:v>UPI</x:v>
      </x:c>
      <x:c r="N202" s="3"/>
      <x:c r="O202" s="3"/>
      <x:c r="P202" s="3"/>
      <x:c r="Q202" s="3"/>
    </x:row>
    <x:row r="203" ht="21" customHeight="1">
      <x:c r="A203" s="3" t="str">
        <x:v>ORD-100812</x:v>
      </x:c>
      <x:c r="B203" s="5" t="n">
        <x:v>45364</x:v>
      </x:c>
      <x:c r="C203" s="3" t="str">
        <x:v>CUST-00131</x:v>
      </x:c>
      <x:c r="D203" s="3" t="str">
        <x:v>South</x:v>
      </x:c>
      <x:c r="E203" s="3" t="str">
        <x:v>Beauty</x:v>
      </x:c>
      <x:c r="F203" s="3" t="str">
        <x:v>Makeup</x:v>
      </x:c>
      <x:c r="G203" s="3" t="str">
        <x:v>HD Foundation Kit</x:v>
      </x:c>
      <x:c r="H203" s="3" t="n">
        <x:v>1</x:v>
      </x:c>
      <x:c r="I203" s="7" t="n">
        <x:v>1551.98</x:v>
      </x:c>
      <x:c r="J203" s="9" t="n">
        <x:v>0.2</x:v>
      </x:c>
      <x:c r="K203" s="7" t="n">
        <x:v>1241.58</x:v>
      </x:c>
      <x:c r="L203" s="7" t="n">
        <x:v>427.26</x:v>
      </x:c>
      <x:c r="M203" s="3" t="str">
        <x:v>Credit Card</x:v>
      </x:c>
      <x:c r="N203" s="3"/>
      <x:c r="O203" s="3"/>
      <x:c r="P203" s="3"/>
      <x:c r="Q203" s="3"/>
    </x:row>
    <x:row r="204" ht="21" customHeight="1">
      <x:c r="A204" s="3" t="str">
        <x:v>ORD-101719</x:v>
      </x:c>
      <x:c r="B204" s="5" t="n">
        <x:v>45364</x:v>
      </x:c>
      <x:c r="C204" s="3" t="str">
        <x:v>CUST-00529</x:v>
      </x:c>
      <x:c r="D204" s="3" t="str">
        <x:v>North</x:v>
      </x:c>
      <x:c r="E204" s="3" t="str">
        <x:v>Sports</x:v>
      </x:c>
      <x:c r="F204" s="3" t="str">
        <x:v>Outdoor</x:v>
      </x:c>
      <x:c r="G204" s="3" t="str">
        <x:v>AllWeather Tent 4P</x:v>
      </x:c>
      <x:c r="H204" s="3" t="n">
        <x:v>1</x:v>
      </x:c>
      <x:c r="I204" s="7" t="n">
        <x:v>11994.6</x:v>
      </x:c>
      <x:c r="J204" s="9" t="n">
        <x:v>0</x:v>
      </x:c>
      <x:c r="K204" s="7" t="n">
        <x:v>11994.6</x:v>
      </x:c>
      <x:c r="L204" s="7" t="n">
        <x:v>5009.6</x:v>
      </x:c>
      <x:c r="M204" s="3" t="str">
        <x:v>UPI</x:v>
      </x:c>
      <x:c r="N204" s="3"/>
      <x:c r="O204" s="3"/>
      <x:c r="P204" s="3"/>
      <x:c r="Q204" s="3"/>
    </x:row>
    <x:row r="205" ht="21" customHeight="1">
      <x:c r="A205" s="3" t="str">
        <x:v>ORD-100096</x:v>
      </x:c>
      <x:c r="B205" s="5" t="n">
        <x:v>45365</x:v>
      </x:c>
      <x:c r="C205" s="3" t="str">
        <x:v>CUST-00044</x:v>
      </x:c>
      <x:c r="D205" s="3" t="str">
        <x:v>West</x:v>
      </x:c>
      <x:c r="E205" s="3" t="str">
        <x:v>Electronics</x:v>
      </x:c>
      <x:c r="F205" s="3" t="str">
        <x:v>Laptop</x:v>
      </x:c>
      <x:c r="G205" s="3" t="str">
        <x:v>AirBook Slim</x:v>
      </x:c>
      <x:c r="H205" s="3" t="n">
        <x:v>1</x:v>
      </x:c>
      <x:c r="I205" s="7" t="n">
        <x:v>80607.98</x:v>
      </x:c>
      <x:c r="J205" s="9" t="n">
        <x:v>0.05</x:v>
      </x:c>
      <x:c r="K205" s="7" t="n">
        <x:v>76577.58</x:v>
      </x:c>
      <x:c r="L205" s="7" t="n">
        <x:v>9382.36</x:v>
      </x:c>
      <x:c r="M205" s="3" t="str">
        <x:v>Debit Card</x:v>
      </x:c>
      <x:c r="N205" s="3"/>
      <x:c r="O205" s="3"/>
      <x:c r="P205" s="3"/>
      <x:c r="Q205" s="3"/>
    </x:row>
    <x:row r="206" ht="21" customHeight="1">
      <x:c r="A206" s="3" t="str">
        <x:v>ORD-100382</x:v>
      </x:c>
      <x:c r="B206" s="5" t="n">
        <x:v>45365</x:v>
      </x:c>
      <x:c r="C206" s="3" t="str">
        <x:v>CUST-00441</x:v>
      </x:c>
      <x:c r="D206" s="3" t="str">
        <x:v>East</x:v>
      </x:c>
      <x:c r="E206" s="3" t="str">
        <x:v>Fashion</x:v>
      </x:c>
      <x:c r="F206" s="3" t="str">
        <x:v>Women</x:v>
      </x:c>
      <x:c r="G206" s="3" t="str">
        <x:v>Floral Summer Dress</x:v>
      </x:c>
      <x:c r="H206" s="3" t="n">
        <x:v>1</x:v>
      </x:c>
      <x:c r="I206" s="7" t="n">
        <x:v>1744.33</x:v>
      </x:c>
      <x:c r="J206" s="9" t="n">
        <x:v>0.1</x:v>
      </x:c>
      <x:c r="K206" s="7" t="n">
        <x:v>1569.9</x:v>
      </x:c>
      <x:c r="L206" s="7" t="n">
        <x:v>493.39</x:v>
      </x:c>
      <x:c r="M206" s="3" t="str">
        <x:v>UPI</x:v>
      </x:c>
      <x:c r="N206" s="3"/>
      <x:c r="O206" s="3"/>
      <x:c r="P206" s="3"/>
      <x:c r="Q206" s="3"/>
    </x:row>
    <x:row r="207" ht="21" customHeight="1">
      <x:c r="A207" s="3" t="str">
        <x:v>ORD-101540</x:v>
      </x:c>
      <x:c r="B207" s="5" t="n">
        <x:v>45365</x:v>
      </x:c>
      <x:c r="C207" s="3" t="str">
        <x:v>CUST-00598</x:v>
      </x:c>
      <x:c r="D207" s="3" t="str">
        <x:v>East</x:v>
      </x:c>
      <x:c r="E207" s="3" t="str">
        <x:v>Sports</x:v>
      </x:c>
      <x:c r="F207" s="3" t="str">
        <x:v>Outdoor</x:v>
      </x:c>
      <x:c r="G207" s="3" t="str">
        <x:v>AllWeather Tent 4P</x:v>
      </x:c>
      <x:c r="H207" s="3" t="n">
        <x:v>2</x:v>
      </x:c>
      <x:c r="I207" s="7" t="n">
        <x:v>12020.97</x:v>
      </x:c>
      <x:c r="J207" s="9" t="n">
        <x:v>0</x:v>
      </x:c>
      <x:c r="K207" s="7" t="n">
        <x:v>24041.94</x:v>
      </x:c>
      <x:c r="L207" s="7" t="n">
        <x:v>8388.06</x:v>
      </x:c>
      <x:c r="M207" s="3" t="str">
        <x:v>UPI</x:v>
      </x:c>
      <x:c r="N207" s="3"/>
      <x:c r="O207" s="3"/>
      <x:c r="P207" s="3"/>
      <x:c r="Q207" s="3"/>
    </x:row>
    <x:row r="208" ht="21" customHeight="1">
      <x:c r="A208" s="3" t="str">
        <x:v>ORD-100215</x:v>
      </x:c>
      <x:c r="B208" s="5" t="n">
        <x:v>45366</x:v>
      </x:c>
      <x:c r="C208" s="3" t="str">
        <x:v>CUST-00070</x:v>
      </x:c>
      <x:c r="D208" s="3" t="str">
        <x:v>South</x:v>
      </x:c>
      <x:c r="E208" s="3" t="str">
        <x:v>Beauty</x:v>
      </x:c>
      <x:c r="F208" s="3" t="str">
        <x:v>Skincare</x:v>
      </x:c>
      <x:c r="G208" s="3" t="str">
        <x:v>HydraBoost Moisturizer</x:v>
      </x:c>
      <x:c r="H208" s="3" t="n">
        <x:v>4</x:v>
      </x:c>
      <x:c r="I208" s="7" t="n">
        <x:v>1242.26</x:v>
      </x:c>
      <x:c r="J208" s="9" t="n">
        <x:v>0</x:v>
      </x:c>
      <x:c r="K208" s="7" t="n">
        <x:v>4969.04</x:v>
      </x:c>
      <x:c r="L208" s="7" t="n">
        <x:v>2760.15</x:v>
      </x:c>
      <x:c r="M208" s="3" t="str">
        <x:v>Credit Card</x:v>
      </x:c>
      <x:c r="N208" s="3"/>
      <x:c r="O208" s="3"/>
      <x:c r="P208" s="3"/>
      <x:c r="Q208" s="3"/>
    </x:row>
    <x:row r="209" ht="21" customHeight="1">
      <x:c r="A209" s="3" t="str">
        <x:v>ORD-100240</x:v>
      </x:c>
      <x:c r="B209" s="5" t="n">
        <x:v>45366</x:v>
      </x:c>
      <x:c r="C209" s="3" t="str">
        <x:v>CUST-00406</x:v>
      </x:c>
      <x:c r="D209" s="3" t="str">
        <x:v>South</x:v>
      </x:c>
      <x:c r="E209" s="3" t="str">
        <x:v>Home &amp; Kitchen</x:v>
      </x:c>
      <x:c r="F209" s="3" t="str">
        <x:v>Furniture</x:v>
      </x:c>
      <x:c r="G209" s="3" t="str">
        <x:v>Oakwood Study Desk</x:v>
      </x:c>
      <x:c r="H209" s="3" t="n">
        <x:v>1</x:v>
      </x:c>
      <x:c r="I209" s="7" t="n">
        <x:v>12533.18</x:v>
      </x:c>
      <x:c r="J209" s="9" t="n">
        <x:v>0.15</x:v>
      </x:c>
      <x:c r="K209" s="7" t="n">
        <x:v>10653.2</x:v>
      </x:c>
      <x:c r="L209" s="7" t="n">
        <x:v>1346.28</x:v>
      </x:c>
      <x:c r="M209" s="3" t="str">
        <x:v>UPI</x:v>
      </x:c>
      <x:c r="N209" s="3"/>
      <x:c r="O209" s="3"/>
      <x:c r="P209" s="3"/>
      <x:c r="Q209" s="3"/>
    </x:row>
    <x:row r="210" ht="21" customHeight="1">
      <x:c r="A210" s="3" t="str">
        <x:v>ORD-100306</x:v>
      </x:c>
      <x:c r="B210" s="5" t="n">
        <x:v>45366</x:v>
      </x:c>
      <x:c r="C210" s="3" t="str">
        <x:v>CUST-00515</x:v>
      </x:c>
      <x:c r="D210" s="3" t="str">
        <x:v>North</x:v>
      </x:c>
      <x:c r="E210" s="3" t="str">
        <x:v>Home &amp; Kitchen</x:v>
      </x:c>
      <x:c r="F210" s="3" t="str">
        <x:v>Decor</x:v>
      </x:c>
      <x:c r="G210" s="3" t="str">
        <x:v>LED Wall Lamp</x:v>
      </x:c>
      <x:c r="H210" s="3" t="n">
        <x:v>1</x:v>
      </x:c>
      <x:c r="I210" s="7" t="n">
        <x:v>980.66</x:v>
      </x:c>
      <x:c r="J210" s="9" t="n">
        <x:v>0.05</x:v>
      </x:c>
      <x:c r="K210" s="7" t="n">
        <x:v>931.63</x:v>
      </x:c>
      <x:c r="L210" s="7" t="n">
        <x:v>245.63</x:v>
      </x:c>
      <x:c r="M210" s="3" t="str">
        <x:v>UPI</x:v>
      </x:c>
      <x:c r="N210" s="3"/>
      <x:c r="O210" s="3"/>
      <x:c r="P210" s="3"/>
      <x:c r="Q210" s="3"/>
    </x:row>
    <x:row r="211" ht="21" customHeight="1">
      <x:c r="A211" s="3" t="str">
        <x:v>ORD-100739</x:v>
      </x:c>
      <x:c r="B211" s="5" t="n">
        <x:v>45366</x:v>
      </x:c>
      <x:c r="C211" s="3" t="str">
        <x:v>CUST-00474</x:v>
      </x:c>
      <x:c r="D211" s="3" t="str">
        <x:v>South</x:v>
      </x:c>
      <x:c r="E211" s="3" t="str">
        <x:v>Beauty</x:v>
      </x:c>
      <x:c r="F211" s="3" t="str">
        <x:v>Skincare</x:v>
      </x:c>
      <x:c r="G211" s="3" t="str">
        <x:v>Vitamin C Serum</x:v>
      </x:c>
      <x:c r="H211" s="3" t="n">
        <x:v>2</x:v>
      </x:c>
      <x:c r="I211" s="7" t="n">
        <x:v>867.95</x:v>
      </x:c>
      <x:c r="J211" s="9" t="n">
        <x:v>0.1</x:v>
      </x:c>
      <x:c r="K211" s="7" t="n">
        <x:v>1562.31</x:v>
      </x:c>
      <x:c r="L211" s="7" t="n">
        <x:v>630.27</x:v>
      </x:c>
      <x:c r="M211" s="3" t="str">
        <x:v>Credit Card</x:v>
      </x:c>
      <x:c r="N211" s="3"/>
      <x:c r="O211" s="3"/>
      <x:c r="P211" s="3"/>
      <x:c r="Q211" s="3"/>
    </x:row>
    <x:row r="212" ht="21" customHeight="1">
      <x:c r="A212" s="3" t="str">
        <x:v>ORD-100808</x:v>
      </x:c>
      <x:c r="B212" s="5" t="n">
        <x:v>45366</x:v>
      </x:c>
      <x:c r="C212" s="3" t="str">
        <x:v>CUST-00384</x:v>
      </x:c>
      <x:c r="D212" s="3" t="str">
        <x:v>North</x:v>
      </x:c>
      <x:c r="E212" s="3" t="str">
        <x:v>Fashion</x:v>
      </x:c>
      <x:c r="F212" s="3" t="str">
        <x:v>Men</x:v>
      </x:c>
      <x:c r="G212" s="3" t="str">
        <x:v>SlimFit Denim Jeans</x:v>
      </x:c>
      <x:c r="H212" s="3" t="n">
        <x:v>2</x:v>
      </x:c>
      <x:c r="I212" s="7" t="n">
        <x:v>2093.62</x:v>
      </x:c>
      <x:c r="J212" s="9" t="n">
        <x:v>0.05</x:v>
      </x:c>
      <x:c r="K212" s="7" t="n">
        <x:v>3977.88</x:v>
      </x:c>
      <x:c r="L212" s="7" t="n">
        <x:v>1576.39</x:v>
      </x:c>
      <x:c r="M212" s="3" t="str">
        <x:v>UPI</x:v>
      </x:c>
      <x:c r="N212" s="3"/>
      <x:c r="O212" s="3"/>
      <x:c r="P212" s="3"/>
      <x:c r="Q212" s="3"/>
    </x:row>
    <x:row r="213" ht="21" customHeight="1">
      <x:c r="A213" s="3" t="str">
        <x:v>ORD-101361</x:v>
      </x:c>
      <x:c r="B213" s="5" t="n">
        <x:v>45366</x:v>
      </x:c>
      <x:c r="C213" s="3" t="str">
        <x:v>CUST-00380</x:v>
      </x:c>
      <x:c r="D213" s="3" t="str">
        <x:v>North</x:v>
      </x:c>
      <x:c r="E213" s="3" t="str">
        <x:v>Electronics</x:v>
      </x:c>
      <x:c r="F213" s="3" t="str">
        <x:v>Audio</x:v>
      </x:c>
      <x:c r="G213" s="3" t="str">
        <x:v>SoundPods Pro</x:v>
      </x:c>
      <x:c r="H213" s="3" t="n">
        <x:v>1</x:v>
      </x:c>
      <x:c r="I213" s="7" t="n">
        <x:v>5009.02</x:v>
      </x:c>
      <x:c r="J213" s="9" t="n">
        <x:v>0.1</x:v>
      </x:c>
      <x:c r="K213" s="7" t="n">
        <x:v>4508.12</x:v>
      </x:c>
      <x:c r="L213" s="7" t="n">
        <x:v>341.82</x:v>
      </x:c>
      <x:c r="M213" s="3" t="str">
        <x:v>Credit Card</x:v>
      </x:c>
      <x:c r="N213" s="3"/>
      <x:c r="O213" s="3"/>
      <x:c r="P213" s="3"/>
      <x:c r="Q213" s="3"/>
    </x:row>
    <x:row r="214" ht="21" customHeight="1">
      <x:c r="A214" s="3" t="str">
        <x:v>ORD-100181</x:v>
      </x:c>
      <x:c r="B214" s="5" t="n">
        <x:v>45367</x:v>
      </x:c>
      <x:c r="C214" s="3" t="str">
        <x:v>CUST-00158</x:v>
      </x:c>
      <x:c r="D214" s="3" t="str">
        <x:v>North</x:v>
      </x:c>
      <x:c r="E214" s="3" t="str">
        <x:v>Beauty</x:v>
      </x:c>
      <x:c r="F214" s="3" t="str">
        <x:v>Makeup</x:v>
      </x:c>
      <x:c r="G214" s="3" t="str">
        <x:v>HD Foundation Kit</x:v>
      </x:c>
      <x:c r="H214" s="3" t="n">
        <x:v>1</x:v>
      </x:c>
      <x:c r="I214" s="7" t="n">
        <x:v>1481.02</x:v>
      </x:c>
      <x:c r="J214" s="9" t="n">
        <x:v>0.1</x:v>
      </x:c>
      <x:c r="K214" s="7" t="n">
        <x:v>1332.92</x:v>
      </x:c>
      <x:c r="L214" s="7" t="n">
        <x:v>608.84</x:v>
      </x:c>
      <x:c r="M214" s="3" t="str">
        <x:v>UPI</x:v>
      </x:c>
      <x:c r="N214" s="3"/>
      <x:c r="O214" s="3"/>
      <x:c r="P214" s="3"/>
      <x:c r="Q214" s="3"/>
    </x:row>
    <x:row r="215" ht="21" customHeight="1">
      <x:c r="A215" s="3" t="str">
        <x:v>ORD-100464</x:v>
      </x:c>
      <x:c r="B215" s="5" t="n">
        <x:v>45367</x:v>
      </x:c>
      <x:c r="C215" s="3" t="str">
        <x:v>CUST-00497</x:v>
      </x:c>
      <x:c r="D215" s="3" t="str">
        <x:v>South</x:v>
      </x:c>
      <x:c r="E215" s="3" t="str">
        <x:v>Sports</x:v>
      </x:c>
      <x:c r="F215" s="3" t="str">
        <x:v>Outdoor</x:v>
      </x:c>
      <x:c r="G215" s="3" t="str">
        <x:v>AllWeather Tent 4P</x:v>
      </x:c>
      <x:c r="H215" s="3" t="n">
        <x:v>1</x:v>
      </x:c>
      <x:c r="I215" s="7" t="n">
        <x:v>11789.84</x:v>
      </x:c>
      <x:c r="J215" s="9" t="n">
        <x:v>0.1</x:v>
      </x:c>
      <x:c r="K215" s="7" t="n">
        <x:v>10610.86</x:v>
      </x:c>
      <x:c r="L215" s="7" t="n">
        <x:v>3048.69</x:v>
      </x:c>
      <x:c r="M215" s="3" t="str">
        <x:v>UPI</x:v>
      </x:c>
      <x:c r="N215" s="3"/>
      <x:c r="O215" s="3"/>
      <x:c r="P215" s="3"/>
      <x:c r="Q215" s="3"/>
    </x:row>
    <x:row r="216" ht="21" customHeight="1">
      <x:c r="A216" s="3" t="str">
        <x:v>ORD-100945</x:v>
      </x:c>
      <x:c r="B216" s="5" t="n">
        <x:v>45367</x:v>
      </x:c>
      <x:c r="C216" s="3" t="str">
        <x:v>CUST-00424</x:v>
      </x:c>
      <x:c r="D216" s="3" t="str">
        <x:v>North</x:v>
      </x:c>
      <x:c r="E216" s="3" t="str">
        <x:v>Electronics</x:v>
      </x:c>
      <x:c r="F216" s="3" t="str">
        <x:v>Mobile</x:v>
      </x:c>
      <x:c r="G216" s="3" t="str">
        <x:v>Galaxy Nova X5</x:v>
      </x:c>
      <x:c r="H216" s="3" t="n">
        <x:v>2</x:v>
      </x:c>
      <x:c r="I216" s="7" t="n">
        <x:v>24672.64</x:v>
      </x:c>
      <x:c r="J216" s="9" t="n">
        <x:v>0</x:v>
      </x:c>
      <x:c r="K216" s="7" t="n">
        <x:v>49345.28</x:v>
      </x:c>
      <x:c r="L216" s="7" t="n">
        <x:v>10554.39</x:v>
      </x:c>
      <x:c r="M216" s="3" t="str">
        <x:v>UPI</x:v>
      </x:c>
      <x:c r="N216" s="3"/>
      <x:c r="O216" s="3"/>
      <x:c r="P216" s="3"/>
      <x:c r="Q216" s="3"/>
    </x:row>
    <x:row r="217" ht="21" customHeight="1">
      <x:c r="A217" s="3" t="str">
        <x:v>ORD-101020</x:v>
      </x:c>
      <x:c r="B217" s="5" t="n">
        <x:v>45367</x:v>
      </x:c>
      <x:c r="C217" s="3" t="str">
        <x:v>CUST-00488</x:v>
      </x:c>
      <x:c r="D217" s="3" t="str">
        <x:v>South</x:v>
      </x:c>
      <x:c r="E217" s="3" t="str">
        <x:v>Electronics</x:v>
      </x:c>
      <x:c r="F217" s="3" t="str">
        <x:v>Audio</x:v>
      </x:c>
      <x:c r="G217" s="3" t="str">
        <x:v>SoundPods Pro</x:v>
      </x:c>
      <x:c r="H217" s="3" t="n">
        <x:v>1</x:v>
      </x:c>
      <x:c r="I217" s="7" t="n">
        <x:v>4778.25</x:v>
      </x:c>
      <x:c r="J217" s="9" t="n">
        <x:v>0</x:v>
      </x:c>
      <x:c r="K217" s="7" t="n">
        <x:v>4778.25</x:v>
      </x:c>
      <x:c r="L217" s="7" t="n">
        <x:v>817.09</x:v>
      </x:c>
      <x:c r="M217" s="3" t="str">
        <x:v>Net Banking</x:v>
      </x:c>
      <x:c r="N217" s="3"/>
      <x:c r="O217" s="3"/>
      <x:c r="P217" s="3"/>
      <x:c r="Q217" s="3"/>
    </x:row>
    <x:row r="218" ht="21" customHeight="1">
      <x:c r="A218" s="3" t="str">
        <x:v>ORD-101191</x:v>
      </x:c>
      <x:c r="B218" s="5" t="n">
        <x:v>45367</x:v>
      </x:c>
      <x:c r="C218" s="3" t="str">
        <x:v>CUST-00566</x:v>
      </x:c>
      <x:c r="D218" s="3" t="str">
        <x:v>West</x:v>
      </x:c>
      <x:c r="E218" s="3" t="str">
        <x:v>Beauty</x:v>
      </x:c>
      <x:c r="F218" s="3" t="str">
        <x:v>Skincare</x:v>
      </x:c>
      <x:c r="G218" s="3" t="str">
        <x:v>Vitamin C Serum</x:v>
      </x:c>
      <x:c r="H218" s="3" t="n">
        <x:v>1</x:v>
      </x:c>
      <x:c r="I218" s="7" t="n">
        <x:v>874.89</x:v>
      </x:c>
      <x:c r="J218" s="9" t="n">
        <x:v>0.1</x:v>
      </x:c>
      <x:c r="K218" s="7" t="n">
        <x:v>787.4</x:v>
      </x:c>
      <x:c r="L218" s="7" t="n">
        <x:v>318.99</x:v>
      </x:c>
      <x:c r="M218" s="3" t="str">
        <x:v>Credit Card</x:v>
      </x:c>
      <x:c r="N218" s="3"/>
      <x:c r="O218" s="3"/>
      <x:c r="P218" s="3"/>
      <x:c r="Q218" s="3"/>
    </x:row>
    <x:row r="219" ht="21" customHeight="1">
      <x:c r="A219" s="3" t="str">
        <x:v>ORD-101409</x:v>
      </x:c>
      <x:c r="B219" s="5" t="n">
        <x:v>45367</x:v>
      </x:c>
      <x:c r="C219" s="3" t="str">
        <x:v>CUST-00388</x:v>
      </x:c>
      <x:c r="D219" s="3" t="str">
        <x:v>East</x:v>
      </x:c>
      <x:c r="E219" s="3" t="str">
        <x:v>Sports</x:v>
      </x:c>
      <x:c r="F219" s="3" t="str">
        <x:v>Fitness</x:v>
      </x:c>
      <x:c r="G219" s="3" t="str">
        <x:v>ProYoga Mat</x:v>
      </x:c>
      <x:c r="H219" s="3" t="n">
        <x:v>1</x:v>
      </x:c>
      <x:c r="I219" s="7" t="n">
        <x:v>1237.03</x:v>
      </x:c>
      <x:c r="J219" s="9" t="n">
        <x:v>0</x:v>
      </x:c>
      <x:c r="K219" s="7" t="n">
        <x:v>1237.03</x:v>
      </x:c>
      <x:c r="L219" s="7" t="n">
        <x:v>436.61</x:v>
      </x:c>
      <x:c r="M219" s="3" t="str">
        <x:v>UPI</x:v>
      </x:c>
      <x:c r="N219" s="3"/>
      <x:c r="O219" s="3"/>
      <x:c r="P219" s="3"/>
      <x:c r="Q219" s="3"/>
    </x:row>
    <x:row r="220" ht="21" customHeight="1">
      <x:c r="A220" s="3" t="str">
        <x:v>ORD-101480</x:v>
      </x:c>
      <x:c r="B220" s="5" t="n">
        <x:v>45367</x:v>
      </x:c>
      <x:c r="C220" s="3" t="str">
        <x:v>CUST-00051</x:v>
      </x:c>
      <x:c r="D220" s="3" t="str">
        <x:v>South</x:v>
      </x:c>
      <x:c r="E220" s="3" t="str">
        <x:v>Electronics</x:v>
      </x:c>
      <x:c r="F220" s="3" t="str">
        <x:v>Audio</x:v>
      </x:c>
      <x:c r="G220" s="3" t="str">
        <x:v>BassBoom Speaker</x:v>
      </x:c>
      <x:c r="H220" s="3" t="n">
        <x:v>5</x:v>
      </x:c>
      <x:c r="I220" s="7" t="n">
        <x:v>9176.18</x:v>
      </x:c>
      <x:c r="J220" s="9" t="n">
        <x:v>0</x:v>
      </x:c>
      <x:c r="K220" s="7" t="n">
        <x:v>45880.9</x:v>
      </x:c>
      <x:c r="L220" s="7" t="n">
        <x:v>10029.64</x:v>
      </x:c>
      <x:c r="M220" s="3" t="str">
        <x:v>Debit Card</x:v>
      </x:c>
      <x:c r="N220" s="3"/>
      <x:c r="O220" s="3"/>
      <x:c r="P220" s="3"/>
      <x:c r="Q220" s="3"/>
    </x:row>
    <x:row r="221" ht="21" customHeight="1">
      <x:c r="A221" s="3" t="str">
        <x:v>ORD-100298</x:v>
      </x:c>
      <x:c r="B221" s="5" t="n">
        <x:v>45368</x:v>
      </x:c>
      <x:c r="C221" s="3" t="str">
        <x:v>CUST-00178</x:v>
      </x:c>
      <x:c r="D221" s="3" t="str">
        <x:v>West</x:v>
      </x:c>
      <x:c r="E221" s="3" t="str">
        <x:v>Fashion</x:v>
      </x:c>
      <x:c r="F221" s="3" t="str">
        <x:v>Footwear</x:v>
      </x:c>
      <x:c r="G221" s="3" t="str">
        <x:v>UrbanLoafers</x:v>
      </x:c>
      <x:c r="H221" s="3" t="n">
        <x:v>2</x:v>
      </x:c>
      <x:c r="I221" s="7" t="n">
        <x:v>3535.18</x:v>
      </x:c>
      <x:c r="J221" s="9" t="n">
        <x:v>0.1</x:v>
      </x:c>
      <x:c r="K221" s="7" t="n">
        <x:v>6363.32</x:v>
      </x:c>
      <x:c r="L221" s="7" t="n">
        <x:v>2081.39</x:v>
      </x:c>
      <x:c r="M221" s="3" t="str">
        <x:v>UPI</x:v>
      </x:c>
      <x:c r="N221" s="3"/>
      <x:c r="O221" s="3"/>
      <x:c r="P221" s="3"/>
      <x:c r="Q221" s="3"/>
    </x:row>
    <x:row r="222" ht="21" customHeight="1">
      <x:c r="A222" s="3" t="str">
        <x:v>ORD-100679</x:v>
      </x:c>
      <x:c r="B222" s="5" t="n">
        <x:v>45368</x:v>
      </x:c>
      <x:c r="C222" s="3" t="str">
        <x:v>CUST-00267</x:v>
      </x:c>
      <x:c r="D222" s="3" t="str">
        <x:v>North</x:v>
      </x:c>
      <x:c r="E222" s="3" t="str">
        <x:v>Fashion</x:v>
      </x:c>
      <x:c r="F222" s="3" t="str">
        <x:v>Women</x:v>
      </x:c>
      <x:c r="G222" s="3" t="str">
        <x:v>Floral Summer Dress</x:v>
      </x:c>
      <x:c r="H222" s="3" t="n">
        <x:v>4</x:v>
      </x:c>
      <x:c r="I222" s="7" t="n">
        <x:v>1747.92</x:v>
      </x:c>
      <x:c r="J222" s="9" t="n">
        <x:v>0.1</x:v>
      </x:c>
      <x:c r="K222" s="7" t="n">
        <x:v>6292.51</x:v>
      </x:c>
      <x:c r="L222" s="7" t="n">
        <x:v>1848.27</x:v>
      </x:c>
      <x:c r="M222" s="3" t="str">
        <x:v>Credit Card</x:v>
      </x:c>
      <x:c r="N222" s="3"/>
      <x:c r="O222" s="3"/>
      <x:c r="P222" s="3"/>
      <x:c r="Q222" s="3"/>
    </x:row>
    <x:row r="223" ht="21" customHeight="1">
      <x:c r="A223" s="3" t="str">
        <x:v>ORD-100707</x:v>
      </x:c>
      <x:c r="B223" s="5" t="n">
        <x:v>45368</x:v>
      </x:c>
      <x:c r="C223" s="3" t="str">
        <x:v>CUST-00522</x:v>
      </x:c>
      <x:c r="D223" s="3" t="str">
        <x:v>East</x:v>
      </x:c>
      <x:c r="E223" s="3" t="str">
        <x:v>Home &amp; Kitchen</x:v>
      </x:c>
      <x:c r="F223" s="3" t="str">
        <x:v>Furniture</x:v>
      </x:c>
      <x:c r="G223" s="3" t="str">
        <x:v>Oakwood Study Desk</x:v>
      </x:c>
      <x:c r="H223" s="3" t="n">
        <x:v>3</x:v>
      </x:c>
      <x:c r="I223" s="7" t="n">
        <x:v>13311.91</x:v>
      </x:c>
      <x:c r="J223" s="9" t="n">
        <x:v>0.1</x:v>
      </x:c>
      <x:c r="K223" s="7" t="n">
        <x:v>35942.16</x:v>
      </x:c>
      <x:c r="L223" s="7" t="n">
        <x:v>7432.82</x:v>
      </x:c>
      <x:c r="M223" s="3" t="str">
        <x:v>Net Banking</x:v>
      </x:c>
      <x:c r="N223" s="3"/>
      <x:c r="O223" s="3"/>
      <x:c r="P223" s="3"/>
      <x:c r="Q223" s="3"/>
    </x:row>
    <x:row r="224" ht="21" customHeight="1">
      <x:c r="A224" s="3" t="str">
        <x:v>ORD-100766</x:v>
      </x:c>
      <x:c r="B224" s="5" t="n">
        <x:v>45368</x:v>
      </x:c>
      <x:c r="C224" s="3" t="str">
        <x:v>CUST-00432</x:v>
      </x:c>
      <x:c r="D224" s="3" t="str">
        <x:v>West</x:v>
      </x:c>
      <x:c r="E224" s="3" t="str">
        <x:v>Home &amp; Kitchen</x:v>
      </x:c>
      <x:c r="F224" s="3" t="str">
        <x:v>Appliances</x:v>
      </x:c>
      <x:c r="G224" s="3" t="str">
        <x:v>AirFryer Deluxe</x:v>
      </x:c>
      <x:c r="H224" s="3" t="n">
        <x:v>1</x:v>
      </x:c>
      <x:c r="I224" s="7" t="n">
        <x:v>7821.46</x:v>
      </x:c>
      <x:c r="J224" s="9" t="n">
        <x:v>0</x:v>
      </x:c>
      <x:c r="K224" s="7" t="n">
        <x:v>7821.46</x:v>
      </x:c>
      <x:c r="L224" s="7" t="n">
        <x:v>2648.6</x:v>
      </x:c>
      <x:c r="M224" s="3" t="str">
        <x:v>Net Banking</x:v>
      </x:c>
      <x:c r="N224" s="3"/>
      <x:c r="O224" s="3"/>
      <x:c r="P224" s="3"/>
      <x:c r="Q224" s="3"/>
    </x:row>
    <x:row r="225" ht="21" customHeight="1">
      <x:c r="A225" s="3" t="str">
        <x:v>ORD-101364</x:v>
      </x:c>
      <x:c r="B225" s="5" t="n">
        <x:v>45368</x:v>
      </x:c>
      <x:c r="C225" s="3" t="str">
        <x:v>CUST-00565</x:v>
      </x:c>
      <x:c r="D225" s="3" t="str">
        <x:v>North</x:v>
      </x:c>
      <x:c r="E225" s="3" t="str">
        <x:v>Electronics</x:v>
      </x:c>
      <x:c r="F225" s="3" t="str">
        <x:v>Laptop</x:v>
      </x:c>
      <x:c r="G225" s="3" t="str">
        <x:v>AirBook Slim</x:v>
      </x:c>
      <x:c r="H225" s="3" t="n">
        <x:v>1</x:v>
      </x:c>
      <x:c r="I225" s="7" t="n">
        <x:v>80349.6</x:v>
      </x:c>
      <x:c r="J225" s="9" t="n">
        <x:v>0.15</x:v>
      </x:c>
      <x:c r="K225" s="7" t="n">
        <x:v>68297.16</x:v>
      </x:c>
      <x:c r="L225" s="7" t="n">
        <x:v>-1465.82</x:v>
      </x:c>
      <x:c r="M225" s="3" t="str">
        <x:v>Credit Card</x:v>
      </x:c>
      <x:c r="N225" s="3"/>
      <x:c r="O225" s="3"/>
      <x:c r="P225" s="3"/>
      <x:c r="Q225" s="3"/>
    </x:row>
    <x:row r="226" ht="21" customHeight="1">
      <x:c r="A226" s="3" t="str">
        <x:v>ORD-101503</x:v>
      </x:c>
      <x:c r="B226" s="5" t="n">
        <x:v>45368</x:v>
      </x:c>
      <x:c r="C226" s="3" t="str">
        <x:v>CUST-00518</x:v>
      </x:c>
      <x:c r="D226" s="3" t="str">
        <x:v>East</x:v>
      </x:c>
      <x:c r="E226" s="3" t="str">
        <x:v>Beauty</x:v>
      </x:c>
      <x:c r="F226" s="3" t="str">
        <x:v>Makeup</x:v>
      </x:c>
      <x:c r="G226" s="3" t="str">
        <x:v>Matte Lipstick Set</x:v>
      </x:c>
      <x:c r="H226" s="3" t="n">
        <x:v>1</x:v>
      </x:c>
      <x:c r="I226" s="7" t="n">
        <x:v>992.41</x:v>
      </x:c>
      <x:c r="J226" s="9" t="n">
        <x:v>0</x:v>
      </x:c>
      <x:c r="K226" s="7" t="n">
        <x:v>992.41</x:v>
      </x:c>
      <x:c r="L226" s="7" t="n">
        <x:v>530.32</x:v>
      </x:c>
      <x:c r="M226" s="3" t="str">
        <x:v>UPI</x:v>
      </x:c>
      <x:c r="N226" s="3"/>
      <x:c r="O226" s="3"/>
      <x:c r="P226" s="3"/>
      <x:c r="Q226" s="3"/>
    </x:row>
    <x:row r="227" ht="21" customHeight="1">
      <x:c r="A227" s="3" t="str">
        <x:v>ORD-101666</x:v>
      </x:c>
      <x:c r="B227" s="5" t="n">
        <x:v>45368</x:v>
      </x:c>
      <x:c r="C227" s="3" t="str">
        <x:v>CUST-00087</x:v>
      </x:c>
      <x:c r="D227" s="3" t="str">
        <x:v>West</x:v>
      </x:c>
      <x:c r="E227" s="3" t="str">
        <x:v>Home &amp; Kitchen</x:v>
      </x:c>
      <x:c r="F227" s="3" t="str">
        <x:v>Decor</x:v>
      </x:c>
      <x:c r="G227" s="3" t="str">
        <x:v>Ceramic Vase Set</x:v>
      </x:c>
      <x:c r="H227" s="3" t="n">
        <x:v>5</x:v>
      </x:c>
      <x:c r="I227" s="7" t="n">
        <x:v>1453.16</x:v>
      </x:c>
      <x:c r="J227" s="9" t="n">
        <x:v>0.05</x:v>
      </x:c>
      <x:c r="K227" s="7" t="n">
        <x:v>6902.51</x:v>
      </x:c>
      <x:c r="L227" s="7" t="n">
        <x:v>1641.69</x:v>
      </x:c>
      <x:c r="M227" s="3" t="str">
        <x:v>Credit Card</x:v>
      </x:c>
      <x:c r="N227" s="3"/>
      <x:c r="O227" s="3"/>
      <x:c r="P227" s="3"/>
      <x:c r="Q227" s="3"/>
    </x:row>
    <x:row r="228" ht="21" customHeight="1">
      <x:c r="A228" s="3" t="str">
        <x:v>ORD-101857</x:v>
      </x:c>
      <x:c r="B228" s="5" t="n">
        <x:v>45368</x:v>
      </x:c>
      <x:c r="C228" s="3" t="str">
        <x:v>CUST-00373</x:v>
      </x:c>
      <x:c r="D228" s="3" t="str">
        <x:v>North</x:v>
      </x:c>
      <x:c r="E228" s="3" t="str">
        <x:v>Sports</x:v>
      </x:c>
      <x:c r="F228" s="3" t="str">
        <x:v>Outdoor</x:v>
      </x:c>
      <x:c r="G228" s="3" t="str">
        <x:v>TrailHike Backpack 60L</x:v>
      </x:c>
      <x:c r="H228" s="3" t="n">
        <x:v>1</x:v>
      </x:c>
      <x:c r="I228" s="7" t="n">
        <x:v>3412.67</x:v>
      </x:c>
      <x:c r="J228" s="9" t="n">
        <x:v>0.05</x:v>
      </x:c>
      <x:c r="K228" s="7" t="n">
        <x:v>3242.04</x:v>
      </x:c>
      <x:c r="L228" s="7" t="n">
        <x:v>1005.2</x:v>
      </x:c>
      <x:c r="M228" s="3" t="str">
        <x:v>UPI</x:v>
      </x:c>
      <x:c r="N228" s="3"/>
      <x:c r="O228" s="3"/>
      <x:c r="P228" s="3"/>
      <x:c r="Q228" s="3"/>
    </x:row>
    <x:row r="229" ht="21" customHeight="1">
      <x:c r="A229" s="3" t="str">
        <x:v>ORD-100987</x:v>
      </x:c>
      <x:c r="B229" s="5" t="n">
        <x:v>45369</x:v>
      </x:c>
      <x:c r="C229" s="3" t="str">
        <x:v>CUST-00093</x:v>
      </x:c>
      <x:c r="D229" s="3" t="str">
        <x:v>South</x:v>
      </x:c>
      <x:c r="E229" s="3" t="str">
        <x:v>Fashion</x:v>
      </x:c>
      <x:c r="F229" s="3" t="str">
        <x:v>Footwear</x:v>
      </x:c>
      <x:c r="G229" s="3" t="str">
        <x:v>UrbanLoafers</x:v>
      </x:c>
      <x:c r="H229" s="3" t="n">
        <x:v>4</x:v>
      </x:c>
      <x:c r="I229" s="7" t="n">
        <x:v>3520.16</x:v>
      </x:c>
      <x:c r="J229" s="9" t="n">
        <x:v>0.15</x:v>
      </x:c>
      <x:c r="K229" s="7" t="n">
        <x:v>11968.54</x:v>
      </x:c>
      <x:c r="L229" s="7" t="n">
        <x:v>3208.07</x:v>
      </x:c>
      <x:c r="M229" s="3" t="str">
        <x:v>UPI</x:v>
      </x:c>
      <x:c r="N229" s="3"/>
      <x:c r="O229" s="3"/>
      <x:c r="P229" s="3"/>
      <x:c r="Q229" s="3"/>
    </x:row>
    <x:row r="230" ht="21" customHeight="1">
      <x:c r="A230" s="3" t="str">
        <x:v>ORD-101038</x:v>
      </x:c>
      <x:c r="B230" s="5" t="n">
        <x:v>45369</x:v>
      </x:c>
      <x:c r="C230" s="3" t="str">
        <x:v>CUST-00014</x:v>
      </x:c>
      <x:c r="D230" s="3" t="str">
        <x:v>North</x:v>
      </x:c>
      <x:c r="E230" s="3" t="str">
        <x:v>Electronics</x:v>
      </x:c>
      <x:c r="F230" s="3" t="str">
        <x:v>Mobile</x:v>
      </x:c>
      <x:c r="G230" s="3" t="str">
        <x:v>Galaxy Nova X5</x:v>
      </x:c>
      <x:c r="H230" s="3" t="n">
        <x:v>1</x:v>
      </x:c>
      <x:c r="I230" s="7" t="n">
        <x:v>23911.44</x:v>
      </x:c>
      <x:c r="J230" s="9" t="n">
        <x:v>0</x:v>
      </x:c>
      <x:c r="K230" s="7" t="n">
        <x:v>23911.44</x:v>
      </x:c>
      <x:c r="L230" s="7" t="n">
        <x:v>4441.61</x:v>
      </x:c>
      <x:c r="M230" s="3" t="str">
        <x:v>UPI</x:v>
      </x:c>
      <x:c r="N230" s="3"/>
      <x:c r="O230" s="3"/>
      <x:c r="P230" s="3"/>
      <x:c r="Q230" s="3"/>
    </x:row>
    <x:row r="231" ht="21" customHeight="1">
      <x:c r="A231" s="3" t="str">
        <x:v>ORD-101042</x:v>
      </x:c>
      <x:c r="B231" s="5" t="n">
        <x:v>45369</x:v>
      </x:c>
      <x:c r="C231" s="3" t="str">
        <x:v>CUST-00330</x:v>
      </x:c>
      <x:c r="D231" s="3" t="str">
        <x:v>North</x:v>
      </x:c>
      <x:c r="E231" s="3" t="str">
        <x:v>Electronics</x:v>
      </x:c>
      <x:c r="F231" s="3" t="str">
        <x:v>Mobile</x:v>
      </x:c>
      <x:c r="G231" s="3" t="str">
        <x:v>Galaxy Nova X5</x:v>
      </x:c>
      <x:c r="H231" s="3" t="n">
        <x:v>5</x:v>
      </x:c>
      <x:c r="I231" s="7" t="n">
        <x:v>25944.4</x:v>
      </x:c>
      <x:c r="J231" s="9" t="n">
        <x:v>0</x:v>
      </x:c>
      <x:c r="K231" s="7" t="n">
        <x:v>129722</x:v>
      </x:c>
      <x:c r="L231" s="7" t="n">
        <x:v>24132.8</x:v>
      </x:c>
      <x:c r="M231" s="3" t="str">
        <x:v>UPI</x:v>
      </x:c>
      <x:c r="N231" s="3"/>
      <x:c r="O231" s="3"/>
      <x:c r="P231" s="3"/>
      <x:c r="Q231" s="3"/>
    </x:row>
    <x:row r="232" ht="21" customHeight="1">
      <x:c r="A232" s="3" t="str">
        <x:v>ORD-100819</x:v>
      </x:c>
      <x:c r="B232" s="5" t="n">
        <x:v>45370</x:v>
      </x:c>
      <x:c r="C232" s="3" t="str">
        <x:v>CUST-00450</x:v>
      </x:c>
      <x:c r="D232" s="3" t="str">
        <x:v>East</x:v>
      </x:c>
      <x:c r="E232" s="3" t="str">
        <x:v>Beauty</x:v>
      </x:c>
      <x:c r="F232" s="3" t="str">
        <x:v>Makeup</x:v>
      </x:c>
      <x:c r="G232" s="3" t="str">
        <x:v>HD Foundation Kit</x:v>
      </x:c>
      <x:c r="H232" s="3" t="n">
        <x:v>1</x:v>
      </x:c>
      <x:c r="I232" s="7" t="n">
        <x:v>1432.73</x:v>
      </x:c>
      <x:c r="J232" s="9" t="n">
        <x:v>0.05</x:v>
      </x:c>
      <x:c r="K232" s="7" t="n">
        <x:v>1361.09</x:v>
      </x:c>
      <x:c r="L232" s="7" t="n">
        <x:v>641.16</x:v>
      </x:c>
      <x:c r="M232" s="3" t="str">
        <x:v>UPI</x:v>
      </x:c>
      <x:c r="N232" s="3"/>
      <x:c r="O232" s="3"/>
      <x:c r="P232" s="3"/>
      <x:c r="Q232" s="3"/>
    </x:row>
    <x:row r="233" ht="21" customHeight="1">
      <x:c r="A233" s="3" t="str">
        <x:v>ORD-100860</x:v>
      </x:c>
      <x:c r="B233" s="5" t="n">
        <x:v>45370</x:v>
      </x:c>
      <x:c r="C233" s="3" t="str">
        <x:v>CUST-00426</x:v>
      </x:c>
      <x:c r="D233" s="3" t="str">
        <x:v>North</x:v>
      </x:c>
      <x:c r="E233" s="3" t="str">
        <x:v>Electronics</x:v>
      </x:c>
      <x:c r="F233" s="3" t="str">
        <x:v>Mobile</x:v>
      </x:c>
      <x:c r="G233" s="3" t="str">
        <x:v>Pixel Aura 12</x:v>
      </x:c>
      <x:c r="H233" s="3" t="n">
        <x:v>1</x:v>
      </x:c>
      <x:c r="I233" s="7" t="n">
        <x:v>33897.93</x:v>
      </x:c>
      <x:c r="J233" s="9" t="n">
        <x:v>0</x:v>
      </x:c>
      <x:c r="K233" s="7" t="n">
        <x:v>33897.93</x:v>
      </x:c>
      <x:c r="L233" s="7" t="n">
        <x:v>5416.37</x:v>
      </x:c>
      <x:c r="M233" s="3" t="str">
        <x:v>UPI</x:v>
      </x:c>
      <x:c r="N233" s="3"/>
      <x:c r="O233" s="3"/>
      <x:c r="P233" s="3"/>
      <x:c r="Q233" s="3"/>
    </x:row>
    <x:row r="234" ht="21" customHeight="1">
      <x:c r="A234" s="3" t="str">
        <x:v>ORD-101611</x:v>
      </x:c>
      <x:c r="B234" s="5" t="n">
        <x:v>45370</x:v>
      </x:c>
      <x:c r="C234" s="3" t="str">
        <x:v>CUST-00449</x:v>
      </x:c>
      <x:c r="D234" s="3" t="str">
        <x:v>South</x:v>
      </x:c>
      <x:c r="E234" s="3" t="str">
        <x:v>Beauty</x:v>
      </x:c>
      <x:c r="F234" s="3" t="str">
        <x:v>Makeup</x:v>
      </x:c>
      <x:c r="G234" s="3" t="str">
        <x:v>Matte Lipstick Set</x:v>
      </x:c>
      <x:c r="H234" s="3" t="n">
        <x:v>2</x:v>
      </x:c>
      <x:c r="I234" s="7" t="n">
        <x:v>1046.77</x:v>
      </x:c>
      <x:c r="J234" s="9" t="n">
        <x:v>0</x:v>
      </x:c>
      <x:c r="K234" s="7" t="n">
        <x:v>2093.54</x:v>
      </x:c>
      <x:c r="L234" s="7" t="n">
        <x:v>1145.86</x:v>
      </x:c>
      <x:c r="M234" s="3" t="str">
        <x:v>Net Banking</x:v>
      </x:c>
      <x:c r="N234" s="3"/>
      <x:c r="O234" s="3"/>
      <x:c r="P234" s="3"/>
      <x:c r="Q234" s="3"/>
    </x:row>
    <x:row r="235" ht="21" customHeight="1">
      <x:c r="A235" s="3" t="str">
        <x:v>ORD-100832</x:v>
      </x:c>
      <x:c r="B235" s="5" t="n">
        <x:v>45371</x:v>
      </x:c>
      <x:c r="C235" s="3" t="str">
        <x:v>CUST-00334</x:v>
      </x:c>
      <x:c r="D235" s="3" t="str">
        <x:v>South</x:v>
      </x:c>
      <x:c r="E235" s="3" t="str">
        <x:v>Home &amp; Kitchen</x:v>
      </x:c>
      <x:c r="F235" s="3" t="str">
        <x:v>Furniture</x:v>
      </x:c>
      <x:c r="G235" s="3" t="str">
        <x:v>ErgoComfort Chair</x:v>
      </x:c>
      <x:c r="H235" s="3" t="n">
        <x:v>1</x:v>
      </x:c>
      <x:c r="I235" s="7" t="n">
        <x:v>8760.25</x:v>
      </x:c>
      <x:c r="J235" s="9" t="n">
        <x:v>0</x:v>
      </x:c>
      <x:c r="K235" s="7" t="n">
        <x:v>8760.25</x:v>
      </x:c>
      <x:c r="L235" s="7" t="n">
        <x:v>2616.98</x:v>
      </x:c>
      <x:c r="M235" s="3" t="str">
        <x:v>UPI</x:v>
      </x:c>
      <x:c r="N235" s="3"/>
      <x:c r="O235" s="3"/>
      <x:c r="P235" s="3"/>
      <x:c r="Q235" s="3"/>
    </x:row>
    <x:row r="236" ht="21" customHeight="1">
      <x:c r="A236" s="3" t="str">
        <x:v>ORD-100867</x:v>
      </x:c>
      <x:c r="B236" s="5" t="n">
        <x:v>45371</x:v>
      </x:c>
      <x:c r="C236" s="3" t="str">
        <x:v>CUST-00014</x:v>
      </x:c>
      <x:c r="D236" s="3" t="str">
        <x:v>North</x:v>
      </x:c>
      <x:c r="E236" s="3" t="str">
        <x:v>Fashion</x:v>
      </x:c>
      <x:c r="F236" s="3" t="str">
        <x:v>Women</x:v>
      </x:c>
      <x:c r="G236" s="3" t="str">
        <x:v>Knit Winter Sweater</x:v>
      </x:c>
      <x:c r="H236" s="3" t="n">
        <x:v>2</x:v>
      </x:c>
      <x:c r="I236" s="7" t="n">
        <x:v>2277.87</x:v>
      </x:c>
      <x:c r="J236" s="9" t="n">
        <x:v>0.05</x:v>
      </x:c>
      <x:c r="K236" s="7" t="n">
        <x:v>4327.95</x:v>
      </x:c>
      <x:c r="L236" s="7" t="n">
        <x:v>1739.49</x:v>
      </x:c>
      <x:c r="M236" s="3" t="str">
        <x:v>UPI</x:v>
      </x:c>
      <x:c r="N236" s="3"/>
      <x:c r="O236" s="3"/>
      <x:c r="P236" s="3"/>
      <x:c r="Q236" s="3"/>
    </x:row>
    <x:row r="237" ht="21" customHeight="1">
      <x:c r="A237" s="3" t="str">
        <x:v>ORD-101763</x:v>
      </x:c>
      <x:c r="B237" s="5" t="n">
        <x:v>45371</x:v>
      </x:c>
      <x:c r="C237" s="3" t="str">
        <x:v>CUST-00519</x:v>
      </x:c>
      <x:c r="D237" s="3" t="str">
        <x:v>East</x:v>
      </x:c>
      <x:c r="E237" s="3" t="str">
        <x:v>Electronics</x:v>
      </x:c>
      <x:c r="F237" s="3" t="str">
        <x:v>Audio</x:v>
      </x:c>
      <x:c r="G237" s="3" t="str">
        <x:v>SoundPods Pro</x:v>
      </x:c>
      <x:c r="H237" s="3" t="n">
        <x:v>5</x:v>
      </x:c>
      <x:c r="I237" s="7" t="n">
        <x:v>5034.36</x:v>
      </x:c>
      <x:c r="J237" s="9" t="n">
        <x:v>0.1</x:v>
      </x:c>
      <x:c r="K237" s="7" t="n">
        <x:v>22654.62</x:v>
      </x:c>
      <x:c r="L237" s="7" t="n">
        <x:v>1444.29</x:v>
      </x:c>
      <x:c r="M237" s="3" t="str">
        <x:v>Credit Card</x:v>
      </x:c>
      <x:c r="N237" s="3"/>
      <x:c r="O237" s="3"/>
      <x:c r="P237" s="3"/>
      <x:c r="Q237" s="3"/>
    </x:row>
    <x:row r="238" ht="21" customHeight="1">
      <x:c r="A238" s="3" t="str">
        <x:v>ORD-100496</x:v>
      </x:c>
      <x:c r="B238" s="5" t="n">
        <x:v>45372</x:v>
      </x:c>
      <x:c r="C238" s="3" t="str">
        <x:v>CUST-00115</x:v>
      </x:c>
      <x:c r="D238" s="3" t="str">
        <x:v>North</x:v>
      </x:c>
      <x:c r="E238" s="3" t="str">
        <x:v>Electronics</x:v>
      </x:c>
      <x:c r="F238" s="3" t="str">
        <x:v>Audio</x:v>
      </x:c>
      <x:c r="G238" s="3" t="str">
        <x:v>SoundPods Pro</x:v>
      </x:c>
      <x:c r="H238" s="3" t="n">
        <x:v>1</x:v>
      </x:c>
      <x:c r="I238" s="7" t="n">
        <x:v>4820.22</x:v>
      </x:c>
      <x:c r="J238" s="9" t="n">
        <x:v>0.2</x:v>
      </x:c>
      <x:c r="K238" s="7" t="n">
        <x:v>3856.18</x:v>
      </x:c>
      <x:c r="L238" s="7" t="n">
        <x:v>-277.16</x:v>
      </x:c>
      <x:c r="M238" s="3" t="str">
        <x:v>UPI</x:v>
      </x:c>
      <x:c r="N238" s="3"/>
      <x:c r="O238" s="3"/>
      <x:c r="P238" s="3"/>
      <x:c r="Q238" s="3"/>
    </x:row>
    <x:row r="239" ht="21" customHeight="1">
      <x:c r="A239" s="3" t="str">
        <x:v>ORD-100908</x:v>
      </x:c>
      <x:c r="B239" s="5" t="n">
        <x:v>45372</x:v>
      </x:c>
      <x:c r="C239" s="3" t="str">
        <x:v>CUST-00310</x:v>
      </x:c>
      <x:c r="D239" s="3" t="str">
        <x:v>North</x:v>
      </x:c>
      <x:c r="E239" s="3" t="str">
        <x:v>Electronics</x:v>
      </x:c>
      <x:c r="F239" s="3" t="str">
        <x:v>Laptop</x:v>
      </x:c>
      <x:c r="G239" s="3" t="str">
        <x:v>AirBook Slim</x:v>
      </x:c>
      <x:c r="H239" s="3" t="n">
        <x:v>1</x:v>
      </x:c>
      <x:c r="I239" s="7" t="n">
        <x:v>80767.08</x:v>
      </x:c>
      <x:c r="J239" s="9" t="n">
        <x:v>0.1</x:v>
      </x:c>
      <x:c r="K239" s="7" t="n">
        <x:v>72690.37</x:v>
      </x:c>
      <x:c r="L239" s="7" t="n">
        <x:v>6542</x:v>
      </x:c>
      <x:c r="M239" s="3" t="str">
        <x:v>Credit Card</x:v>
      </x:c>
      <x:c r="N239" s="3"/>
      <x:c r="O239" s="3"/>
      <x:c r="P239" s="3"/>
      <x:c r="Q239" s="3"/>
    </x:row>
    <x:row r="240" ht="21" customHeight="1">
      <x:c r="A240" s="3" t="str">
        <x:v>ORD-101164</x:v>
      </x:c>
      <x:c r="B240" s="5" t="n">
        <x:v>45372</x:v>
      </x:c>
      <x:c r="C240" s="3" t="str">
        <x:v>CUST-00284</x:v>
      </x:c>
      <x:c r="D240" s="3" t="str">
        <x:v>East</x:v>
      </x:c>
      <x:c r="E240" s="3" t="str">
        <x:v>Home &amp; Kitchen</x:v>
      </x:c>
      <x:c r="F240" s="3" t="str">
        <x:v>Furniture</x:v>
      </x:c>
      <x:c r="G240" s="3" t="str">
        <x:v>Oakwood Study Desk</x:v>
      </x:c>
      <x:c r="H240" s="3" t="n">
        <x:v>5</x:v>
      </x:c>
      <x:c r="I240" s="7" t="n">
        <x:v>12762.82</x:v>
      </x:c>
      <x:c r="J240" s="9" t="n">
        <x:v>0.15</x:v>
      </x:c>
      <x:c r="K240" s="7" t="n">
        <x:v>54241.99</x:v>
      </x:c>
      <x:c r="L240" s="7" t="n">
        <x:v>6910.33</x:v>
      </x:c>
      <x:c r="M240" s="3" t="str">
        <x:v>Credit Card</x:v>
      </x:c>
      <x:c r="N240" s="3"/>
      <x:c r="O240" s="3"/>
      <x:c r="P240" s="3"/>
      <x:c r="Q240" s="3"/>
    </x:row>
    <x:row r="241" ht="21" customHeight="1">
      <x:c r="A241" s="3" t="str">
        <x:v>ORD-101549</x:v>
      </x:c>
      <x:c r="B241" s="5" t="n">
        <x:v>45372</x:v>
      </x:c>
      <x:c r="C241" s="3" t="str">
        <x:v>CUST-00358</x:v>
      </x:c>
      <x:c r="D241" s="3" t="str">
        <x:v>East</x:v>
      </x:c>
      <x:c r="E241" s="3" t="str">
        <x:v>Home &amp; Kitchen</x:v>
      </x:c>
      <x:c r="F241" s="3" t="str">
        <x:v>Furniture</x:v>
      </x:c>
      <x:c r="G241" s="3" t="str">
        <x:v>ErgoComfort Chair</x:v>
      </x:c>
      <x:c r="H241" s="3" t="n">
        <x:v>1</x:v>
      </x:c>
      <x:c r="I241" s="7" t="n">
        <x:v>8857.94</x:v>
      </x:c>
      <x:c r="J241" s="9" t="n">
        <x:v>0</x:v>
      </x:c>
      <x:c r="K241" s="7" t="n">
        <x:v>8857.94</x:v>
      </x:c>
      <x:c r="L241" s="7" t="n">
        <x:v>3062.83</x:v>
      </x:c>
      <x:c r="M241" s="3" t="str">
        <x:v>Credit Card</x:v>
      </x:c>
      <x:c r="N241" s="3"/>
      <x:c r="O241" s="3"/>
      <x:c r="P241" s="3"/>
      <x:c r="Q241" s="3"/>
    </x:row>
    <x:row r="242" ht="21" customHeight="1">
      <x:c r="A242" s="3" t="str">
        <x:v>ORD-101730</x:v>
      </x:c>
      <x:c r="B242" s="5" t="n">
        <x:v>45372</x:v>
      </x:c>
      <x:c r="C242" s="3" t="str">
        <x:v>CUST-00149</x:v>
      </x:c>
      <x:c r="D242" s="3" t="str">
        <x:v>North</x:v>
      </x:c>
      <x:c r="E242" s="3" t="str">
        <x:v>Sports</x:v>
      </x:c>
      <x:c r="F242" s="3" t="str">
        <x:v>Fitness</x:v>
      </x:c>
      <x:c r="G242" s="3" t="str">
        <x:v>ProYoga Mat</x:v>
      </x:c>
      <x:c r="H242" s="3" t="n">
        <x:v>1</x:v>
      </x:c>
      <x:c r="I242" s="7" t="n">
        <x:v>1249.31</x:v>
      </x:c>
      <x:c r="J242" s="9" t="n">
        <x:v>0.1</x:v>
      </x:c>
      <x:c r="K242" s="7" t="n">
        <x:v>1124.38</x:v>
      </x:c>
      <x:c r="L242" s="7" t="n">
        <x:v>315.89</x:v>
      </x:c>
      <x:c r="M242" s="3" t="str">
        <x:v>Debit Card</x:v>
      </x:c>
      <x:c r="N242" s="3"/>
      <x:c r="O242" s="3"/>
      <x:c r="P242" s="3"/>
      <x:c r="Q242" s="3"/>
    </x:row>
    <x:row r="243" ht="21" customHeight="1">
      <x:c r="A243" s="3" t="str">
        <x:v>ORD-100370</x:v>
      </x:c>
      <x:c r="B243" s="5" t="n">
        <x:v>45373</x:v>
      </x:c>
      <x:c r="C243" s="3" t="str">
        <x:v>CUST-00063</x:v>
      </x:c>
      <x:c r="D243" s="3" t="str">
        <x:v>South</x:v>
      </x:c>
      <x:c r="E243" s="3" t="str">
        <x:v>Electronics</x:v>
      </x:c>
      <x:c r="F243" s="3" t="str">
        <x:v>Laptop</x:v>
      </x:c>
      <x:c r="G243" s="3" t="str">
        <x:v>ThinkPro 14</x:v>
      </x:c>
      <x:c r="H243" s="3" t="n">
        <x:v>2</x:v>
      </x:c>
      <x:c r="I243" s="7" t="n">
        <x:v>57365.12</x:v>
      </x:c>
      <x:c r="J243" s="9" t="n">
        <x:v>0</x:v>
      </x:c>
      <x:c r="K243" s="7" t="n">
        <x:v>114730.24</x:v>
      </x:c>
      <x:c r="L243" s="7" t="n">
        <x:v>17978.12</x:v>
      </x:c>
      <x:c r="M243" s="3" t="str">
        <x:v>Net Banking</x:v>
      </x:c>
      <x:c r="N243" s="3"/>
      <x:c r="O243" s="3"/>
      <x:c r="P243" s="3"/>
      <x:c r="Q243" s="3"/>
    </x:row>
    <x:row r="244" ht="21" customHeight="1">
      <x:c r="A244" s="3" t="str">
        <x:v>ORD-100903</x:v>
      </x:c>
      <x:c r="B244" s="5" t="n">
        <x:v>45373</x:v>
      </x:c>
      <x:c r="C244" s="3" t="str">
        <x:v>CUST-00346</x:v>
      </x:c>
      <x:c r="D244" s="3" t="str">
        <x:v>North</x:v>
      </x:c>
      <x:c r="E244" s="3" t="str">
        <x:v>Beauty</x:v>
      </x:c>
      <x:c r="F244" s="3" t="str">
        <x:v>Makeup</x:v>
      </x:c>
      <x:c r="G244" s="3" t="str">
        <x:v>HD Foundation Kit</x:v>
      </x:c>
      <x:c r="H244" s="3" t="n">
        <x:v>2</x:v>
      </x:c>
      <x:c r="I244" s="7" t="n">
        <x:v>1569.72</x:v>
      </x:c>
      <x:c r="J244" s="9" t="n">
        <x:v>0.2</x:v>
      </x:c>
      <x:c r="K244" s="7" t="n">
        <x:v>2511.55</x:v>
      </x:c>
      <x:c r="L244" s="7" t="n">
        <x:v>725.67</x:v>
      </x:c>
      <x:c r="M244" s="3" t="str">
        <x:v>Credit Card</x:v>
      </x:c>
      <x:c r="N244" s="3"/>
      <x:c r="O244" s="3"/>
      <x:c r="P244" s="3"/>
      <x:c r="Q244" s="3"/>
    </x:row>
    <x:row r="245" ht="21" customHeight="1">
      <x:c r="A245" s="3" t="str">
        <x:v>ORD-101040</x:v>
      </x:c>
      <x:c r="B245" s="5" t="n">
        <x:v>45373</x:v>
      </x:c>
      <x:c r="C245" s="3" t="str">
        <x:v>CUST-00543</x:v>
      </x:c>
      <x:c r="D245" s="3" t="str">
        <x:v>East</x:v>
      </x:c>
      <x:c r="E245" s="3" t="str">
        <x:v>Fashion</x:v>
      </x:c>
      <x:c r="F245" s="3" t="str">
        <x:v>Men</x:v>
      </x:c>
      <x:c r="G245" s="3" t="str">
        <x:v>SlimFit Denim Jeans</x:v>
      </x:c>
      <x:c r="H245" s="3" t="n">
        <x:v>1</x:v>
      </x:c>
      <x:c r="I245" s="7" t="n">
        <x:v>1917.36</x:v>
      </x:c>
      <x:c r="J245" s="9" t="n">
        <x:v>0.15</x:v>
      </x:c>
      <x:c r="K245" s="7" t="n">
        <x:v>1629.76</x:v>
      </x:c>
      <x:c r="L245" s="7" t="n">
        <x:v>394.63</x:v>
      </x:c>
      <x:c r="M245" s="3" t="str">
        <x:v>UPI</x:v>
      </x:c>
      <x:c r="N245" s="3"/>
      <x:c r="O245" s="3"/>
      <x:c r="P245" s="3"/>
      <x:c r="Q245" s="3"/>
    </x:row>
    <x:row r="246" ht="21" customHeight="1">
      <x:c r="A246" s="3" t="str">
        <x:v>ORD-100458</x:v>
      </x:c>
      <x:c r="B246" s="5" t="n">
        <x:v>45374</x:v>
      </x:c>
      <x:c r="C246" s="3" t="str">
        <x:v>CUST-00184</x:v>
      </x:c>
      <x:c r="D246" s="3" t="str">
        <x:v>East</x:v>
      </x:c>
      <x:c r="E246" s="3" t="str">
        <x:v>Fashion</x:v>
      </x:c>
      <x:c r="F246" s="3" t="str">
        <x:v>Women</x:v>
      </x:c>
      <x:c r="G246" s="3" t="str">
        <x:v>Floral Summer Dress</x:v>
      </x:c>
      <x:c r="H246" s="3" t="n">
        <x:v>4</x:v>
      </x:c>
      <x:c r="I246" s="7" t="n">
        <x:v>1727.03</x:v>
      </x:c>
      <x:c r="J246" s="9" t="n">
        <x:v>0</x:v>
      </x:c>
      <x:c r="K246" s="7" t="n">
        <x:v>6908.12</x:v>
      </x:c>
      <x:c r="L246" s="7" t="n">
        <x:v>3093.38</x:v>
      </x:c>
      <x:c r="M246" s="3" t="str">
        <x:v>Debit Card</x:v>
      </x:c>
      <x:c r="N246" s="3"/>
      <x:c r="O246" s="3"/>
      <x:c r="P246" s="3"/>
      <x:c r="Q246" s="3"/>
    </x:row>
    <x:row r="247" ht="21" customHeight="1">
      <x:c r="A247" s="3" t="str">
        <x:v>ORD-100471</x:v>
      </x:c>
      <x:c r="B247" s="5" t="n">
        <x:v>45374</x:v>
      </x:c>
      <x:c r="C247" s="3" t="str">
        <x:v>CUST-00344</x:v>
      </x:c>
      <x:c r="D247" s="3" t="str">
        <x:v>East</x:v>
      </x:c>
      <x:c r="E247" s="3" t="str">
        <x:v>Sports</x:v>
      </x:c>
      <x:c r="F247" s="3" t="str">
        <x:v>Fitness</x:v>
      </x:c>
      <x:c r="G247" s="3" t="str">
        <x:v>ProYoga Mat</x:v>
      </x:c>
      <x:c r="H247" s="3" t="n">
        <x:v>1</x:v>
      </x:c>
      <x:c r="I247" s="7" t="n">
        <x:v>1303.02</x:v>
      </x:c>
      <x:c r="J247" s="9" t="n">
        <x:v>0.1</x:v>
      </x:c>
      <x:c r="K247" s="7" t="n">
        <x:v>1172.72</x:v>
      </x:c>
      <x:c r="L247" s="7" t="n">
        <x:v>291.69</x:v>
      </x:c>
      <x:c r="M247" s="3" t="str">
        <x:v>Credit Card</x:v>
      </x:c>
      <x:c r="N247" s="3"/>
      <x:c r="O247" s="3"/>
      <x:c r="P247" s="3"/>
      <x:c r="Q247" s="3"/>
    </x:row>
    <x:row r="248" ht="21" customHeight="1">
      <x:c r="A248" s="3" t="str">
        <x:v>ORD-101604</x:v>
      </x:c>
      <x:c r="B248" s="5" t="n">
        <x:v>45374</x:v>
      </x:c>
      <x:c r="C248" s="3" t="str">
        <x:v>CUST-00475</x:v>
      </x:c>
      <x:c r="D248" s="3" t="str">
        <x:v>West</x:v>
      </x:c>
      <x:c r="E248" s="3" t="str">
        <x:v>Beauty</x:v>
      </x:c>
      <x:c r="F248" s="3" t="str">
        <x:v>Skincare</x:v>
      </x:c>
      <x:c r="G248" s="3" t="str">
        <x:v>Vitamin C Serum</x:v>
      </x:c>
      <x:c r="H248" s="3" t="n">
        <x:v>5</x:v>
      </x:c>
      <x:c r="I248" s="7" t="n">
        <x:v>878.9</x:v>
      </x:c>
      <x:c r="J248" s="9" t="n">
        <x:v>0.1</x:v>
      </x:c>
      <x:c r="K248" s="7" t="n">
        <x:v>3955.05</x:v>
      </x:c>
      <x:c r="L248" s="7" t="n">
        <x:v>1651.8</x:v>
      </x:c>
      <x:c r="M248" s="3" t="str">
        <x:v>Debit Card</x:v>
      </x:c>
      <x:c r="N248" s="3"/>
      <x:c r="O248" s="3"/>
      <x:c r="P248" s="3"/>
      <x:c r="Q248" s="3"/>
    </x:row>
    <x:row r="249" ht="21" customHeight="1">
      <x:c r="A249" s="3" t="str">
        <x:v>ORD-101638</x:v>
      </x:c>
      <x:c r="B249" s="5" t="n">
        <x:v>45374</x:v>
      </x:c>
      <x:c r="C249" s="3" t="str">
        <x:v>CUST-00199</x:v>
      </x:c>
      <x:c r="D249" s="3" t="str">
        <x:v>West</x:v>
      </x:c>
      <x:c r="E249" s="3" t="str">
        <x:v>Fashion</x:v>
      </x:c>
      <x:c r="F249" s="3" t="str">
        <x:v>Footwear</x:v>
      </x:c>
      <x:c r="G249" s="3" t="str">
        <x:v>UrbanLoafers</x:v>
      </x:c>
      <x:c r="H249" s="3" t="n">
        <x:v>1</x:v>
      </x:c>
      <x:c r="I249" s="7" t="n">
        <x:v>3345.24</x:v>
      </x:c>
      <x:c r="J249" s="9" t="n">
        <x:v>0.2</x:v>
      </x:c>
      <x:c r="K249" s="7" t="n">
        <x:v>2676.19</x:v>
      </x:c>
      <x:c r="L249" s="7" t="n">
        <x:v>518.4</x:v>
      </x:c>
      <x:c r="M249" s="3" t="str">
        <x:v>Credit Card</x:v>
      </x:c>
      <x:c r="N249" s="3"/>
      <x:c r="O249" s="3"/>
      <x:c r="P249" s="3"/>
      <x:c r="Q249" s="3"/>
    </x:row>
    <x:row r="250" ht="21" customHeight="1">
      <x:c r="A250" s="3" t="str">
        <x:v>ORD-101979</x:v>
      </x:c>
      <x:c r="B250" s="5" t="n">
        <x:v>45374</x:v>
      </x:c>
      <x:c r="C250" s="3" t="str">
        <x:v>CUST-00202</x:v>
      </x:c>
      <x:c r="D250" s="3" t="str">
        <x:v>East</x:v>
      </x:c>
      <x:c r="E250" s="3" t="str">
        <x:v>Home &amp; Kitchen</x:v>
      </x:c>
      <x:c r="F250" s="3" t="str">
        <x:v>Furniture</x:v>
      </x:c>
      <x:c r="G250" s="3" t="str">
        <x:v>ErgoComfort Chair</x:v>
      </x:c>
      <x:c r="H250" s="3" t="n">
        <x:v>1</x:v>
      </x:c>
      <x:c r="I250" s="7" t="n">
        <x:v>8811.84</x:v>
      </x:c>
      <x:c r="J250" s="9" t="n">
        <x:v>0.05</x:v>
      </x:c>
      <x:c r="K250" s="7" t="n">
        <x:v>8371.25</x:v>
      </x:c>
      <x:c r="L250" s="7" t="n">
        <x:v>2515.86</x:v>
      </x:c>
      <x:c r="M250" s="3" t="str">
        <x:v>Debit Card</x:v>
      </x:c>
      <x:c r="N250" s="3"/>
      <x:c r="O250" s="3"/>
      <x:c r="P250" s="3"/>
      <x:c r="Q250" s="3"/>
    </x:row>
    <x:row r="251" ht="21" customHeight="1">
      <x:c r="A251" s="3" t="str">
        <x:v>ORD-100041</x:v>
      </x:c>
      <x:c r="B251" s="5" t="n">
        <x:v>45375</x:v>
      </x:c>
      <x:c r="C251" s="3" t="str">
        <x:v>CUST-00553</x:v>
      </x:c>
      <x:c r="D251" s="3" t="str">
        <x:v>West</x:v>
      </x:c>
      <x:c r="E251" s="3" t="str">
        <x:v>Home &amp; Kitchen</x:v>
      </x:c>
      <x:c r="F251" s="3" t="str">
        <x:v>Furniture</x:v>
      </x:c>
      <x:c r="G251" s="3" t="str">
        <x:v>ErgoComfort Chair</x:v>
      </x:c>
      <x:c r="H251" s="3" t="n">
        <x:v>1</x:v>
      </x:c>
      <x:c r="I251" s="7" t="n">
        <x:v>8890.23</x:v>
      </x:c>
      <x:c r="J251" s="9" t="n">
        <x:v>0.15</x:v>
      </x:c>
      <x:c r="K251" s="7" t="n">
        <x:v>7556.7</x:v>
      </x:c>
      <x:c r="L251" s="7" t="n">
        <x:v>1342.53</x:v>
      </x:c>
      <x:c r="M251" s="3" t="str">
        <x:v>UPI</x:v>
      </x:c>
      <x:c r="N251" s="3"/>
      <x:c r="O251" s="3"/>
      <x:c r="P251" s="3"/>
      <x:c r="Q251" s="3"/>
    </x:row>
    <x:row r="252" ht="21" customHeight="1">
      <x:c r="A252" s="3" t="str">
        <x:v>ORD-100155</x:v>
      </x:c>
      <x:c r="B252" s="5" t="n">
        <x:v>45375</x:v>
      </x:c>
      <x:c r="C252" s="3" t="str">
        <x:v>CUST-00541</x:v>
      </x:c>
      <x:c r="D252" s="3" t="str">
        <x:v>East</x:v>
      </x:c>
      <x:c r="E252" s="3" t="str">
        <x:v>Home &amp; Kitchen</x:v>
      </x:c>
      <x:c r="F252" s="3" t="str">
        <x:v>Appliances</x:v>
      </x:c>
      <x:c r="G252" s="3" t="str">
        <x:v>AirFryer Deluxe</x:v>
      </x:c>
      <x:c r="H252" s="3" t="n">
        <x:v>1</x:v>
      </x:c>
      <x:c r="I252" s="7" t="n">
        <x:v>7721.58</x:v>
      </x:c>
      <x:c r="J252" s="9" t="n">
        <x:v>0</x:v>
      </x:c>
      <x:c r="K252" s="7" t="n">
        <x:v>7721.58</x:v>
      </x:c>
      <x:c r="L252" s="7" t="n">
        <x:v>2701.15</x:v>
      </x:c>
      <x:c r="M252" s="3" t="str">
        <x:v>UPI</x:v>
      </x:c>
      <x:c r="N252" s="3"/>
      <x:c r="O252" s="3"/>
      <x:c r="P252" s="3"/>
      <x:c r="Q252" s="3"/>
    </x:row>
    <x:row r="253" ht="21" customHeight="1">
      <x:c r="A253" s="3" t="str">
        <x:v>ORD-101194</x:v>
      </x:c>
      <x:c r="B253" s="5" t="n">
        <x:v>45375</x:v>
      </x:c>
      <x:c r="C253" s="3" t="str">
        <x:v>CUST-00195</x:v>
      </x:c>
      <x:c r="D253" s="3" t="str">
        <x:v>East</x:v>
      </x:c>
      <x:c r="E253" s="3" t="str">
        <x:v>Electronics</x:v>
      </x:c>
      <x:c r="F253" s="3" t="str">
        <x:v>Mobile</x:v>
      </x:c>
      <x:c r="G253" s="3" t="str">
        <x:v>Galaxy Nova X5</x:v>
      </x:c>
      <x:c r="H253" s="3" t="n">
        <x:v>3</x:v>
      </x:c>
      <x:c r="I253" s="7" t="n">
        <x:v>25476.19</x:v>
      </x:c>
      <x:c r="J253" s="9" t="n">
        <x:v>0.15</x:v>
      </x:c>
      <x:c r="K253" s="7" t="n">
        <x:v>64964.28</x:v>
      </x:c>
      <x:c r="L253" s="7" t="n">
        <x:v>2373.2</x:v>
      </x:c>
      <x:c r="M253" s="3" t="str">
        <x:v>UPI</x:v>
      </x:c>
      <x:c r="N253" s="3"/>
      <x:c r="O253" s="3"/>
      <x:c r="P253" s="3"/>
      <x:c r="Q253" s="3"/>
    </x:row>
    <x:row r="254" ht="21" customHeight="1">
      <x:c r="A254" s="3" t="str">
        <x:v>ORD-101702</x:v>
      </x:c>
      <x:c r="B254" s="5" t="n">
        <x:v>45375</x:v>
      </x:c>
      <x:c r="C254" s="3" t="str">
        <x:v>CUST-00303</x:v>
      </x:c>
      <x:c r="D254" s="3" t="str">
        <x:v>North</x:v>
      </x:c>
      <x:c r="E254" s="3" t="str">
        <x:v>Home &amp; Kitchen</x:v>
      </x:c>
      <x:c r="F254" s="3" t="str">
        <x:v>Decor</x:v>
      </x:c>
      <x:c r="G254" s="3" t="str">
        <x:v>Ceramic Vase Set</x:v>
      </x:c>
      <x:c r="H254" s="3" t="n">
        <x:v>1</x:v>
      </x:c>
      <x:c r="I254" s="7" t="n">
        <x:v>1518.52</x:v>
      </x:c>
      <x:c r="J254" s="9" t="n">
        <x:v>0.1</x:v>
      </x:c>
      <x:c r="K254" s="7" t="n">
        <x:v>1366.67</x:v>
      </x:c>
      <x:c r="L254" s="7" t="n">
        <x:v>259.27</x:v>
      </x:c>
      <x:c r="M254" s="3" t="str">
        <x:v>Cash on Delivery</x:v>
      </x:c>
      <x:c r="N254" s="3"/>
      <x:c r="O254" s="3"/>
      <x:c r="P254" s="3"/>
      <x:c r="Q254" s="3"/>
    </x:row>
    <x:row r="255" ht="21" customHeight="1">
      <x:c r="A255" s="3" t="str">
        <x:v>ORD-101846</x:v>
      </x:c>
      <x:c r="B255" s="5" t="n">
        <x:v>45375</x:v>
      </x:c>
      <x:c r="C255" s="3" t="str">
        <x:v>CUST-00238</x:v>
      </x:c>
      <x:c r="D255" s="3" t="str">
        <x:v>East</x:v>
      </x:c>
      <x:c r="E255" s="3" t="str">
        <x:v>Beauty</x:v>
      </x:c>
      <x:c r="F255" s="3" t="str">
        <x:v>Skincare</x:v>
      </x:c>
      <x:c r="G255" s="3" t="str">
        <x:v>Vitamin C Serum</x:v>
      </x:c>
      <x:c r="H255" s="3" t="n">
        <x:v>1</x:v>
      </x:c>
      <x:c r="I255" s="7" t="n">
        <x:v>905.09</x:v>
      </x:c>
      <x:c r="J255" s="9" t="n">
        <x:v>0.15</x:v>
      </x:c>
      <x:c r="K255" s="7" t="n">
        <x:v>769.33</x:v>
      </x:c>
      <x:c r="L255" s="7" t="n">
        <x:v>276.4</x:v>
      </x:c>
      <x:c r="M255" s="3" t="str">
        <x:v>Debit Card</x:v>
      </x:c>
      <x:c r="N255" s="3"/>
      <x:c r="O255" s="3"/>
      <x:c r="P255" s="3"/>
      <x:c r="Q255" s="3"/>
    </x:row>
    <x:row r="256" ht="21" customHeight="1">
      <x:c r="A256" s="3" t="str">
        <x:v>ORD-101285</x:v>
      </x:c>
      <x:c r="B256" s="5" t="n">
        <x:v>45376</x:v>
      </x:c>
      <x:c r="C256" s="3" t="str">
        <x:v>CUST-00512</x:v>
      </x:c>
      <x:c r="D256" s="3" t="str">
        <x:v>West</x:v>
      </x:c>
      <x:c r="E256" s="3" t="str">
        <x:v>Beauty</x:v>
      </x:c>
      <x:c r="F256" s="3" t="str">
        <x:v>Skincare</x:v>
      </x:c>
      <x:c r="G256" s="3" t="str">
        <x:v>HydraBoost Moisturizer</x:v>
      </x:c>
      <x:c r="H256" s="3" t="n">
        <x:v>2</x:v>
      </x:c>
      <x:c r="I256" s="7" t="n">
        <x:v>1162.89</x:v>
      </x:c>
      <x:c r="J256" s="9" t="n">
        <x:v>0</x:v>
      </x:c>
      <x:c r="K256" s="7" t="n">
        <x:v>2325.78</x:v>
      </x:c>
      <x:c r="L256" s="7" t="n">
        <x:v>1237.72</x:v>
      </x:c>
      <x:c r="M256" s="3" t="str">
        <x:v>Credit Card</x:v>
      </x:c>
      <x:c r="N256" s="3"/>
      <x:c r="O256" s="3"/>
      <x:c r="P256" s="3"/>
      <x:c r="Q256" s="3"/>
    </x:row>
    <x:row r="257" ht="21" customHeight="1">
      <x:c r="A257" s="3" t="str">
        <x:v>ORD-100864</x:v>
      </x:c>
      <x:c r="B257" s="5" t="n">
        <x:v>45377</x:v>
      </x:c>
      <x:c r="C257" s="3" t="str">
        <x:v>CUST-00174</x:v>
      </x:c>
      <x:c r="D257" s="3" t="str">
        <x:v>North</x:v>
      </x:c>
      <x:c r="E257" s="3" t="str">
        <x:v>Electronics</x:v>
      </x:c>
      <x:c r="F257" s="3" t="str">
        <x:v>Laptop</x:v>
      </x:c>
      <x:c r="G257" s="3" t="str">
        <x:v>ThinkPro 14</x:v>
      </x:c>
      <x:c r="H257" s="3" t="n">
        <x:v>1</x:v>
      </x:c>
      <x:c r="I257" s="7" t="n">
        <x:v>52848.26</x:v>
      </x:c>
      <x:c r="J257" s="9" t="n">
        <x:v>0.05</x:v>
      </x:c>
      <x:c r="K257" s="7" t="n">
        <x:v>50205.85</x:v>
      </x:c>
      <x:c r="L257" s="7" t="n">
        <x:v>5389.54</x:v>
      </x:c>
      <x:c r="M257" s="3" t="str">
        <x:v>Credit Card</x:v>
      </x:c>
      <x:c r="N257" s="3"/>
      <x:c r="O257" s="3"/>
      <x:c r="P257" s="3"/>
      <x:c r="Q257" s="3"/>
    </x:row>
    <x:row r="258" ht="21" customHeight="1">
      <x:c r="A258" s="3" t="str">
        <x:v>ORD-101818</x:v>
      </x:c>
      <x:c r="B258" s="5" t="n">
        <x:v>45377</x:v>
      </x:c>
      <x:c r="C258" s="3" t="str">
        <x:v>CUST-00494</x:v>
      </x:c>
      <x:c r="D258" s="3" t="str">
        <x:v>West</x:v>
      </x:c>
      <x:c r="E258" s="3" t="str">
        <x:v>Beauty</x:v>
      </x:c>
      <x:c r="F258" s="3" t="str">
        <x:v>Skincare</x:v>
      </x:c>
      <x:c r="G258" s="3" t="str">
        <x:v>Vitamin C Serum</x:v>
      </x:c>
      <x:c r="H258" s="3" t="n">
        <x:v>1</x:v>
      </x:c>
      <x:c r="I258" s="7" t="n">
        <x:v>940.06</x:v>
      </x:c>
      <x:c r="J258" s="9" t="n">
        <x:v>0.15</x:v>
      </x:c>
      <x:c r="K258" s="7" t="n">
        <x:v>799.05</x:v>
      </x:c>
      <x:c r="L258" s="7" t="n">
        <x:v>273.91</x:v>
      </x:c>
      <x:c r="M258" s="3" t="str">
        <x:v>UPI</x:v>
      </x:c>
      <x:c r="N258" s="3"/>
      <x:c r="O258" s="3"/>
      <x:c r="P258" s="3"/>
      <x:c r="Q258" s="3"/>
    </x:row>
    <x:row r="259" ht="21" customHeight="1">
      <x:c r="A259" s="3" t="str">
        <x:v>ORD-101479</x:v>
      </x:c>
      <x:c r="B259" s="5" t="n">
        <x:v>45378</x:v>
      </x:c>
      <x:c r="C259" s="3" t="str">
        <x:v>CUST-00049</x:v>
      </x:c>
      <x:c r="D259" s="3" t="str">
        <x:v>East</x:v>
      </x:c>
      <x:c r="E259" s="3" t="str">
        <x:v>Fashion</x:v>
      </x:c>
      <x:c r="F259" s="3" t="str">
        <x:v>Men</x:v>
      </x:c>
      <x:c r="G259" s="3" t="str">
        <x:v>Oxford Casual Shirt</x:v>
      </x:c>
      <x:c r="H259" s="3" t="n">
        <x:v>1</x:v>
      </x:c>
      <x:c r="I259" s="7" t="n">
        <x:v>1308.54</x:v>
      </x:c>
      <x:c r="J259" s="9" t="n">
        <x:v>0</x:v>
      </x:c>
      <x:c r="K259" s="7" t="n">
        <x:v>1308.54</x:v>
      </x:c>
      <x:c r="L259" s="7" t="n">
        <x:v>595.7</x:v>
      </x:c>
      <x:c r="M259" s="3" t="str">
        <x:v>UPI</x:v>
      </x:c>
      <x:c r="N259" s="3"/>
      <x:c r="O259" s="3"/>
      <x:c r="P259" s="3"/>
      <x:c r="Q259" s="3"/>
    </x:row>
    <x:row r="260" ht="21" customHeight="1">
      <x:c r="A260" s="3" t="str">
        <x:v>ORD-100384</x:v>
      </x:c>
      <x:c r="B260" s="5" t="n">
        <x:v>45379</x:v>
      </x:c>
      <x:c r="C260" s="3" t="str">
        <x:v>CUST-00056</x:v>
      </x:c>
      <x:c r="D260" s="3" t="str">
        <x:v>North</x:v>
      </x:c>
      <x:c r="E260" s="3" t="str">
        <x:v>Beauty</x:v>
      </x:c>
      <x:c r="F260" s="3" t="str">
        <x:v>Makeup</x:v>
      </x:c>
      <x:c r="G260" s="3" t="str">
        <x:v>Matte Lipstick Set</x:v>
      </x:c>
      <x:c r="H260" s="3" t="n">
        <x:v>1</x:v>
      </x:c>
      <x:c r="I260" s="7" t="n">
        <x:v>972.38</x:v>
      </x:c>
      <x:c r="J260" s="9" t="n">
        <x:v>0.25</x:v>
      </x:c>
      <x:c r="K260" s="7" t="n">
        <x:v>729.28</x:v>
      </x:c>
      <x:c r="L260" s="7" t="n">
        <x:v>202.25</x:v>
      </x:c>
      <x:c r="M260" s="3" t="str">
        <x:v>Debit Card</x:v>
      </x:c>
      <x:c r="N260" s="3"/>
      <x:c r="O260" s="3"/>
      <x:c r="P260" s="3"/>
      <x:c r="Q260" s="3"/>
    </x:row>
    <x:row r="261" ht="21" customHeight="1">
      <x:c r="A261" s="3" t="str">
        <x:v>ORD-101974</x:v>
      </x:c>
      <x:c r="B261" s="5" t="n">
        <x:v>45379</x:v>
      </x:c>
      <x:c r="C261" s="3" t="str">
        <x:v>CUST-00208</x:v>
      </x:c>
      <x:c r="D261" s="3" t="str">
        <x:v>East</x:v>
      </x:c>
      <x:c r="E261" s="3" t="str">
        <x:v>Fashion</x:v>
      </x:c>
      <x:c r="F261" s="3" t="str">
        <x:v>Footwear</x:v>
      </x:c>
      <x:c r="G261" s="3" t="str">
        <x:v>RunFlex Sneakers</x:v>
      </x:c>
      <x:c r="H261" s="3" t="n">
        <x:v>1</x:v>
      </x:c>
      <x:c r="I261" s="7" t="n">
        <x:v>3026.13</x:v>
      </x:c>
      <x:c r="J261" s="9" t="n">
        <x:v>0.05</x:v>
      </x:c>
      <x:c r="K261" s="7" t="n">
        <x:v>2874.82</x:v>
      </x:c>
      <x:c r="L261" s="7" t="n">
        <x:v>1099.27</x:v>
      </x:c>
      <x:c r="M261" s="3" t="str">
        <x:v>UPI</x:v>
      </x:c>
      <x:c r="N261" s="3"/>
      <x:c r="O261" s="3"/>
      <x:c r="P261" s="3"/>
      <x:c r="Q261" s="3"/>
    </x:row>
    <x:row r="262" ht="21" customHeight="1">
      <x:c r="A262" s="3" t="str">
        <x:v>ORD-100486</x:v>
      </x:c>
      <x:c r="B262" s="5" t="n">
        <x:v>45380</x:v>
      </x:c>
      <x:c r="C262" s="3" t="str">
        <x:v>CUST-00311</x:v>
      </x:c>
      <x:c r="D262" s="3" t="str">
        <x:v>South</x:v>
      </x:c>
      <x:c r="E262" s="3" t="str">
        <x:v>Sports</x:v>
      </x:c>
      <x:c r="F262" s="3" t="str">
        <x:v>Outdoor</x:v>
      </x:c>
      <x:c r="G262" s="3" t="str">
        <x:v>AllWeather Tent 4P</x:v>
      </x:c>
      <x:c r="H262" s="3" t="n">
        <x:v>1</x:v>
      </x:c>
      <x:c r="I262" s="7" t="n">
        <x:v>12476.23</x:v>
      </x:c>
      <x:c r="J262" s="9" t="n">
        <x:v>0.15</x:v>
      </x:c>
      <x:c r="K262" s="7" t="n">
        <x:v>10604.8</x:v>
      </x:c>
      <x:c r="L262" s="7" t="n">
        <x:v>2394.44</x:v>
      </x:c>
      <x:c r="M262" s="3" t="str">
        <x:v>Debit Card</x:v>
      </x:c>
      <x:c r="N262" s="3"/>
      <x:c r="O262" s="3"/>
      <x:c r="P262" s="3"/>
      <x:c r="Q262" s="3"/>
    </x:row>
    <x:row r="263" ht="21" customHeight="1">
      <x:c r="A263" s="3" t="str">
        <x:v>ORD-101371</x:v>
      </x:c>
      <x:c r="B263" s="5" t="n">
        <x:v>45380</x:v>
      </x:c>
      <x:c r="C263" s="3" t="str">
        <x:v>CUST-00438</x:v>
      </x:c>
      <x:c r="D263" s="3" t="str">
        <x:v>South</x:v>
      </x:c>
      <x:c r="E263" s="3" t="str">
        <x:v>Beauty</x:v>
      </x:c>
      <x:c r="F263" s="3" t="str">
        <x:v>Skincare</x:v>
      </x:c>
      <x:c r="G263" s="3" t="str">
        <x:v>Vitamin C Serum</x:v>
      </x:c>
      <x:c r="H263" s="3" t="n">
        <x:v>1</x:v>
      </x:c>
      <x:c r="I263" s="7" t="n">
        <x:v>854.14</x:v>
      </x:c>
      <x:c r="J263" s="9" t="n">
        <x:v>0.05</x:v>
      </x:c>
      <x:c r="K263" s="7" t="n">
        <x:v>811.43</x:v>
      </x:c>
      <x:c r="L263" s="7" t="n">
        <x:v>378.73</x:v>
      </x:c>
      <x:c r="M263" s="3" t="str">
        <x:v>Debit Card</x:v>
      </x:c>
      <x:c r="N263" s="3"/>
      <x:c r="O263" s="3"/>
      <x:c r="P263" s="3"/>
      <x:c r="Q263" s="3"/>
    </x:row>
    <x:row r="264" ht="21" customHeight="1">
      <x:c r="A264" s="3" t="str">
        <x:v>ORD-101431</x:v>
      </x:c>
      <x:c r="B264" s="5" t="n">
        <x:v>45380</x:v>
      </x:c>
      <x:c r="C264" s="3" t="str">
        <x:v>CUST-00169</x:v>
      </x:c>
      <x:c r="D264" s="3" t="str">
        <x:v>South</x:v>
      </x:c>
      <x:c r="E264" s="3" t="str">
        <x:v>Fashion</x:v>
      </x:c>
      <x:c r="F264" s="3" t="str">
        <x:v>Men</x:v>
      </x:c>
      <x:c r="G264" s="3" t="str">
        <x:v>Oxford Casual Shirt</x:v>
      </x:c>
      <x:c r="H264" s="3" t="n">
        <x:v>1</x:v>
      </x:c>
      <x:c r="I264" s="7" t="n">
        <x:v>1344.03</x:v>
      </x:c>
      <x:c r="J264" s="9" t="n">
        <x:v>0.05</x:v>
      </x:c>
      <x:c r="K264" s="7" t="n">
        <x:v>1276.83</x:v>
      </x:c>
      <x:c r="L264" s="7" t="n">
        <x:v>431.68</x:v>
      </x:c>
      <x:c r="M264" s="3" t="str">
        <x:v>Credit Card</x:v>
      </x:c>
      <x:c r="N264" s="3"/>
      <x:c r="O264" s="3"/>
      <x:c r="P264" s="3"/>
      <x:c r="Q264" s="3"/>
    </x:row>
    <x:row r="265" ht="21" customHeight="1">
      <x:c r="A265" s="3" t="str">
        <x:v>ORD-100417</x:v>
      </x:c>
      <x:c r="B265" s="5" t="n">
        <x:v>45381</x:v>
      </x:c>
      <x:c r="C265" s="3" t="str">
        <x:v>CUST-00048</x:v>
      </x:c>
      <x:c r="D265" s="3" t="str">
        <x:v>West</x:v>
      </x:c>
      <x:c r="E265" s="3" t="str">
        <x:v>Fashion</x:v>
      </x:c>
      <x:c r="F265" s="3" t="str">
        <x:v>Footwear</x:v>
      </x:c>
      <x:c r="G265" s="3" t="str">
        <x:v>RunFlex Sneakers</x:v>
      </x:c>
      <x:c r="H265" s="3" t="n">
        <x:v>1</x:v>
      </x:c>
      <x:c r="I265" s="7" t="n">
        <x:v>3005.7</x:v>
      </x:c>
      <x:c r="J265" s="9" t="n">
        <x:v>0.15</x:v>
      </x:c>
      <x:c r="K265" s="7" t="n">
        <x:v>2554.84</x:v>
      </x:c>
      <x:c r="L265" s="7" t="n">
        <x:v>530.97</x:v>
      </x:c>
      <x:c r="M265" s="3" t="str">
        <x:v>Credit Card</x:v>
      </x:c>
      <x:c r="N265" s="3"/>
      <x:c r="O265" s="3"/>
      <x:c r="P265" s="3"/>
      <x:c r="Q265" s="3"/>
    </x:row>
    <x:row r="266" ht="21" customHeight="1">
      <x:c r="A266" s="3" t="str">
        <x:v>ORD-100485</x:v>
      </x:c>
      <x:c r="B266" s="5" t="n">
        <x:v>45381</x:v>
      </x:c>
      <x:c r="C266" s="3" t="str">
        <x:v>CUST-00455</x:v>
      </x:c>
      <x:c r="D266" s="3" t="str">
        <x:v>North</x:v>
      </x:c>
      <x:c r="E266" s="3" t="str">
        <x:v>Beauty</x:v>
      </x:c>
      <x:c r="F266" s="3" t="str">
        <x:v>Skincare</x:v>
      </x:c>
      <x:c r="G266" s="3" t="str">
        <x:v>HydraBoost Moisturizer</x:v>
      </x:c>
      <x:c r="H266" s="3" t="n">
        <x:v>1</x:v>
      </x:c>
      <x:c r="I266" s="7" t="n">
        <x:v>1190.32</x:v>
      </x:c>
      <x:c r="J266" s="9" t="n">
        <x:v>0.15</x:v>
      </x:c>
      <x:c r="K266" s="7" t="n">
        <x:v>1011.77</x:v>
      </x:c>
      <x:c r="L266" s="7" t="n">
        <x:v>372.72</x:v>
      </x:c>
      <x:c r="M266" s="3" t="str">
        <x:v>UPI</x:v>
      </x:c>
      <x:c r="N266" s="3"/>
      <x:c r="O266" s="3"/>
      <x:c r="P266" s="3"/>
      <x:c r="Q266" s="3"/>
    </x:row>
    <x:row r="267" ht="21" customHeight="1">
      <x:c r="A267" s="3" t="str">
        <x:v>ORD-100736</x:v>
      </x:c>
      <x:c r="B267" s="5" t="n">
        <x:v>45381</x:v>
      </x:c>
      <x:c r="C267" s="3" t="str">
        <x:v>CUST-00466</x:v>
      </x:c>
      <x:c r="D267" s="3" t="str">
        <x:v>West</x:v>
      </x:c>
      <x:c r="E267" s="3" t="str">
        <x:v>Fashion</x:v>
      </x:c>
      <x:c r="F267" s="3" t="str">
        <x:v>Footwear</x:v>
      </x:c>
      <x:c r="G267" s="3" t="str">
        <x:v>UrbanLoafers</x:v>
      </x:c>
      <x:c r="H267" s="3" t="n">
        <x:v>1</x:v>
      </x:c>
      <x:c r="I267" s="7" t="n">
        <x:v>3592.18</x:v>
      </x:c>
      <x:c r="J267" s="9" t="n">
        <x:v>0</x:v>
      </x:c>
      <x:c r="K267" s="7" t="n">
        <x:v>3592.18</x:v>
      </x:c>
      <x:c r="L267" s="7" t="n">
        <x:v>1453.98</x:v>
      </x:c>
      <x:c r="M267" s="3" t="str">
        <x:v>Debit Card</x:v>
      </x:c>
      <x:c r="N267" s="3"/>
      <x:c r="O267" s="3"/>
      <x:c r="P267" s="3"/>
      <x:c r="Q267" s="3"/>
    </x:row>
    <x:row r="268" ht="21" customHeight="1">
      <x:c r="A268" s="3" t="str">
        <x:v>ORD-101262</x:v>
      </x:c>
      <x:c r="B268" s="5" t="n">
        <x:v>45381</x:v>
      </x:c>
      <x:c r="C268" s="3" t="str">
        <x:v>CUST-00363</x:v>
      </x:c>
      <x:c r="D268" s="3" t="str">
        <x:v>West</x:v>
      </x:c>
      <x:c r="E268" s="3" t="str">
        <x:v>Sports</x:v>
      </x:c>
      <x:c r="F268" s="3" t="str">
        <x:v>Outdoor</x:v>
      </x:c>
      <x:c r="G268" s="3" t="str">
        <x:v>TrailHike Backpack 60L</x:v>
      </x:c>
      <x:c r="H268" s="3" t="n">
        <x:v>1</x:v>
      </x:c>
      <x:c r="I268" s="7" t="n">
        <x:v>3657.41</x:v>
      </x:c>
      <x:c r="J268" s="9" t="n">
        <x:v>0.1</x:v>
      </x:c>
      <x:c r="K268" s="7" t="n">
        <x:v>3291.67</x:v>
      </x:c>
      <x:c r="L268" s="7" t="n">
        <x:v>780.04</x:v>
      </x:c>
      <x:c r="M268" s="3" t="str">
        <x:v>Debit Card</x:v>
      </x:c>
      <x:c r="N268" s="3"/>
      <x:c r="O268" s="3"/>
      <x:c r="P268" s="3"/>
      <x:c r="Q268" s="3"/>
    </x:row>
    <x:row r="269" ht="21" customHeight="1">
      <x:c r="A269" s="3" t="str">
        <x:v>ORD-101681</x:v>
      </x:c>
      <x:c r="B269" s="5" t="n">
        <x:v>45381</x:v>
      </x:c>
      <x:c r="C269" s="3" t="str">
        <x:v>CUST-00530</x:v>
      </x:c>
      <x:c r="D269" s="3" t="str">
        <x:v>East</x:v>
      </x:c>
      <x:c r="E269" s="3" t="str">
        <x:v>Sports</x:v>
      </x:c>
      <x:c r="F269" s="3" t="str">
        <x:v>Fitness</x:v>
      </x:c>
      <x:c r="G269" s="3" t="str">
        <x:v>Adjustable Dumbbell 24kg</x:v>
      </x:c>
      <x:c r="H269" s="3" t="n">
        <x:v>2</x:v>
      </x:c>
      <x:c r="I269" s="7" t="n">
        <x:v>10423.57</x:v>
      </x:c>
      <x:c r="J269" s="9" t="n">
        <x:v>0.05</x:v>
      </x:c>
      <x:c r="K269" s="7" t="n">
        <x:v>19804.78</x:v>
      </x:c>
      <x:c r="L269" s="7" t="n">
        <x:v>7022.9</x:v>
      </x:c>
      <x:c r="M269" s="3" t="str">
        <x:v>UPI</x:v>
      </x:c>
      <x:c r="N269" s="3"/>
      <x:c r="O269" s="3"/>
      <x:c r="P269" s="3"/>
      <x:c r="Q269" s="3"/>
    </x:row>
    <x:row r="270" ht="21" customHeight="1">
      <x:c r="A270" s="3" t="str">
        <x:v>ORD-101750</x:v>
      </x:c>
      <x:c r="B270" s="5" t="n">
        <x:v>45382</x:v>
      </x:c>
      <x:c r="C270" s="3" t="str">
        <x:v>CUST-00251</x:v>
      </x:c>
      <x:c r="D270" s="3" t="str">
        <x:v>West</x:v>
      </x:c>
      <x:c r="E270" s="3" t="str">
        <x:v>Sports</x:v>
      </x:c>
      <x:c r="F270" s="3" t="str">
        <x:v>Outdoor</x:v>
      </x:c>
      <x:c r="G270" s="3" t="str">
        <x:v>TrailHike Backpack 60L</x:v>
      </x:c>
      <x:c r="H270" s="3" t="n">
        <x:v>1</x:v>
      </x:c>
      <x:c r="I270" s="7" t="n">
        <x:v>3594.17</x:v>
      </x:c>
      <x:c r="J270" s="9" t="n">
        <x:v>0.05</x:v>
      </x:c>
      <x:c r="K270" s="7" t="n">
        <x:v>3414.46</x:v>
      </x:c>
      <x:c r="L270" s="7" t="n">
        <x:v>1229.7</x:v>
      </x:c>
      <x:c r="M270" s="3" t="str">
        <x:v>Credit Card</x:v>
      </x:c>
      <x:c r="N270" s="3"/>
      <x:c r="O270" s="3"/>
      <x:c r="P270" s="3"/>
      <x:c r="Q270" s="3"/>
    </x:row>
    <x:row r="271" ht="21" customHeight="1">
      <x:c r="A271" s="3" t="str">
        <x:v>ORD-101793</x:v>
      </x:c>
      <x:c r="B271" s="5" t="n">
        <x:v>45382</x:v>
      </x:c>
      <x:c r="C271" s="3" t="str">
        <x:v>CUST-00560</x:v>
      </x:c>
      <x:c r="D271" s="3" t="str">
        <x:v>East</x:v>
      </x:c>
      <x:c r="E271" s="3" t="str">
        <x:v>Beauty</x:v>
      </x:c>
      <x:c r="F271" s="3" t="str">
        <x:v>Makeup</x:v>
      </x:c>
      <x:c r="G271" s="3" t="str">
        <x:v>Matte Lipstick Set</x:v>
      </x:c>
      <x:c r="H271" s="3" t="n">
        <x:v>1</x:v>
      </x:c>
      <x:c r="I271" s="7" t="n">
        <x:v>1027.61</x:v>
      </x:c>
      <x:c r="J271" s="9" t="n">
        <x:v>0.25</x:v>
      </x:c>
      <x:c r="K271" s="7" t="n">
        <x:v>770.71</x:v>
      </x:c>
      <x:c r="L271" s="7" t="n">
        <x:v>208.64</x:v>
      </x:c>
      <x:c r="M271" s="3" t="str">
        <x:v>UPI</x:v>
      </x:c>
      <x:c r="N271" s="3"/>
      <x:c r="O271" s="3"/>
      <x:c r="P271" s="3"/>
      <x:c r="Q271" s="3"/>
    </x:row>
    <x:row r="272" ht="21" customHeight="1">
      <x:c r="A272" s="3" t="str">
        <x:v>ORD-100069</x:v>
      </x:c>
      <x:c r="B272" s="5" t="n">
        <x:v>45384</x:v>
      </x:c>
      <x:c r="C272" s="3" t="str">
        <x:v>CUST-00101</x:v>
      </x:c>
      <x:c r="D272" s="3" t="str">
        <x:v>West</x:v>
      </x:c>
      <x:c r="E272" s="3" t="str">
        <x:v>Sports</x:v>
      </x:c>
      <x:c r="F272" s="3" t="str">
        <x:v>Outdoor</x:v>
      </x:c>
      <x:c r="G272" s="3" t="str">
        <x:v>AllWeather Tent 4P</x:v>
      </x:c>
      <x:c r="H272" s="3" t="n">
        <x:v>3</x:v>
      </x:c>
      <x:c r="I272" s="7" t="n">
        <x:v>11481.15</x:v>
      </x:c>
      <x:c r="J272" s="9" t="n">
        <x:v>0</x:v>
      </x:c>
      <x:c r="K272" s="7" t="n">
        <x:v>34443.45</x:v>
      </x:c>
      <x:c r="L272" s="7" t="n">
        <x:v>13449.92</x:v>
      </x:c>
      <x:c r="M272" s="3" t="str">
        <x:v>Cash on Delivery</x:v>
      </x:c>
      <x:c r="N272" s="3"/>
      <x:c r="O272" s="3"/>
      <x:c r="P272" s="3"/>
      <x:c r="Q272" s="3"/>
    </x:row>
    <x:row r="273" ht="21" customHeight="1">
      <x:c r="A273" s="3" t="str">
        <x:v>ORD-100102</x:v>
      </x:c>
      <x:c r="B273" s="5" t="n">
        <x:v>45384</x:v>
      </x:c>
      <x:c r="C273" s="3" t="str">
        <x:v>CUST-00520</x:v>
      </x:c>
      <x:c r="D273" s="3" t="str">
        <x:v>East</x:v>
      </x:c>
      <x:c r="E273" s="3" t="str">
        <x:v>Beauty</x:v>
      </x:c>
      <x:c r="F273" s="3" t="str">
        <x:v>Skincare</x:v>
      </x:c>
      <x:c r="G273" s="3" t="str">
        <x:v>HydraBoost Moisturizer</x:v>
      </x:c>
      <x:c r="H273" s="3" t="n">
        <x:v>1</x:v>
      </x:c>
      <x:c r="I273" s="7" t="n">
        <x:v>1183.26</x:v>
      </x:c>
      <x:c r="J273" s="9" t="n">
        <x:v>0</x:v>
      </x:c>
      <x:c r="K273" s="7" t="n">
        <x:v>1183.26</x:v>
      </x:c>
      <x:c r="L273" s="7" t="n">
        <x:v>630.64</x:v>
      </x:c>
      <x:c r="M273" s="3" t="str">
        <x:v>Cash on Delivery</x:v>
      </x:c>
      <x:c r="N273" s="3"/>
      <x:c r="O273" s="3"/>
      <x:c r="P273" s="3"/>
      <x:c r="Q273" s="3"/>
    </x:row>
    <x:row r="274" ht="21" customHeight="1">
      <x:c r="A274" s="3" t="str">
        <x:v>ORD-100229</x:v>
      </x:c>
      <x:c r="B274" s="5" t="n">
        <x:v>45384</x:v>
      </x:c>
      <x:c r="C274" s="3" t="str">
        <x:v>CUST-00312</x:v>
      </x:c>
      <x:c r="D274" s="3" t="str">
        <x:v>South</x:v>
      </x:c>
      <x:c r="E274" s="3" t="str">
        <x:v>Sports</x:v>
      </x:c>
      <x:c r="F274" s="3" t="str">
        <x:v>Outdoor</x:v>
      </x:c>
      <x:c r="G274" s="3" t="str">
        <x:v>AllWeather Tent 4P</x:v>
      </x:c>
      <x:c r="H274" s="3" t="n">
        <x:v>1</x:v>
      </x:c>
      <x:c r="I274" s="7" t="n">
        <x:v>12323.38</x:v>
      </x:c>
      <x:c r="J274" s="9" t="n">
        <x:v>0.05</x:v>
      </x:c>
      <x:c r="K274" s="7" t="n">
        <x:v>11707.21</x:v>
      </x:c>
      <x:c r="L274" s="7" t="n">
        <x:v>3730.54</x:v>
      </x:c>
      <x:c r="M274" s="3" t="str">
        <x:v>Net Banking</x:v>
      </x:c>
      <x:c r="N274" s="3"/>
      <x:c r="O274" s="3"/>
      <x:c r="P274" s="3"/>
      <x:c r="Q274" s="3"/>
    </x:row>
    <x:row r="275" ht="21" customHeight="1">
      <x:c r="A275" s="3" t="str">
        <x:v>ORD-100315</x:v>
      </x:c>
      <x:c r="B275" s="5" t="n">
        <x:v>45384</x:v>
      </x:c>
      <x:c r="C275" s="3" t="str">
        <x:v>CUST-00515</x:v>
      </x:c>
      <x:c r="D275" s="3" t="str">
        <x:v>North</x:v>
      </x:c>
      <x:c r="E275" s="3" t="str">
        <x:v>Sports</x:v>
      </x:c>
      <x:c r="F275" s="3" t="str">
        <x:v>Fitness</x:v>
      </x:c>
      <x:c r="G275" s="3" t="str">
        <x:v>Adjustable Dumbbell 24kg</x:v>
      </x:c>
      <x:c r="H275" s="3" t="n">
        <x:v>1</x:v>
      </x:c>
      <x:c r="I275" s="7" t="n">
        <x:v>10088.59</x:v>
      </x:c>
      <x:c r="J275" s="9" t="n">
        <x:v>0.2</x:v>
      </x:c>
      <x:c r="K275" s="7" t="n">
        <x:v>8070.87</x:v>
      </x:c>
      <x:c r="L275" s="7" t="n">
        <x:v>1441.24</x:v>
      </x:c>
      <x:c r="M275" s="3" t="str">
        <x:v>Credit Card</x:v>
      </x:c>
      <x:c r="N275" s="3"/>
      <x:c r="O275" s="3"/>
      <x:c r="P275" s="3"/>
      <x:c r="Q275" s="3"/>
    </x:row>
    <x:row r="276" ht="21" customHeight="1">
      <x:c r="A276" s="3" t="str">
        <x:v>ORD-100400</x:v>
      </x:c>
      <x:c r="B276" s="5" t="n">
        <x:v>45384</x:v>
      </x:c>
      <x:c r="C276" s="3" t="str">
        <x:v>CUST-00168</x:v>
      </x:c>
      <x:c r="D276" s="3" t="str">
        <x:v>South</x:v>
      </x:c>
      <x:c r="E276" s="3" t="str">
        <x:v>Electronics</x:v>
      </x:c>
      <x:c r="F276" s="3" t="str">
        <x:v>Mobile</x:v>
      </x:c>
      <x:c r="G276" s="3" t="str">
        <x:v>iPhone Zeta</x:v>
      </x:c>
      <x:c r="H276" s="3" t="n">
        <x:v>4</x:v>
      </x:c>
      <x:c r="I276" s="7" t="n">
        <x:v>67446.18</x:v>
      </x:c>
      <x:c r="J276" s="9" t="n">
        <x:v>0.1</x:v>
      </x:c>
      <x:c r="K276" s="7" t="n">
        <x:v>242806.25</x:v>
      </x:c>
      <x:c r="L276" s="7" t="n">
        <x:v>14103.34</x:v>
      </x:c>
      <x:c r="M276" s="3" t="str">
        <x:v>UPI</x:v>
      </x:c>
      <x:c r="N276" s="3"/>
      <x:c r="O276" s="3"/>
      <x:c r="P276" s="3"/>
      <x:c r="Q276" s="3"/>
    </x:row>
    <x:row r="277" ht="21" customHeight="1">
      <x:c r="A277" s="3" t="str">
        <x:v>ORD-100520</x:v>
      </x:c>
      <x:c r="B277" s="5" t="n">
        <x:v>45384</x:v>
      </x:c>
      <x:c r="C277" s="3" t="str">
        <x:v>CUST-00144</x:v>
      </x:c>
      <x:c r="D277" s="3" t="str">
        <x:v>North</x:v>
      </x:c>
      <x:c r="E277" s="3" t="str">
        <x:v>Beauty</x:v>
      </x:c>
      <x:c r="F277" s="3" t="str">
        <x:v>Skincare</x:v>
      </x:c>
      <x:c r="G277" s="3" t="str">
        <x:v>Vitamin C Serum</x:v>
      </x:c>
      <x:c r="H277" s="3" t="n">
        <x:v>5</x:v>
      </x:c>
      <x:c r="I277" s="7" t="n">
        <x:v>855.84</x:v>
      </x:c>
      <x:c r="J277" s="9" t="n">
        <x:v>0.05</x:v>
      </x:c>
      <x:c r="K277" s="7" t="n">
        <x:v>4065.24</x:v>
      </x:c>
      <x:c r="L277" s="7" t="n">
        <x:v>2119.07</x:v>
      </x:c>
      <x:c r="M277" s="3" t="str">
        <x:v>Credit Card</x:v>
      </x:c>
      <x:c r="N277" s="3"/>
      <x:c r="O277" s="3"/>
      <x:c r="P277" s="3"/>
      <x:c r="Q277" s="3"/>
    </x:row>
    <x:row r="278" ht="21" customHeight="1">
      <x:c r="A278" s="3" t="str">
        <x:v>ORD-100985</x:v>
      </x:c>
      <x:c r="B278" s="5" t="n">
        <x:v>45384</x:v>
      </x:c>
      <x:c r="C278" s="3" t="str">
        <x:v>CUST-00321</x:v>
      </x:c>
      <x:c r="D278" s="3" t="str">
        <x:v>North</x:v>
      </x:c>
      <x:c r="E278" s="3" t="str">
        <x:v>Fashion</x:v>
      </x:c>
      <x:c r="F278" s="3" t="str">
        <x:v>Women</x:v>
      </x:c>
      <x:c r="G278" s="3" t="str">
        <x:v>Floral Summer Dress</x:v>
      </x:c>
      <x:c r="H278" s="3" t="n">
        <x:v>1</x:v>
      </x:c>
      <x:c r="I278" s="7" t="n">
        <x:v>1842.15</x:v>
      </x:c>
      <x:c r="J278" s="9" t="n">
        <x:v>0.1</x:v>
      </x:c>
      <x:c r="K278" s="7" t="n">
        <x:v>1657.94</x:v>
      </x:c>
      <x:c r="L278" s="7" t="n">
        <x:v>550.27</x:v>
      </x:c>
      <x:c r="M278" s="3" t="str">
        <x:v>Debit Card</x:v>
      </x:c>
      <x:c r="N278" s="3"/>
      <x:c r="O278" s="3"/>
      <x:c r="P278" s="3"/>
      <x:c r="Q278" s="3"/>
    </x:row>
    <x:row r="279" ht="21" customHeight="1">
      <x:c r="A279" s="3" t="str">
        <x:v>ORD-101745</x:v>
      </x:c>
      <x:c r="B279" s="5" t="n">
        <x:v>45384</x:v>
      </x:c>
      <x:c r="C279" s="3" t="str">
        <x:v>CUST-00097</x:v>
      </x:c>
      <x:c r="D279" s="3" t="str">
        <x:v>South</x:v>
      </x:c>
      <x:c r="E279" s="3" t="str">
        <x:v>Home &amp; Kitchen</x:v>
      </x:c>
      <x:c r="F279" s="3" t="str">
        <x:v>Appliances</x:v>
      </x:c>
      <x:c r="G279" s="3" t="str">
        <x:v>ColdBrew Coffee Maker</x:v>
      </x:c>
      <x:c r="H279" s="3" t="n">
        <x:v>1</x:v>
      </x:c>
      <x:c r="I279" s="7" t="n">
        <x:v>6303.41</x:v>
      </x:c>
      <x:c r="J279" s="9" t="n">
        <x:v>0.05</x:v>
      </x:c>
      <x:c r="K279" s="7" t="n">
        <x:v>5988.24</x:v>
      </x:c>
      <x:c r="L279" s="7" t="n">
        <x:v>1394.36</x:v>
      </x:c>
      <x:c r="M279" s="3" t="str">
        <x:v>Credit Card</x:v>
      </x:c>
      <x:c r="N279" s="3"/>
      <x:c r="O279" s="3"/>
      <x:c r="P279" s="3"/>
      <x:c r="Q279" s="3"/>
    </x:row>
    <x:row r="280" ht="21" customHeight="1">
      <x:c r="A280" s="3" t="str">
        <x:v>ORD-101781</x:v>
      </x:c>
      <x:c r="B280" s="5" t="n">
        <x:v>45384</x:v>
      </x:c>
      <x:c r="C280" s="3" t="str">
        <x:v>CUST-00544</x:v>
      </x:c>
      <x:c r="D280" s="3" t="str">
        <x:v>North</x:v>
      </x:c>
      <x:c r="E280" s="3" t="str">
        <x:v>Electronics</x:v>
      </x:c>
      <x:c r="F280" s="3" t="str">
        <x:v>Mobile</x:v>
      </x:c>
      <x:c r="G280" s="3" t="str">
        <x:v>iPhone Zeta</x:v>
      </x:c>
      <x:c r="H280" s="3" t="n">
        <x:v>5</x:v>
      </x:c>
      <x:c r="I280" s="7" t="n">
        <x:v>71519.57</x:v>
      </x:c>
      <x:c r="J280" s="9" t="n">
        <x:v>0</x:v>
      </x:c>
      <x:c r="K280" s="7" t="n">
        <x:v>357597.85</x:v>
      </x:c>
      <x:c r="L280" s="7" t="n">
        <x:v>57243.54</x:v>
      </x:c>
      <x:c r="M280" s="3" t="str">
        <x:v>Net Banking</x:v>
      </x:c>
      <x:c r="N280" s="3"/>
      <x:c r="O280" s="3"/>
      <x:c r="P280" s="3"/>
      <x:c r="Q280" s="3"/>
    </x:row>
    <x:row r="281" ht="21" customHeight="1">
      <x:c r="A281" s="3" t="str">
        <x:v>ORD-101881</x:v>
      </x:c>
      <x:c r="B281" s="5" t="n">
        <x:v>45384</x:v>
      </x:c>
      <x:c r="C281" s="3" t="str">
        <x:v>CUST-00102</x:v>
      </x:c>
      <x:c r="D281" s="3" t="str">
        <x:v>North</x:v>
      </x:c>
      <x:c r="E281" s="3" t="str">
        <x:v>Electronics</x:v>
      </x:c>
      <x:c r="F281" s="3" t="str">
        <x:v>Laptop</x:v>
      </x:c>
      <x:c r="G281" s="3" t="str">
        <x:v>ThinkPro 14</x:v>
      </x:c>
      <x:c r="H281" s="3" t="n">
        <x:v>1</x:v>
      </x:c>
      <x:c r="I281" s="7" t="n">
        <x:v>53786.46</x:v>
      </x:c>
      <x:c r="J281" s="9" t="n">
        <x:v>0</x:v>
      </x:c>
      <x:c r="K281" s="7" t="n">
        <x:v>53786.46</x:v>
      </x:c>
      <x:c r="L281" s="7" t="n">
        <x:v>11452.85</x:v>
      </x:c>
      <x:c r="M281" s="3" t="str">
        <x:v>Credit Card</x:v>
      </x:c>
      <x:c r="N281" s="3"/>
      <x:c r="O281" s="3"/>
      <x:c r="P281" s="3"/>
      <x:c r="Q281" s="3"/>
    </x:row>
    <x:row r="282" ht="21" customHeight="1">
      <x:c r="A282" s="3" t="str">
        <x:v>ORD-101444</x:v>
      </x:c>
      <x:c r="B282" s="5" t="n">
        <x:v>45385</x:v>
      </x:c>
      <x:c r="C282" s="3" t="str">
        <x:v>CUST-00385</x:v>
      </x:c>
      <x:c r="D282" s="3" t="str">
        <x:v>North</x:v>
      </x:c>
      <x:c r="E282" s="3" t="str">
        <x:v>Home &amp; Kitchen</x:v>
      </x:c>
      <x:c r="F282" s="3" t="str">
        <x:v>Furniture</x:v>
      </x:c>
      <x:c r="G282" s="3" t="str">
        <x:v>Oakwood Study Desk</x:v>
      </x:c>
      <x:c r="H282" s="3" t="n">
        <x:v>2</x:v>
      </x:c>
      <x:c r="I282" s="7" t="n">
        <x:v>12793.9</x:v>
      </x:c>
      <x:c r="J282" s="9" t="n">
        <x:v>0.25</x:v>
      </x:c>
      <x:c r="K282" s="7" t="n">
        <x:v>19190.85</x:v>
      </x:c>
      <x:c r="L282" s="7" t="n">
        <x:v>705.48</x:v>
      </x:c>
      <x:c r="M282" s="3" t="str">
        <x:v>Cash on Delivery</x:v>
      </x:c>
      <x:c r="N282" s="3"/>
      <x:c r="O282" s="3"/>
      <x:c r="P282" s="3"/>
      <x:c r="Q282" s="3"/>
    </x:row>
    <x:row r="283" ht="21" customHeight="1">
      <x:c r="A283" s="3" t="str">
        <x:v>ORD-101577</x:v>
      </x:c>
      <x:c r="B283" s="5" t="n">
        <x:v>45385</x:v>
      </x:c>
      <x:c r="C283" s="3" t="str">
        <x:v>CUST-00441</x:v>
      </x:c>
      <x:c r="D283" s="3" t="str">
        <x:v>North</x:v>
      </x:c>
      <x:c r="E283" s="3" t="str">
        <x:v>Home &amp; Kitchen</x:v>
      </x:c>
      <x:c r="F283" s="3" t="str">
        <x:v>Appliances</x:v>
      </x:c>
      <x:c r="G283" s="3" t="str">
        <x:v>ColdBrew Coffee Maker</x:v>
      </x:c>
      <x:c r="H283" s="3" t="n">
        <x:v>1</x:v>
      </x:c>
      <x:c r="I283" s="7" t="n">
        <x:v>6242.79</x:v>
      </x:c>
      <x:c r="J283" s="9" t="n">
        <x:v>0</x:v>
      </x:c>
      <x:c r="K283" s="7" t="n">
        <x:v>6242.79</x:v>
      </x:c>
      <x:c r="L283" s="7" t="n">
        <x:v>2097.56</x:v>
      </x:c>
      <x:c r="M283" s="3" t="str">
        <x:v>Cash on Delivery</x:v>
      </x:c>
      <x:c r="N283" s="3"/>
      <x:c r="O283" s="3"/>
      <x:c r="P283" s="3"/>
      <x:c r="Q283" s="3"/>
    </x:row>
    <x:row r="284" ht="21" customHeight="1">
      <x:c r="A284" s="3" t="str">
        <x:v>ORD-101848</x:v>
      </x:c>
      <x:c r="B284" s="5" t="n">
        <x:v>45385</x:v>
      </x:c>
      <x:c r="C284" s="3" t="str">
        <x:v>CUST-00011</x:v>
      </x:c>
      <x:c r="D284" s="3" t="str">
        <x:v>North</x:v>
      </x:c>
      <x:c r="E284" s="3" t="str">
        <x:v>Beauty</x:v>
      </x:c>
      <x:c r="F284" s="3" t="str">
        <x:v>Makeup</x:v>
      </x:c>
      <x:c r="G284" s="3" t="str">
        <x:v>Matte Lipstick Set</x:v>
      </x:c>
      <x:c r="H284" s="3" t="n">
        <x:v>2</x:v>
      </x:c>
      <x:c r="I284" s="7" t="n">
        <x:v>1035.46</x:v>
      </x:c>
      <x:c r="J284" s="9" t="n">
        <x:v>0.3</x:v>
      </x:c>
      <x:c r="K284" s="7" t="n">
        <x:v>1449.64</x:v>
      </x:c>
      <x:c r="L284" s="7" t="n">
        <x:v>296.44</x:v>
      </x:c>
      <x:c r="M284" s="3" t="str">
        <x:v>UPI</x:v>
      </x:c>
      <x:c r="N284" s="3"/>
      <x:c r="O284" s="3"/>
      <x:c r="P284" s="3"/>
      <x:c r="Q284" s="3"/>
    </x:row>
    <x:row r="285" ht="21" customHeight="1">
      <x:c r="A285" s="3" t="str">
        <x:v>ORD-101115</x:v>
      </x:c>
      <x:c r="B285" s="5" t="n">
        <x:v>45386</x:v>
      </x:c>
      <x:c r="C285" s="3" t="str">
        <x:v>CUST-00567</x:v>
      </x:c>
      <x:c r="D285" s="3" t="str">
        <x:v>North</x:v>
      </x:c>
      <x:c r="E285" s="3" t="str">
        <x:v>Fashion</x:v>
      </x:c>
      <x:c r="F285" s="3" t="str">
        <x:v>Footwear</x:v>
      </x:c>
      <x:c r="G285" s="3" t="str">
        <x:v>RunFlex Sneakers</x:v>
      </x:c>
      <x:c r="H285" s="3" t="n">
        <x:v>3</x:v>
      </x:c>
      <x:c r="I285" s="7" t="n">
        <x:v>2958.39</x:v>
      </x:c>
      <x:c r="J285" s="9" t="n">
        <x:v>0.3</x:v>
      </x:c>
      <x:c r="K285" s="7" t="n">
        <x:v>6212.62</x:v>
      </x:c>
      <x:c r="L285" s="7" t="n">
        <x:v>595.52</x:v>
      </x:c>
      <x:c r="M285" s="3" t="str">
        <x:v>Net Banking</x:v>
      </x:c>
      <x:c r="N285" s="3"/>
      <x:c r="O285" s="3"/>
      <x:c r="P285" s="3"/>
      <x:c r="Q285" s="3"/>
    </x:row>
    <x:row r="286" ht="21" customHeight="1">
      <x:c r="A286" s="3" t="str">
        <x:v>ORD-101271</x:v>
      </x:c>
      <x:c r="B286" s="5" t="n">
        <x:v>45386</x:v>
      </x:c>
      <x:c r="C286" s="3" t="str">
        <x:v>CUST-00009</x:v>
      </x:c>
      <x:c r="D286" s="3" t="str">
        <x:v>West</x:v>
      </x:c>
      <x:c r="E286" s="3" t="str">
        <x:v>Beauty</x:v>
      </x:c>
      <x:c r="F286" s="3" t="str">
        <x:v>Skincare</x:v>
      </x:c>
      <x:c r="G286" s="3" t="str">
        <x:v>Vitamin C Serum</x:v>
      </x:c>
      <x:c r="H286" s="3" t="n">
        <x:v>2</x:v>
      </x:c>
      <x:c r="I286" s="7" t="n">
        <x:v>863.57</x:v>
      </x:c>
      <x:c r="J286" s="9" t="n">
        <x:v>0.15</x:v>
      </x:c>
      <x:c r="K286" s="7" t="n">
        <x:v>1468.07</x:v>
      </x:c>
      <x:c r="L286" s="7" t="n">
        <x:v>511.18</x:v>
      </x:c>
      <x:c r="M286" s="3" t="str">
        <x:v>UPI</x:v>
      </x:c>
      <x:c r="N286" s="3"/>
      <x:c r="O286" s="3"/>
      <x:c r="P286" s="3"/>
      <x:c r="Q286" s="3"/>
    </x:row>
    <x:row r="287" ht="21" customHeight="1">
      <x:c r="A287" s="3" t="str">
        <x:v>ORD-101529</x:v>
      </x:c>
      <x:c r="B287" s="5" t="n">
        <x:v>45386</x:v>
      </x:c>
      <x:c r="C287" s="3" t="str">
        <x:v>CUST-00466</x:v>
      </x:c>
      <x:c r="D287" s="3" t="str">
        <x:v>North</x:v>
      </x:c>
      <x:c r="E287" s="3" t="str">
        <x:v>Beauty</x:v>
      </x:c>
      <x:c r="F287" s="3" t="str">
        <x:v>Skincare</x:v>
      </x:c>
      <x:c r="G287" s="3" t="str">
        <x:v>HydraBoost Moisturizer</x:v>
      </x:c>
      <x:c r="H287" s="3" t="n">
        <x:v>1</x:v>
      </x:c>
      <x:c r="I287" s="7" t="n">
        <x:v>1145.31</x:v>
      </x:c>
      <x:c r="J287" s="9" t="n">
        <x:v>0.05</x:v>
      </x:c>
      <x:c r="K287" s="7" t="n">
        <x:v>1088.04</x:v>
      </x:c>
      <x:c r="L287" s="7" t="n">
        <x:v>566.47</x:v>
      </x:c>
      <x:c r="M287" s="3" t="str">
        <x:v>UPI</x:v>
      </x:c>
      <x:c r="N287" s="3"/>
      <x:c r="O287" s="3"/>
      <x:c r="P287" s="3"/>
      <x:c r="Q287" s="3"/>
    </x:row>
    <x:row r="288" ht="21" customHeight="1">
      <x:c r="A288" s="3" t="str">
        <x:v>ORD-100205</x:v>
      </x:c>
      <x:c r="B288" s="5" t="n">
        <x:v>45387</x:v>
      </x:c>
      <x:c r="C288" s="3" t="str">
        <x:v>CUST-00285</x:v>
      </x:c>
      <x:c r="D288" s="3" t="str">
        <x:v>South</x:v>
      </x:c>
      <x:c r="E288" s="3" t="str">
        <x:v>Fashion</x:v>
      </x:c>
      <x:c r="F288" s="3" t="str">
        <x:v>Footwear</x:v>
      </x:c>
      <x:c r="G288" s="3" t="str">
        <x:v>UrbanLoafers</x:v>
      </x:c>
      <x:c r="H288" s="3" t="n">
        <x:v>1</x:v>
      </x:c>
      <x:c r="I288" s="7" t="n">
        <x:v>3418.07</x:v>
      </x:c>
      <x:c r="J288" s="9" t="n">
        <x:v>0.1</x:v>
      </x:c>
      <x:c r="K288" s="7" t="n">
        <x:v>3076.26</x:v>
      </x:c>
      <x:c r="L288" s="7" t="n">
        <x:v>917.15</x:v>
      </x:c>
      <x:c r="M288" s="3" t="str">
        <x:v>Credit Card</x:v>
      </x:c>
      <x:c r="N288" s="3"/>
      <x:c r="O288" s="3"/>
      <x:c r="P288" s="3"/>
      <x:c r="Q288" s="3"/>
    </x:row>
    <x:row r="289" ht="21" customHeight="1">
      <x:c r="A289" s="3" t="str">
        <x:v>ORD-100280</x:v>
      </x:c>
      <x:c r="B289" s="5" t="n">
        <x:v>45387</x:v>
      </x:c>
      <x:c r="C289" s="3" t="str">
        <x:v>CUST-00351</x:v>
      </x:c>
      <x:c r="D289" s="3" t="str">
        <x:v>East</x:v>
      </x:c>
      <x:c r="E289" s="3" t="str">
        <x:v>Sports</x:v>
      </x:c>
      <x:c r="F289" s="3" t="str">
        <x:v>Fitness</x:v>
      </x:c>
      <x:c r="G289" s="3" t="str">
        <x:v>ProYoga Mat</x:v>
      </x:c>
      <x:c r="H289" s="3" t="n">
        <x:v>3</x:v>
      </x:c>
      <x:c r="I289" s="7" t="n">
        <x:v>1235.31</x:v>
      </x:c>
      <x:c r="J289" s="9" t="n">
        <x:v>0.2</x:v>
      </x:c>
      <x:c r="K289" s="7" t="n">
        <x:v>2964.74</x:v>
      </x:c>
      <x:c r="L289" s="7" t="n">
        <x:v>358.95</x:v>
      </x:c>
      <x:c r="M289" s="3" t="str">
        <x:v>UPI</x:v>
      </x:c>
      <x:c r="N289" s="3"/>
      <x:c r="O289" s="3"/>
      <x:c r="P289" s="3"/>
      <x:c r="Q289" s="3"/>
    </x:row>
    <x:row r="290" ht="21" customHeight="1">
      <x:c r="A290" s="3" t="str">
        <x:v>ORD-100545</x:v>
      </x:c>
      <x:c r="B290" s="5" t="n">
        <x:v>45387</x:v>
      </x:c>
      <x:c r="C290" s="3" t="str">
        <x:v>CUST-00350</x:v>
      </x:c>
      <x:c r="D290" s="3" t="str">
        <x:v>South</x:v>
      </x:c>
      <x:c r="E290" s="3" t="str">
        <x:v>Home &amp; Kitchen</x:v>
      </x:c>
      <x:c r="F290" s="3" t="str">
        <x:v>Appliances</x:v>
      </x:c>
      <x:c r="G290" s="3" t="str">
        <x:v>AirFryer Deluxe</x:v>
      </x:c>
      <x:c r="H290" s="3" t="n">
        <x:v>1</x:v>
      </x:c>
      <x:c r="I290" s="7" t="n">
        <x:v>7980.15</x:v>
      </x:c>
      <x:c r="J290" s="9" t="n">
        <x:v>0.2</x:v>
      </x:c>
      <x:c r="K290" s="7" t="n">
        <x:v>6384.12</x:v>
      </x:c>
      <x:c r="L290" s="7" t="n">
        <x:v>670.62</x:v>
      </x:c>
      <x:c r="M290" s="3" t="str">
        <x:v>Debit Card</x:v>
      </x:c>
      <x:c r="N290" s="3"/>
      <x:c r="O290" s="3"/>
      <x:c r="P290" s="3"/>
      <x:c r="Q290" s="3"/>
    </x:row>
    <x:row r="291" ht="21" customHeight="1">
      <x:c r="A291" s="3" t="str">
        <x:v>ORD-100686</x:v>
      </x:c>
      <x:c r="B291" s="5" t="n">
        <x:v>45387</x:v>
      </x:c>
      <x:c r="C291" s="3" t="str">
        <x:v>CUST-00059</x:v>
      </x:c>
      <x:c r="D291" s="3" t="str">
        <x:v>West</x:v>
      </x:c>
      <x:c r="E291" s="3" t="str">
        <x:v>Sports</x:v>
      </x:c>
      <x:c r="F291" s="3" t="str">
        <x:v>Fitness</x:v>
      </x:c>
      <x:c r="G291" s="3" t="str">
        <x:v>Adjustable Dumbbell 24kg</x:v>
      </x:c>
      <x:c r="H291" s="3" t="n">
        <x:v>2</x:v>
      </x:c>
      <x:c r="I291" s="7" t="n">
        <x:v>9804.68</x:v>
      </x:c>
      <x:c r="J291" s="9" t="n">
        <x:v>0</x:v>
      </x:c>
      <x:c r="K291" s="7" t="n">
        <x:v>19609.36</x:v>
      </x:c>
      <x:c r="L291" s="7" t="n">
        <x:v>7876.03</x:v>
      </x:c>
      <x:c r="M291" s="3" t="str">
        <x:v>Credit Card</x:v>
      </x:c>
      <x:c r="N291" s="3"/>
      <x:c r="O291" s="3"/>
      <x:c r="P291" s="3"/>
      <x:c r="Q291" s="3"/>
    </x:row>
    <x:row r="292" ht="21" customHeight="1">
      <x:c r="A292" s="3" t="str">
        <x:v>ORD-100862</x:v>
      </x:c>
      <x:c r="B292" s="5" t="n">
        <x:v>45387</x:v>
      </x:c>
      <x:c r="C292" s="3" t="str">
        <x:v>CUST-00417</x:v>
      </x:c>
      <x:c r="D292" s="3" t="str">
        <x:v>South</x:v>
      </x:c>
      <x:c r="E292" s="3" t="str">
        <x:v>Beauty</x:v>
      </x:c>
      <x:c r="F292" s="3" t="str">
        <x:v>Skincare</x:v>
      </x:c>
      <x:c r="G292" s="3" t="str">
        <x:v>HydraBoost Moisturizer</x:v>
      </x:c>
      <x:c r="H292" s="3" t="n">
        <x:v>1</x:v>
      </x:c>
      <x:c r="I292" s="7" t="n">
        <x:v>1170.74</x:v>
      </x:c>
      <x:c r="J292" s="9" t="n">
        <x:v>0</x:v>
      </x:c>
      <x:c r="K292" s="7" t="n">
        <x:v>1170.74</x:v>
      </x:c>
      <x:c r="L292" s="7" t="n">
        <x:v>658.52</x:v>
      </x:c>
      <x:c r="M292" s="3" t="str">
        <x:v>UPI</x:v>
      </x:c>
      <x:c r="N292" s="3"/>
      <x:c r="O292" s="3"/>
      <x:c r="P292" s="3"/>
      <x:c r="Q292" s="3"/>
    </x:row>
    <x:row r="293" ht="21" customHeight="1">
      <x:c r="A293" s="3" t="str">
        <x:v>ORD-101284</x:v>
      </x:c>
      <x:c r="B293" s="5" t="n">
        <x:v>45387</x:v>
      </x:c>
      <x:c r="C293" s="3" t="str">
        <x:v>CUST-00153</x:v>
      </x:c>
      <x:c r="D293" s="3" t="str">
        <x:v>North</x:v>
      </x:c>
      <x:c r="E293" s="3" t="str">
        <x:v>Home &amp; Kitchen</x:v>
      </x:c>
      <x:c r="F293" s="3" t="str">
        <x:v>Furniture</x:v>
      </x:c>
      <x:c r="G293" s="3" t="str">
        <x:v>ErgoComfort Chair</x:v>
      </x:c>
      <x:c r="H293" s="3" t="n">
        <x:v>2</x:v>
      </x:c>
      <x:c r="I293" s="7" t="n">
        <x:v>9318.63</x:v>
      </x:c>
      <x:c r="J293" s="9" t="n">
        <x:v>0.15</x:v>
      </x:c>
      <x:c r="K293" s="7" t="n">
        <x:v>15841.67</x:v>
      </x:c>
      <x:c r="L293" s="7" t="n">
        <x:v>2588.66</x:v>
      </x:c>
      <x:c r="M293" s="3" t="str">
        <x:v>UPI</x:v>
      </x:c>
      <x:c r="N293" s="3"/>
      <x:c r="O293" s="3"/>
      <x:c r="P293" s="3"/>
      <x:c r="Q293" s="3"/>
    </x:row>
    <x:row r="294" ht="21" customHeight="1">
      <x:c r="A294" s="3" t="str">
        <x:v>ORD-100547</x:v>
      </x:c>
      <x:c r="B294" s="5" t="n">
        <x:v>45388</x:v>
      </x:c>
      <x:c r="C294" s="3" t="str">
        <x:v>CUST-00583</x:v>
      </x:c>
      <x:c r="D294" s="3" t="str">
        <x:v>North</x:v>
      </x:c>
      <x:c r="E294" s="3" t="str">
        <x:v>Home &amp; Kitchen</x:v>
      </x:c>
      <x:c r="F294" s="3" t="str">
        <x:v>Furniture</x:v>
      </x:c>
      <x:c r="G294" s="3" t="str">
        <x:v>ErgoComfort Chair</x:v>
      </x:c>
      <x:c r="H294" s="3" t="n">
        <x:v>1</x:v>
      </x:c>
      <x:c r="I294" s="7" t="n">
        <x:v>8617.92</x:v>
      </x:c>
      <x:c r="J294" s="9" t="n">
        <x:v>0</x:v>
      </x:c>
      <x:c r="K294" s="7" t="n">
        <x:v>8617.92</x:v>
      </x:c>
      <x:c r="L294" s="7" t="n">
        <x:v>2530.29</x:v>
      </x:c>
      <x:c r="M294" s="3" t="str">
        <x:v>Credit Card</x:v>
      </x:c>
      <x:c r="N294" s="3"/>
      <x:c r="O294" s="3"/>
      <x:c r="P294" s="3"/>
      <x:c r="Q294" s="3"/>
    </x:row>
    <x:row r="295" ht="21" customHeight="1">
      <x:c r="A295" s="3" t="str">
        <x:v>ORD-100906</x:v>
      </x:c>
      <x:c r="B295" s="5" t="n">
        <x:v>45388</x:v>
      </x:c>
      <x:c r="C295" s="3" t="str">
        <x:v>CUST-00149</x:v>
      </x:c>
      <x:c r="D295" s="3" t="str">
        <x:v>North</x:v>
      </x:c>
      <x:c r="E295" s="3" t="str">
        <x:v>Home &amp; Kitchen</x:v>
      </x:c>
      <x:c r="F295" s="3" t="str">
        <x:v>Appliances</x:v>
      </x:c>
      <x:c r="G295" s="3" t="str">
        <x:v>AirFryer Deluxe</x:v>
      </x:c>
      <x:c r="H295" s="3" t="n">
        <x:v>2</x:v>
      </x:c>
      <x:c r="I295" s="7" t="n">
        <x:v>7628.34</x:v>
      </x:c>
      <x:c r="J295" s="9" t="n">
        <x:v>0.05</x:v>
      </x:c>
      <x:c r="K295" s="7" t="n">
        <x:v>14493.85</x:v>
      </x:c>
      <x:c r="L295" s="7" t="n">
        <x:v>4226.33</x:v>
      </x:c>
      <x:c r="M295" s="3" t="str">
        <x:v>UPI</x:v>
      </x:c>
      <x:c r="N295" s="3"/>
      <x:c r="O295" s="3"/>
      <x:c r="P295" s="3"/>
      <x:c r="Q295" s="3"/>
    </x:row>
    <x:row r="296" ht="21" customHeight="1">
      <x:c r="A296" s="3" t="str">
        <x:v>ORD-101086</x:v>
      </x:c>
      <x:c r="B296" s="5" t="n">
        <x:v>45388</x:v>
      </x:c>
      <x:c r="C296" s="3" t="str">
        <x:v>CUST-00346</x:v>
      </x:c>
      <x:c r="D296" s="3" t="str">
        <x:v>North</x:v>
      </x:c>
      <x:c r="E296" s="3" t="str">
        <x:v>Electronics</x:v>
      </x:c>
      <x:c r="F296" s="3" t="str">
        <x:v>Laptop</x:v>
      </x:c>
      <x:c r="G296" s="3" t="str">
        <x:v>ThinkPro 14</x:v>
      </x:c>
      <x:c r="H296" s="3" t="n">
        <x:v>5</x:v>
      </x:c>
      <x:c r="I296" s="7" t="n">
        <x:v>52726.6</x:v>
      </x:c>
      <x:c r="J296" s="9" t="n">
        <x:v>0.15</x:v>
      </x:c>
      <x:c r="K296" s="7" t="n">
        <x:v>224088.05</x:v>
      </x:c>
      <x:c r="L296" s="7" t="n">
        <x:v>-2762.44</x:v>
      </x:c>
      <x:c r="M296" s="3" t="str">
        <x:v>UPI</x:v>
      </x:c>
      <x:c r="N296" s="3"/>
      <x:c r="O296" s="3"/>
      <x:c r="P296" s="3"/>
      <x:c r="Q296" s="3"/>
    </x:row>
    <x:row r="297" ht="21" customHeight="1">
      <x:c r="A297" s="3" t="str">
        <x:v>ORD-101998</x:v>
      </x:c>
      <x:c r="B297" s="5" t="n">
        <x:v>45388</x:v>
      </x:c>
      <x:c r="C297" s="3" t="str">
        <x:v>CUST-00463</x:v>
      </x:c>
      <x:c r="D297" s="3" t="str">
        <x:v>West</x:v>
      </x:c>
      <x:c r="E297" s="3" t="str">
        <x:v>Sports</x:v>
      </x:c>
      <x:c r="F297" s="3" t="str">
        <x:v>Outdoor</x:v>
      </x:c>
      <x:c r="G297" s="3" t="str">
        <x:v>TrailHike Backpack 60L</x:v>
      </x:c>
      <x:c r="H297" s="3" t="n">
        <x:v>1</x:v>
      </x:c>
      <x:c r="I297" s="7" t="n">
        <x:v>3416.5</x:v>
      </x:c>
      <x:c r="J297" s="9" t="n">
        <x:v>0</x:v>
      </x:c>
      <x:c r="K297" s="7" t="n">
        <x:v>3416.5</x:v>
      </x:c>
      <x:c r="L297" s="7" t="n">
        <x:v>1264.68</x:v>
      </x:c>
      <x:c r="M297" s="3" t="str">
        <x:v>UPI</x:v>
      </x:c>
      <x:c r="N297" s="3"/>
      <x:c r="O297" s="3"/>
      <x:c r="P297" s="3"/>
      <x:c r="Q297" s="3"/>
    </x:row>
    <x:row r="298" ht="21" customHeight="1">
      <x:c r="A298" s="3" t="str">
        <x:v>ORD-100152</x:v>
      </x:c>
      <x:c r="B298" s="5" t="n">
        <x:v>45389</x:v>
      </x:c>
      <x:c r="C298" s="3" t="str">
        <x:v>CUST-00144</x:v>
      </x:c>
      <x:c r="D298" s="3" t="str">
        <x:v>South</x:v>
      </x:c>
      <x:c r="E298" s="3" t="str">
        <x:v>Home &amp; Kitchen</x:v>
      </x:c>
      <x:c r="F298" s="3" t="str">
        <x:v>Decor</x:v>
      </x:c>
      <x:c r="G298" s="3" t="str">
        <x:v>Ceramic Vase Set</x:v>
      </x:c>
      <x:c r="H298" s="3" t="n">
        <x:v>1</x:v>
      </x:c>
      <x:c r="I298" s="7" t="n">
        <x:v>1558.52</x:v>
      </x:c>
      <x:c r="J298" s="9" t="n">
        <x:v>0.2</x:v>
      </x:c>
      <x:c r="K298" s="7" t="n">
        <x:v>1246.82</x:v>
      </x:c>
      <x:c r="L298" s="7" t="n">
        <x:v>157.3</x:v>
      </x:c>
      <x:c r="M298" s="3" t="str">
        <x:v>UPI</x:v>
      </x:c>
      <x:c r="N298" s="3"/>
      <x:c r="O298" s="3"/>
      <x:c r="P298" s="3"/>
      <x:c r="Q298" s="3"/>
    </x:row>
    <x:row r="299" ht="21" customHeight="1">
      <x:c r="A299" s="3" t="str">
        <x:v>ORD-100378</x:v>
      </x:c>
      <x:c r="B299" s="5" t="n">
        <x:v>45389</x:v>
      </x:c>
      <x:c r="C299" s="3" t="str">
        <x:v>CUST-00308</x:v>
      </x:c>
      <x:c r="D299" s="3" t="str">
        <x:v>East</x:v>
      </x:c>
      <x:c r="E299" s="3" t="str">
        <x:v>Beauty</x:v>
      </x:c>
      <x:c r="F299" s="3" t="str">
        <x:v>Skincare</x:v>
      </x:c>
      <x:c r="G299" s="3" t="str">
        <x:v>Vitamin C Serum</x:v>
      </x:c>
      <x:c r="H299" s="3" t="n">
        <x:v>2</x:v>
      </x:c>
      <x:c r="I299" s="7" t="n">
        <x:v>869.59</x:v>
      </x:c>
      <x:c r="J299" s="9" t="n">
        <x:v>0.15</x:v>
      </x:c>
      <x:c r="K299" s="7" t="n">
        <x:v>1478.3</x:v>
      </x:c>
      <x:c r="L299" s="7" t="n">
        <x:v>596.58</x:v>
      </x:c>
      <x:c r="M299" s="3" t="str">
        <x:v>Credit Card</x:v>
      </x:c>
      <x:c r="N299" s="3"/>
      <x:c r="O299" s="3"/>
      <x:c r="P299" s="3"/>
      <x:c r="Q299" s="3"/>
    </x:row>
    <x:row r="300" ht="21" customHeight="1">
      <x:c r="A300" s="3" t="str">
        <x:v>ORD-100999</x:v>
      </x:c>
      <x:c r="B300" s="5" t="n">
        <x:v>45389</x:v>
      </x:c>
      <x:c r="C300" s="3" t="str">
        <x:v>CUST-00542</x:v>
      </x:c>
      <x:c r="D300" s="3" t="str">
        <x:v>North</x:v>
      </x:c>
      <x:c r="E300" s="3" t="str">
        <x:v>Sports</x:v>
      </x:c>
      <x:c r="F300" s="3" t="str">
        <x:v>Fitness</x:v>
      </x:c>
      <x:c r="G300" s="3" t="str">
        <x:v>ProYoga Mat</x:v>
      </x:c>
      <x:c r="H300" s="3" t="n">
        <x:v>1</x:v>
      </x:c>
      <x:c r="I300" s="7" t="n">
        <x:v>1244.65</x:v>
      </x:c>
      <x:c r="J300" s="9" t="n">
        <x:v>0.1</x:v>
      </x:c>
      <x:c r="K300" s="7" t="n">
        <x:v>1120.19</x:v>
      </x:c>
      <x:c r="L300" s="7" t="n">
        <x:v>292.52</x:v>
      </x:c>
      <x:c r="M300" s="3" t="str">
        <x:v>UPI</x:v>
      </x:c>
      <x:c r="N300" s="3"/>
      <x:c r="O300" s="3"/>
      <x:c r="P300" s="3"/>
      <x:c r="Q300" s="3"/>
    </x:row>
    <x:row r="301" ht="21" customHeight="1">
      <x:c r="A301" s="3" t="str">
        <x:v>ORD-101723</x:v>
      </x:c>
      <x:c r="B301" s="5" t="n">
        <x:v>45389</x:v>
      </x:c>
      <x:c r="C301" s="3" t="str">
        <x:v>CUST-00463</x:v>
      </x:c>
      <x:c r="D301" s="3" t="str">
        <x:v>North</x:v>
      </x:c>
      <x:c r="E301" s="3" t="str">
        <x:v>Sports</x:v>
      </x:c>
      <x:c r="F301" s="3" t="str">
        <x:v>Fitness</x:v>
      </x:c>
      <x:c r="G301" s="3" t="str">
        <x:v>Adjustable Dumbbell 24kg</x:v>
      </x:c>
      <x:c r="H301" s="3" t="n">
        <x:v>1</x:v>
      </x:c>
      <x:c r="I301" s="7" t="n">
        <x:v>10057.34</x:v>
      </x:c>
      <x:c r="J301" s="9" t="n">
        <x:v>0.15</x:v>
      </x:c>
      <x:c r="K301" s="7" t="n">
        <x:v>8548.74</x:v>
      </x:c>
      <x:c r="L301" s="7" t="n">
        <x:v>1674.03</x:v>
      </x:c>
      <x:c r="M301" s="3" t="str">
        <x:v>UPI</x:v>
      </x:c>
      <x:c r="N301" s="3"/>
      <x:c r="O301" s="3"/>
      <x:c r="P301" s="3"/>
      <x:c r="Q301" s="3"/>
    </x:row>
    <x:row r="302" ht="21" customHeight="1">
      <x:c r="A302" s="3" t="str">
        <x:v>ORD-100810</x:v>
      </x:c>
      <x:c r="B302" s="5" t="n">
        <x:v>45390</x:v>
      </x:c>
      <x:c r="C302" s="3" t="str">
        <x:v>CUST-00144</x:v>
      </x:c>
      <x:c r="D302" s="3" t="str">
        <x:v>North</x:v>
      </x:c>
      <x:c r="E302" s="3" t="str">
        <x:v>Fashion</x:v>
      </x:c>
      <x:c r="F302" s="3" t="str">
        <x:v>Men</x:v>
      </x:c>
      <x:c r="G302" s="3" t="str">
        <x:v>SlimFit Denim Jeans</x:v>
      </x:c>
      <x:c r="H302" s="3" t="n">
        <x:v>1</x:v>
      </x:c>
      <x:c r="I302" s="7" t="n">
        <x:v>2056.97</x:v>
      </x:c>
      <x:c r="J302" s="9" t="n">
        <x:v>0.1</x:v>
      </x:c>
      <x:c r="K302" s="7" t="n">
        <x:v>1851.27</x:v>
      </x:c>
      <x:c r="L302" s="7" t="n">
        <x:v>503.33</x:v>
      </x:c>
      <x:c r="M302" s="3" t="str">
        <x:v>Cash on Delivery</x:v>
      </x:c>
      <x:c r="N302" s="3"/>
      <x:c r="O302" s="3"/>
      <x:c r="P302" s="3"/>
      <x:c r="Q302" s="3"/>
    </x:row>
    <x:row r="303" ht="21" customHeight="1">
      <x:c r="A303" s="3" t="str">
        <x:v>ORD-100897</x:v>
      </x:c>
      <x:c r="B303" s="5" t="n">
        <x:v>45390</x:v>
      </x:c>
      <x:c r="C303" s="3" t="str">
        <x:v>CUST-00326</x:v>
      </x:c>
      <x:c r="D303" s="3" t="str">
        <x:v>South</x:v>
      </x:c>
      <x:c r="E303" s="3" t="str">
        <x:v>Home &amp; Kitchen</x:v>
      </x:c>
      <x:c r="F303" s="3" t="str">
        <x:v>Furniture</x:v>
      </x:c>
      <x:c r="G303" s="3" t="str">
        <x:v>ErgoComfort Chair</x:v>
      </x:c>
      <x:c r="H303" s="3" t="n">
        <x:v>1</x:v>
      </x:c>
      <x:c r="I303" s="7" t="n">
        <x:v>8740.27</x:v>
      </x:c>
      <x:c r="J303" s="9" t="n">
        <x:v>0.05</x:v>
      </x:c>
      <x:c r="K303" s="7" t="n">
        <x:v>8303.26</x:v>
      </x:c>
      <x:c r="L303" s="7" t="n">
        <x:v>2244.24</x:v>
      </x:c>
      <x:c r="M303" s="3" t="str">
        <x:v>Credit Card</x:v>
      </x:c>
      <x:c r="N303" s="3"/>
      <x:c r="O303" s="3"/>
      <x:c r="P303" s="3"/>
      <x:c r="Q303" s="3"/>
    </x:row>
    <x:row r="304" ht="21" customHeight="1">
      <x:c r="A304" s="3" t="str">
        <x:v>ORD-100963</x:v>
      </x:c>
      <x:c r="B304" s="5" t="n">
        <x:v>45390</x:v>
      </x:c>
      <x:c r="C304" s="3" t="str">
        <x:v>CUST-00585</x:v>
      </x:c>
      <x:c r="D304" s="3" t="str">
        <x:v>West</x:v>
      </x:c>
      <x:c r="E304" s="3" t="str">
        <x:v>Home &amp; Kitchen</x:v>
      </x:c>
      <x:c r="F304" s="3" t="str">
        <x:v>Decor</x:v>
      </x:c>
      <x:c r="G304" s="3" t="str">
        <x:v>LED Wall Lamp</x:v>
      </x:c>
      <x:c r="H304" s="3" t="n">
        <x:v>4</x:v>
      </x:c>
      <x:c r="I304" s="7" t="n">
        <x:v>981.31</x:v>
      </x:c>
      <x:c r="J304" s="9" t="n">
        <x:v>0</x:v>
      </x:c>
      <x:c r="K304" s="7" t="n">
        <x:v>3925.24</x:v>
      </x:c>
      <x:c r="L304" s="7" t="n">
        <x:v>1307.89</x:v>
      </x:c>
      <x:c r="M304" s="3" t="str">
        <x:v>Credit Card</x:v>
      </x:c>
      <x:c r="N304" s="3"/>
      <x:c r="O304" s="3"/>
      <x:c r="P304" s="3"/>
      <x:c r="Q304" s="3"/>
    </x:row>
    <x:row r="305" ht="21" customHeight="1">
      <x:c r="A305" s="3" t="str">
        <x:v>ORD-101587</x:v>
      </x:c>
      <x:c r="B305" s="5" t="n">
        <x:v>45390</x:v>
      </x:c>
      <x:c r="C305" s="3" t="str">
        <x:v>CUST-00088</x:v>
      </x:c>
      <x:c r="D305" s="3" t="str">
        <x:v>West</x:v>
      </x:c>
      <x:c r="E305" s="3" t="str">
        <x:v>Home &amp; Kitchen</x:v>
      </x:c>
      <x:c r="F305" s="3" t="str">
        <x:v>Appliances</x:v>
      </x:c>
      <x:c r="G305" s="3" t="str">
        <x:v>AirFryer Deluxe</x:v>
      </x:c>
      <x:c r="H305" s="3" t="n">
        <x:v>1</x:v>
      </x:c>
      <x:c r="I305" s="7" t="n">
        <x:v>7676.47</x:v>
      </x:c>
      <x:c r="J305" s="9" t="n">
        <x:v>0</x:v>
      </x:c>
      <x:c r="K305" s="7" t="n">
        <x:v>7676.47</x:v>
      </x:c>
      <x:c r="L305" s="7" t="n">
        <x:v>2738.98</x:v>
      </x:c>
      <x:c r="M305" s="3" t="str">
        <x:v>UPI</x:v>
      </x:c>
      <x:c r="N305" s="3"/>
      <x:c r="O305" s="3"/>
      <x:c r="P305" s="3"/>
      <x:c r="Q305" s="3"/>
    </x:row>
    <x:row r="306" ht="21" customHeight="1">
      <x:c r="A306" s="3" t="str">
        <x:v>ORD-101851</x:v>
      </x:c>
      <x:c r="B306" s="5" t="n">
        <x:v>45390</x:v>
      </x:c>
      <x:c r="C306" s="3" t="str">
        <x:v>CUST-00103</x:v>
      </x:c>
      <x:c r="D306" s="3" t="str">
        <x:v>South</x:v>
      </x:c>
      <x:c r="E306" s="3" t="str">
        <x:v>Home &amp; Kitchen</x:v>
      </x:c>
      <x:c r="F306" s="3" t="str">
        <x:v>Appliances</x:v>
      </x:c>
      <x:c r="G306" s="3" t="str">
        <x:v>ColdBrew Coffee Maker</x:v>
      </x:c>
      <x:c r="H306" s="3" t="n">
        <x:v>1</x:v>
      </x:c>
      <x:c r="I306" s="7" t="n">
        <x:v>6275.39</x:v>
      </x:c>
      <x:c r="J306" s="9" t="n">
        <x:v>0</x:v>
      </x:c>
      <x:c r="K306" s="7" t="n">
        <x:v>6275.39</x:v>
      </x:c>
      <x:c r="L306" s="7" t="n">
        <x:v>1849.94</x:v>
      </x:c>
      <x:c r="M306" s="3" t="str">
        <x:v>UPI</x:v>
      </x:c>
      <x:c r="N306" s="3"/>
      <x:c r="O306" s="3"/>
      <x:c r="P306" s="3"/>
      <x:c r="Q306" s="3"/>
    </x:row>
    <x:row r="307" ht="21" customHeight="1">
      <x:c r="A307" s="3" t="str">
        <x:v>ORD-101292</x:v>
      </x:c>
      <x:c r="B307" s="5" t="n">
        <x:v>45391</x:v>
      </x:c>
      <x:c r="C307" s="3" t="str">
        <x:v>CUST-00465</x:v>
      </x:c>
      <x:c r="D307" s="3" t="str">
        <x:v>South</x:v>
      </x:c>
      <x:c r="E307" s="3" t="str">
        <x:v>Electronics</x:v>
      </x:c>
      <x:c r="F307" s="3" t="str">
        <x:v>Mobile</x:v>
      </x:c>
      <x:c r="G307" s="3" t="str">
        <x:v>iPhone Zeta</x:v>
      </x:c>
      <x:c r="H307" s="3" t="n">
        <x:v>2</x:v>
      </x:c>
      <x:c r="I307" s="7" t="n">
        <x:v>67396.46</x:v>
      </x:c>
      <x:c r="J307" s="9" t="n">
        <x:v>0.1</x:v>
      </x:c>
      <x:c r="K307" s="7" t="n">
        <x:v>121313.63</x:v>
      </x:c>
      <x:c r="L307" s="7" t="n">
        <x:v>9773.61</x:v>
      </x:c>
      <x:c r="M307" s="3" t="str">
        <x:v>UPI</x:v>
      </x:c>
      <x:c r="N307" s="3"/>
      <x:c r="O307" s="3"/>
      <x:c r="P307" s="3"/>
      <x:c r="Q307" s="3"/>
    </x:row>
    <x:row r="308" ht="21" customHeight="1">
      <x:c r="A308" s="3" t="str">
        <x:v>ORD-101325</x:v>
      </x:c>
      <x:c r="B308" s="5" t="n">
        <x:v>45391</x:v>
      </x:c>
      <x:c r="C308" s="3" t="str">
        <x:v>CUST-00033</x:v>
      </x:c>
      <x:c r="D308" s="3" t="str">
        <x:v>South</x:v>
      </x:c>
      <x:c r="E308" s="3" t="str">
        <x:v>Sports</x:v>
      </x:c>
      <x:c r="F308" s="3" t="str">
        <x:v>Outdoor</x:v>
      </x:c>
      <x:c r="G308" s="3" t="str">
        <x:v>TrailHike Backpack 60L</x:v>
      </x:c>
      <x:c r="H308" s="3" t="n">
        <x:v>4</x:v>
      </x:c>
      <x:c r="I308" s="7" t="n">
        <x:v>3658.61</x:v>
      </x:c>
      <x:c r="J308" s="9" t="n">
        <x:v>0.05</x:v>
      </x:c>
      <x:c r="K308" s="7" t="n">
        <x:v>13902.72</x:v>
      </x:c>
      <x:c r="L308" s="7" t="n">
        <x:v>4762.21</x:v>
      </x:c>
      <x:c r="M308" s="3" t="str">
        <x:v>UPI</x:v>
      </x:c>
      <x:c r="N308" s="3"/>
      <x:c r="O308" s="3"/>
      <x:c r="P308" s="3"/>
      <x:c r="Q308" s="3"/>
    </x:row>
    <x:row r="309" ht="21" customHeight="1">
      <x:c r="A309" s="3" t="str">
        <x:v>ORD-100016</x:v>
      </x:c>
      <x:c r="B309" s="5" t="n">
        <x:v>45392</x:v>
      </x:c>
      <x:c r="C309" s="3" t="str">
        <x:v>CUST-00554</x:v>
      </x:c>
      <x:c r="D309" s="3" t="str">
        <x:v>West</x:v>
      </x:c>
      <x:c r="E309" s="3" t="str">
        <x:v>Fashion</x:v>
      </x:c>
      <x:c r="F309" s="3" t="str">
        <x:v>Men</x:v>
      </x:c>
      <x:c r="G309" s="3" t="str">
        <x:v>SlimFit Denim Jeans</x:v>
      </x:c>
      <x:c r="H309" s="3" t="n">
        <x:v>1</x:v>
      </x:c>
      <x:c r="I309" s="7" t="n">
        <x:v>1935.73</x:v>
      </x:c>
      <x:c r="J309" s="9" t="n">
        <x:v>0</x:v>
      </x:c>
      <x:c r="K309" s="7" t="n">
        <x:v>1935.73</x:v>
      </x:c>
      <x:c r="L309" s="7" t="n">
        <x:v>807.22</x:v>
      </x:c>
      <x:c r="M309" s="3" t="str">
        <x:v>UPI</x:v>
      </x:c>
      <x:c r="N309" s="3"/>
      <x:c r="O309" s="3"/>
      <x:c r="P309" s="3"/>
      <x:c r="Q309" s="3"/>
    </x:row>
    <x:row r="310" ht="21" customHeight="1">
      <x:c r="A310" s="3" t="str">
        <x:v>ORD-100326</x:v>
      </x:c>
      <x:c r="B310" s="5" t="n">
        <x:v>45392</x:v>
      </x:c>
      <x:c r="C310" s="3" t="str">
        <x:v>CUST-00261</x:v>
      </x:c>
      <x:c r="D310" s="3" t="str">
        <x:v>East</x:v>
      </x:c>
      <x:c r="E310" s="3" t="str">
        <x:v>Electronics</x:v>
      </x:c>
      <x:c r="F310" s="3" t="str">
        <x:v>Audio</x:v>
      </x:c>
      <x:c r="G310" s="3" t="str">
        <x:v>BassBoom Speaker</x:v>
      </x:c>
      <x:c r="H310" s="3" t="n">
        <x:v>1</x:v>
      </x:c>
      <x:c r="I310" s="7" t="n">
        <x:v>9259.57</x:v>
      </x:c>
      <x:c r="J310" s="9" t="n">
        <x:v>0.15</x:v>
      </x:c>
      <x:c r="K310" s="7" t="n">
        <x:v>7870.63</x:v>
      </x:c>
      <x:c r="L310" s="7" t="n">
        <x:v>-15.75</x:v>
      </x:c>
      <x:c r="M310" s="3" t="str">
        <x:v>Debit Card</x:v>
      </x:c>
      <x:c r="N310" s="3"/>
      <x:c r="O310" s="3"/>
      <x:c r="P310" s="3"/>
      <x:c r="Q310" s="3"/>
    </x:row>
    <x:row r="311" ht="21" customHeight="1">
      <x:c r="A311" s="3" t="str">
        <x:v>ORD-100443</x:v>
      </x:c>
      <x:c r="B311" s="5" t="n">
        <x:v>45392</x:v>
      </x:c>
      <x:c r="C311" s="3" t="str">
        <x:v>CUST-00599</x:v>
      </x:c>
      <x:c r="D311" s="3" t="str">
        <x:v>South</x:v>
      </x:c>
      <x:c r="E311" s="3" t="str">
        <x:v>Electronics</x:v>
      </x:c>
      <x:c r="F311" s="3" t="str">
        <x:v>Audio</x:v>
      </x:c>
      <x:c r="G311" s="3" t="str">
        <x:v>BassBoom Speaker</x:v>
      </x:c>
      <x:c r="H311" s="3" t="n">
        <x:v>4</x:v>
      </x:c>
      <x:c r="I311" s="7" t="n">
        <x:v>9375.2</x:v>
      </x:c>
      <x:c r="J311" s="9" t="n">
        <x:v>0.05</x:v>
      </x:c>
      <x:c r="K311" s="7" t="n">
        <x:v>35625.76</x:v>
      </x:c>
      <x:c r="L311" s="7" t="n">
        <x:v>5385.49</x:v>
      </x:c>
      <x:c r="M311" s="3" t="str">
        <x:v>UPI</x:v>
      </x:c>
      <x:c r="N311" s="3"/>
      <x:c r="O311" s="3"/>
      <x:c r="P311" s="3"/>
      <x:c r="Q311" s="3"/>
    </x:row>
    <x:row r="312" ht="21" customHeight="1">
      <x:c r="A312" s="3" t="str">
        <x:v>ORD-100570</x:v>
      </x:c>
      <x:c r="B312" s="5" t="n">
        <x:v>45392</x:v>
      </x:c>
      <x:c r="C312" s="3" t="str">
        <x:v>CUST-00436</x:v>
      </x:c>
      <x:c r="D312" s="3" t="str">
        <x:v>West</x:v>
      </x:c>
      <x:c r="E312" s="3" t="str">
        <x:v>Beauty</x:v>
      </x:c>
      <x:c r="F312" s="3" t="str">
        <x:v>Skincare</x:v>
      </x:c>
      <x:c r="G312" s="3" t="str">
        <x:v>HydraBoost Moisturizer</x:v>
      </x:c>
      <x:c r="H312" s="3" t="n">
        <x:v>1</x:v>
      </x:c>
      <x:c r="I312" s="7" t="n">
        <x:v>1178.36</x:v>
      </x:c>
      <x:c r="J312" s="9" t="n">
        <x:v>0</x:v>
      </x:c>
      <x:c r="K312" s="7" t="n">
        <x:v>1178.36</x:v>
      </x:c>
      <x:c r="L312" s="7" t="n">
        <x:v>655.86</x:v>
      </x:c>
      <x:c r="M312" s="3" t="str">
        <x:v>UPI</x:v>
      </x:c>
      <x:c r="N312" s="3"/>
      <x:c r="O312" s="3"/>
      <x:c r="P312" s="3"/>
      <x:c r="Q312" s="3"/>
    </x:row>
    <x:row r="313" ht="21" customHeight="1">
      <x:c r="A313" s="3" t="str">
        <x:v>ORD-101308</x:v>
      </x:c>
      <x:c r="B313" s="5" t="n">
        <x:v>45393</x:v>
      </x:c>
      <x:c r="C313" s="3" t="str">
        <x:v>CUST-00497</x:v>
      </x:c>
      <x:c r="D313" s="3" t="str">
        <x:v>South</x:v>
      </x:c>
      <x:c r="E313" s="3" t="str">
        <x:v>Sports</x:v>
      </x:c>
      <x:c r="F313" s="3" t="str">
        <x:v>Outdoor</x:v>
      </x:c>
      <x:c r="G313" s="3" t="str">
        <x:v>TrailHike Backpack 60L</x:v>
      </x:c>
      <x:c r="H313" s="3" t="n">
        <x:v>3</x:v>
      </x:c>
      <x:c r="I313" s="7" t="n">
        <x:v>3518.78</x:v>
      </x:c>
      <x:c r="J313" s="9" t="n">
        <x:v>0.05</x:v>
      </x:c>
      <x:c r="K313" s="7" t="n">
        <x:v>10028.52</x:v>
      </x:c>
      <x:c r="L313" s="7" t="n">
        <x:v>3067.82</x:v>
      </x:c>
      <x:c r="M313" s="3" t="str">
        <x:v>UPI</x:v>
      </x:c>
      <x:c r="N313" s="3"/>
      <x:c r="O313" s="3"/>
      <x:c r="P313" s="3"/>
      <x:c r="Q313" s="3"/>
    </x:row>
    <x:row r="314" ht="21" customHeight="1">
      <x:c r="A314" s="3" t="str">
        <x:v>ORD-101807</x:v>
      </x:c>
      <x:c r="B314" s="5" t="n">
        <x:v>45393</x:v>
      </x:c>
      <x:c r="C314" s="3" t="str">
        <x:v>CUST-00308</x:v>
      </x:c>
      <x:c r="D314" s="3" t="str">
        <x:v>South</x:v>
      </x:c>
      <x:c r="E314" s="3" t="str">
        <x:v>Sports</x:v>
      </x:c>
      <x:c r="F314" s="3" t="str">
        <x:v>Fitness</x:v>
      </x:c>
      <x:c r="G314" s="3" t="str">
        <x:v>Adjustable Dumbbell 24kg</x:v>
      </x:c>
      <x:c r="H314" s="3" t="n">
        <x:v>1</x:v>
      </x:c>
      <x:c r="I314" s="7" t="n">
        <x:v>9660.6</x:v>
      </x:c>
      <x:c r="J314" s="9" t="n">
        <x:v>0</x:v>
      </x:c>
      <x:c r="K314" s="7" t="n">
        <x:v>9660.6</x:v>
      </x:c>
      <x:c r="L314" s="7" t="n">
        <x:v>3412.58</x:v>
      </x:c>
      <x:c r="M314" s="3" t="str">
        <x:v>UPI</x:v>
      </x:c>
      <x:c r="N314" s="3"/>
      <x:c r="O314" s="3"/>
      <x:c r="P314" s="3"/>
      <x:c r="Q314" s="3"/>
    </x:row>
    <x:row r="315" ht="21" customHeight="1">
      <x:c r="A315" s="3" t="str">
        <x:v>ORD-100236</x:v>
      </x:c>
      <x:c r="B315" s="5" t="n">
        <x:v>45394</x:v>
      </x:c>
      <x:c r="C315" s="3" t="str">
        <x:v>CUST-00247</x:v>
      </x:c>
      <x:c r="D315" s="3" t="str">
        <x:v>West</x:v>
      </x:c>
      <x:c r="E315" s="3" t="str">
        <x:v>Fashion</x:v>
      </x:c>
      <x:c r="F315" s="3" t="str">
        <x:v>Men</x:v>
      </x:c>
      <x:c r="G315" s="3" t="str">
        <x:v>Oxford Casual Shirt</x:v>
      </x:c>
      <x:c r="H315" s="3" t="n">
        <x:v>2</x:v>
      </x:c>
      <x:c r="I315" s="7" t="n">
        <x:v>1339.36</x:v>
      </x:c>
      <x:c r="J315" s="9" t="n">
        <x:v>0</x:v>
      </x:c>
      <x:c r="K315" s="7" t="n">
        <x:v>2678.72</x:v>
      </x:c>
      <x:c r="L315" s="7" t="n">
        <x:v>1078.12</x:v>
      </x:c>
      <x:c r="M315" s="3" t="str">
        <x:v>Credit Card</x:v>
      </x:c>
      <x:c r="N315" s="3"/>
      <x:c r="O315" s="3"/>
      <x:c r="P315" s="3"/>
      <x:c r="Q315" s="3"/>
    </x:row>
    <x:row r="316" ht="21" customHeight="1">
      <x:c r="A316" s="3" t="str">
        <x:v>ORD-100714</x:v>
      </x:c>
      <x:c r="B316" s="5" t="n">
        <x:v>45394</x:v>
      </x:c>
      <x:c r="C316" s="3" t="str">
        <x:v>CUST-00022</x:v>
      </x:c>
      <x:c r="D316" s="3" t="str">
        <x:v>East</x:v>
      </x:c>
      <x:c r="E316" s="3" t="str">
        <x:v>Sports</x:v>
      </x:c>
      <x:c r="F316" s="3" t="str">
        <x:v>Fitness</x:v>
      </x:c>
      <x:c r="G316" s="3" t="str">
        <x:v>Adjustable Dumbbell 24kg</x:v>
      </x:c>
      <x:c r="H316" s="3" t="n">
        <x:v>4</x:v>
      </x:c>
      <x:c r="I316" s="7" t="n">
        <x:v>9599.27</x:v>
      </x:c>
      <x:c r="J316" s="9" t="n">
        <x:v>0.3</x:v>
      </x:c>
      <x:c r="K316" s="7" t="n">
        <x:v>26877.96</x:v>
      </x:c>
      <x:c r="L316" s="7" t="n">
        <x:v>998.31</x:v>
      </x:c>
      <x:c r="M316" s="3" t="str">
        <x:v>Debit Card</x:v>
      </x:c>
      <x:c r="N316" s="3"/>
      <x:c r="O316" s="3"/>
      <x:c r="P316" s="3"/>
      <x:c r="Q316" s="3"/>
    </x:row>
    <x:row r="317" ht="21" customHeight="1">
      <x:c r="A317" s="3" t="str">
        <x:v>ORD-100957</x:v>
      </x:c>
      <x:c r="B317" s="5" t="n">
        <x:v>45394</x:v>
      </x:c>
      <x:c r="C317" s="3" t="str">
        <x:v>CUST-00318</x:v>
      </x:c>
      <x:c r="D317" s="3" t="str">
        <x:v>West</x:v>
      </x:c>
      <x:c r="E317" s="3" t="str">
        <x:v>Beauty</x:v>
      </x:c>
      <x:c r="F317" s="3" t="str">
        <x:v>Makeup</x:v>
      </x:c>
      <x:c r="G317" s="3" t="str">
        <x:v>HD Foundation Kit</x:v>
      </x:c>
      <x:c r="H317" s="3" t="n">
        <x:v>1</x:v>
      </x:c>
      <x:c r="I317" s="7" t="n">
        <x:v>1492.55</x:v>
      </x:c>
      <x:c r="J317" s="9" t="n">
        <x:v>0</x:v>
      </x:c>
      <x:c r="K317" s="7" t="n">
        <x:v>1492.55</x:v>
      </x:c>
      <x:c r="L317" s="7" t="n">
        <x:v>762.07</x:v>
      </x:c>
      <x:c r="M317" s="3" t="str">
        <x:v>UPI</x:v>
      </x:c>
      <x:c r="N317" s="3"/>
      <x:c r="O317" s="3"/>
      <x:c r="P317" s="3"/>
      <x:c r="Q317" s="3"/>
    </x:row>
    <x:row r="318" ht="21" customHeight="1">
      <x:c r="A318" s="3" t="str">
        <x:v>ORD-101299</x:v>
      </x:c>
      <x:c r="B318" s="5" t="n">
        <x:v>45394</x:v>
      </x:c>
      <x:c r="C318" s="3" t="str">
        <x:v>CUST-00283</x:v>
      </x:c>
      <x:c r="D318" s="3" t="str">
        <x:v>North</x:v>
      </x:c>
      <x:c r="E318" s="3" t="str">
        <x:v>Electronics</x:v>
      </x:c>
      <x:c r="F318" s="3" t="str">
        <x:v>Mobile</x:v>
      </x:c>
      <x:c r="G318" s="3" t="str">
        <x:v>iPhone Zeta</x:v>
      </x:c>
      <x:c r="H318" s="3" t="n">
        <x:v>1</x:v>
      </x:c>
      <x:c r="I318" s="7" t="n">
        <x:v>71984.18</x:v>
      </x:c>
      <x:c r="J318" s="9" t="n">
        <x:v>0</x:v>
      </x:c>
      <x:c r="K318" s="7" t="n">
        <x:v>71984.18</x:v>
      </x:c>
      <x:c r="L318" s="7" t="n">
        <x:v>10784.02</x:v>
      </x:c>
      <x:c r="M318" s="3" t="str">
        <x:v>Debit Card</x:v>
      </x:c>
      <x:c r="N318" s="3"/>
      <x:c r="O318" s="3"/>
      <x:c r="P318" s="3"/>
      <x:c r="Q318" s="3"/>
    </x:row>
    <x:row r="319" ht="21" customHeight="1">
      <x:c r="A319" s="3" t="str">
        <x:v>ORD-101381</x:v>
      </x:c>
      <x:c r="B319" s="5" t="n">
        <x:v>45394</x:v>
      </x:c>
      <x:c r="C319" s="3" t="str">
        <x:v>CUST-00520</x:v>
      </x:c>
      <x:c r="D319" s="3" t="str">
        <x:v>South</x:v>
      </x:c>
      <x:c r="E319" s="3" t="str">
        <x:v>Electronics</x:v>
      </x:c>
      <x:c r="F319" s="3" t="str">
        <x:v>Audio</x:v>
      </x:c>
      <x:c r="G319" s="3" t="str">
        <x:v>SoundPods Pro</x:v>
      </x:c>
      <x:c r="H319" s="3" t="n">
        <x:v>1</x:v>
      </x:c>
      <x:c r="I319" s="7" t="n">
        <x:v>5131.8</x:v>
      </x:c>
      <x:c r="J319" s="9" t="n">
        <x:v>0.05</x:v>
      </x:c>
      <x:c r="K319" s="7" t="n">
        <x:v>4875.21</x:v>
      </x:c>
      <x:c r="L319" s="7" t="n">
        <x:v>443.99</x:v>
      </x:c>
      <x:c r="M319" s="3" t="str">
        <x:v>Credit Card</x:v>
      </x:c>
      <x:c r="N319" s="3"/>
      <x:c r="O319" s="3"/>
      <x:c r="P319" s="3"/>
      <x:c r="Q319" s="3"/>
    </x:row>
    <x:row r="320" ht="21" customHeight="1">
      <x:c r="A320" s="3" t="str">
        <x:v>ORD-101653</x:v>
      </x:c>
      <x:c r="B320" s="5" t="n">
        <x:v>45394</x:v>
      </x:c>
      <x:c r="C320" s="3" t="str">
        <x:v>CUST-00238</x:v>
      </x:c>
      <x:c r="D320" s="3" t="str">
        <x:v>South</x:v>
      </x:c>
      <x:c r="E320" s="3" t="str">
        <x:v>Fashion</x:v>
      </x:c>
      <x:c r="F320" s="3" t="str">
        <x:v>Women</x:v>
      </x:c>
      <x:c r="G320" s="3" t="str">
        <x:v>Knit Winter Sweater</x:v>
      </x:c>
      <x:c r="H320" s="3" t="n">
        <x:v>2</x:v>
      </x:c>
      <x:c r="I320" s="7" t="n">
        <x:v>2217.9</x:v>
      </x:c>
      <x:c r="J320" s="9" t="n">
        <x:v>0.15</x:v>
      </x:c>
      <x:c r="K320" s="7" t="n">
        <x:v>3770.43</x:v>
      </x:c>
      <x:c r="L320" s="7" t="n">
        <x:v>836.9</x:v>
      </x:c>
      <x:c r="M320" s="3" t="str">
        <x:v>Debit Card</x:v>
      </x:c>
      <x:c r="N320" s="3"/>
      <x:c r="O320" s="3"/>
      <x:c r="P320" s="3"/>
      <x:c r="Q320" s="3"/>
    </x:row>
    <x:row r="321" ht="21" customHeight="1">
      <x:c r="A321" s="3" t="str">
        <x:v>ORD-100003</x:v>
      </x:c>
      <x:c r="B321" s="5" t="n">
        <x:v>45395</x:v>
      </x:c>
      <x:c r="C321" s="3" t="str">
        <x:v>CUST-00465</x:v>
      </x:c>
      <x:c r="D321" s="3" t="str">
        <x:v>North</x:v>
      </x:c>
      <x:c r="E321" s="3" t="str">
        <x:v>Beauty</x:v>
      </x:c>
      <x:c r="F321" s="3" t="str">
        <x:v>Makeup</x:v>
      </x:c>
      <x:c r="G321" s="3" t="str">
        <x:v>Matte Lipstick Set</x:v>
      </x:c>
      <x:c r="H321" s="3" t="n">
        <x:v>2</x:v>
      </x:c>
      <x:c r="I321" s="7" t="n">
        <x:v>971.82</x:v>
      </x:c>
      <x:c r="J321" s="9" t="n">
        <x:v>0</x:v>
      </x:c>
      <x:c r="K321" s="7" t="n">
        <x:v>1943.64</x:v>
      </x:c>
      <x:c r="L321" s="7" t="n">
        <x:v>1036.25</x:v>
      </x:c>
      <x:c r="M321" s="3" t="str">
        <x:v>UPI</x:v>
      </x:c>
      <x:c r="N321" s="3"/>
      <x:c r="O321" s="3"/>
      <x:c r="P321" s="3"/>
      <x:c r="Q321" s="3"/>
    </x:row>
    <x:row r="322" ht="21" customHeight="1">
      <x:c r="A322" s="3" t="str">
        <x:v>ORD-100702</x:v>
      </x:c>
      <x:c r="B322" s="5" t="n">
        <x:v>45395</x:v>
      </x:c>
      <x:c r="C322" s="3" t="str">
        <x:v>CUST-00259</x:v>
      </x:c>
      <x:c r="D322" s="3" t="str">
        <x:v>South</x:v>
      </x:c>
      <x:c r="E322" s="3" t="str">
        <x:v>Home &amp; Kitchen</x:v>
      </x:c>
      <x:c r="F322" s="3" t="str">
        <x:v>Furniture</x:v>
      </x:c>
      <x:c r="G322" s="3" t="str">
        <x:v>Oakwood Study Desk</x:v>
      </x:c>
      <x:c r="H322" s="3" t="n">
        <x:v>1</x:v>
      </x:c>
      <x:c r="I322" s="7" t="n">
        <x:v>13317.16</x:v>
      </x:c>
      <x:c r="J322" s="9" t="n">
        <x:v>0</x:v>
      </x:c>
      <x:c r="K322" s="7" t="n">
        <x:v>13317.16</x:v>
      </x:c>
      <x:c r="L322" s="7" t="n">
        <x:v>4087.81</x:v>
      </x:c>
      <x:c r="M322" s="3" t="str">
        <x:v>Net Banking</x:v>
      </x:c>
      <x:c r="N322" s="3"/>
      <x:c r="O322" s="3"/>
      <x:c r="P322" s="3"/>
      <x:c r="Q322" s="3"/>
    </x:row>
    <x:row r="323" ht="21" customHeight="1">
      <x:c r="A323" s="3" t="str">
        <x:v>ORD-100859</x:v>
      </x:c>
      <x:c r="B323" s="5" t="n">
        <x:v>45396</x:v>
      </x:c>
      <x:c r="C323" s="3" t="str">
        <x:v>CUST-00497</x:v>
      </x:c>
      <x:c r="D323" s="3" t="str">
        <x:v>North</x:v>
      </x:c>
      <x:c r="E323" s="3" t="str">
        <x:v>Home &amp; Kitchen</x:v>
      </x:c>
      <x:c r="F323" s="3" t="str">
        <x:v>Decor</x:v>
      </x:c>
      <x:c r="G323" s="3" t="str">
        <x:v>LED Wall Lamp</x:v>
      </x:c>
      <x:c r="H323" s="3" t="n">
        <x:v>1</x:v>
      </x:c>
      <x:c r="I323" s="7" t="n">
        <x:v>1042.96</x:v>
      </x:c>
      <x:c r="J323" s="9" t="n">
        <x:v>0.15</x:v>
      </x:c>
      <x:c r="K323" s="7" t="n">
        <x:v>886.52</x:v>
      </x:c>
      <x:c r="L323" s="7" t="n">
        <x:v>106.72</x:v>
      </x:c>
      <x:c r="M323" s="3" t="str">
        <x:v>Cash on Delivery</x:v>
      </x:c>
      <x:c r="N323" s="3"/>
      <x:c r="O323" s="3"/>
      <x:c r="P323" s="3"/>
      <x:c r="Q323" s="3"/>
    </x:row>
    <x:row r="324" ht="21" customHeight="1">
      <x:c r="A324" s="3" t="str">
        <x:v>ORD-101242</x:v>
      </x:c>
      <x:c r="B324" s="5" t="n">
        <x:v>45396</x:v>
      </x:c>
      <x:c r="C324" s="3" t="str">
        <x:v>CUST-00268</x:v>
      </x:c>
      <x:c r="D324" s="3" t="str">
        <x:v>East</x:v>
      </x:c>
      <x:c r="E324" s="3" t="str">
        <x:v>Fashion</x:v>
      </x:c>
      <x:c r="F324" s="3" t="str">
        <x:v>Men</x:v>
      </x:c>
      <x:c r="G324" s="3" t="str">
        <x:v>SlimFit Denim Jeans</x:v>
      </x:c>
      <x:c r="H324" s="3" t="n">
        <x:v>3</x:v>
      </x:c>
      <x:c r="I324" s="7" t="n">
        <x:v>2074.6</x:v>
      </x:c>
      <x:c r="J324" s="9" t="n">
        <x:v>0.1</x:v>
      </x:c>
      <x:c r="K324" s="7" t="n">
        <x:v>5601.42</x:v>
      </x:c>
      <x:c r="L324" s="7" t="n">
        <x:v>1885.11</x:v>
      </x:c>
      <x:c r="M324" s="3" t="str">
        <x:v>Debit Card</x:v>
      </x:c>
      <x:c r="N324" s="3"/>
      <x:c r="O324" s="3"/>
      <x:c r="P324" s="3"/>
      <x:c r="Q324" s="3"/>
    </x:row>
    <x:row r="325" ht="21" customHeight="1">
      <x:c r="A325" s="3" t="str">
        <x:v>ORD-100448</x:v>
      </x:c>
      <x:c r="B325" s="5" t="n">
        <x:v>45397</x:v>
      </x:c>
      <x:c r="C325" s="3" t="str">
        <x:v>CUST-00073</x:v>
      </x:c>
      <x:c r="D325" s="3" t="str">
        <x:v>North</x:v>
      </x:c>
      <x:c r="E325" s="3" t="str">
        <x:v>Fashion</x:v>
      </x:c>
      <x:c r="F325" s="3" t="str">
        <x:v>Footwear</x:v>
      </x:c>
      <x:c r="G325" s="3" t="str">
        <x:v>UrbanLoafers</x:v>
      </x:c>
      <x:c r="H325" s="3" t="n">
        <x:v>1</x:v>
      </x:c>
      <x:c r="I325" s="7" t="n">
        <x:v>3374.39</x:v>
      </x:c>
      <x:c r="J325" s="9" t="n">
        <x:v>0.05</x:v>
      </x:c>
      <x:c r="K325" s="7" t="n">
        <x:v>3205.67</x:v>
      </x:c>
      <x:c r="L325" s="7" t="n">
        <x:v>1230.97</x:v>
      </x:c>
      <x:c r="M325" s="3" t="str">
        <x:v>Credit Card</x:v>
      </x:c>
      <x:c r="N325" s="3"/>
      <x:c r="O325" s="3"/>
      <x:c r="P325" s="3"/>
      <x:c r="Q325" s="3"/>
    </x:row>
    <x:row r="326" ht="21" customHeight="1">
      <x:c r="A326" s="3" t="str">
        <x:v>ORD-100632</x:v>
      </x:c>
      <x:c r="B326" s="5" t="n">
        <x:v>45397</x:v>
      </x:c>
      <x:c r="C326" s="3" t="str">
        <x:v>CUST-00316</x:v>
      </x:c>
      <x:c r="D326" s="3" t="str">
        <x:v>East</x:v>
      </x:c>
      <x:c r="E326" s="3" t="str">
        <x:v>Fashion</x:v>
      </x:c>
      <x:c r="F326" s="3" t="str">
        <x:v>Footwear</x:v>
      </x:c>
      <x:c r="G326" s="3" t="str">
        <x:v>RunFlex Sneakers</x:v>
      </x:c>
      <x:c r="H326" s="3" t="n">
        <x:v>4</x:v>
      </x:c>
      <x:c r="I326" s="7" t="n">
        <x:v>2981.62</x:v>
      </x:c>
      <x:c r="J326" s="9" t="n">
        <x:v>0.1</x:v>
      </x:c>
      <x:c r="K326" s="7" t="n">
        <x:v>10733.83</x:v>
      </x:c>
      <x:c r="L326" s="7" t="n">
        <x:v>2885.47</x:v>
      </x:c>
      <x:c r="M326" s="3" t="str">
        <x:v>Credit Card</x:v>
      </x:c>
      <x:c r="N326" s="3"/>
      <x:c r="O326" s="3"/>
      <x:c r="P326" s="3"/>
      <x:c r="Q326" s="3"/>
    </x:row>
    <x:row r="327" ht="21" customHeight="1">
      <x:c r="A327" s="3" t="str">
        <x:v>ORD-100770</x:v>
      </x:c>
      <x:c r="B327" s="5" t="n">
        <x:v>45397</x:v>
      </x:c>
      <x:c r="C327" s="3" t="str">
        <x:v>CUST-00049</x:v>
      </x:c>
      <x:c r="D327" s="3" t="str">
        <x:v>South</x:v>
      </x:c>
      <x:c r="E327" s="3" t="str">
        <x:v>Electronics</x:v>
      </x:c>
      <x:c r="F327" s="3" t="str">
        <x:v>Audio</x:v>
      </x:c>
      <x:c r="G327" s="3" t="str">
        <x:v>BassBoom Speaker</x:v>
      </x:c>
      <x:c r="H327" s="3" t="n">
        <x:v>1</x:v>
      </x:c>
      <x:c r="I327" s="7" t="n">
        <x:v>8817.62</x:v>
      </x:c>
      <x:c r="J327" s="9" t="n">
        <x:v>0</x:v>
      </x:c>
      <x:c r="K327" s="7" t="n">
        <x:v>8817.62</x:v>
      </x:c>
      <x:c r="L327" s="7" t="n">
        <x:v>1928.57</x:v>
      </x:c>
      <x:c r="M327" s="3" t="str">
        <x:v>Credit Card</x:v>
      </x:c>
      <x:c r="N327" s="3"/>
      <x:c r="O327" s="3"/>
      <x:c r="P327" s="3"/>
      <x:c r="Q327" s="3"/>
    </x:row>
    <x:row r="328" ht="21" customHeight="1">
      <x:c r="A328" s="3" t="str">
        <x:v>ORD-101180</x:v>
      </x:c>
      <x:c r="B328" s="5" t="n">
        <x:v>45397</x:v>
      </x:c>
      <x:c r="C328" s="3" t="str">
        <x:v>CUST-00141</x:v>
      </x:c>
      <x:c r="D328" s="3" t="str">
        <x:v>South</x:v>
      </x:c>
      <x:c r="E328" s="3" t="str">
        <x:v>Beauty</x:v>
      </x:c>
      <x:c r="F328" s="3" t="str">
        <x:v>Skincare</x:v>
      </x:c>
      <x:c r="G328" s="3" t="str">
        <x:v>Vitamin C Serum</x:v>
      </x:c>
      <x:c r="H328" s="3" t="n">
        <x:v>1</x:v>
      </x:c>
      <x:c r="I328" s="7" t="n">
        <x:v>886.13</x:v>
      </x:c>
      <x:c r="J328" s="9" t="n">
        <x:v>0.2</x:v>
      </x:c>
      <x:c r="K328" s="7" t="n">
        <x:v>708.9</x:v>
      </x:c>
      <x:c r="L328" s="7" t="n">
        <x:v>241.53</x:v>
      </x:c>
      <x:c r="M328" s="3" t="str">
        <x:v>Credit Card</x:v>
      </x:c>
      <x:c r="N328" s="3"/>
      <x:c r="O328" s="3"/>
      <x:c r="P328" s="3"/>
      <x:c r="Q328" s="3"/>
    </x:row>
    <x:row r="329" ht="21" customHeight="1">
      <x:c r="A329" s="3" t="str">
        <x:v>ORD-101645</x:v>
      </x:c>
      <x:c r="B329" s="5" t="n">
        <x:v>45397</x:v>
      </x:c>
      <x:c r="C329" s="3" t="str">
        <x:v>CUST-00176</x:v>
      </x:c>
      <x:c r="D329" s="3" t="str">
        <x:v>North</x:v>
      </x:c>
      <x:c r="E329" s="3" t="str">
        <x:v>Sports</x:v>
      </x:c>
      <x:c r="F329" s="3" t="str">
        <x:v>Outdoor</x:v>
      </x:c>
      <x:c r="G329" s="3" t="str">
        <x:v>AllWeather Tent 4P</x:v>
      </x:c>
      <x:c r="H329" s="3" t="n">
        <x:v>2</x:v>
      </x:c>
      <x:c r="I329" s="7" t="n">
        <x:v>11425.09</x:v>
      </x:c>
      <x:c r="J329" s="9" t="n">
        <x:v>0.2</x:v>
      </x:c>
      <x:c r="K329" s="7" t="n">
        <x:v>18280.14</x:v>
      </x:c>
      <x:c r="L329" s="7" t="n">
        <x:v>2076.03</x:v>
      </x:c>
      <x:c r="M329" s="3" t="str">
        <x:v>Debit Card</x:v>
      </x:c>
      <x:c r="N329" s="3"/>
      <x:c r="O329" s="3"/>
      <x:c r="P329" s="3"/>
      <x:c r="Q329" s="3"/>
    </x:row>
    <x:row r="330" ht="21" customHeight="1">
      <x:c r="A330" s="3" t="str">
        <x:v>ORD-101913</x:v>
      </x:c>
      <x:c r="B330" s="5" t="n">
        <x:v>45397</x:v>
      </x:c>
      <x:c r="C330" s="3" t="str">
        <x:v>CUST-00540</x:v>
      </x:c>
      <x:c r="D330" s="3" t="str">
        <x:v>South</x:v>
      </x:c>
      <x:c r="E330" s="3" t="str">
        <x:v>Sports</x:v>
      </x:c>
      <x:c r="F330" s="3" t="str">
        <x:v>Outdoor</x:v>
      </x:c>
      <x:c r="G330" s="3" t="str">
        <x:v>AllWeather Tent 4P</x:v>
      </x:c>
      <x:c r="H330" s="3" t="n">
        <x:v>1</x:v>
      </x:c>
      <x:c r="I330" s="7" t="n">
        <x:v>12128.83</x:v>
      </x:c>
      <x:c r="J330" s="9" t="n">
        <x:v>0.3</x:v>
      </x:c>
      <x:c r="K330" s="7" t="n">
        <x:v>8490.18</x:v>
      </x:c>
      <x:c r="L330" s="7" t="n">
        <x:v>62.67</x:v>
      </x:c>
      <x:c r="M330" s="3" t="str">
        <x:v>Net Banking</x:v>
      </x:c>
      <x:c r="N330" s="3"/>
      <x:c r="O330" s="3"/>
      <x:c r="P330" s="3"/>
      <x:c r="Q330" s="3"/>
    </x:row>
    <x:row r="331" ht="21" customHeight="1">
      <x:c r="A331" s="3" t="str">
        <x:v>ORD-100304</x:v>
      </x:c>
      <x:c r="B331" s="5" t="n">
        <x:v>45398</x:v>
      </x:c>
      <x:c r="C331" s="3" t="str">
        <x:v>CUST-00446</x:v>
      </x:c>
      <x:c r="D331" s="3" t="str">
        <x:v>North</x:v>
      </x:c>
      <x:c r="E331" s="3" t="str">
        <x:v>Electronics</x:v>
      </x:c>
      <x:c r="F331" s="3" t="str">
        <x:v>Mobile</x:v>
      </x:c>
      <x:c r="G331" s="3" t="str">
        <x:v>iPhone Zeta</x:v>
      </x:c>
      <x:c r="H331" s="3" t="n">
        <x:v>1</x:v>
      </x:c>
      <x:c r="I331" s="7" t="n">
        <x:v>67974.5</x:v>
      </x:c>
      <x:c r="J331" s="9" t="n">
        <x:v>0.1</x:v>
      </x:c>
      <x:c r="K331" s="7" t="n">
        <x:v>61177.05</x:v>
      </x:c>
      <x:c r="L331" s="7" t="n">
        <x:v>4610.37</x:v>
      </x:c>
      <x:c r="M331" s="3" t="str">
        <x:v>Credit Card</x:v>
      </x:c>
      <x:c r="N331" s="3"/>
      <x:c r="O331" s="3"/>
      <x:c r="P331" s="3"/>
      <x:c r="Q331" s="3"/>
    </x:row>
    <x:row r="332" ht="21" customHeight="1">
      <x:c r="A332" s="3" t="str">
        <x:v>ORD-100720</x:v>
      </x:c>
      <x:c r="B332" s="5" t="n">
        <x:v>45398</x:v>
      </x:c>
      <x:c r="C332" s="3" t="str">
        <x:v>CUST-00512</x:v>
      </x:c>
      <x:c r="D332" s="3" t="str">
        <x:v>West</x:v>
      </x:c>
      <x:c r="E332" s="3" t="str">
        <x:v>Home &amp; Kitchen</x:v>
      </x:c>
      <x:c r="F332" s="3" t="str">
        <x:v>Appliances</x:v>
      </x:c>
      <x:c r="G332" s="3" t="str">
        <x:v>AirFryer Deluxe</x:v>
      </x:c>
      <x:c r="H332" s="3" t="n">
        <x:v>2</x:v>
      </x:c>
      <x:c r="I332" s="7" t="n">
        <x:v>8132.8</x:v>
      </x:c>
      <x:c r="J332" s="9" t="n">
        <x:v>0</x:v>
      </x:c>
      <x:c r="K332" s="7" t="n">
        <x:v>16265.6</x:v>
      </x:c>
      <x:c r="L332" s="7" t="n">
        <x:v>5109.43</x:v>
      </x:c>
      <x:c r="M332" s="3" t="str">
        <x:v>UPI</x:v>
      </x:c>
      <x:c r="N332" s="3"/>
      <x:c r="O332" s="3"/>
      <x:c r="P332" s="3"/>
      <x:c r="Q332" s="3"/>
    </x:row>
    <x:row r="333" ht="21" customHeight="1">
      <x:c r="A333" s="3" t="str">
        <x:v>ORD-100749</x:v>
      </x:c>
      <x:c r="B333" s="5" t="n">
        <x:v>45398</x:v>
      </x:c>
      <x:c r="C333" s="3" t="str">
        <x:v>CUST-00017</x:v>
      </x:c>
      <x:c r="D333" s="3" t="str">
        <x:v>North</x:v>
      </x:c>
      <x:c r="E333" s="3" t="str">
        <x:v>Beauty</x:v>
      </x:c>
      <x:c r="F333" s="3" t="str">
        <x:v>Makeup</x:v>
      </x:c>
      <x:c r="G333" s="3" t="str">
        <x:v>Matte Lipstick Set</x:v>
      </x:c>
      <x:c r="H333" s="3" t="n">
        <x:v>4</x:v>
      </x:c>
      <x:c r="I333" s="7" t="n">
        <x:v>986.32</x:v>
      </x:c>
      <x:c r="J333" s="9" t="n">
        <x:v>0.05</x:v>
      </x:c>
      <x:c r="K333" s="7" t="n">
        <x:v>3748.02</x:v>
      </x:c>
      <x:c r="L333" s="7" t="n">
        <x:v>1861.72</x:v>
      </x:c>
      <x:c r="M333" s="3" t="str">
        <x:v>Credit Card</x:v>
      </x:c>
      <x:c r="N333" s="3"/>
      <x:c r="O333" s="3"/>
      <x:c r="P333" s="3"/>
      <x:c r="Q333" s="3"/>
    </x:row>
    <x:row r="334" ht="21" customHeight="1">
      <x:c r="A334" s="3" t="str">
        <x:v>ORD-100881</x:v>
      </x:c>
      <x:c r="B334" s="5" t="n">
        <x:v>45398</x:v>
      </x:c>
      <x:c r="C334" s="3" t="str">
        <x:v>CUST-00030</x:v>
      </x:c>
      <x:c r="D334" s="3" t="str">
        <x:v>West</x:v>
      </x:c>
      <x:c r="E334" s="3" t="str">
        <x:v>Beauty</x:v>
      </x:c>
      <x:c r="F334" s="3" t="str">
        <x:v>Skincare</x:v>
      </x:c>
      <x:c r="G334" s="3" t="str">
        <x:v>HydraBoost Moisturizer</x:v>
      </x:c>
      <x:c r="H334" s="3" t="n">
        <x:v>5</x:v>
      </x:c>
      <x:c r="I334" s="7" t="n">
        <x:v>1197.84</x:v>
      </x:c>
      <x:c r="J334" s="9" t="n">
        <x:v>0.1</x:v>
      </x:c>
      <x:c r="K334" s="7" t="n">
        <x:v>5390.28</x:v>
      </x:c>
      <x:c r="L334" s="7" t="n">
        <x:v>2333.32</x:v>
      </x:c>
      <x:c r="M334" s="3" t="str">
        <x:v>Debit Card</x:v>
      </x:c>
      <x:c r="N334" s="3"/>
      <x:c r="O334" s="3"/>
      <x:c r="P334" s="3"/>
      <x:c r="Q334" s="3"/>
    </x:row>
    <x:row r="335" ht="21" customHeight="1">
      <x:c r="A335" s="3" t="str">
        <x:v>ORD-101765</x:v>
      </x:c>
      <x:c r="B335" s="5" t="n">
        <x:v>45398</x:v>
      </x:c>
      <x:c r="C335" s="3" t="str">
        <x:v>CUST-00296</x:v>
      </x:c>
      <x:c r="D335" s="3" t="str">
        <x:v>North</x:v>
      </x:c>
      <x:c r="E335" s="3" t="str">
        <x:v>Fashion</x:v>
      </x:c>
      <x:c r="F335" s="3" t="str">
        <x:v>Footwear</x:v>
      </x:c>
      <x:c r="G335" s="3" t="str">
        <x:v>RunFlex Sneakers</x:v>
      </x:c>
      <x:c r="H335" s="3" t="n">
        <x:v>5</x:v>
      </x:c>
      <x:c r="I335" s="7" t="n">
        <x:v>2963.31</x:v>
      </x:c>
      <x:c r="J335" s="9" t="n">
        <x:v>0</x:v>
      </x:c>
      <x:c r="K335" s="7" t="n">
        <x:v>14816.55</x:v>
      </x:c>
      <x:c r="L335" s="7" t="n">
        <x:v>5785.28</x:v>
      </x:c>
      <x:c r="M335" s="3" t="str">
        <x:v>Credit Card</x:v>
      </x:c>
      <x:c r="N335" s="3"/>
      <x:c r="O335" s="3"/>
      <x:c r="P335" s="3"/>
      <x:c r="Q335" s="3"/>
    </x:row>
    <x:row r="336" ht="21" customHeight="1">
      <x:c r="A336" s="3" t="str">
        <x:v>ORD-100964</x:v>
      </x:c>
      <x:c r="B336" s="5" t="n">
        <x:v>45399</x:v>
      </x:c>
      <x:c r="C336" s="3" t="str">
        <x:v>CUST-00257</x:v>
      </x:c>
      <x:c r="D336" s="3" t="str">
        <x:v>East</x:v>
      </x:c>
      <x:c r="E336" s="3" t="str">
        <x:v>Fashion</x:v>
      </x:c>
      <x:c r="F336" s="3" t="str">
        <x:v>Men</x:v>
      </x:c>
      <x:c r="G336" s="3" t="str">
        <x:v>SlimFit Denim Jeans</x:v>
      </x:c>
      <x:c r="H336" s="3" t="n">
        <x:v>1</x:v>
      </x:c>
      <x:c r="I336" s="7" t="n">
        <x:v>1927.55</x:v>
      </x:c>
      <x:c r="J336" s="9" t="n">
        <x:v>0.15</x:v>
      </x:c>
      <x:c r="K336" s="7" t="n">
        <x:v>1638.42</x:v>
      </x:c>
      <x:c r="L336" s="7" t="n">
        <x:v>426.38</x:v>
      </x:c>
      <x:c r="M336" s="3" t="str">
        <x:v>Debit Card</x:v>
      </x:c>
      <x:c r="N336" s="3"/>
      <x:c r="O336" s="3"/>
      <x:c r="P336" s="3"/>
      <x:c r="Q336" s="3"/>
    </x:row>
    <x:row r="337" ht="21" customHeight="1">
      <x:c r="A337" s="3" t="str">
        <x:v>ORD-100715</x:v>
      </x:c>
      <x:c r="B337" s="5" t="n">
        <x:v>45400</x:v>
      </x:c>
      <x:c r="C337" s="3" t="str">
        <x:v>CUST-00347</x:v>
      </x:c>
      <x:c r="D337" s="3" t="str">
        <x:v>West</x:v>
      </x:c>
      <x:c r="E337" s="3" t="str">
        <x:v>Electronics</x:v>
      </x:c>
      <x:c r="F337" s="3" t="str">
        <x:v>Mobile</x:v>
      </x:c>
      <x:c r="G337" s="3" t="str">
        <x:v>iPhone Zeta</x:v>
      </x:c>
      <x:c r="H337" s="3" t="n">
        <x:v>4</x:v>
      </x:c>
      <x:c r="I337" s="7" t="n">
        <x:v>71889.8</x:v>
      </x:c>
      <x:c r="J337" s="9" t="n">
        <x:v>0</x:v>
      </x:c>
      <x:c r="K337" s="7" t="n">
        <x:v>287559.2</x:v>
      </x:c>
      <x:c r="L337" s="7" t="n">
        <x:v>46415.65</x:v>
      </x:c>
      <x:c r="M337" s="3" t="str">
        <x:v>Credit Card</x:v>
      </x:c>
      <x:c r="N337" s="3"/>
      <x:c r="O337" s="3"/>
      <x:c r="P337" s="3"/>
      <x:c r="Q337" s="3"/>
    </x:row>
    <x:row r="338" ht="21" customHeight="1">
      <x:c r="A338" s="3" t="str">
        <x:v>ORD-101039</x:v>
      </x:c>
      <x:c r="B338" s="5" t="n">
        <x:v>45400</x:v>
      </x:c>
      <x:c r="C338" s="3" t="str">
        <x:v>CUST-00058</x:v>
      </x:c>
      <x:c r="D338" s="3" t="str">
        <x:v>West</x:v>
      </x:c>
      <x:c r="E338" s="3" t="str">
        <x:v>Home &amp; Kitchen</x:v>
      </x:c>
      <x:c r="F338" s="3" t="str">
        <x:v>Appliances</x:v>
      </x:c>
      <x:c r="G338" s="3" t="str">
        <x:v>AirFryer Deluxe</x:v>
      </x:c>
      <x:c r="H338" s="3" t="n">
        <x:v>1</x:v>
      </x:c>
      <x:c r="I338" s="7" t="n">
        <x:v>8296.04</x:v>
      </x:c>
      <x:c r="J338" s="9" t="n">
        <x:v>0.1</x:v>
      </x:c>
      <x:c r="K338" s="7" t="n">
        <x:v>7466.44</x:v>
      </x:c>
      <x:c r="L338" s="7" t="n">
        <x:v>1581.85</x:v>
      </x:c>
      <x:c r="M338" s="3" t="str">
        <x:v>Debit Card</x:v>
      </x:c>
      <x:c r="N338" s="3"/>
      <x:c r="O338" s="3"/>
      <x:c r="P338" s="3"/>
      <x:c r="Q338" s="3"/>
    </x:row>
    <x:row r="339" ht="21" customHeight="1">
      <x:c r="A339" s="3" t="str">
        <x:v>ORD-100339</x:v>
      </x:c>
      <x:c r="B339" s="5" t="n">
        <x:v>45401</x:v>
      </x:c>
      <x:c r="C339" s="3" t="str">
        <x:v>CUST-00081</x:v>
      </x:c>
      <x:c r="D339" s="3" t="str">
        <x:v>East</x:v>
      </x:c>
      <x:c r="E339" s="3" t="str">
        <x:v>Fashion</x:v>
      </x:c>
      <x:c r="F339" s="3" t="str">
        <x:v>Footwear</x:v>
      </x:c>
      <x:c r="G339" s="3" t="str">
        <x:v>RunFlex Sneakers</x:v>
      </x:c>
      <x:c r="H339" s="3" t="n">
        <x:v>3</x:v>
      </x:c>
      <x:c r="I339" s="7" t="n">
        <x:v>2909.86</x:v>
      </x:c>
      <x:c r="J339" s="9" t="n">
        <x:v>0</x:v>
      </x:c>
      <x:c r="K339" s="7" t="n">
        <x:v>8729.58</x:v>
      </x:c>
      <x:c r="L339" s="7" t="n">
        <x:v>3491.62</x:v>
      </x:c>
      <x:c r="M339" s="3" t="str">
        <x:v>UPI</x:v>
      </x:c>
      <x:c r="N339" s="3"/>
      <x:c r="O339" s="3"/>
      <x:c r="P339" s="3"/>
      <x:c r="Q339" s="3"/>
    </x:row>
    <x:row r="340" ht="21" customHeight="1">
      <x:c r="A340" s="3" t="str">
        <x:v>ORD-100394</x:v>
      </x:c>
      <x:c r="B340" s="5" t="n">
        <x:v>45401</x:v>
      </x:c>
      <x:c r="C340" s="3" t="str">
        <x:v>CUST-00027</x:v>
      </x:c>
      <x:c r="D340" s="3" t="str">
        <x:v>East</x:v>
      </x:c>
      <x:c r="E340" s="3" t="str">
        <x:v>Electronics</x:v>
      </x:c>
      <x:c r="F340" s="3" t="str">
        <x:v>Laptop</x:v>
      </x:c>
      <x:c r="G340" s="3" t="str">
        <x:v>AirBook Slim</x:v>
      </x:c>
      <x:c r="H340" s="3" t="n">
        <x:v>5</x:v>
      </x:c>
      <x:c r="I340" s="7" t="n">
        <x:v>80939.29</x:v>
      </x:c>
      <x:c r="J340" s="9" t="n">
        <x:v>0.05</x:v>
      </x:c>
      <x:c r="K340" s="7" t="n">
        <x:v>384461.63</x:v>
      </x:c>
      <x:c r="L340" s="7" t="n">
        <x:v>56991.01</x:v>
      </x:c>
      <x:c r="M340" s="3" t="str">
        <x:v>Debit Card</x:v>
      </x:c>
      <x:c r="N340" s="3"/>
      <x:c r="O340" s="3"/>
      <x:c r="P340" s="3"/>
      <x:c r="Q340" s="3"/>
    </x:row>
    <x:row r="341" ht="21" customHeight="1">
      <x:c r="A341" s="3" t="str">
        <x:v>ORD-100424</x:v>
      </x:c>
      <x:c r="B341" s="5" t="n">
        <x:v>45401</x:v>
      </x:c>
      <x:c r="C341" s="3" t="str">
        <x:v>CUST-00073</x:v>
      </x:c>
      <x:c r="D341" s="3" t="str">
        <x:v>East</x:v>
      </x:c>
      <x:c r="E341" s="3" t="str">
        <x:v>Sports</x:v>
      </x:c>
      <x:c r="F341" s="3" t="str">
        <x:v>Fitness</x:v>
      </x:c>
      <x:c r="G341" s="3" t="str">
        <x:v>Adjustable Dumbbell 24kg</x:v>
      </x:c>
      <x:c r="H341" s="3" t="n">
        <x:v>1</x:v>
      </x:c>
      <x:c r="I341" s="7" t="n">
        <x:v>9781.28</x:v>
      </x:c>
      <x:c r="J341" s="9" t="n">
        <x:v>0.2</x:v>
      </x:c>
      <x:c r="K341" s="7" t="n">
        <x:v>7825.02</x:v>
      </x:c>
      <x:c r="L341" s="7" t="n">
        <x:v>1078.99</x:v>
      </x:c>
      <x:c r="M341" s="3" t="str">
        <x:v>Credit Card</x:v>
      </x:c>
      <x:c r="N341" s="3"/>
      <x:c r="O341" s="3"/>
      <x:c r="P341" s="3"/>
      <x:c r="Q341" s="3"/>
    </x:row>
    <x:row r="342" ht="21" customHeight="1">
      <x:c r="A342" s="3" t="str">
        <x:v>ORD-101177</x:v>
      </x:c>
      <x:c r="B342" s="5" t="n">
        <x:v>45401</x:v>
      </x:c>
      <x:c r="C342" s="3" t="str">
        <x:v>CUST-00290</x:v>
      </x:c>
      <x:c r="D342" s="3" t="str">
        <x:v>North</x:v>
      </x:c>
      <x:c r="E342" s="3" t="str">
        <x:v>Beauty</x:v>
      </x:c>
      <x:c r="F342" s="3" t="str">
        <x:v>Makeup</x:v>
      </x:c>
      <x:c r="G342" s="3" t="str">
        <x:v>Matte Lipstick Set</x:v>
      </x:c>
      <x:c r="H342" s="3" t="n">
        <x:v>1</x:v>
      </x:c>
      <x:c r="I342" s="7" t="n">
        <x:v>1028.92</x:v>
      </x:c>
      <x:c r="J342" s="9" t="n">
        <x:v>0.1</x:v>
      </x:c>
      <x:c r="K342" s="7" t="n">
        <x:v>926.03</x:v>
      </x:c>
      <x:c r="L342" s="7" t="n">
        <x:v>421.08</x:v>
      </x:c>
      <x:c r="M342" s="3" t="str">
        <x:v>Credit Card</x:v>
      </x:c>
      <x:c r="N342" s="3"/>
      <x:c r="O342" s="3"/>
      <x:c r="P342" s="3"/>
      <x:c r="Q342" s="3"/>
    </x:row>
    <x:row r="343" ht="21" customHeight="1">
      <x:c r="A343" s="3" t="str">
        <x:v>ORD-101300</x:v>
      </x:c>
      <x:c r="B343" s="5" t="n">
        <x:v>45401</x:v>
      </x:c>
      <x:c r="C343" s="3" t="str">
        <x:v>CUST-00032</x:v>
      </x:c>
      <x:c r="D343" s="3" t="str">
        <x:v>East</x:v>
      </x:c>
      <x:c r="E343" s="3" t="str">
        <x:v>Electronics</x:v>
      </x:c>
      <x:c r="F343" s="3" t="str">
        <x:v>Laptop</x:v>
      </x:c>
      <x:c r="G343" s="3" t="str">
        <x:v>ThinkPro 14</x:v>
      </x:c>
      <x:c r="H343" s="3" t="n">
        <x:v>1</x:v>
      </x:c>
      <x:c r="I343" s="7" t="n">
        <x:v>52321.26</x:v>
      </x:c>
      <x:c r="J343" s="9" t="n">
        <x:v>0</x:v>
      </x:c>
      <x:c r="K343" s="7" t="n">
        <x:v>52321.26</x:v>
      </x:c>
      <x:c r="L343" s="7" t="n">
        <x:v>7732.78</x:v>
      </x:c>
      <x:c r="M343" s="3" t="str">
        <x:v>UPI</x:v>
      </x:c>
      <x:c r="N343" s="3"/>
      <x:c r="O343" s="3"/>
      <x:c r="P343" s="3"/>
      <x:c r="Q343" s="3"/>
    </x:row>
    <x:row r="344" ht="21" customHeight="1">
      <x:c r="A344" s="3" t="str">
        <x:v>ORD-100043</x:v>
      </x:c>
      <x:c r="B344" s="5" t="n">
        <x:v>45402</x:v>
      </x:c>
      <x:c r="C344" s="3" t="str">
        <x:v>CUST-00320</x:v>
      </x:c>
      <x:c r="D344" s="3" t="str">
        <x:v>East</x:v>
      </x:c>
      <x:c r="E344" s="3" t="str">
        <x:v>Beauty</x:v>
      </x:c>
      <x:c r="F344" s="3" t="str">
        <x:v>Skincare</x:v>
      </x:c>
      <x:c r="G344" s="3" t="str">
        <x:v>HydraBoost Moisturizer</x:v>
      </x:c>
      <x:c r="H344" s="3" t="n">
        <x:v>2</x:v>
      </x:c>
      <x:c r="I344" s="7" t="n">
        <x:v>1159.17</x:v>
      </x:c>
      <x:c r="J344" s="9" t="n">
        <x:v>0.15</x:v>
      </x:c>
      <x:c r="K344" s="7" t="n">
        <x:v>1970.59</x:v>
      </x:c>
      <x:c r="L344" s="7" t="n">
        <x:v>760.8</x:v>
      </x:c>
      <x:c r="M344" s="3" t="str">
        <x:v>UPI</x:v>
      </x:c>
      <x:c r="N344" s="3"/>
      <x:c r="O344" s="3"/>
      <x:c r="P344" s="3"/>
      <x:c r="Q344" s="3"/>
    </x:row>
    <x:row r="345" ht="21" customHeight="1">
      <x:c r="A345" s="3" t="str">
        <x:v>ORD-100863</x:v>
      </x:c>
      <x:c r="B345" s="5" t="n">
        <x:v>45402</x:v>
      </x:c>
      <x:c r="C345" s="3" t="str">
        <x:v>CUST-00592</x:v>
      </x:c>
      <x:c r="D345" s="3" t="str">
        <x:v>West</x:v>
      </x:c>
      <x:c r="E345" s="3" t="str">
        <x:v>Beauty</x:v>
      </x:c>
      <x:c r="F345" s="3" t="str">
        <x:v>Makeup</x:v>
      </x:c>
      <x:c r="G345" s="3" t="str">
        <x:v>HD Foundation Kit</x:v>
      </x:c>
      <x:c r="H345" s="3" t="n">
        <x:v>1</x:v>
      </x:c>
      <x:c r="I345" s="7" t="n">
        <x:v>1499.99</x:v>
      </x:c>
      <x:c r="J345" s="9" t="n">
        <x:v>0.15</x:v>
      </x:c>
      <x:c r="K345" s="7" t="n">
        <x:v>1274.99</x:v>
      </x:c>
      <x:c r="L345" s="7" t="n">
        <x:v>469.31</x:v>
      </x:c>
      <x:c r="M345" s="3" t="str">
        <x:v>Debit Card</x:v>
      </x:c>
      <x:c r="N345" s="3"/>
      <x:c r="O345" s="3"/>
      <x:c r="P345" s="3"/>
      <x:c r="Q345" s="3"/>
    </x:row>
    <x:row r="346" ht="21" customHeight="1">
      <x:c r="A346" s="3" t="str">
        <x:v>ORD-101002</x:v>
      </x:c>
      <x:c r="B346" s="5" t="n">
        <x:v>45402</x:v>
      </x:c>
      <x:c r="C346" s="3" t="str">
        <x:v>CUST-00185</x:v>
      </x:c>
      <x:c r="D346" s="3" t="str">
        <x:v>West</x:v>
      </x:c>
      <x:c r="E346" s="3" t="str">
        <x:v>Electronics</x:v>
      </x:c>
      <x:c r="F346" s="3" t="str">
        <x:v>Audio</x:v>
      </x:c>
      <x:c r="G346" s="3" t="str">
        <x:v>SoundPods Pro</x:v>
      </x:c>
      <x:c r="H346" s="3" t="n">
        <x:v>4</x:v>
      </x:c>
      <x:c r="I346" s="7" t="n">
        <x:v>5145.79</x:v>
      </x:c>
      <x:c r="J346" s="9" t="n">
        <x:v>0.2</x:v>
      </x:c>
      <x:c r="K346" s="7" t="n">
        <x:v>16466.53</x:v>
      </x:c>
      <x:c r="L346" s="7" t="n">
        <x:v>-1323.54</x:v>
      </x:c>
      <x:c r="M346" s="3" t="str">
        <x:v>Cash on Delivery</x:v>
      </x:c>
      <x:c r="N346" s="3"/>
      <x:c r="O346" s="3"/>
      <x:c r="P346" s="3"/>
      <x:c r="Q346" s="3"/>
    </x:row>
    <x:row r="347" ht="21" customHeight="1">
      <x:c r="A347" s="3" t="str">
        <x:v>ORD-101466</x:v>
      </x:c>
      <x:c r="B347" s="5" t="n">
        <x:v>45402</x:v>
      </x:c>
      <x:c r="C347" s="3" t="str">
        <x:v>CUST-00238</x:v>
      </x:c>
      <x:c r="D347" s="3" t="str">
        <x:v>North</x:v>
      </x:c>
      <x:c r="E347" s="3" t="str">
        <x:v>Fashion</x:v>
      </x:c>
      <x:c r="F347" s="3" t="str">
        <x:v>Footwear</x:v>
      </x:c>
      <x:c r="G347" s="3" t="str">
        <x:v>RunFlex Sneakers</x:v>
      </x:c>
      <x:c r="H347" s="3" t="n">
        <x:v>1</x:v>
      </x:c>
      <x:c r="I347" s="7" t="n">
        <x:v>2942.03</x:v>
      </x:c>
      <x:c r="J347" s="9" t="n">
        <x:v>0</x:v>
      </x:c>
      <x:c r="K347" s="7" t="n">
        <x:v>2942.03</x:v>
      </x:c>
      <x:c r="L347" s="7" t="n">
        <x:v>1186.87</x:v>
      </x:c>
      <x:c r="M347" s="3" t="str">
        <x:v>UPI</x:v>
      </x:c>
      <x:c r="N347" s="3"/>
      <x:c r="O347" s="3"/>
      <x:c r="P347" s="3"/>
      <x:c r="Q347" s="3"/>
    </x:row>
    <x:row r="348" ht="21" customHeight="1">
      <x:c r="A348" s="3" t="str">
        <x:v>ORD-101567</x:v>
      </x:c>
      <x:c r="B348" s="5" t="n">
        <x:v>45402</x:v>
      </x:c>
      <x:c r="C348" s="3" t="str">
        <x:v>CUST-00053</x:v>
      </x:c>
      <x:c r="D348" s="3" t="str">
        <x:v>North</x:v>
      </x:c>
      <x:c r="E348" s="3" t="str">
        <x:v>Home &amp; Kitchen</x:v>
      </x:c>
      <x:c r="F348" s="3" t="str">
        <x:v>Furniture</x:v>
      </x:c>
      <x:c r="G348" s="3" t="str">
        <x:v>Oakwood Study Desk</x:v>
      </x:c>
      <x:c r="H348" s="3" t="n">
        <x:v>1</x:v>
      </x:c>
      <x:c r="I348" s="7" t="n">
        <x:v>13506.06</x:v>
      </x:c>
      <x:c r="J348" s="9" t="n">
        <x:v>0</x:v>
      </x:c>
      <x:c r="K348" s="7" t="n">
        <x:v>13506.06</x:v>
      </x:c>
      <x:c r="L348" s="7" t="n">
        <x:v>4614.41</x:v>
      </x:c>
      <x:c r="M348" s="3" t="str">
        <x:v>UPI</x:v>
      </x:c>
      <x:c r="N348" s="3"/>
      <x:c r="O348" s="3"/>
      <x:c r="P348" s="3"/>
      <x:c r="Q348" s="3"/>
    </x:row>
    <x:row r="349" ht="21" customHeight="1">
      <x:c r="A349" s="3" t="str">
        <x:v>ORD-101878</x:v>
      </x:c>
      <x:c r="B349" s="5" t="n">
        <x:v>45402</x:v>
      </x:c>
      <x:c r="C349" s="3" t="str">
        <x:v>CUST-00347</x:v>
      </x:c>
      <x:c r="D349" s="3" t="str">
        <x:v>West</x:v>
      </x:c>
      <x:c r="E349" s="3" t="str">
        <x:v>Home &amp; Kitchen</x:v>
      </x:c>
      <x:c r="F349" s="3" t="str">
        <x:v>Furniture</x:v>
      </x:c>
      <x:c r="G349" s="3" t="str">
        <x:v>ErgoComfort Chair</x:v>
      </x:c>
      <x:c r="H349" s="3" t="n">
        <x:v>2</x:v>
      </x:c>
      <x:c r="I349" s="7" t="n">
        <x:v>9197.11</x:v>
      </x:c>
      <x:c r="J349" s="9" t="n">
        <x:v>0.05</x:v>
      </x:c>
      <x:c r="K349" s="7" t="n">
        <x:v>17474.51</x:v>
      </x:c>
      <x:c r="L349" s="7" t="n">
        <x:v>4540.94</x:v>
      </x:c>
      <x:c r="M349" s="3" t="str">
        <x:v>UPI</x:v>
      </x:c>
      <x:c r="N349" s="3"/>
      <x:c r="O349" s="3"/>
      <x:c r="P349" s="3"/>
      <x:c r="Q349" s="3"/>
    </x:row>
    <x:row r="350" ht="21" customHeight="1">
      <x:c r="A350" s="3" t="str">
        <x:v>ORD-100368</x:v>
      </x:c>
      <x:c r="B350" s="5" t="n">
        <x:v>45405</x:v>
      </x:c>
      <x:c r="C350" s="3" t="str">
        <x:v>CUST-00069</x:v>
      </x:c>
      <x:c r="D350" s="3" t="str">
        <x:v>South</x:v>
      </x:c>
      <x:c r="E350" s="3" t="str">
        <x:v>Beauty</x:v>
      </x:c>
      <x:c r="F350" s="3" t="str">
        <x:v>Makeup</x:v>
      </x:c>
      <x:c r="G350" s="3" t="str">
        <x:v>Matte Lipstick Set</x:v>
      </x:c>
      <x:c r="H350" s="3" t="n">
        <x:v>1</x:v>
      </x:c>
      <x:c r="I350" s="7" t="n">
        <x:v>1004.14</x:v>
      </x:c>
      <x:c r="J350" s="9" t="n">
        <x:v>0.05</x:v>
      </x:c>
      <x:c r="K350" s="7" t="n">
        <x:v>953.93</x:v>
      </x:c>
      <x:c r="L350" s="7" t="n">
        <x:v>478.44</x:v>
      </x:c>
      <x:c r="M350" s="3" t="str">
        <x:v>Credit Card</x:v>
      </x:c>
      <x:c r="N350" s="3"/>
      <x:c r="O350" s="3"/>
      <x:c r="P350" s="3"/>
      <x:c r="Q350" s="3"/>
    </x:row>
    <x:row r="351" ht="21" customHeight="1">
      <x:c r="A351" s="3" t="str">
        <x:v>ORD-100608</x:v>
      </x:c>
      <x:c r="B351" s="5" t="n">
        <x:v>45405</x:v>
      </x:c>
      <x:c r="C351" s="3" t="str">
        <x:v>CUST-00216</x:v>
      </x:c>
      <x:c r="D351" s="3" t="str">
        <x:v>North</x:v>
      </x:c>
      <x:c r="E351" s="3" t="str">
        <x:v>Fashion</x:v>
      </x:c>
      <x:c r="F351" s="3" t="str">
        <x:v>Men</x:v>
      </x:c>
      <x:c r="G351" s="3" t="str">
        <x:v>SlimFit Denim Jeans</x:v>
      </x:c>
      <x:c r="H351" s="3" t="n">
        <x:v>1</x:v>
      </x:c>
      <x:c r="I351" s="7" t="n">
        <x:v>1919.28</x:v>
      </x:c>
      <x:c r="J351" s="9" t="n">
        <x:v>0</x:v>
      </x:c>
      <x:c r="K351" s="7" t="n">
        <x:v>1919.28</x:v>
      </x:c>
      <x:c r="L351" s="7" t="n">
        <x:v>856.99</x:v>
      </x:c>
      <x:c r="M351" s="3" t="str">
        <x:v>Credit Card</x:v>
      </x:c>
      <x:c r="N351" s="3"/>
      <x:c r="O351" s="3"/>
      <x:c r="P351" s="3"/>
      <x:c r="Q351" s="3"/>
    </x:row>
    <x:row r="352" ht="21" customHeight="1">
      <x:c r="A352" s="3" t="str">
        <x:v>ORD-100439</x:v>
      </x:c>
      <x:c r="B352" s="5" t="n">
        <x:v>45406</x:v>
      </x:c>
      <x:c r="C352" s="3" t="str">
        <x:v>CUST-00155</x:v>
      </x:c>
      <x:c r="D352" s="3" t="str">
        <x:v>West</x:v>
      </x:c>
      <x:c r="E352" s="3" t="str">
        <x:v>Fashion</x:v>
      </x:c>
      <x:c r="F352" s="3" t="str">
        <x:v>Footwear</x:v>
      </x:c>
      <x:c r="G352" s="3" t="str">
        <x:v>RunFlex Sneakers</x:v>
      </x:c>
      <x:c r="H352" s="3" t="n">
        <x:v>3</x:v>
      </x:c>
      <x:c r="I352" s="7" t="n">
        <x:v>2888.8</x:v>
      </x:c>
      <x:c r="J352" s="9" t="n">
        <x:v>0</x:v>
      </x:c>
      <x:c r="K352" s="7" t="n">
        <x:v>8666.4</x:v>
      </x:c>
      <x:c r="L352" s="7" t="n">
        <x:v>3488.03</x:v>
      </x:c>
      <x:c r="M352" s="3" t="str">
        <x:v>UPI</x:v>
      </x:c>
      <x:c r="N352" s="3"/>
      <x:c r="O352" s="3"/>
      <x:c r="P352" s="3"/>
      <x:c r="Q352" s="3"/>
    </x:row>
    <x:row r="353" ht="21" customHeight="1">
      <x:c r="A353" s="3" t="str">
        <x:v>ORD-101312</x:v>
      </x:c>
      <x:c r="B353" s="5" t="n">
        <x:v>45406</x:v>
      </x:c>
      <x:c r="C353" s="3" t="str">
        <x:v>CUST-00456</x:v>
      </x:c>
      <x:c r="D353" s="3" t="str">
        <x:v>West</x:v>
      </x:c>
      <x:c r="E353" s="3" t="str">
        <x:v>Electronics</x:v>
      </x:c>
      <x:c r="F353" s="3" t="str">
        <x:v>Mobile</x:v>
      </x:c>
      <x:c r="G353" s="3" t="str">
        <x:v>Pixel Aura 12</x:v>
      </x:c>
      <x:c r="H353" s="3" t="n">
        <x:v>2</x:v>
      </x:c>
      <x:c r="I353" s="7" t="n">
        <x:v>33235.15</x:v>
      </x:c>
      <x:c r="J353" s="9" t="n">
        <x:v>0.15</x:v>
      </x:c>
      <x:c r="K353" s="7" t="n">
        <x:v>56499.75</x:v>
      </x:c>
      <x:c r="L353" s="7" t="n">
        <x:v>855.29</x:v>
      </x:c>
      <x:c r="M353" s="3" t="str">
        <x:v>Debit Card</x:v>
      </x:c>
      <x:c r="N353" s="3"/>
      <x:c r="O353" s="3"/>
      <x:c r="P353" s="3"/>
      <x:c r="Q353" s="3"/>
    </x:row>
    <x:row r="354" ht="21" customHeight="1">
      <x:c r="A354" s="3" t="str">
        <x:v>ORD-101400</x:v>
      </x:c>
      <x:c r="B354" s="5" t="n">
        <x:v>45406</x:v>
      </x:c>
      <x:c r="C354" s="3" t="str">
        <x:v>CUST-00217</x:v>
      </x:c>
      <x:c r="D354" s="3" t="str">
        <x:v>South</x:v>
      </x:c>
      <x:c r="E354" s="3" t="str">
        <x:v>Electronics</x:v>
      </x:c>
      <x:c r="F354" s="3" t="str">
        <x:v>Laptop</x:v>
      </x:c>
      <x:c r="G354" s="3" t="str">
        <x:v>ThinkPro 14</x:v>
      </x:c>
      <x:c r="H354" s="3" t="n">
        <x:v>1</x:v>
      </x:c>
      <x:c r="I354" s="7" t="n">
        <x:v>56224.32</x:v>
      </x:c>
      <x:c r="J354" s="9" t="n">
        <x:v>0.25</x:v>
      </x:c>
      <x:c r="K354" s="7" t="n">
        <x:v>42168.24</x:v>
      </x:c>
      <x:c r="L354" s="7" t="n">
        <x:v>-3904.29</x:v>
      </x:c>
      <x:c r="M354" s="3" t="str">
        <x:v>Credit Card</x:v>
      </x:c>
      <x:c r="N354" s="3"/>
      <x:c r="O354" s="3"/>
      <x:c r="P354" s="3"/>
      <x:c r="Q354" s="3"/>
    </x:row>
    <x:row r="355" ht="21" customHeight="1">
      <x:c r="A355" s="3" t="str">
        <x:v>ORD-100214</x:v>
      </x:c>
      <x:c r="B355" s="5" t="n">
        <x:v>45407</x:v>
      </x:c>
      <x:c r="C355" s="3" t="str">
        <x:v>CUST-00073</x:v>
      </x:c>
      <x:c r="D355" s="3" t="str">
        <x:v>West</x:v>
      </x:c>
      <x:c r="E355" s="3" t="str">
        <x:v>Home &amp; Kitchen</x:v>
      </x:c>
      <x:c r="F355" s="3" t="str">
        <x:v>Furniture</x:v>
      </x:c>
      <x:c r="G355" s="3" t="str">
        <x:v>Oakwood Study Desk</x:v>
      </x:c>
      <x:c r="H355" s="3" t="n">
        <x:v>2</x:v>
      </x:c>
      <x:c r="I355" s="7" t="n">
        <x:v>12419.98</x:v>
      </x:c>
      <x:c r="J355" s="9" t="n">
        <x:v>0</x:v>
      </x:c>
      <x:c r="K355" s="7" t="n">
        <x:v>24839.96</x:v>
      </x:c>
      <x:c r="L355" s="7" t="n">
        <x:v>8987.92</x:v>
      </x:c>
      <x:c r="M355" s="3" t="str">
        <x:v>Credit Card</x:v>
      </x:c>
      <x:c r="N355" s="3"/>
      <x:c r="O355" s="3"/>
      <x:c r="P355" s="3"/>
      <x:c r="Q355" s="3"/>
    </x:row>
    <x:row r="356" ht="21" customHeight="1">
      <x:c r="A356" s="3" t="str">
        <x:v>ORD-100254</x:v>
      </x:c>
      <x:c r="B356" s="5" t="n">
        <x:v>45407</x:v>
      </x:c>
      <x:c r="C356" s="3" t="str">
        <x:v>CUST-00152</x:v>
      </x:c>
      <x:c r="D356" s="3" t="str">
        <x:v>North</x:v>
      </x:c>
      <x:c r="E356" s="3" t="str">
        <x:v>Electronics</x:v>
      </x:c>
      <x:c r="F356" s="3" t="str">
        <x:v>Laptop</x:v>
      </x:c>
      <x:c r="G356" s="3" t="str">
        <x:v>AirBook Slim</x:v>
      </x:c>
      <x:c r="H356" s="3" t="n">
        <x:v>2</x:v>
      </x:c>
      <x:c r="I356" s="7" t="n">
        <x:v>79154.53</x:v>
      </x:c>
      <x:c r="J356" s="9" t="n">
        <x:v>0.2</x:v>
      </x:c>
      <x:c r="K356" s="7" t="n">
        <x:v>126647.25</x:v>
      </x:c>
      <x:c r="L356" s="7" t="n">
        <x:v>-2105.77</x:v>
      </x:c>
      <x:c r="M356" s="3" t="str">
        <x:v>Debit Card</x:v>
      </x:c>
      <x:c r="N356" s="3"/>
      <x:c r="O356" s="3"/>
      <x:c r="P356" s="3"/>
      <x:c r="Q356" s="3"/>
    </x:row>
    <x:row r="357" ht="21" customHeight="1">
      <x:c r="A357" s="3" t="str">
        <x:v>ORD-100718</x:v>
      </x:c>
      <x:c r="B357" s="5" t="n">
        <x:v>45407</x:v>
      </x:c>
      <x:c r="C357" s="3" t="str">
        <x:v>CUST-00113</x:v>
      </x:c>
      <x:c r="D357" s="3" t="str">
        <x:v>West</x:v>
      </x:c>
      <x:c r="E357" s="3" t="str">
        <x:v>Sports</x:v>
      </x:c>
      <x:c r="F357" s="3" t="str">
        <x:v>Fitness</x:v>
      </x:c>
      <x:c r="G357" s="3" t="str">
        <x:v>Adjustable Dumbbell 24kg</x:v>
      </x:c>
      <x:c r="H357" s="3" t="n">
        <x:v>2</x:v>
      </x:c>
      <x:c r="I357" s="7" t="n">
        <x:v>10377.95</x:v>
      </x:c>
      <x:c r="J357" s="9" t="n">
        <x:v>0</x:v>
      </x:c>
      <x:c r="K357" s="7" t="n">
        <x:v>20755.9</x:v>
      </x:c>
      <x:c r="L357" s="7" t="n">
        <x:v>7695.86</x:v>
      </x:c>
      <x:c r="M357" s="3" t="str">
        <x:v>Debit Card</x:v>
      </x:c>
      <x:c r="N357" s="3"/>
      <x:c r="O357" s="3"/>
      <x:c r="P357" s="3"/>
      <x:c r="Q357" s="3"/>
    </x:row>
    <x:row r="358" ht="21" customHeight="1">
      <x:c r="A358" s="3" t="str">
        <x:v>ORD-100721</x:v>
      </x:c>
      <x:c r="B358" s="5" t="n">
        <x:v>45407</x:v>
      </x:c>
      <x:c r="C358" s="3" t="str">
        <x:v>CUST-00286</x:v>
      </x:c>
      <x:c r="D358" s="3" t="str">
        <x:v>North</x:v>
      </x:c>
      <x:c r="E358" s="3" t="str">
        <x:v>Home &amp; Kitchen</x:v>
      </x:c>
      <x:c r="F358" s="3" t="str">
        <x:v>Decor</x:v>
      </x:c>
      <x:c r="G358" s="3" t="str">
        <x:v>Ceramic Vase Set</x:v>
      </x:c>
      <x:c r="H358" s="3" t="n">
        <x:v>3</x:v>
      </x:c>
      <x:c r="I358" s="7" t="n">
        <x:v>1570.66</x:v>
      </x:c>
      <x:c r="J358" s="9" t="n">
        <x:v>0.2</x:v>
      </x:c>
      <x:c r="K358" s="7" t="n">
        <x:v>3769.58</x:v>
      </x:c>
      <x:c r="L358" s="7" t="n">
        <x:v>460.73</x:v>
      </x:c>
      <x:c r="M358" s="3" t="str">
        <x:v>UPI</x:v>
      </x:c>
      <x:c r="N358" s="3"/>
      <x:c r="O358" s="3"/>
      <x:c r="P358" s="3"/>
      <x:c r="Q358" s="3"/>
    </x:row>
    <x:row r="359" ht="21" customHeight="1">
      <x:c r="A359" s="3" t="str">
        <x:v>ORD-100949</x:v>
      </x:c>
      <x:c r="B359" s="5" t="n">
        <x:v>45407</x:v>
      </x:c>
      <x:c r="C359" s="3" t="str">
        <x:v>CUST-00526</x:v>
      </x:c>
      <x:c r="D359" s="3" t="str">
        <x:v>East</x:v>
      </x:c>
      <x:c r="E359" s="3" t="str">
        <x:v>Electronics</x:v>
      </x:c>
      <x:c r="F359" s="3" t="str">
        <x:v>Audio</x:v>
      </x:c>
      <x:c r="G359" s="3" t="str">
        <x:v>BassBoom Speaker</x:v>
      </x:c>
      <x:c r="H359" s="3" t="n">
        <x:v>3</x:v>
      </x:c>
      <x:c r="I359" s="7" t="n">
        <x:v>9066.33</x:v>
      </x:c>
      <x:c r="J359" s="9" t="n">
        <x:v>0.05</x:v>
      </x:c>
      <x:c r="K359" s="7" t="n">
        <x:v>25839.04</x:v>
      </x:c>
      <x:c r="L359" s="7" t="n">
        <x:v>3443.05</x:v>
      </x:c>
      <x:c r="M359" s="3" t="str">
        <x:v>Credit Card</x:v>
      </x:c>
      <x:c r="N359" s="3"/>
      <x:c r="O359" s="3"/>
      <x:c r="P359" s="3"/>
      <x:c r="Q359" s="3"/>
    </x:row>
    <x:row r="360" ht="21" customHeight="1">
      <x:c r="A360" s="3" t="str">
        <x:v>ORD-101067</x:v>
      </x:c>
      <x:c r="B360" s="5" t="n">
        <x:v>45407</x:v>
      </x:c>
      <x:c r="C360" s="3" t="str">
        <x:v>CUST-00110</x:v>
      </x:c>
      <x:c r="D360" s="3" t="str">
        <x:v>East</x:v>
      </x:c>
      <x:c r="E360" s="3" t="str">
        <x:v>Electronics</x:v>
      </x:c>
      <x:c r="F360" s="3" t="str">
        <x:v>Audio</x:v>
      </x:c>
      <x:c r="G360" s="3" t="str">
        <x:v>BassBoom Speaker</x:v>
      </x:c>
      <x:c r="H360" s="3" t="n">
        <x:v>1</x:v>
      </x:c>
      <x:c r="I360" s="7" t="n">
        <x:v>9419.91</x:v>
      </x:c>
      <x:c r="J360" s="9" t="n">
        <x:v>0.05</x:v>
      </x:c>
      <x:c r="K360" s="7" t="n">
        <x:v>8948.91</x:v>
      </x:c>
      <x:c r="L360" s="7" t="n">
        <x:v>1219.27</x:v>
      </x:c>
      <x:c r="M360" s="3" t="str">
        <x:v>UPI</x:v>
      </x:c>
      <x:c r="N360" s="3"/>
      <x:c r="O360" s="3"/>
      <x:c r="P360" s="3"/>
      <x:c r="Q360" s="3"/>
    </x:row>
    <x:row r="361" ht="21" customHeight="1">
      <x:c r="A361" s="3" t="str">
        <x:v>ORD-101190</x:v>
      </x:c>
      <x:c r="B361" s="5" t="n">
        <x:v>45407</x:v>
      </x:c>
      <x:c r="C361" s="3" t="str">
        <x:v>CUST-00405</x:v>
      </x:c>
      <x:c r="D361" s="3" t="str">
        <x:v>North</x:v>
      </x:c>
      <x:c r="E361" s="3" t="str">
        <x:v>Sports</x:v>
      </x:c>
      <x:c r="F361" s="3" t="str">
        <x:v>Outdoor</x:v>
      </x:c>
      <x:c r="G361" s="3" t="str">
        <x:v>TrailHike Backpack 60L</x:v>
      </x:c>
      <x:c r="H361" s="3" t="n">
        <x:v>3</x:v>
      </x:c>
      <x:c r="I361" s="7" t="n">
        <x:v>3567.06</x:v>
      </x:c>
      <x:c r="J361" s="9" t="n">
        <x:v>0</x:v>
      </x:c>
      <x:c r="K361" s="7" t="n">
        <x:v>10701.18</x:v>
      </x:c>
      <x:c r="L361" s="7" t="n">
        <x:v>4409.6</x:v>
      </x:c>
      <x:c r="M361" s="3" t="str">
        <x:v>Debit Card</x:v>
      </x:c>
      <x:c r="N361" s="3"/>
      <x:c r="O361" s="3"/>
      <x:c r="P361" s="3"/>
      <x:c r="Q361" s="3"/>
    </x:row>
    <x:row r="362" ht="21" customHeight="1">
      <x:c r="A362" s="3" t="str">
        <x:v>ORD-101914</x:v>
      </x:c>
      <x:c r="B362" s="5" t="n">
        <x:v>45407</x:v>
      </x:c>
      <x:c r="C362" s="3" t="str">
        <x:v>CUST-00585</x:v>
      </x:c>
      <x:c r="D362" s="3" t="str">
        <x:v>South</x:v>
      </x:c>
      <x:c r="E362" s="3" t="str">
        <x:v>Beauty</x:v>
      </x:c>
      <x:c r="F362" s="3" t="str">
        <x:v>Skincare</x:v>
      </x:c>
      <x:c r="G362" s="3" t="str">
        <x:v>HydraBoost Moisturizer</x:v>
      </x:c>
      <x:c r="H362" s="3" t="n">
        <x:v>2</x:v>
      </x:c>
      <x:c r="I362" s="7" t="n">
        <x:v>1151.84</x:v>
      </x:c>
      <x:c r="J362" s="9" t="n">
        <x:v>0.05</x:v>
      </x:c>
      <x:c r="K362" s="7" t="n">
        <x:v>2188.5</x:v>
      </x:c>
      <x:c r="L362" s="7" t="n">
        <x:v>1080.63</x:v>
      </x:c>
      <x:c r="M362" s="3" t="str">
        <x:v>Cash on Delivery</x:v>
      </x:c>
      <x:c r="N362" s="3"/>
      <x:c r="O362" s="3"/>
      <x:c r="P362" s="3"/>
      <x:c r="Q362" s="3"/>
    </x:row>
    <x:row r="363" ht="21" customHeight="1">
      <x:c r="A363" s="3" t="str">
        <x:v>ORD-100823</x:v>
      </x:c>
      <x:c r="B363" s="5" t="n">
        <x:v>45408</x:v>
      </x:c>
      <x:c r="C363" s="3" t="str">
        <x:v>CUST-00035</x:v>
      </x:c>
      <x:c r="D363" s="3" t="str">
        <x:v>South</x:v>
      </x:c>
      <x:c r="E363" s="3" t="str">
        <x:v>Fashion</x:v>
      </x:c>
      <x:c r="F363" s="3" t="str">
        <x:v>Men</x:v>
      </x:c>
      <x:c r="G363" s="3" t="str">
        <x:v>Oxford Casual Shirt</x:v>
      </x:c>
      <x:c r="H363" s="3" t="n">
        <x:v>2</x:v>
      </x:c>
      <x:c r="I363" s="7" t="n">
        <x:v>1238.71</x:v>
      </x:c>
      <x:c r="J363" s="9" t="n">
        <x:v>0.15</x:v>
      </x:c>
      <x:c r="K363" s="7" t="n">
        <x:v>2105.81</x:v>
      </x:c>
      <x:c r="L363" s="7" t="n">
        <x:v>476.56</x:v>
      </x:c>
      <x:c r="M363" s="3" t="str">
        <x:v>Debit Card</x:v>
      </x:c>
      <x:c r="N363" s="3"/>
      <x:c r="O363" s="3"/>
      <x:c r="P363" s="3"/>
      <x:c r="Q363" s="3"/>
    </x:row>
    <x:row r="364" ht="21" customHeight="1">
      <x:c r="A364" s="3" t="str">
        <x:v>ORD-101132</x:v>
      </x:c>
      <x:c r="B364" s="5" t="n">
        <x:v>45408</x:v>
      </x:c>
      <x:c r="C364" s="3" t="str">
        <x:v>CUST-00471</x:v>
      </x:c>
      <x:c r="D364" s="3" t="str">
        <x:v>North</x:v>
      </x:c>
      <x:c r="E364" s="3" t="str">
        <x:v>Fashion</x:v>
      </x:c>
      <x:c r="F364" s="3" t="str">
        <x:v>Men</x:v>
      </x:c>
      <x:c r="G364" s="3" t="str">
        <x:v>Oxford Casual Shirt</x:v>
      </x:c>
      <x:c r="H364" s="3" t="n">
        <x:v>2</x:v>
      </x:c>
      <x:c r="I364" s="7" t="n">
        <x:v>1262.51</x:v>
      </x:c>
      <x:c r="J364" s="9" t="n">
        <x:v>0.15</x:v>
      </x:c>
      <x:c r="K364" s="7" t="n">
        <x:v>2146.27</x:v>
      </x:c>
      <x:c r="L364" s="7" t="n">
        <x:v>602.48</x:v>
      </x:c>
      <x:c r="M364" s="3" t="str">
        <x:v>Credit Card</x:v>
      </x:c>
      <x:c r="N364" s="3"/>
      <x:c r="O364" s="3"/>
      <x:c r="P364" s="3"/>
      <x:c r="Q364" s="3"/>
    </x:row>
    <x:row r="365" ht="21" customHeight="1">
      <x:c r="A365" s="3" t="str">
        <x:v>ORD-100097</x:v>
      </x:c>
      <x:c r="B365" s="5" t="n">
        <x:v>45409</x:v>
      </x:c>
      <x:c r="C365" s="3" t="str">
        <x:v>CUST-00333</x:v>
      </x:c>
      <x:c r="D365" s="3" t="str">
        <x:v>East</x:v>
      </x:c>
      <x:c r="E365" s="3" t="str">
        <x:v>Sports</x:v>
      </x:c>
      <x:c r="F365" s="3" t="str">
        <x:v>Fitness</x:v>
      </x:c>
      <x:c r="G365" s="3" t="str">
        <x:v>Adjustable Dumbbell 24kg</x:v>
      </x:c>
      <x:c r="H365" s="3" t="n">
        <x:v>4</x:v>
      </x:c>
      <x:c r="I365" s="7" t="n">
        <x:v>10074.75</x:v>
      </x:c>
      <x:c r="J365" s="9" t="n">
        <x:v>0.2</x:v>
      </x:c>
      <x:c r="K365" s="7" t="n">
        <x:v>32239.2</x:v>
      </x:c>
      <x:c r="L365" s="7" t="n">
        <x:v>5025.19</x:v>
      </x:c>
      <x:c r="M365" s="3" t="str">
        <x:v>UPI</x:v>
      </x:c>
      <x:c r="N365" s="3"/>
      <x:c r="O365" s="3"/>
      <x:c r="P365" s="3"/>
      <x:c r="Q365" s="3"/>
    </x:row>
    <x:row r="366" ht="21" customHeight="1">
      <x:c r="A366" s="3" t="str">
        <x:v>ORD-100193</x:v>
      </x:c>
      <x:c r="B366" s="5" t="n">
        <x:v>45409</x:v>
      </x:c>
      <x:c r="C366" s="3" t="str">
        <x:v>CUST-00352</x:v>
      </x:c>
      <x:c r="D366" s="3" t="str">
        <x:v>North</x:v>
      </x:c>
      <x:c r="E366" s="3" t="str">
        <x:v>Fashion</x:v>
      </x:c>
      <x:c r="F366" s="3" t="str">
        <x:v>Footwear</x:v>
      </x:c>
      <x:c r="G366" s="3" t="str">
        <x:v>UrbanLoafers</x:v>
      </x:c>
      <x:c r="H366" s="3" t="n">
        <x:v>1</x:v>
      </x:c>
      <x:c r="I366" s="7" t="n">
        <x:v>3576.68</x:v>
      </x:c>
      <x:c r="J366" s="9" t="n">
        <x:v>0</x:v>
      </x:c>
      <x:c r="K366" s="7" t="n">
        <x:v>3576.68</x:v>
      </x:c>
      <x:c r="L366" s="7" t="n">
        <x:v>1488.6</x:v>
      </x:c>
      <x:c r="M366" s="3" t="str">
        <x:v>UPI</x:v>
      </x:c>
      <x:c r="N366" s="3"/>
      <x:c r="O366" s="3"/>
      <x:c r="P366" s="3"/>
      <x:c r="Q366" s="3"/>
    </x:row>
    <x:row r="367" ht="21" customHeight="1">
      <x:c r="A367" s="3" t="str">
        <x:v>ORD-100511</x:v>
      </x:c>
      <x:c r="B367" s="5" t="n">
        <x:v>45409</x:v>
      </x:c>
      <x:c r="C367" s="3" t="str">
        <x:v>CUST-00021</x:v>
      </x:c>
      <x:c r="D367" s="3" t="str">
        <x:v>East</x:v>
      </x:c>
      <x:c r="E367" s="3" t="str">
        <x:v>Home &amp; Kitchen</x:v>
      </x:c>
      <x:c r="F367" s="3" t="str">
        <x:v>Decor</x:v>
      </x:c>
      <x:c r="G367" s="3" t="str">
        <x:v>LED Wall Lamp</x:v>
      </x:c>
      <x:c r="H367" s="3" t="n">
        <x:v>1</x:v>
      </x:c>
      <x:c r="I367" s="7" t="n">
        <x:v>973.79</x:v>
      </x:c>
      <x:c r="J367" s="9" t="n">
        <x:v>0.1</x:v>
      </x:c>
      <x:c r="K367" s="7" t="n">
        <x:v>876.41</x:v>
      </x:c>
      <x:c r="L367" s="7" t="n">
        <x:v>198.81</x:v>
      </x:c>
      <x:c r="M367" s="3" t="str">
        <x:v>Net Banking</x:v>
      </x:c>
      <x:c r="N367" s="3"/>
      <x:c r="O367" s="3"/>
      <x:c r="P367" s="3"/>
      <x:c r="Q367" s="3"/>
    </x:row>
    <x:row r="368" ht="21" customHeight="1">
      <x:c r="A368" s="3" t="str">
        <x:v>ORD-100606</x:v>
      </x:c>
      <x:c r="B368" s="5" t="n">
        <x:v>45409</x:v>
      </x:c>
      <x:c r="C368" s="3" t="str">
        <x:v>CUST-00451</x:v>
      </x:c>
      <x:c r="D368" s="3" t="str">
        <x:v>North</x:v>
      </x:c>
      <x:c r="E368" s="3" t="str">
        <x:v>Sports</x:v>
      </x:c>
      <x:c r="F368" s="3" t="str">
        <x:v>Outdoor</x:v>
      </x:c>
      <x:c r="G368" s="3" t="str">
        <x:v>AllWeather Tent 4P</x:v>
      </x:c>
      <x:c r="H368" s="3" t="n">
        <x:v>1</x:v>
      </x:c>
      <x:c r="I368" s="7" t="n">
        <x:v>12586.8</x:v>
      </x:c>
      <x:c r="J368" s="9" t="n">
        <x:v>0</x:v>
      </x:c>
      <x:c r="K368" s="7" t="n">
        <x:v>12586.8</x:v>
      </x:c>
      <x:c r="L368" s="7" t="n">
        <x:v>4644.85</x:v>
      </x:c>
      <x:c r="M368" s="3" t="str">
        <x:v>UPI</x:v>
      </x:c>
      <x:c r="N368" s="3"/>
      <x:c r="O368" s="3"/>
      <x:c r="P368" s="3"/>
      <x:c r="Q368" s="3"/>
    </x:row>
    <x:row r="369" ht="21" customHeight="1">
      <x:c r="A369" s="3" t="str">
        <x:v>ORD-100028</x:v>
      </x:c>
      <x:c r="B369" s="5" t="n">
        <x:v>45410</x:v>
      </x:c>
      <x:c r="C369" s="3" t="str">
        <x:v>CUST-00591</x:v>
      </x:c>
      <x:c r="D369" s="3" t="str">
        <x:v>South</x:v>
      </x:c>
      <x:c r="E369" s="3" t="str">
        <x:v>Home &amp; Kitchen</x:v>
      </x:c>
      <x:c r="F369" s="3" t="str">
        <x:v>Furniture</x:v>
      </x:c>
      <x:c r="G369" s="3" t="str">
        <x:v>ErgoComfort Chair</x:v>
      </x:c>
      <x:c r="H369" s="3" t="n">
        <x:v>1</x:v>
      </x:c>
      <x:c r="I369" s="7" t="n">
        <x:v>8860.13</x:v>
      </x:c>
      <x:c r="J369" s="9" t="n">
        <x:v>0.1</x:v>
      </x:c>
      <x:c r="K369" s="7" t="n">
        <x:v>7974.12</x:v>
      </x:c>
      <x:c r="L369" s="7" t="n">
        <x:v>1897.16</x:v>
      </x:c>
      <x:c r="M369" s="3" t="str">
        <x:v>Cash on Delivery</x:v>
      </x:c>
      <x:c r="N369" s="3"/>
      <x:c r="O369" s="3"/>
      <x:c r="P369" s="3"/>
      <x:c r="Q369" s="3"/>
    </x:row>
    <x:row r="370" ht="21" customHeight="1">
      <x:c r="A370" s="3" t="str">
        <x:v>ORD-100079</x:v>
      </x:c>
      <x:c r="B370" s="5" t="n">
        <x:v>45410</x:v>
      </x:c>
      <x:c r="C370" s="3" t="str">
        <x:v>CUST-00551</x:v>
      </x:c>
      <x:c r="D370" s="3" t="str">
        <x:v>East</x:v>
      </x:c>
      <x:c r="E370" s="3" t="str">
        <x:v>Home &amp; Kitchen</x:v>
      </x:c>
      <x:c r="F370" s="3" t="str">
        <x:v>Appliances</x:v>
      </x:c>
      <x:c r="G370" s="3" t="str">
        <x:v>AirFryer Deluxe</x:v>
      </x:c>
      <x:c r="H370" s="3" t="n">
        <x:v>2</x:v>
      </x:c>
      <x:c r="I370" s="7" t="n">
        <x:v>7970.42</x:v>
      </x:c>
      <x:c r="J370" s="9" t="n">
        <x:v>0.1</x:v>
      </x:c>
      <x:c r="K370" s="7" t="n">
        <x:v>14346.76</x:v>
      </x:c>
      <x:c r="L370" s="7" t="n">
        <x:v>3315.34</x:v>
      </x:c>
      <x:c r="M370" s="3" t="str">
        <x:v>UPI</x:v>
      </x:c>
      <x:c r="N370" s="3"/>
      <x:c r="O370" s="3"/>
      <x:c r="P370" s="3"/>
      <x:c r="Q370" s="3"/>
    </x:row>
    <x:row r="371" ht="21" customHeight="1">
      <x:c r="A371" s="3" t="str">
        <x:v>ORD-100463</x:v>
      </x:c>
      <x:c r="B371" s="5" t="n">
        <x:v>45410</x:v>
      </x:c>
      <x:c r="C371" s="3" t="str">
        <x:v>CUST-00241</x:v>
      </x:c>
      <x:c r="D371" s="3" t="str">
        <x:v>East</x:v>
      </x:c>
      <x:c r="E371" s="3" t="str">
        <x:v>Home &amp; Kitchen</x:v>
      </x:c>
      <x:c r="F371" s="3" t="str">
        <x:v>Decor</x:v>
      </x:c>
      <x:c r="G371" s="3" t="str">
        <x:v>LED Wall Lamp</x:v>
      </x:c>
      <x:c r="H371" s="3" t="n">
        <x:v>1</x:v>
      </x:c>
      <x:c r="I371" s="7" t="n">
        <x:v>1041.44</x:v>
      </x:c>
      <x:c r="J371" s="9" t="n">
        <x:v>0.15</x:v>
      </x:c>
      <x:c r="K371" s="7" t="n">
        <x:v>885.22</x:v>
      </x:c>
      <x:c r="L371" s="7" t="n">
        <x:v>116.47</x:v>
      </x:c>
      <x:c r="M371" s="3" t="str">
        <x:v>Credit Card</x:v>
      </x:c>
      <x:c r="N371" s="3"/>
      <x:c r="O371" s="3"/>
      <x:c r="P371" s="3"/>
      <x:c r="Q371" s="3"/>
    </x:row>
    <x:row r="372" ht="21" customHeight="1">
      <x:c r="A372" s="3" t="str">
        <x:v>ORD-100902</x:v>
      </x:c>
      <x:c r="B372" s="5" t="n">
        <x:v>45410</x:v>
      </x:c>
      <x:c r="C372" s="3" t="str">
        <x:v>CUST-00462</x:v>
      </x:c>
      <x:c r="D372" s="3" t="str">
        <x:v>North</x:v>
      </x:c>
      <x:c r="E372" s="3" t="str">
        <x:v>Beauty</x:v>
      </x:c>
      <x:c r="F372" s="3" t="str">
        <x:v>Makeup</x:v>
      </x:c>
      <x:c r="G372" s="3" t="str">
        <x:v>HD Foundation Kit</x:v>
      </x:c>
      <x:c r="H372" s="3" t="n">
        <x:v>1</x:v>
      </x:c>
      <x:c r="I372" s="7" t="n">
        <x:v>1524.51</x:v>
      </x:c>
      <x:c r="J372" s="9" t="n">
        <x:v>0.1</x:v>
      </x:c>
      <x:c r="K372" s="7" t="n">
        <x:v>1372.06</x:v>
      </x:c>
      <x:c r="L372" s="7" t="n">
        <x:v>588.33</x:v>
      </x:c>
      <x:c r="M372" s="3" t="str">
        <x:v>Credit Card</x:v>
      </x:c>
      <x:c r="N372" s="3"/>
      <x:c r="O372" s="3"/>
      <x:c r="P372" s="3"/>
      <x:c r="Q372" s="3"/>
    </x:row>
    <x:row r="373" ht="21" customHeight="1">
      <x:c r="A373" s="3" t="str">
        <x:v>ORD-101852</x:v>
      </x:c>
      <x:c r="B373" s="5" t="n">
        <x:v>45410</x:v>
      </x:c>
      <x:c r="C373" s="3" t="str">
        <x:v>CUST-00139</x:v>
      </x:c>
      <x:c r="D373" s="3" t="str">
        <x:v>West</x:v>
      </x:c>
      <x:c r="E373" s="3" t="str">
        <x:v>Fashion</x:v>
      </x:c>
      <x:c r="F373" s="3" t="str">
        <x:v>Footwear</x:v>
      </x:c>
      <x:c r="G373" s="3" t="str">
        <x:v>UrbanLoafers</x:v>
      </x:c>
      <x:c r="H373" s="3" t="n">
        <x:v>1</x:v>
      </x:c>
      <x:c r="I373" s="7" t="n">
        <x:v>3492.2</x:v>
      </x:c>
      <x:c r="J373" s="9" t="n">
        <x:v>0.05</x:v>
      </x:c>
      <x:c r="K373" s="7" t="n">
        <x:v>3317.59</x:v>
      </x:c>
      <x:c r="L373" s="7" t="n">
        <x:v>1296.9</x:v>
      </x:c>
      <x:c r="M373" s="3" t="str">
        <x:v>Debit Card</x:v>
      </x:c>
      <x:c r="N373" s="3"/>
      <x:c r="O373" s="3"/>
      <x:c r="P373" s="3"/>
      <x:c r="Q373" s="3"/>
    </x:row>
    <x:row r="374" ht="21" customHeight="1">
      <x:c r="A374" s="3" t="str">
        <x:v>ORD-100336</x:v>
      </x:c>
      <x:c r="B374" s="5" t="n">
        <x:v>45411</x:v>
      </x:c>
      <x:c r="C374" s="3" t="str">
        <x:v>CUST-00392</x:v>
      </x:c>
      <x:c r="D374" s="3" t="str">
        <x:v>East</x:v>
      </x:c>
      <x:c r="E374" s="3" t="str">
        <x:v>Beauty</x:v>
      </x:c>
      <x:c r="F374" s="3" t="str">
        <x:v>Makeup</x:v>
      </x:c>
      <x:c r="G374" s="3" t="str">
        <x:v>Matte Lipstick Set</x:v>
      </x:c>
      <x:c r="H374" s="3" t="n">
        <x:v>2</x:v>
      </x:c>
      <x:c r="I374" s="7" t="n">
        <x:v>994.89</x:v>
      </x:c>
      <x:c r="J374" s="9" t="n">
        <x:v>0.3</x:v>
      </x:c>
      <x:c r="K374" s="7" t="n">
        <x:v>1392.85</x:v>
      </x:c>
      <x:c r="L374" s="7" t="n">
        <x:v>281.16</x:v>
      </x:c>
      <x:c r="M374" s="3" t="str">
        <x:v>UPI</x:v>
      </x:c>
      <x:c r="N374" s="3"/>
      <x:c r="O374" s="3"/>
      <x:c r="P374" s="3"/>
      <x:c r="Q374" s="3"/>
    </x:row>
    <x:row r="375" ht="21" customHeight="1">
      <x:c r="A375" s="3" t="str">
        <x:v>ORD-100554</x:v>
      </x:c>
      <x:c r="B375" s="5" t="n">
        <x:v>45411</x:v>
      </x:c>
      <x:c r="C375" s="3" t="str">
        <x:v>CUST-00356</x:v>
      </x:c>
      <x:c r="D375" s="3" t="str">
        <x:v>North</x:v>
      </x:c>
      <x:c r="E375" s="3" t="str">
        <x:v>Sports</x:v>
      </x:c>
      <x:c r="F375" s="3" t="str">
        <x:v>Outdoor</x:v>
      </x:c>
      <x:c r="G375" s="3" t="str">
        <x:v>TrailHike Backpack 60L</x:v>
      </x:c>
      <x:c r="H375" s="3" t="n">
        <x:v>2</x:v>
      </x:c>
      <x:c r="I375" s="7" t="n">
        <x:v>3471.71</x:v>
      </x:c>
      <x:c r="J375" s="9" t="n">
        <x:v>0.1</x:v>
      </x:c>
      <x:c r="K375" s="7" t="n">
        <x:v>6249.08</x:v>
      </x:c>
      <x:c r="L375" s="7" t="n">
        <x:v>1563.94</x:v>
      </x:c>
      <x:c r="M375" s="3" t="str">
        <x:v>Net Banking</x:v>
      </x:c>
      <x:c r="N375" s="3"/>
      <x:c r="O375" s="3"/>
      <x:c r="P375" s="3"/>
      <x:c r="Q375" s="3"/>
    </x:row>
    <x:row r="376" ht="21" customHeight="1">
      <x:c r="A376" s="3" t="str">
        <x:v>ORD-100935</x:v>
      </x:c>
      <x:c r="B376" s="5" t="n">
        <x:v>45411</x:v>
      </x:c>
      <x:c r="C376" s="3" t="str">
        <x:v>CUST-00488</x:v>
      </x:c>
      <x:c r="D376" s="3" t="str">
        <x:v>East</x:v>
      </x:c>
      <x:c r="E376" s="3" t="str">
        <x:v>Fashion</x:v>
      </x:c>
      <x:c r="F376" s="3" t="str">
        <x:v>Men</x:v>
      </x:c>
      <x:c r="G376" s="3" t="str">
        <x:v>Oxford Casual Shirt</x:v>
      </x:c>
      <x:c r="H376" s="3" t="n">
        <x:v>1</x:v>
      </x:c>
      <x:c r="I376" s="7" t="n">
        <x:v>1335.56</x:v>
      </x:c>
      <x:c r="J376" s="9" t="n">
        <x:v>0.1</x:v>
      </x:c>
      <x:c r="K376" s="7" t="n">
        <x:v>1202</x:v>
      </x:c>
      <x:c r="L376" s="7" t="n">
        <x:v>349.19</x:v>
      </x:c>
      <x:c r="M376" s="3" t="str">
        <x:v>UPI</x:v>
      </x:c>
      <x:c r="N376" s="3"/>
      <x:c r="O376" s="3"/>
      <x:c r="P376" s="3"/>
      <x:c r="Q376" s="3"/>
    </x:row>
    <x:row r="377" ht="21" customHeight="1">
      <x:c r="A377" s="3" t="str">
        <x:v>ORD-101609</x:v>
      </x:c>
      <x:c r="B377" s="5" t="n">
        <x:v>45411</x:v>
      </x:c>
      <x:c r="C377" s="3" t="str">
        <x:v>CUST-00509</x:v>
      </x:c>
      <x:c r="D377" s="3" t="str">
        <x:v>West</x:v>
      </x:c>
      <x:c r="E377" s="3" t="str">
        <x:v>Beauty</x:v>
      </x:c>
      <x:c r="F377" s="3" t="str">
        <x:v>Skincare</x:v>
      </x:c>
      <x:c r="G377" s="3" t="str">
        <x:v>Vitamin C Serum</x:v>
      </x:c>
      <x:c r="H377" s="3" t="n">
        <x:v>1</x:v>
      </x:c>
      <x:c r="I377" s="7" t="n">
        <x:v>938.41</x:v>
      </x:c>
      <x:c r="J377" s="9" t="n">
        <x:v>0</x:v>
      </x:c>
      <x:c r="K377" s="7" t="n">
        <x:v>938.41</x:v>
      </x:c>
      <x:c r="L377" s="7" t="n">
        <x:v>494.34</x:v>
      </x:c>
      <x:c r="M377" s="3" t="str">
        <x:v>Credit Card</x:v>
      </x:c>
      <x:c r="N377" s="3"/>
      <x:c r="O377" s="3"/>
      <x:c r="P377" s="3"/>
      <x:c r="Q377" s="3"/>
    </x:row>
    <x:row r="378" ht="21" customHeight="1">
      <x:c r="A378" s="3" t="str">
        <x:v>ORD-100154</x:v>
      </x:c>
      <x:c r="B378" s="5" t="n">
        <x:v>45412</x:v>
      </x:c>
      <x:c r="C378" s="3" t="str">
        <x:v>CUST-00303</x:v>
      </x:c>
      <x:c r="D378" s="3" t="str">
        <x:v>West</x:v>
      </x:c>
      <x:c r="E378" s="3" t="str">
        <x:v>Fashion</x:v>
      </x:c>
      <x:c r="F378" s="3" t="str">
        <x:v>Men</x:v>
      </x:c>
      <x:c r="G378" s="3" t="str">
        <x:v>SlimFit Denim Jeans</x:v>
      </x:c>
      <x:c r="H378" s="3" t="n">
        <x:v>1</x:v>
      </x:c>
      <x:c r="I378" s="7" t="n">
        <x:v>2036.2</x:v>
      </x:c>
      <x:c r="J378" s="9" t="n">
        <x:v>0</x:v>
      </x:c>
      <x:c r="K378" s="7" t="n">
        <x:v>2036.2</x:v>
      </x:c>
      <x:c r="L378" s="7" t="n">
        <x:v>924.13</x:v>
      </x:c>
      <x:c r="M378" s="3" t="str">
        <x:v>Debit Card</x:v>
      </x:c>
      <x:c r="N378" s="3"/>
      <x:c r="O378" s="3"/>
      <x:c r="P378" s="3"/>
      <x:c r="Q378" s="3"/>
    </x:row>
    <x:row r="379" ht="21" customHeight="1">
      <x:c r="A379" s="3" t="str">
        <x:v>ORD-100675</x:v>
      </x:c>
      <x:c r="B379" s="5" t="n">
        <x:v>45412</x:v>
      </x:c>
      <x:c r="C379" s="3" t="str">
        <x:v>CUST-00185</x:v>
      </x:c>
      <x:c r="D379" s="3" t="str">
        <x:v>North</x:v>
      </x:c>
      <x:c r="E379" s="3" t="str">
        <x:v>Sports</x:v>
      </x:c>
      <x:c r="F379" s="3" t="str">
        <x:v>Outdoor</x:v>
      </x:c>
      <x:c r="G379" s="3" t="str">
        <x:v>TrailHike Backpack 60L</x:v>
      </x:c>
      <x:c r="H379" s="3" t="n">
        <x:v>1</x:v>
      </x:c>
      <x:c r="I379" s="7" t="n">
        <x:v>3573.79</x:v>
      </x:c>
      <x:c r="J379" s="9" t="n">
        <x:v>0.1</x:v>
      </x:c>
      <x:c r="K379" s="7" t="n">
        <x:v>3216.41</x:v>
      </x:c>
      <x:c r="L379" s="7" t="n">
        <x:v>926.99</x:v>
      </x:c>
      <x:c r="M379" s="3" t="str">
        <x:v>Debit Card</x:v>
      </x:c>
      <x:c r="N379" s="3"/>
      <x:c r="O379" s="3"/>
      <x:c r="P379" s="3"/>
      <x:c r="Q379" s="3"/>
    </x:row>
    <x:row r="380" ht="21" customHeight="1">
      <x:c r="A380" s="3" t="str">
        <x:v>ORD-100690</x:v>
      </x:c>
      <x:c r="B380" s="5" t="n">
        <x:v>45412</x:v>
      </x:c>
      <x:c r="C380" s="3" t="str">
        <x:v>CUST-00495</x:v>
      </x:c>
      <x:c r="D380" s="3" t="str">
        <x:v>West</x:v>
      </x:c>
      <x:c r="E380" s="3" t="str">
        <x:v>Sports</x:v>
      </x:c>
      <x:c r="F380" s="3" t="str">
        <x:v>Outdoor</x:v>
      </x:c>
      <x:c r="G380" s="3" t="str">
        <x:v>AllWeather Tent 4P</x:v>
      </x:c>
      <x:c r="H380" s="3" t="n">
        <x:v>1</x:v>
      </x:c>
      <x:c r="I380" s="7" t="n">
        <x:v>11804.57</x:v>
      </x:c>
      <x:c r="J380" s="9" t="n">
        <x:v>0.3</x:v>
      </x:c>
      <x:c r="K380" s="7" t="n">
        <x:v>8263.2</x:v>
      </x:c>
      <x:c r="L380" s="7" t="n">
        <x:v>407.58</x:v>
      </x:c>
      <x:c r="M380" s="3" t="str">
        <x:v>Net Banking</x:v>
      </x:c>
      <x:c r="N380" s="3"/>
      <x:c r="O380" s="3"/>
      <x:c r="P380" s="3"/>
      <x:c r="Q380" s="3"/>
    </x:row>
    <x:row r="381" ht="21" customHeight="1">
      <x:c r="A381" s="3" t="str">
        <x:v>ORD-101651</x:v>
      </x:c>
      <x:c r="B381" s="5" t="n">
        <x:v>45412</x:v>
      </x:c>
      <x:c r="C381" s="3" t="str">
        <x:v>CUST-00509</x:v>
      </x:c>
      <x:c r="D381" s="3" t="str">
        <x:v>South</x:v>
      </x:c>
      <x:c r="E381" s="3" t="str">
        <x:v>Home &amp; Kitchen</x:v>
      </x:c>
      <x:c r="F381" s="3" t="str">
        <x:v>Furniture</x:v>
      </x:c>
      <x:c r="G381" s="3" t="str">
        <x:v>Oakwood Study Desk</x:v>
      </x:c>
      <x:c r="H381" s="3" t="n">
        <x:v>3</x:v>
      </x:c>
      <x:c r="I381" s="7" t="n">
        <x:v>13363.07</x:v>
      </x:c>
      <x:c r="J381" s="9" t="n">
        <x:v>0</x:v>
      </x:c>
      <x:c r="K381" s="7" t="n">
        <x:v>40089.21</x:v>
      </x:c>
      <x:c r="L381" s="7" t="n">
        <x:v>14035.58</x:v>
      </x:c>
      <x:c r="M381" s="3" t="str">
        <x:v>Net Banking</x:v>
      </x:c>
      <x:c r="N381" s="3"/>
      <x:c r="O381" s="3"/>
      <x:c r="P381" s="3"/>
      <x:c r="Q381" s="3"/>
    </x:row>
    <x:row r="382" ht="21" customHeight="1">
      <x:c r="A382" s="3" t="str">
        <x:v>ORD-100507</x:v>
      </x:c>
      <x:c r="B382" s="5" t="n">
        <x:v>45413</x:v>
      </x:c>
      <x:c r="C382" s="3" t="str">
        <x:v>CUST-00323</x:v>
      </x:c>
      <x:c r="D382" s="3" t="str">
        <x:v>North</x:v>
      </x:c>
      <x:c r="E382" s="3" t="str">
        <x:v>Electronics</x:v>
      </x:c>
      <x:c r="F382" s="3" t="str">
        <x:v>Audio</x:v>
      </x:c>
      <x:c r="G382" s="3" t="str">
        <x:v>BassBoom Speaker</x:v>
      </x:c>
      <x:c r="H382" s="3" t="n">
        <x:v>3</x:v>
      </x:c>
      <x:c r="I382" s="7" t="n">
        <x:v>9144.87</x:v>
      </x:c>
      <x:c r="J382" s="9" t="n">
        <x:v>0</x:v>
      </x:c>
      <x:c r="K382" s="7" t="n">
        <x:v>27434.61</x:v>
      </x:c>
      <x:c r="L382" s="7" t="n">
        <x:v>4916.83</x:v>
      </x:c>
      <x:c r="M382" s="3" t="str">
        <x:v>UPI</x:v>
      </x:c>
      <x:c r="N382" s="3"/>
      <x:c r="O382" s="3"/>
      <x:c r="P382" s="3"/>
      <x:c r="Q382" s="3"/>
    </x:row>
    <x:row r="383" ht="21" customHeight="1">
      <x:c r="A383" s="3" t="str">
        <x:v>ORD-101083</x:v>
      </x:c>
      <x:c r="B383" s="5" t="n">
        <x:v>45413</x:v>
      </x:c>
      <x:c r="C383" s="3" t="str">
        <x:v>CUST-00367</x:v>
      </x:c>
      <x:c r="D383" s="3" t="str">
        <x:v>North</x:v>
      </x:c>
      <x:c r="E383" s="3" t="str">
        <x:v>Fashion</x:v>
      </x:c>
      <x:c r="F383" s="3" t="str">
        <x:v>Men</x:v>
      </x:c>
      <x:c r="G383" s="3" t="str">
        <x:v>SlimFit Denim Jeans</x:v>
      </x:c>
      <x:c r="H383" s="3" t="n">
        <x:v>1</x:v>
      </x:c>
      <x:c r="I383" s="7" t="n">
        <x:v>1936.17</x:v>
      </x:c>
      <x:c r="J383" s="9" t="n">
        <x:v>0</x:v>
      </x:c>
      <x:c r="K383" s="7" t="n">
        <x:v>1936.17</x:v>
      </x:c>
      <x:c r="L383" s="7" t="n">
        <x:v>855.95</x:v>
      </x:c>
      <x:c r="M383" s="3" t="str">
        <x:v>UPI</x:v>
      </x:c>
      <x:c r="N383" s="3"/>
      <x:c r="O383" s="3"/>
      <x:c r="P383" s="3"/>
      <x:c r="Q383" s="3"/>
    </x:row>
    <x:row r="384" ht="21" customHeight="1">
      <x:c r="A384" s="3" t="str">
        <x:v>ORD-100445</x:v>
      </x:c>
      <x:c r="B384" s="5" t="n">
        <x:v>45414</x:v>
      </x:c>
      <x:c r="C384" s="3" t="str">
        <x:v>CUST-00134</x:v>
      </x:c>
      <x:c r="D384" s="3" t="str">
        <x:v>East</x:v>
      </x:c>
      <x:c r="E384" s="3" t="str">
        <x:v>Beauty</x:v>
      </x:c>
      <x:c r="F384" s="3" t="str">
        <x:v>Skincare</x:v>
      </x:c>
      <x:c r="G384" s="3" t="str">
        <x:v>HydraBoost Moisturizer</x:v>
      </x:c>
      <x:c r="H384" s="3" t="n">
        <x:v>1</x:v>
      </x:c>
      <x:c r="I384" s="7" t="n">
        <x:v>1169.25</x:v>
      </x:c>
      <x:c r="J384" s="9" t="n">
        <x:v>0.15</x:v>
      </x:c>
      <x:c r="K384" s="7" t="n">
        <x:v>993.86</x:v>
      </x:c>
      <x:c r="L384" s="7" t="n">
        <x:v>338.13</x:v>
      </x:c>
      <x:c r="M384" s="3" t="str">
        <x:v>UPI</x:v>
      </x:c>
      <x:c r="N384" s="3"/>
      <x:c r="O384" s="3"/>
      <x:c r="P384" s="3"/>
      <x:c r="Q384" s="3"/>
    </x:row>
    <x:row r="385" ht="21" customHeight="1">
      <x:c r="A385" s="3" t="str">
        <x:v>ORD-100490</x:v>
      </x:c>
      <x:c r="B385" s="5" t="n">
        <x:v>45414</x:v>
      </x:c>
      <x:c r="C385" s="3" t="str">
        <x:v>CUST-00590</x:v>
      </x:c>
      <x:c r="D385" s="3" t="str">
        <x:v>South</x:v>
      </x:c>
      <x:c r="E385" s="3" t="str">
        <x:v>Fashion</x:v>
      </x:c>
      <x:c r="F385" s="3" t="str">
        <x:v>Men</x:v>
      </x:c>
      <x:c r="G385" s="3" t="str">
        <x:v>SlimFit Denim Jeans</x:v>
      </x:c>
      <x:c r="H385" s="3" t="n">
        <x:v>2</x:v>
      </x:c>
      <x:c r="I385" s="7" t="n">
        <x:v>2093.08</x:v>
      </x:c>
      <x:c r="J385" s="9" t="n">
        <x:v>0.05</x:v>
      </x:c>
      <x:c r="K385" s="7" t="n">
        <x:v>3976.85</x:v>
      </x:c>
      <x:c r="L385" s="7" t="n">
        <x:v>1473.07</x:v>
      </x:c>
      <x:c r="M385" s="3" t="str">
        <x:v>Credit Card</x:v>
      </x:c>
      <x:c r="N385" s="3"/>
      <x:c r="O385" s="3"/>
      <x:c r="P385" s="3"/>
      <x:c r="Q385" s="3"/>
    </x:row>
    <x:row r="386" ht="21" customHeight="1">
      <x:c r="A386" s="3" t="str">
        <x:v>ORD-100573</x:v>
      </x:c>
      <x:c r="B386" s="5" t="n">
        <x:v>45415</x:v>
      </x:c>
      <x:c r="C386" s="3" t="str">
        <x:v>CUST-00297</x:v>
      </x:c>
      <x:c r="D386" s="3" t="str">
        <x:v>East</x:v>
      </x:c>
      <x:c r="E386" s="3" t="str">
        <x:v>Sports</x:v>
      </x:c>
      <x:c r="F386" s="3" t="str">
        <x:v>Outdoor</x:v>
      </x:c>
      <x:c r="G386" s="3" t="str">
        <x:v>TrailHike Backpack 60L</x:v>
      </x:c>
      <x:c r="H386" s="3" t="n">
        <x:v>2</x:v>
      </x:c>
      <x:c r="I386" s="7" t="n">
        <x:v>3453.28</x:v>
      </x:c>
      <x:c r="J386" s="9" t="n">
        <x:v>0.25</x:v>
      </x:c>
      <x:c r="K386" s="7" t="n">
        <x:v>5179.92</x:v>
      </x:c>
      <x:c r="L386" s="7" t="n">
        <x:v>666.37</x:v>
      </x:c>
      <x:c r="M386" s="3" t="str">
        <x:v>UPI</x:v>
      </x:c>
      <x:c r="N386" s="3"/>
      <x:c r="O386" s="3"/>
      <x:c r="P386" s="3"/>
      <x:c r="Q386" s="3"/>
    </x:row>
    <x:row r="387" ht="21" customHeight="1">
      <x:c r="A387" s="3" t="str">
        <x:v>ORD-100582</x:v>
      </x:c>
      <x:c r="B387" s="5" t="n">
        <x:v>45415</x:v>
      </x:c>
      <x:c r="C387" s="3" t="str">
        <x:v>CUST-00246</x:v>
      </x:c>
      <x:c r="D387" s="3" t="str">
        <x:v>North</x:v>
      </x:c>
      <x:c r="E387" s="3" t="str">
        <x:v>Fashion</x:v>
      </x:c>
      <x:c r="F387" s="3" t="str">
        <x:v>Men</x:v>
      </x:c>
      <x:c r="G387" s="3" t="str">
        <x:v>SlimFit Denim Jeans</x:v>
      </x:c>
      <x:c r="H387" s="3" t="n">
        <x:v>1</x:v>
      </x:c>
      <x:c r="I387" s="7" t="n">
        <x:v>1927.53</x:v>
      </x:c>
      <x:c r="J387" s="9" t="n">
        <x:v>0</x:v>
      </x:c>
      <x:c r="K387" s="7" t="n">
        <x:v>1927.53</x:v>
      </x:c>
      <x:c r="L387" s="7" t="n">
        <x:v>870.17</x:v>
      </x:c>
      <x:c r="M387" s="3" t="str">
        <x:v>Cash on Delivery</x:v>
      </x:c>
      <x:c r="N387" s="3"/>
      <x:c r="O387" s="3"/>
      <x:c r="P387" s="3"/>
      <x:c r="Q387" s="3"/>
    </x:row>
    <x:row r="388" ht="21" customHeight="1">
      <x:c r="A388" s="3" t="str">
        <x:v>ORD-101056</x:v>
      </x:c>
      <x:c r="B388" s="5" t="n">
        <x:v>45415</x:v>
      </x:c>
      <x:c r="C388" s="3" t="str">
        <x:v>CUST-00063</x:v>
      </x:c>
      <x:c r="D388" s="3" t="str">
        <x:v>West</x:v>
      </x:c>
      <x:c r="E388" s="3" t="str">
        <x:v>Home &amp; Kitchen</x:v>
      </x:c>
      <x:c r="F388" s="3" t="str">
        <x:v>Decor</x:v>
      </x:c>
      <x:c r="G388" s="3" t="str">
        <x:v>LED Wall Lamp</x:v>
      </x:c>
      <x:c r="H388" s="3" t="n">
        <x:v>2</x:v>
      </x:c>
      <x:c r="I388" s="7" t="n">
        <x:v>1031.38</x:v>
      </x:c>
      <x:c r="J388" s="9" t="n">
        <x:v>0.1</x:v>
      </x:c>
      <x:c r="K388" s="7" t="n">
        <x:v>1856.48</x:v>
      </x:c>
      <x:c r="L388" s="7" t="n">
        <x:v>420.8</x:v>
      </x:c>
      <x:c r="M388" s="3" t="str">
        <x:v>Credit Card</x:v>
      </x:c>
      <x:c r="N388" s="3"/>
      <x:c r="O388" s="3"/>
      <x:c r="P388" s="3"/>
      <x:c r="Q388" s="3"/>
    </x:row>
    <x:row r="389" ht="21" customHeight="1">
      <x:c r="A389" s="3" t="str">
        <x:v>ORD-101614</x:v>
      </x:c>
      <x:c r="B389" s="5" t="n">
        <x:v>45415</x:v>
      </x:c>
      <x:c r="C389" s="3" t="str">
        <x:v>CUST-00497</x:v>
      </x:c>
      <x:c r="D389" s="3" t="str">
        <x:v>North</x:v>
      </x:c>
      <x:c r="E389" s="3" t="str">
        <x:v>Fashion</x:v>
      </x:c>
      <x:c r="F389" s="3" t="str">
        <x:v>Men</x:v>
      </x:c>
      <x:c r="G389" s="3" t="str">
        <x:v>SlimFit Denim Jeans</x:v>
      </x:c>
      <x:c r="H389" s="3" t="n">
        <x:v>2</x:v>
      </x:c>
      <x:c r="I389" s="7" t="n">
        <x:v>2016.61</x:v>
      </x:c>
      <x:c r="J389" s="9" t="n">
        <x:v>0.2</x:v>
      </x:c>
      <x:c r="K389" s="7" t="n">
        <x:v>3226.58</x:v>
      </x:c>
      <x:c r="L389" s="7" t="n">
        <x:v>738.98</x:v>
      </x:c>
      <x:c r="M389" s="3" t="str">
        <x:v>Credit Card</x:v>
      </x:c>
      <x:c r="N389" s="3"/>
      <x:c r="O389" s="3"/>
      <x:c r="P389" s="3"/>
      <x:c r="Q389" s="3"/>
    </x:row>
    <x:row r="390" ht="21" customHeight="1">
      <x:c r="A390" s="3" t="str">
        <x:v>ORD-101684</x:v>
      </x:c>
      <x:c r="B390" s="5" t="n">
        <x:v>45415</x:v>
      </x:c>
      <x:c r="C390" s="3" t="str">
        <x:v>CUST-00139</x:v>
      </x:c>
      <x:c r="D390" s="3" t="str">
        <x:v>West</x:v>
      </x:c>
      <x:c r="E390" s="3" t="str">
        <x:v>Beauty</x:v>
      </x:c>
      <x:c r="F390" s="3" t="str">
        <x:v>Skincare</x:v>
      </x:c>
      <x:c r="G390" s="3" t="str">
        <x:v>Vitamin C Serum</x:v>
      </x:c>
      <x:c r="H390" s="3" t="n">
        <x:v>1</x:v>
      </x:c>
      <x:c r="I390" s="7" t="n">
        <x:v>893.61</x:v>
      </x:c>
      <x:c r="J390" s="9" t="n">
        <x:v>0.05</x:v>
      </x:c>
      <x:c r="K390" s="7" t="n">
        <x:v>848.93</x:v>
      </x:c>
      <x:c r="L390" s="7" t="n">
        <x:v>398.47</x:v>
      </x:c>
      <x:c r="M390" s="3" t="str">
        <x:v>Credit Card</x:v>
      </x:c>
      <x:c r="N390" s="3"/>
      <x:c r="O390" s="3"/>
      <x:c r="P390" s="3"/>
      <x:c r="Q390" s="3"/>
    </x:row>
    <x:row r="391" ht="21" customHeight="1">
      <x:c r="A391" s="3" t="str">
        <x:v>ORD-101737</x:v>
      </x:c>
      <x:c r="B391" s="5" t="n">
        <x:v>45415</x:v>
      </x:c>
      <x:c r="C391" s="3" t="str">
        <x:v>CUST-00222</x:v>
      </x:c>
      <x:c r="D391" s="3" t="str">
        <x:v>East</x:v>
      </x:c>
      <x:c r="E391" s="3" t="str">
        <x:v>Sports</x:v>
      </x:c>
      <x:c r="F391" s="3" t="str">
        <x:v>Fitness</x:v>
      </x:c>
      <x:c r="G391" s="3" t="str">
        <x:v>Adjustable Dumbbell 24kg</x:v>
      </x:c>
      <x:c r="H391" s="3" t="n">
        <x:v>1</x:v>
      </x:c>
      <x:c r="I391" s="7" t="n">
        <x:v>10386.06</x:v>
      </x:c>
      <x:c r="J391" s="9" t="n">
        <x:v>0.15</x:v>
      </x:c>
      <x:c r="K391" s="7" t="n">
        <x:v>8828.15</x:v>
      </x:c>
      <x:c r="L391" s="7" t="n">
        <x:v>1540.67</x:v>
      </x:c>
      <x:c r="M391" s="3" t="str">
        <x:v>UPI</x:v>
      </x:c>
      <x:c r="N391" s="3"/>
      <x:c r="O391" s="3"/>
      <x:c r="P391" s="3"/>
      <x:c r="Q391" s="3"/>
    </x:row>
    <x:row r="392" ht="21" customHeight="1">
      <x:c r="A392" s="3" t="str">
        <x:v>ORD-101546</x:v>
      </x:c>
      <x:c r="B392" s="5" t="n">
        <x:v>45416</x:v>
      </x:c>
      <x:c r="C392" s="3" t="str">
        <x:v>CUST-00247</x:v>
      </x:c>
      <x:c r="D392" s="3" t="str">
        <x:v>North</x:v>
      </x:c>
      <x:c r="E392" s="3" t="str">
        <x:v>Electronics</x:v>
      </x:c>
      <x:c r="F392" s="3" t="str">
        <x:v>Audio</x:v>
      </x:c>
      <x:c r="G392" s="3" t="str">
        <x:v>BassBoom Speaker</x:v>
      </x:c>
      <x:c r="H392" s="3" t="n">
        <x:v>5</x:v>
      </x:c>
      <x:c r="I392" s="7" t="n">
        <x:v>9301.49</x:v>
      </x:c>
      <x:c r="J392" s="9" t="n">
        <x:v>0</x:v>
      </x:c>
      <x:c r="K392" s="7" t="n">
        <x:v>46507.45</x:v>
      </x:c>
      <x:c r="L392" s="7" t="n">
        <x:v>7695.74</x:v>
      </x:c>
      <x:c r="M392" s="3" t="str">
        <x:v>UPI</x:v>
      </x:c>
      <x:c r="N392" s="3"/>
      <x:c r="O392" s="3"/>
      <x:c r="P392" s="3"/>
      <x:c r="Q392" s="3"/>
    </x:row>
    <x:row r="393" ht="21" customHeight="1">
      <x:c r="A393" s="3" t="str">
        <x:v>ORD-101616</x:v>
      </x:c>
      <x:c r="B393" s="5" t="n">
        <x:v>45416</x:v>
      </x:c>
      <x:c r="C393" s="3" t="str">
        <x:v>CUST-00039</x:v>
      </x:c>
      <x:c r="D393" s="3" t="str">
        <x:v>North</x:v>
      </x:c>
      <x:c r="E393" s="3" t="str">
        <x:v>Home &amp; Kitchen</x:v>
      </x:c>
      <x:c r="F393" s="3" t="str">
        <x:v>Appliances</x:v>
      </x:c>
      <x:c r="G393" s="3" t="str">
        <x:v>ColdBrew Coffee Maker</x:v>
      </x:c>
      <x:c r="H393" s="3" t="n">
        <x:v>1</x:v>
      </x:c>
      <x:c r="I393" s="7" t="n">
        <x:v>6312.67</x:v>
      </x:c>
      <x:c r="J393" s="9" t="n">
        <x:v>0.15</x:v>
      </x:c>
      <x:c r="K393" s="7" t="n">
        <x:v>5365.77</x:v>
      </x:c>
      <x:c r="L393" s="7" t="n">
        <x:v>800.15</x:v>
      </x:c>
      <x:c r="M393" s="3" t="str">
        <x:v>Cash on Delivery</x:v>
      </x:c>
      <x:c r="N393" s="3"/>
      <x:c r="O393" s="3"/>
      <x:c r="P393" s="3"/>
      <x:c r="Q393" s="3"/>
    </x:row>
    <x:row r="394" ht="21" customHeight="1">
      <x:c r="A394" s="3" t="str">
        <x:v>ORD-100089</x:v>
      </x:c>
      <x:c r="B394" s="5" t="n">
        <x:v>45417</x:v>
      </x:c>
      <x:c r="C394" s="3" t="str">
        <x:v>CUST-00434</x:v>
      </x:c>
      <x:c r="D394" s="3" t="str">
        <x:v>West</x:v>
      </x:c>
      <x:c r="E394" s="3" t="str">
        <x:v>Electronics</x:v>
      </x:c>
      <x:c r="F394" s="3" t="str">
        <x:v>Laptop</x:v>
      </x:c>
      <x:c r="G394" s="3" t="str">
        <x:v>ThinkPro 14</x:v>
      </x:c>
      <x:c r="H394" s="3" t="n">
        <x:v>2</x:v>
      </x:c>
      <x:c r="I394" s="7" t="n">
        <x:v>52964.67</x:v>
      </x:c>
      <x:c r="J394" s="9" t="n">
        <x:v>0.05</x:v>
      </x:c>
      <x:c r="K394" s="7" t="n">
        <x:v>100632.87</x:v>
      </x:c>
      <x:c r="L394" s="7" t="n">
        <x:v>8785.1</x:v>
      </x:c>
      <x:c r="M394" s="3" t="str">
        <x:v>Credit Card</x:v>
      </x:c>
      <x:c r="N394" s="3"/>
      <x:c r="O394" s="3"/>
      <x:c r="P394" s="3"/>
      <x:c r="Q394" s="3"/>
    </x:row>
    <x:row r="395" ht="21" customHeight="1">
      <x:c r="A395" s="3" t="str">
        <x:v>ORD-100789</x:v>
      </x:c>
      <x:c r="B395" s="5" t="n">
        <x:v>45417</x:v>
      </x:c>
      <x:c r="C395" s="3" t="str">
        <x:v>CUST-00466</x:v>
      </x:c>
      <x:c r="D395" s="3" t="str">
        <x:v>East</x:v>
      </x:c>
      <x:c r="E395" s="3" t="str">
        <x:v>Home &amp; Kitchen</x:v>
      </x:c>
      <x:c r="F395" s="3" t="str">
        <x:v>Decor</x:v>
      </x:c>
      <x:c r="G395" s="3" t="str">
        <x:v>LED Wall Lamp</x:v>
      </x:c>
      <x:c r="H395" s="3" t="n">
        <x:v>4</x:v>
      </x:c>
      <x:c r="I395" s="7" t="n">
        <x:v>968.09</x:v>
      </x:c>
      <x:c r="J395" s="9" t="n">
        <x:v>0</x:v>
      </x:c>
      <x:c r="K395" s="7" t="n">
        <x:v>3872.36</x:v>
      </x:c>
      <x:c r="L395" s="7" t="n">
        <x:v>1302.51</x:v>
      </x:c>
      <x:c r="M395" s="3" t="str">
        <x:v>Debit Card</x:v>
      </x:c>
      <x:c r="N395" s="3"/>
      <x:c r="O395" s="3"/>
      <x:c r="P395" s="3"/>
      <x:c r="Q395" s="3"/>
    </x:row>
    <x:row r="396" ht="21" customHeight="1">
      <x:c r="A396" s="3" t="str">
        <x:v>ORD-100820</x:v>
      </x:c>
      <x:c r="B396" s="5" t="n">
        <x:v>45417</x:v>
      </x:c>
      <x:c r="C396" s="3" t="str">
        <x:v>CUST-00079</x:v>
      </x:c>
      <x:c r="D396" s="3" t="str">
        <x:v>North</x:v>
      </x:c>
      <x:c r="E396" s="3" t="str">
        <x:v>Fashion</x:v>
      </x:c>
      <x:c r="F396" s="3" t="str">
        <x:v>Women</x:v>
      </x:c>
      <x:c r="G396" s="3" t="str">
        <x:v>Floral Summer Dress</x:v>
      </x:c>
      <x:c r="H396" s="3" t="n">
        <x:v>1</x:v>
      </x:c>
      <x:c r="I396" s="7" t="n">
        <x:v>1869.24</x:v>
      </x:c>
      <x:c r="J396" s="9" t="n">
        <x:v>0.1</x:v>
      </x:c>
      <x:c r="K396" s="7" t="n">
        <x:v>1682.32</x:v>
      </x:c>
      <x:c r="L396" s="7" t="n">
        <x:v>580.14</x:v>
      </x:c>
      <x:c r="M396" s="3" t="str">
        <x:v>UPI</x:v>
      </x:c>
      <x:c r="N396" s="3"/>
      <x:c r="O396" s="3"/>
      <x:c r="P396" s="3"/>
      <x:c r="Q396" s="3"/>
    </x:row>
    <x:row r="397" ht="21" customHeight="1">
      <x:c r="A397" s="3" t="str">
        <x:v>ORD-101650</x:v>
      </x:c>
      <x:c r="B397" s="5" t="n">
        <x:v>45417</x:v>
      </x:c>
      <x:c r="C397" s="3" t="str">
        <x:v>CUST-00276</x:v>
      </x:c>
      <x:c r="D397" s="3" t="str">
        <x:v>South</x:v>
      </x:c>
      <x:c r="E397" s="3" t="str">
        <x:v>Beauty</x:v>
      </x:c>
      <x:c r="F397" s="3" t="str">
        <x:v>Makeup</x:v>
      </x:c>
      <x:c r="G397" s="3" t="str">
        <x:v>Matte Lipstick Set</x:v>
      </x:c>
      <x:c r="H397" s="3" t="n">
        <x:v>1</x:v>
      </x:c>
      <x:c r="I397" s="7" t="n">
        <x:v>983.7</x:v>
      </x:c>
      <x:c r="J397" s="9" t="n">
        <x:v>0.1</x:v>
      </x:c>
      <x:c r="K397" s="7" t="n">
        <x:v>885.33</x:v>
      </x:c>
      <x:c r="L397" s="7" t="n">
        <x:v>402.59</x:v>
      </x:c>
      <x:c r="M397" s="3" t="str">
        <x:v>Credit Card</x:v>
      </x:c>
      <x:c r="N397" s="3"/>
      <x:c r="O397" s="3"/>
      <x:c r="P397" s="3"/>
      <x:c r="Q397" s="3"/>
    </x:row>
    <x:row r="398" ht="21" customHeight="1">
      <x:c r="A398" s="3" t="str">
        <x:v>ORD-100682</x:v>
      </x:c>
      <x:c r="B398" s="5" t="n">
        <x:v>45418</x:v>
      </x:c>
      <x:c r="C398" s="3" t="str">
        <x:v>CUST-00314</x:v>
      </x:c>
      <x:c r="D398" s="3" t="str">
        <x:v>West</x:v>
      </x:c>
      <x:c r="E398" s="3" t="str">
        <x:v>Home &amp; Kitchen</x:v>
      </x:c>
      <x:c r="F398" s="3" t="str">
        <x:v>Decor</x:v>
      </x:c>
      <x:c r="G398" s="3" t="str">
        <x:v>LED Wall Lamp</x:v>
      </x:c>
      <x:c r="H398" s="3" t="n">
        <x:v>1</x:v>
      </x:c>
      <x:c r="I398" s="7" t="n">
        <x:v>976.39</x:v>
      </x:c>
      <x:c r="J398" s="9" t="n">
        <x:v>0.15</x:v>
      </x:c>
      <x:c r="K398" s="7" t="n">
        <x:v>829.93</x:v>
      </x:c>
      <x:c r="L398" s="7" t="n">
        <x:v>104.02</x:v>
      </x:c>
      <x:c r="M398" s="3" t="str">
        <x:v>UPI</x:v>
      </x:c>
      <x:c r="N398" s="3"/>
      <x:c r="O398" s="3"/>
      <x:c r="P398" s="3"/>
      <x:c r="Q398" s="3"/>
    </x:row>
    <x:row r="399" ht="21" customHeight="1">
      <x:c r="A399" s="3" t="str">
        <x:v>ORD-100801</x:v>
      </x:c>
      <x:c r="B399" s="5" t="n">
        <x:v>45418</x:v>
      </x:c>
      <x:c r="C399" s="3" t="str">
        <x:v>CUST-00023</x:v>
      </x:c>
      <x:c r="D399" s="3" t="str">
        <x:v>North</x:v>
      </x:c>
      <x:c r="E399" s="3" t="str">
        <x:v>Sports</x:v>
      </x:c>
      <x:c r="F399" s="3" t="str">
        <x:v>Outdoor</x:v>
      </x:c>
      <x:c r="G399" s="3" t="str">
        <x:v>TrailHike Backpack 60L</x:v>
      </x:c>
      <x:c r="H399" s="3" t="n">
        <x:v>4</x:v>
      </x:c>
      <x:c r="I399" s="7" t="n">
        <x:v>3493.3</x:v>
      </x:c>
      <x:c r="J399" s="9" t="n">
        <x:v>0</x:v>
      </x:c>
      <x:c r="K399" s="7" t="n">
        <x:v>13973.2</x:v>
      </x:c>
      <x:c r="L399" s="7" t="n">
        <x:v>4956.62</x:v>
      </x:c>
      <x:c r="M399" s="3" t="str">
        <x:v>Debit Card</x:v>
      </x:c>
      <x:c r="N399" s="3"/>
      <x:c r="O399" s="3"/>
      <x:c r="P399" s="3"/>
      <x:c r="Q399" s="3"/>
    </x:row>
    <x:row r="400" ht="21" customHeight="1">
      <x:c r="A400" s="3" t="str">
        <x:v>ORD-100654</x:v>
      </x:c>
      <x:c r="B400" s="5" t="n">
        <x:v>45419</x:v>
      </x:c>
      <x:c r="C400" s="3" t="str">
        <x:v>CUST-00351</x:v>
      </x:c>
      <x:c r="D400" s="3" t="str">
        <x:v>North</x:v>
      </x:c>
      <x:c r="E400" s="3" t="str">
        <x:v>Fashion</x:v>
      </x:c>
      <x:c r="F400" s="3" t="str">
        <x:v>Women</x:v>
      </x:c>
      <x:c r="G400" s="3" t="str">
        <x:v>Knit Winter Sweater</x:v>
      </x:c>
      <x:c r="H400" s="3" t="n">
        <x:v>1</x:v>
      </x:c>
      <x:c r="I400" s="7" t="n">
        <x:v>2113.06</x:v>
      </x:c>
      <x:c r="J400" s="9" t="n">
        <x:v>0.25</x:v>
      </x:c>
      <x:c r="K400" s="7" t="n">
        <x:v>1584.8</x:v>
      </x:c>
      <x:c r="L400" s="7" t="n">
        <x:v>227.28</x:v>
      </x:c>
      <x:c r="M400" s="3" t="str">
        <x:v>UPI</x:v>
      </x:c>
      <x:c r="N400" s="3"/>
      <x:c r="O400" s="3"/>
      <x:c r="P400" s="3"/>
      <x:c r="Q400" s="3"/>
    </x:row>
    <x:row r="401" ht="21" customHeight="1">
      <x:c r="A401" s="3" t="str">
        <x:v>ORD-100955</x:v>
      </x:c>
      <x:c r="B401" s="5" t="n">
        <x:v>45419</x:v>
      </x:c>
      <x:c r="C401" s="3" t="str">
        <x:v>CUST-00180</x:v>
      </x:c>
      <x:c r="D401" s="3" t="str">
        <x:v>South</x:v>
      </x:c>
      <x:c r="E401" s="3" t="str">
        <x:v>Electronics</x:v>
      </x:c>
      <x:c r="F401" s="3" t="str">
        <x:v>Laptop</x:v>
      </x:c>
      <x:c r="G401" s="3" t="str">
        <x:v>ThinkPro 14</x:v>
      </x:c>
      <x:c r="H401" s="3" t="n">
        <x:v>1</x:v>
      </x:c>
      <x:c r="I401" s="7" t="n">
        <x:v>56318.5</x:v>
      </x:c>
      <x:c r="J401" s="9" t="n">
        <x:v>0.15</x:v>
      </x:c>
      <x:c r="K401" s="7" t="n">
        <x:v>47870.72</x:v>
      </x:c>
      <x:c r="L401" s="7" t="n">
        <x:v>-98.93</x:v>
      </x:c>
      <x:c r="M401" s="3" t="str">
        <x:v>UPI</x:v>
      </x:c>
      <x:c r="N401" s="3"/>
      <x:c r="O401" s="3"/>
      <x:c r="P401" s="3"/>
      <x:c r="Q401" s="3"/>
    </x:row>
    <x:row r="402" ht="21" customHeight="1">
      <x:c r="A402" s="3" t="str">
        <x:v>ORD-101449</x:v>
      </x:c>
      <x:c r="B402" s="5" t="n">
        <x:v>45419</x:v>
      </x:c>
      <x:c r="C402" s="3" t="str">
        <x:v>CUST-00163</x:v>
      </x:c>
      <x:c r="D402" s="3" t="str">
        <x:v>East</x:v>
      </x:c>
      <x:c r="E402" s="3" t="str">
        <x:v>Sports</x:v>
      </x:c>
      <x:c r="F402" s="3" t="str">
        <x:v>Outdoor</x:v>
      </x:c>
      <x:c r="G402" s="3" t="str">
        <x:v>AllWeather Tent 4P</x:v>
      </x:c>
      <x:c r="H402" s="3" t="n">
        <x:v>1</x:v>
      </x:c>
      <x:c r="I402" s="7" t="n">
        <x:v>12205.52</x:v>
      </x:c>
      <x:c r="J402" s="9" t="n">
        <x:v>0.3</x:v>
      </x:c>
      <x:c r="K402" s="7" t="n">
        <x:v>8543.86</x:v>
      </x:c>
      <x:c r="L402" s="7" t="n">
        <x:v>494.27</x:v>
      </x:c>
      <x:c r="M402" s="3" t="str">
        <x:v>UPI</x:v>
      </x:c>
      <x:c r="N402" s="3"/>
      <x:c r="O402" s="3"/>
      <x:c r="P402" s="3"/>
      <x:c r="Q402" s="3"/>
    </x:row>
    <x:row r="403" ht="21" customHeight="1">
      <x:c r="A403" s="3" t="str">
        <x:v>ORD-100642</x:v>
      </x:c>
      <x:c r="B403" s="5" t="n">
        <x:v>45420</x:v>
      </x:c>
      <x:c r="C403" s="3" t="str">
        <x:v>CUST-00563</x:v>
      </x:c>
      <x:c r="D403" s="3" t="str">
        <x:v>North</x:v>
      </x:c>
      <x:c r="E403" s="3" t="str">
        <x:v>Beauty</x:v>
      </x:c>
      <x:c r="F403" s="3" t="str">
        <x:v>Makeup</x:v>
      </x:c>
      <x:c r="G403" s="3" t="str">
        <x:v>Matte Lipstick Set</x:v>
      </x:c>
      <x:c r="H403" s="3" t="n">
        <x:v>1</x:v>
      </x:c>
      <x:c r="I403" s="7" t="n">
        <x:v>1035.95</x:v>
      </x:c>
      <x:c r="J403" s="9" t="n">
        <x:v>0</x:v>
      </x:c>
      <x:c r="K403" s="7" t="n">
        <x:v>1035.95</x:v>
      </x:c>
      <x:c r="L403" s="7" t="n">
        <x:v>534.13</x:v>
      </x:c>
      <x:c r="M403" s="3" t="str">
        <x:v>Credit Card</x:v>
      </x:c>
      <x:c r="N403" s="3"/>
      <x:c r="O403" s="3"/>
      <x:c r="P403" s="3"/>
      <x:c r="Q403" s="3"/>
    </x:row>
    <x:row r="404" ht="21" customHeight="1">
      <x:c r="A404" s="3" t="str">
        <x:v>ORD-100746</x:v>
      </x:c>
      <x:c r="B404" s="5" t="n">
        <x:v>45420</x:v>
      </x:c>
      <x:c r="C404" s="3" t="str">
        <x:v>CUST-00593</x:v>
      </x:c>
      <x:c r="D404" s="3" t="str">
        <x:v>North</x:v>
      </x:c>
      <x:c r="E404" s="3" t="str">
        <x:v>Fashion</x:v>
      </x:c>
      <x:c r="F404" s="3" t="str">
        <x:v>Women</x:v>
      </x:c>
      <x:c r="G404" s="3" t="str">
        <x:v>Knit Winter Sweater</x:v>
      </x:c>
      <x:c r="H404" s="3" t="n">
        <x:v>1</x:v>
      </x:c>
      <x:c r="I404" s="7" t="n">
        <x:v>2178.41</x:v>
      </x:c>
      <x:c r="J404" s="9" t="n">
        <x:v>0.3</x:v>
      </x:c>
      <x:c r="K404" s="7" t="n">
        <x:v>1524.89</x:v>
      </x:c>
      <x:c r="L404" s="7" t="n">
        <x:v>116.89</x:v>
      </x:c>
      <x:c r="M404" s="3" t="str">
        <x:v>Credit Card</x:v>
      </x:c>
      <x:c r="N404" s="3"/>
      <x:c r="O404" s="3"/>
      <x:c r="P404" s="3"/>
      <x:c r="Q404" s="3"/>
    </x:row>
    <x:row r="405" ht="21" customHeight="1">
      <x:c r="A405" s="3" t="str">
        <x:v>ORD-101461</x:v>
      </x:c>
      <x:c r="B405" s="5" t="n">
        <x:v>45420</x:v>
      </x:c>
      <x:c r="C405" s="3" t="str">
        <x:v>CUST-00011</x:v>
      </x:c>
      <x:c r="D405" s="3" t="str">
        <x:v>West</x:v>
      </x:c>
      <x:c r="E405" s="3" t="str">
        <x:v>Beauty</x:v>
      </x:c>
      <x:c r="F405" s="3" t="str">
        <x:v>Makeup</x:v>
      </x:c>
      <x:c r="G405" s="3" t="str">
        <x:v>Matte Lipstick Set</x:v>
      </x:c>
      <x:c r="H405" s="3" t="n">
        <x:v>1</x:v>
      </x:c>
      <x:c r="I405" s="7" t="n">
        <x:v>990.29</x:v>
      </x:c>
      <x:c r="J405" s="9" t="n">
        <x:v>0.15</x:v>
      </x:c>
      <x:c r="K405" s="7" t="n">
        <x:v>841.75</x:v>
      </x:c>
      <x:c r="L405" s="7" t="n">
        <x:v>306.76</x:v>
      </x:c>
      <x:c r="M405" s="3" t="str">
        <x:v>UPI</x:v>
      </x:c>
      <x:c r="N405" s="3"/>
      <x:c r="O405" s="3"/>
      <x:c r="P405" s="3"/>
      <x:c r="Q405" s="3"/>
    </x:row>
    <x:row r="406" ht="21" customHeight="1">
      <x:c r="A406" s="3" t="str">
        <x:v>ORD-100051</x:v>
      </x:c>
      <x:c r="B406" s="5" t="n">
        <x:v>45421</x:v>
      </x:c>
      <x:c r="C406" s="3" t="str">
        <x:v>CUST-00056</x:v>
      </x:c>
      <x:c r="D406" s="3" t="str">
        <x:v>South</x:v>
      </x:c>
      <x:c r="E406" s="3" t="str">
        <x:v>Home &amp; Kitchen</x:v>
      </x:c>
      <x:c r="F406" s="3" t="str">
        <x:v>Appliances</x:v>
      </x:c>
      <x:c r="G406" s="3" t="str">
        <x:v>ColdBrew Coffee Maker</x:v>
      </x:c>
      <x:c r="H406" s="3" t="n">
        <x:v>5</x:v>
      </x:c>
      <x:c r="I406" s="7" t="n">
        <x:v>6366.58</x:v>
      </x:c>
      <x:c r="J406" s="9" t="n">
        <x:v>0.2</x:v>
      </x:c>
      <x:c r="K406" s="7" t="n">
        <x:v>25466.32</x:v>
      </x:c>
      <x:c r="L406" s="7" t="n">
        <x:v>2263.2</x:v>
      </x:c>
      <x:c r="M406" s="3" t="str">
        <x:v>Debit Card</x:v>
      </x:c>
      <x:c r="N406" s="3"/>
      <x:c r="O406" s="3"/>
      <x:c r="P406" s="3"/>
      <x:c r="Q406" s="3"/>
    </x:row>
    <x:row r="407" ht="21" customHeight="1">
      <x:c r="A407" s="3" t="str">
        <x:v>ORD-100760</x:v>
      </x:c>
      <x:c r="B407" s="5" t="n">
        <x:v>45421</x:v>
      </x:c>
      <x:c r="C407" s="3" t="str">
        <x:v>CUST-00494</x:v>
      </x:c>
      <x:c r="D407" s="3" t="str">
        <x:v>North</x:v>
      </x:c>
      <x:c r="E407" s="3" t="str">
        <x:v>Electronics</x:v>
      </x:c>
      <x:c r="F407" s="3" t="str">
        <x:v>Audio</x:v>
      </x:c>
      <x:c r="G407" s="3" t="str">
        <x:v>SoundPods Pro</x:v>
      </x:c>
      <x:c r="H407" s="3" t="n">
        <x:v>1</x:v>
      </x:c>
      <x:c r="I407" s="7" t="n">
        <x:v>5198.25</x:v>
      </x:c>
      <x:c r="J407" s="9" t="n">
        <x:v>0.05</x:v>
      </x:c>
      <x:c r="K407" s="7" t="n">
        <x:v>4938.34</x:v>
      </x:c>
      <x:c r="L407" s="7" t="n">
        <x:v>419.07</x:v>
      </x:c>
      <x:c r="M407" s="3" t="str">
        <x:v>UPI</x:v>
      </x:c>
      <x:c r="N407" s="3"/>
      <x:c r="O407" s="3"/>
      <x:c r="P407" s="3"/>
      <x:c r="Q407" s="3"/>
    </x:row>
    <x:row r="408" ht="21" customHeight="1">
      <x:c r="A408" s="3" t="str">
        <x:v>ORD-100969</x:v>
      </x:c>
      <x:c r="B408" s="5" t="n">
        <x:v>45421</x:v>
      </x:c>
      <x:c r="C408" s="3" t="str">
        <x:v>CUST-00469</x:v>
      </x:c>
      <x:c r="D408" s="3" t="str">
        <x:v>South</x:v>
      </x:c>
      <x:c r="E408" s="3" t="str">
        <x:v>Beauty</x:v>
      </x:c>
      <x:c r="F408" s="3" t="str">
        <x:v>Makeup</x:v>
      </x:c>
      <x:c r="G408" s="3" t="str">
        <x:v>Matte Lipstick Set</x:v>
      </x:c>
      <x:c r="H408" s="3" t="n">
        <x:v>2</x:v>
      </x:c>
      <x:c r="I408" s="7" t="n">
        <x:v>1000.91</x:v>
      </x:c>
      <x:c r="J408" s="9" t="n">
        <x:v>0.05</x:v>
      </x:c>
      <x:c r="K408" s="7" t="n">
        <x:v>1901.73</x:v>
      </x:c>
      <x:c r="L408" s="7" t="n">
        <x:v>870.14</x:v>
      </x:c>
      <x:c r="M408" s="3" t="str">
        <x:v>Credit Card</x:v>
      </x:c>
      <x:c r="N408" s="3"/>
      <x:c r="O408" s="3"/>
      <x:c r="P408" s="3"/>
      <x:c r="Q408" s="3"/>
    </x:row>
    <x:row r="409" ht="21" customHeight="1">
      <x:c r="A409" s="3" t="str">
        <x:v>ORD-101362</x:v>
      </x:c>
      <x:c r="B409" s="5" t="n">
        <x:v>45421</x:v>
      </x:c>
      <x:c r="C409" s="3" t="str">
        <x:v>CUST-00090</x:v>
      </x:c>
      <x:c r="D409" s="3" t="str">
        <x:v>North</x:v>
      </x:c>
      <x:c r="E409" s="3" t="str">
        <x:v>Beauty</x:v>
      </x:c>
      <x:c r="F409" s="3" t="str">
        <x:v>Makeup</x:v>
      </x:c>
      <x:c r="G409" s="3" t="str">
        <x:v>Matte Lipstick Set</x:v>
      </x:c>
      <x:c r="H409" s="3" t="n">
        <x:v>1</x:v>
      </x:c>
      <x:c r="I409" s="7" t="n">
        <x:v>1005.93</x:v>
      </x:c>
      <x:c r="J409" s="9" t="n">
        <x:v>0.2</x:v>
      </x:c>
      <x:c r="K409" s="7" t="n">
        <x:v>804.74</x:v>
      </x:c>
      <x:c r="L409" s="7" t="n">
        <x:v>283.06</x:v>
      </x:c>
      <x:c r="M409" s="3" t="str">
        <x:v>Credit Card</x:v>
      </x:c>
      <x:c r="N409" s="3"/>
      <x:c r="O409" s="3"/>
      <x:c r="P409" s="3"/>
      <x:c r="Q409" s="3"/>
    </x:row>
    <x:row r="410" ht="21" customHeight="1">
      <x:c r="A410" s="3" t="str">
        <x:v>ORD-101398</x:v>
      </x:c>
      <x:c r="B410" s="5" t="n">
        <x:v>45421</x:v>
      </x:c>
      <x:c r="C410" s="3" t="str">
        <x:v>CUST-00456</x:v>
      </x:c>
      <x:c r="D410" s="3" t="str">
        <x:v>West</x:v>
      </x:c>
      <x:c r="E410" s="3" t="str">
        <x:v>Electronics</x:v>
      </x:c>
      <x:c r="F410" s="3" t="str">
        <x:v>Audio</x:v>
      </x:c>
      <x:c r="G410" s="3" t="str">
        <x:v>SoundPods Pro</x:v>
      </x:c>
      <x:c r="H410" s="3" t="n">
        <x:v>1</x:v>
      </x:c>
      <x:c r="I410" s="7" t="n">
        <x:v>4842.3</x:v>
      </x:c>
      <x:c r="J410" s="9" t="n">
        <x:v>0.05</x:v>
      </x:c>
      <x:c r="K410" s="7" t="n">
        <x:v>4600.19</x:v>
      </x:c>
      <x:c r="L410" s="7" t="n">
        <x:v>473.67</x:v>
      </x:c>
      <x:c r="M410" s="3" t="str">
        <x:v>Net Banking</x:v>
      </x:c>
      <x:c r="N410" s="3"/>
      <x:c r="O410" s="3"/>
      <x:c r="P410" s="3"/>
      <x:c r="Q410" s="3"/>
    </x:row>
    <x:row r="411" ht="21" customHeight="1">
      <x:c r="A411" s="3" t="str">
        <x:v>ORD-100593</x:v>
      </x:c>
      <x:c r="B411" s="5" t="n">
        <x:v>45422</x:v>
      </x:c>
      <x:c r="C411" s="3" t="str">
        <x:v>CUST-00584</x:v>
      </x:c>
      <x:c r="D411" s="3" t="str">
        <x:v>South</x:v>
      </x:c>
      <x:c r="E411" s="3" t="str">
        <x:v>Beauty</x:v>
      </x:c>
      <x:c r="F411" s="3" t="str">
        <x:v>Makeup</x:v>
      </x:c>
      <x:c r="G411" s="3" t="str">
        <x:v>Matte Lipstick Set</x:v>
      </x:c>
      <x:c r="H411" s="3" t="n">
        <x:v>2</x:v>
      </x:c>
      <x:c r="I411" s="7" t="n">
        <x:v>1005.56</x:v>
      </x:c>
      <x:c r="J411" s="9" t="n">
        <x:v>0.1</x:v>
      </x:c>
      <x:c r="K411" s="7" t="n">
        <x:v>1810.01</x:v>
      </x:c>
      <x:c r="L411" s="7" t="n">
        <x:v>813.76</x:v>
      </x:c>
      <x:c r="M411" s="3" t="str">
        <x:v>UPI</x:v>
      </x:c>
      <x:c r="N411" s="3"/>
      <x:c r="O411" s="3"/>
      <x:c r="P411" s="3"/>
      <x:c r="Q411" s="3"/>
    </x:row>
    <x:row r="412" ht="21" customHeight="1">
      <x:c r="A412" s="3" t="str">
        <x:v>ORD-100602</x:v>
      </x:c>
      <x:c r="B412" s="5" t="n">
        <x:v>45422</x:v>
      </x:c>
      <x:c r="C412" s="3" t="str">
        <x:v>CUST-00447</x:v>
      </x:c>
      <x:c r="D412" s="3" t="str">
        <x:v>North</x:v>
      </x:c>
      <x:c r="E412" s="3" t="str">
        <x:v>Beauty</x:v>
      </x:c>
      <x:c r="F412" s="3" t="str">
        <x:v>Skincare</x:v>
      </x:c>
      <x:c r="G412" s="3" t="str">
        <x:v>HydraBoost Moisturizer</x:v>
      </x:c>
      <x:c r="H412" s="3" t="n">
        <x:v>1</x:v>
      </x:c>
      <x:c r="I412" s="7" t="n">
        <x:v>1213.49</x:v>
      </x:c>
      <x:c r="J412" s="9" t="n">
        <x:v>0.05</x:v>
      </x:c>
      <x:c r="K412" s="7" t="n">
        <x:v>1152.82</x:v>
      </x:c>
      <x:c r="L412" s="7" t="n">
        <x:v>538.8</x:v>
      </x:c>
      <x:c r="M412" s="3" t="str">
        <x:v>UPI</x:v>
      </x:c>
      <x:c r="N412" s="3"/>
      <x:c r="O412" s="3"/>
      <x:c r="P412" s="3"/>
      <x:c r="Q412" s="3"/>
    </x:row>
    <x:row r="413" ht="21" customHeight="1">
      <x:c r="A413" s="3" t="str">
        <x:v>ORD-100705</x:v>
      </x:c>
      <x:c r="B413" s="5" t="n">
        <x:v>45422</x:v>
      </x:c>
      <x:c r="C413" s="3" t="str">
        <x:v>CUST-00564</x:v>
      </x:c>
      <x:c r="D413" s="3" t="str">
        <x:v>South</x:v>
      </x:c>
      <x:c r="E413" s="3" t="str">
        <x:v>Electronics</x:v>
      </x:c>
      <x:c r="F413" s="3" t="str">
        <x:v>Mobile</x:v>
      </x:c>
      <x:c r="G413" s="3" t="str">
        <x:v>iPhone Zeta</x:v>
      </x:c>
      <x:c r="H413" s="3" t="n">
        <x:v>2</x:v>
      </x:c>
      <x:c r="I413" s="7" t="n">
        <x:v>69818.39</x:v>
      </x:c>
      <x:c r="J413" s="9" t="n">
        <x:v>0.05</x:v>
      </x:c>
      <x:c r="K413" s="7" t="n">
        <x:v>132654.94</x:v>
      </x:c>
      <x:c r="L413" s="7" t="n">
        <x:v>19019.94</x:v>
      </x:c>
      <x:c r="M413" s="3" t="str">
        <x:v>UPI</x:v>
      </x:c>
      <x:c r="N413" s="3"/>
      <x:c r="O413" s="3"/>
      <x:c r="P413" s="3"/>
      <x:c r="Q413" s="3"/>
    </x:row>
    <x:row r="414" ht="21" customHeight="1">
      <x:c r="A414" s="3" t="str">
        <x:v>ORD-101097</x:v>
      </x:c>
      <x:c r="B414" s="5" t="n">
        <x:v>45422</x:v>
      </x:c>
      <x:c r="C414" s="3" t="str">
        <x:v>CUST-00522</x:v>
      </x:c>
      <x:c r="D414" s="3" t="str">
        <x:v>West</x:v>
      </x:c>
      <x:c r="E414" s="3" t="str">
        <x:v>Sports</x:v>
      </x:c>
      <x:c r="F414" s="3" t="str">
        <x:v>Fitness</x:v>
      </x:c>
      <x:c r="G414" s="3" t="str">
        <x:v>ProYoga Mat</x:v>
      </x:c>
      <x:c r="H414" s="3" t="n">
        <x:v>2</x:v>
      </x:c>
      <x:c r="I414" s="7" t="n">
        <x:v>1284.81</x:v>
      </x:c>
      <x:c r="J414" s="9" t="n">
        <x:v>0.25</x:v>
      </x:c>
      <x:c r="K414" s="7" t="n">
        <x:v>1927.21</x:v>
      </x:c>
      <x:c r="L414" s="7" t="n">
        <x:v>194.68</x:v>
      </x:c>
      <x:c r="M414" s="3" t="str">
        <x:v>Debit Card</x:v>
      </x:c>
      <x:c r="N414" s="3"/>
      <x:c r="O414" s="3"/>
      <x:c r="P414" s="3"/>
      <x:c r="Q414" s="3"/>
    </x:row>
    <x:row r="415" ht="21" customHeight="1">
      <x:c r="A415" s="3" t="str">
        <x:v>ORD-101338</x:v>
      </x:c>
      <x:c r="B415" s="5" t="n">
        <x:v>45422</x:v>
      </x:c>
      <x:c r="C415" s="3" t="str">
        <x:v>CUST-00082</x:v>
      </x:c>
      <x:c r="D415" s="3" t="str">
        <x:v>South</x:v>
      </x:c>
      <x:c r="E415" s="3" t="str">
        <x:v>Sports</x:v>
      </x:c>
      <x:c r="F415" s="3" t="str">
        <x:v>Fitness</x:v>
      </x:c>
      <x:c r="G415" s="3" t="str">
        <x:v>ProYoga Mat</x:v>
      </x:c>
      <x:c r="H415" s="3" t="n">
        <x:v>2</x:v>
      </x:c>
      <x:c r="I415" s="7" t="n">
        <x:v>1236</x:v>
      </x:c>
      <x:c r="J415" s="9" t="n">
        <x:v>0.3</x:v>
      </x:c>
      <x:c r="K415" s="7" t="n">
        <x:v>1730.4</x:v>
      </x:c>
      <x:c r="L415" s="7" t="n">
        <x:v>57.05</x:v>
      </x:c>
      <x:c r="M415" s="3" t="str">
        <x:v>UPI</x:v>
      </x:c>
      <x:c r="N415" s="3"/>
      <x:c r="O415" s="3"/>
      <x:c r="P415" s="3"/>
      <x:c r="Q415" s="3"/>
    </x:row>
    <x:row r="416" ht="21" customHeight="1">
      <x:c r="A416" s="3" t="str">
        <x:v>ORD-100291</x:v>
      </x:c>
      <x:c r="B416" s="5" t="n">
        <x:v>45423</x:v>
      </x:c>
      <x:c r="C416" s="3" t="str">
        <x:v>CUST-00330</x:v>
      </x:c>
      <x:c r="D416" s="3" t="str">
        <x:v>East</x:v>
      </x:c>
      <x:c r="E416" s="3" t="str">
        <x:v>Electronics</x:v>
      </x:c>
      <x:c r="F416" s="3" t="str">
        <x:v>Audio</x:v>
      </x:c>
      <x:c r="G416" s="3" t="str">
        <x:v>SoundPods Pro</x:v>
      </x:c>
      <x:c r="H416" s="3" t="n">
        <x:v>2</x:v>
      </x:c>
      <x:c r="I416" s="7" t="n">
        <x:v>5041.55</x:v>
      </x:c>
      <x:c r="J416" s="9" t="n">
        <x:v>0.05</x:v>
      </x:c>
      <x:c r="K416" s="7" t="n">
        <x:v>9578.94</x:v>
      </x:c>
      <x:c r="L416" s="7" t="n">
        <x:v>1498.62</x:v>
      </x:c>
      <x:c r="M416" s="3" t="str">
        <x:v>Net Banking</x:v>
      </x:c>
      <x:c r="N416" s="3"/>
      <x:c r="O416" s="3"/>
      <x:c r="P416" s="3"/>
      <x:c r="Q416" s="3"/>
    </x:row>
    <x:row r="417" ht="21" customHeight="1">
      <x:c r="A417" s="3" t="str">
        <x:v>ORD-100619</x:v>
      </x:c>
      <x:c r="B417" s="5" t="n">
        <x:v>45423</x:v>
      </x:c>
      <x:c r="C417" s="3" t="str">
        <x:v>CUST-00010</x:v>
      </x:c>
      <x:c r="D417" s="3" t="str">
        <x:v>South</x:v>
      </x:c>
      <x:c r="E417" s="3" t="str">
        <x:v>Home &amp; Kitchen</x:v>
      </x:c>
      <x:c r="F417" s="3" t="str">
        <x:v>Furniture</x:v>
      </x:c>
      <x:c r="G417" s="3" t="str">
        <x:v>ErgoComfort Chair</x:v>
      </x:c>
      <x:c r="H417" s="3" t="n">
        <x:v>3</x:v>
      </x:c>
      <x:c r="I417" s="7" t="n">
        <x:v>8737.66</x:v>
      </x:c>
      <x:c r="J417" s="9" t="n">
        <x:v>0.1</x:v>
      </x:c>
      <x:c r="K417" s="7" t="n">
        <x:v>23591.68</x:v>
      </x:c>
      <x:c r="L417" s="7" t="n">
        <x:v>4977.79</x:v>
      </x:c>
      <x:c r="M417" s="3" t="str">
        <x:v>UPI</x:v>
      </x:c>
      <x:c r="N417" s="3"/>
      <x:c r="O417" s="3"/>
      <x:c r="P417" s="3"/>
      <x:c r="Q417" s="3"/>
    </x:row>
    <x:row r="418" ht="21" customHeight="1">
      <x:c r="A418" s="3" t="str">
        <x:v>ORD-101051</x:v>
      </x:c>
      <x:c r="B418" s="5" t="n">
        <x:v>45423</x:v>
      </x:c>
      <x:c r="C418" s="3" t="str">
        <x:v>CUST-00485</x:v>
      </x:c>
      <x:c r="D418" s="3" t="str">
        <x:v>South</x:v>
      </x:c>
      <x:c r="E418" s="3" t="str">
        <x:v>Home &amp; Kitchen</x:v>
      </x:c>
      <x:c r="F418" s="3" t="str">
        <x:v>Appliances</x:v>
      </x:c>
      <x:c r="G418" s="3" t="str">
        <x:v>ColdBrew Coffee Maker</x:v>
      </x:c>
      <x:c r="H418" s="3" t="n">
        <x:v>2</x:v>
      </x:c>
      <x:c r="I418" s="7" t="n">
        <x:v>6518.26</x:v>
      </x:c>
      <x:c r="J418" s="9" t="n">
        <x:v>0.1</x:v>
      </x:c>
      <x:c r="K418" s="7" t="n">
        <x:v>11732.87</x:v>
      </x:c>
      <x:c r="L418" s="7" t="n">
        <x:v>2373.42</x:v>
      </x:c>
      <x:c r="M418" s="3" t="str">
        <x:v>Credit Card</x:v>
      </x:c>
      <x:c r="N418" s="3"/>
      <x:c r="O418" s="3"/>
      <x:c r="P418" s="3"/>
      <x:c r="Q418" s="3"/>
    </x:row>
    <x:row r="419" ht="21" customHeight="1">
      <x:c r="A419" s="3" t="str">
        <x:v>ORD-101811</x:v>
      </x:c>
      <x:c r="B419" s="5" t="n">
        <x:v>45423</x:v>
      </x:c>
      <x:c r="C419" s="3" t="str">
        <x:v>CUST-00226</x:v>
      </x:c>
      <x:c r="D419" s="3" t="str">
        <x:v>West</x:v>
      </x:c>
      <x:c r="E419" s="3" t="str">
        <x:v>Electronics</x:v>
      </x:c>
      <x:c r="F419" s="3" t="str">
        <x:v>Mobile</x:v>
      </x:c>
      <x:c r="G419" s="3" t="str">
        <x:v>Pixel Aura 12</x:v>
      </x:c>
      <x:c r="H419" s="3" t="n">
        <x:v>2</x:v>
      </x:c>
      <x:c r="I419" s="7" t="n">
        <x:v>32266.04</x:v>
      </x:c>
      <x:c r="J419" s="9" t="n">
        <x:v>0.25</x:v>
      </x:c>
      <x:c r="K419" s="7" t="n">
        <x:v>48399.06</x:v>
      </x:c>
      <x:c r="L419" s="7" t="n">
        <x:v>-3997.54</x:v>
      </x:c>
      <x:c r="M419" s="3" t="str">
        <x:v>UPI</x:v>
      </x:c>
      <x:c r="N419" s="3"/>
      <x:c r="O419" s="3"/>
      <x:c r="P419" s="3"/>
      <x:c r="Q419" s="3"/>
    </x:row>
    <x:row r="420" ht="21" customHeight="1">
      <x:c r="A420" s="3" t="str">
        <x:v>ORD-101932</x:v>
      </x:c>
      <x:c r="B420" s="5" t="n">
        <x:v>45423</x:v>
      </x:c>
      <x:c r="C420" s="3" t="str">
        <x:v>CUST-00041</x:v>
      </x:c>
      <x:c r="D420" s="3" t="str">
        <x:v>North</x:v>
      </x:c>
      <x:c r="E420" s="3" t="str">
        <x:v>Beauty</x:v>
      </x:c>
      <x:c r="F420" s="3" t="str">
        <x:v>Skincare</x:v>
      </x:c>
      <x:c r="G420" s="3" t="str">
        <x:v>HydraBoost Moisturizer</x:v>
      </x:c>
      <x:c r="H420" s="3" t="n">
        <x:v>1</x:v>
      </x:c>
      <x:c r="I420" s="7" t="n">
        <x:v>1241.96</x:v>
      </x:c>
      <x:c r="J420" s="9" t="n">
        <x:v>0.05</x:v>
      </x:c>
      <x:c r="K420" s="7" t="n">
        <x:v>1179.86</x:v>
      </x:c>
      <x:c r="L420" s="7" t="n">
        <x:v>589.79</x:v>
      </x:c>
      <x:c r="M420" s="3" t="str">
        <x:v>Debit Card</x:v>
      </x:c>
      <x:c r="N420" s="3"/>
      <x:c r="O420" s="3"/>
      <x:c r="P420" s="3"/>
      <x:c r="Q420" s="3"/>
    </x:row>
    <x:row r="421" ht="21" customHeight="1">
      <x:c r="A421" s="3" t="str">
        <x:v>ORD-100129</x:v>
      </x:c>
      <x:c r="B421" s="5" t="n">
        <x:v>45424</x:v>
      </x:c>
      <x:c r="C421" s="3" t="str">
        <x:v>CUST-00057</x:v>
      </x:c>
      <x:c r="D421" s="3" t="str">
        <x:v>South</x:v>
      </x:c>
      <x:c r="E421" s="3" t="str">
        <x:v>Beauty</x:v>
      </x:c>
      <x:c r="F421" s="3" t="str">
        <x:v>Skincare</x:v>
      </x:c>
      <x:c r="G421" s="3" t="str">
        <x:v>Vitamin C Serum</x:v>
      </x:c>
      <x:c r="H421" s="3" t="n">
        <x:v>5</x:v>
      </x:c>
      <x:c r="I421" s="7" t="n">
        <x:v>894.5</x:v>
      </x:c>
      <x:c r="J421" s="9" t="n">
        <x:v>0.1</x:v>
      </x:c>
      <x:c r="K421" s="7" t="n">
        <x:v>4025.25</x:v>
      </x:c>
      <x:c r="L421" s="7" t="n">
        <x:v>1808.98</x:v>
      </x:c>
      <x:c r="M421" s="3" t="str">
        <x:v>Net Banking</x:v>
      </x:c>
      <x:c r="N421" s="3"/>
      <x:c r="O421" s="3"/>
      <x:c r="P421" s="3"/>
      <x:c r="Q421" s="3"/>
    </x:row>
    <x:row r="422" ht="21" customHeight="1">
      <x:c r="A422" s="3" t="str">
        <x:v>ORD-100227</x:v>
      </x:c>
      <x:c r="B422" s="5" t="n">
        <x:v>45425</x:v>
      </x:c>
      <x:c r="C422" s="3" t="str">
        <x:v>CUST-00268</x:v>
      </x:c>
      <x:c r="D422" s="3" t="str">
        <x:v>North</x:v>
      </x:c>
      <x:c r="E422" s="3" t="str">
        <x:v>Sports</x:v>
      </x:c>
      <x:c r="F422" s="3" t="str">
        <x:v>Fitness</x:v>
      </x:c>
      <x:c r="G422" s="3" t="str">
        <x:v>ProYoga Mat</x:v>
      </x:c>
      <x:c r="H422" s="3" t="n">
        <x:v>1</x:v>
      </x:c>
      <x:c r="I422" s="7" t="n">
        <x:v>1285.28</x:v>
      </x:c>
      <x:c r="J422" s="9" t="n">
        <x:v>0.1</x:v>
      </x:c>
      <x:c r="K422" s="7" t="n">
        <x:v>1156.75</x:v>
      </x:c>
      <x:c r="L422" s="7" t="n">
        <x:v>315.04</x:v>
      </x:c>
      <x:c r="M422" s="3" t="str">
        <x:v>Credit Card</x:v>
      </x:c>
      <x:c r="N422" s="3"/>
      <x:c r="O422" s="3"/>
      <x:c r="P422" s="3"/>
      <x:c r="Q422" s="3"/>
    </x:row>
    <x:row r="423" ht="21" customHeight="1">
      <x:c r="A423" s="3" t="str">
        <x:v>ORD-100239</x:v>
      </x:c>
      <x:c r="B423" s="5" t="n">
        <x:v>45425</x:v>
      </x:c>
      <x:c r="C423" s="3" t="str">
        <x:v>CUST-00182</x:v>
      </x:c>
      <x:c r="D423" s="3" t="str">
        <x:v>South</x:v>
      </x:c>
      <x:c r="E423" s="3" t="str">
        <x:v>Sports</x:v>
      </x:c>
      <x:c r="F423" s="3" t="str">
        <x:v>Fitness</x:v>
      </x:c>
      <x:c r="G423" s="3" t="str">
        <x:v>ProYoga Mat</x:v>
      </x:c>
      <x:c r="H423" s="3" t="n">
        <x:v>1</x:v>
      </x:c>
      <x:c r="I423" s="7" t="n">
        <x:v>1236.64</x:v>
      </x:c>
      <x:c r="J423" s="9" t="n">
        <x:v>0.1</x:v>
      </x:c>
      <x:c r="K423" s="7" t="n">
        <x:v>1112.98</x:v>
      </x:c>
      <x:c r="L423" s="7" t="n">
        <x:v>292.98</x:v>
      </x:c>
      <x:c r="M423" s="3" t="str">
        <x:v>Credit Card</x:v>
      </x:c>
      <x:c r="N423" s="3"/>
      <x:c r="O423" s="3"/>
      <x:c r="P423" s="3"/>
      <x:c r="Q423" s="3"/>
    </x:row>
    <x:row r="424" ht="21" customHeight="1">
      <x:c r="A424" s="3" t="str">
        <x:v>ORD-100282</x:v>
      </x:c>
      <x:c r="B424" s="5" t="n">
        <x:v>45425</x:v>
      </x:c>
      <x:c r="C424" s="3" t="str">
        <x:v>CUST-00500</x:v>
      </x:c>
      <x:c r="D424" s="3" t="str">
        <x:v>East</x:v>
      </x:c>
      <x:c r="E424" s="3" t="str">
        <x:v>Fashion</x:v>
      </x:c>
      <x:c r="F424" s="3" t="str">
        <x:v>Men</x:v>
      </x:c>
      <x:c r="G424" s="3" t="str">
        <x:v>Oxford Casual Shirt</x:v>
      </x:c>
      <x:c r="H424" s="3" t="n">
        <x:v>4</x:v>
      </x:c>
      <x:c r="I424" s="7" t="n">
        <x:v>1307.96</x:v>
      </x:c>
      <x:c r="J424" s="9" t="n">
        <x:v>0.05</x:v>
      </x:c>
      <x:c r="K424" s="7" t="n">
        <x:v>4970.25</x:v>
      </x:c>
      <x:c r="L424" s="7" t="n">
        <x:v>1777.13</x:v>
      </x:c>
      <x:c r="M424" s="3" t="str">
        <x:v>Debit Card</x:v>
      </x:c>
      <x:c r="N424" s="3"/>
      <x:c r="O424" s="3"/>
      <x:c r="P424" s="3"/>
      <x:c r="Q424" s="3"/>
    </x:row>
    <x:row r="425" ht="21" customHeight="1">
      <x:c r="A425" s="3" t="str">
        <x:v>ORD-101293</x:v>
      </x:c>
      <x:c r="B425" s="5" t="n">
        <x:v>45425</x:v>
      </x:c>
      <x:c r="C425" s="3" t="str">
        <x:v>CUST-00028</x:v>
      </x:c>
      <x:c r="D425" s="3" t="str">
        <x:v>South</x:v>
      </x:c>
      <x:c r="E425" s="3" t="str">
        <x:v>Electronics</x:v>
      </x:c>
      <x:c r="F425" s="3" t="str">
        <x:v>Mobile</x:v>
      </x:c>
      <x:c r="G425" s="3" t="str">
        <x:v>Pixel Aura 12</x:v>
      </x:c>
      <x:c r="H425" s="3" t="n">
        <x:v>1</x:v>
      </x:c>
      <x:c r="I425" s="7" t="n">
        <x:v>33162.99</x:v>
      </x:c>
      <x:c r="J425" s="9" t="n">
        <x:v>0.25</x:v>
      </x:c>
      <x:c r="K425" s="7" t="n">
        <x:v>24872.24</x:v>
      </x:c>
      <x:c r="L425" s="7" t="n">
        <x:v>-2594.89</x:v>
      </x:c>
      <x:c r="M425" s="3" t="str">
        <x:v>Debit Card</x:v>
      </x:c>
      <x:c r="N425" s="3"/>
      <x:c r="O425" s="3"/>
      <x:c r="P425" s="3"/>
      <x:c r="Q425" s="3"/>
    </x:row>
    <x:row r="426" ht="21" customHeight="1">
      <x:c r="A426" s="3" t="str">
        <x:v>ORD-101407</x:v>
      </x:c>
      <x:c r="B426" s="5" t="n">
        <x:v>45425</x:v>
      </x:c>
      <x:c r="C426" s="3" t="str">
        <x:v>CUST-00428</x:v>
      </x:c>
      <x:c r="D426" s="3" t="str">
        <x:v>North</x:v>
      </x:c>
      <x:c r="E426" s="3" t="str">
        <x:v>Fashion</x:v>
      </x:c>
      <x:c r="F426" s="3" t="str">
        <x:v>Footwear</x:v>
      </x:c>
      <x:c r="G426" s="3" t="str">
        <x:v>UrbanLoafers</x:v>
      </x:c>
      <x:c r="H426" s="3" t="n">
        <x:v>1</x:v>
      </x:c>
      <x:c r="I426" s="7" t="n">
        <x:v>3368.55</x:v>
      </x:c>
      <x:c r="J426" s="9" t="n">
        <x:v>0.2</x:v>
      </x:c>
      <x:c r="K426" s="7" t="n">
        <x:v>2694.84</x:v>
      </x:c>
      <x:c r="L426" s="7" t="n">
        <x:v>593.04</x:v>
      </x:c>
      <x:c r="M426" s="3" t="str">
        <x:v>Debit Card</x:v>
      </x:c>
      <x:c r="N426" s="3"/>
      <x:c r="O426" s="3"/>
      <x:c r="P426" s="3"/>
      <x:c r="Q426" s="3"/>
    </x:row>
    <x:row r="427" ht="21" customHeight="1">
      <x:c r="A427" s="3" t="str">
        <x:v>ORD-101600</x:v>
      </x:c>
      <x:c r="B427" s="5" t="n">
        <x:v>45425</x:v>
      </x:c>
      <x:c r="C427" s="3" t="str">
        <x:v>CUST-00079</x:v>
      </x:c>
      <x:c r="D427" s="3" t="str">
        <x:v>South</x:v>
      </x:c>
      <x:c r="E427" s="3" t="str">
        <x:v>Beauty</x:v>
      </x:c>
      <x:c r="F427" s="3" t="str">
        <x:v>Makeup</x:v>
      </x:c>
      <x:c r="G427" s="3" t="str">
        <x:v>HD Foundation Kit</x:v>
      </x:c>
      <x:c r="H427" s="3" t="n">
        <x:v>2</x:v>
      </x:c>
      <x:c r="I427" s="7" t="n">
        <x:v>1476.68</x:v>
      </x:c>
      <x:c r="J427" s="9" t="n">
        <x:v>0.05</x:v>
      </x:c>
      <x:c r="K427" s="7" t="n">
        <x:v>2805.69</x:v>
      </x:c>
      <x:c r="L427" s="7" t="n">
        <x:v>1426.42</x:v>
      </x:c>
      <x:c r="M427" s="3" t="str">
        <x:v>UPI</x:v>
      </x:c>
      <x:c r="N427" s="3"/>
      <x:c r="O427" s="3"/>
      <x:c r="P427" s="3"/>
      <x:c r="Q427" s="3"/>
    </x:row>
    <x:row r="428" ht="21" customHeight="1">
      <x:c r="A428" s="3" t="str">
        <x:v>ORD-101827</x:v>
      </x:c>
      <x:c r="B428" s="5" t="n">
        <x:v>45425</x:v>
      </x:c>
      <x:c r="C428" s="3" t="str">
        <x:v>CUST-00181</x:v>
      </x:c>
      <x:c r="D428" s="3" t="str">
        <x:v>South</x:v>
      </x:c>
      <x:c r="E428" s="3" t="str">
        <x:v>Fashion</x:v>
      </x:c>
      <x:c r="F428" s="3" t="str">
        <x:v>Footwear</x:v>
      </x:c>
      <x:c r="G428" s="3" t="str">
        <x:v>RunFlex Sneakers</x:v>
      </x:c>
      <x:c r="H428" s="3" t="n">
        <x:v>1</x:v>
      </x:c>
      <x:c r="I428" s="7" t="n">
        <x:v>2932.38</x:v>
      </x:c>
      <x:c r="J428" s="9" t="n">
        <x:v>0.2</x:v>
      </x:c>
      <x:c r="K428" s="7" t="n">
        <x:v>2345.9</x:v>
      </x:c>
      <x:c r="L428" s="7" t="n">
        <x:v>357.8</x:v>
      </x:c>
      <x:c r="M428" s="3" t="str">
        <x:v>Net Banking</x:v>
      </x:c>
      <x:c r="N428" s="3"/>
      <x:c r="O428" s="3"/>
      <x:c r="P428" s="3"/>
      <x:c r="Q428" s="3"/>
    </x:row>
    <x:row r="429" ht="21" customHeight="1">
      <x:c r="A429" s="3" t="str">
        <x:v>ORD-100075</x:v>
      </x:c>
      <x:c r="B429" s="5" t="n">
        <x:v>45426</x:v>
      </x:c>
      <x:c r="C429" s="3" t="str">
        <x:v>CUST-00303</x:v>
      </x:c>
      <x:c r="D429" s="3" t="str">
        <x:v>South</x:v>
      </x:c>
      <x:c r="E429" s="3" t="str">
        <x:v>Beauty</x:v>
      </x:c>
      <x:c r="F429" s="3" t="str">
        <x:v>Makeup</x:v>
      </x:c>
      <x:c r="G429" s="3" t="str">
        <x:v>Matte Lipstick Set</x:v>
      </x:c>
      <x:c r="H429" s="3" t="n">
        <x:v>2</x:v>
      </x:c>
      <x:c r="I429" s="7" t="n">
        <x:v>1013.62</x:v>
      </x:c>
      <x:c r="J429" s="9" t="n">
        <x:v>0.25</x:v>
      </x:c>
      <x:c r="K429" s="7" t="n">
        <x:v>1520.43</x:v>
      </x:c>
      <x:c r="L429" s="7" t="n">
        <x:v>375.87</x:v>
      </x:c>
      <x:c r="M429" s="3" t="str">
        <x:v>Credit Card</x:v>
      </x:c>
      <x:c r="N429" s="3"/>
      <x:c r="O429" s="3"/>
      <x:c r="P429" s="3"/>
      <x:c r="Q429" s="3"/>
    </x:row>
    <x:row r="430" ht="21" customHeight="1">
      <x:c r="A430" s="3" t="str">
        <x:v>ORD-100544</x:v>
      </x:c>
      <x:c r="B430" s="5" t="n">
        <x:v>45426</x:v>
      </x:c>
      <x:c r="C430" s="3" t="str">
        <x:v>CUST-00099</x:v>
      </x:c>
      <x:c r="D430" s="3" t="str">
        <x:v>South</x:v>
      </x:c>
      <x:c r="E430" s="3" t="str">
        <x:v>Home &amp; Kitchen</x:v>
      </x:c>
      <x:c r="F430" s="3" t="str">
        <x:v>Appliances</x:v>
      </x:c>
      <x:c r="G430" s="3" t="str">
        <x:v>AirFryer Deluxe</x:v>
      </x:c>
      <x:c r="H430" s="3" t="n">
        <x:v>1</x:v>
      </x:c>
      <x:c r="I430" s="7" t="n">
        <x:v>7944.89</x:v>
      </x:c>
      <x:c r="J430" s="9" t="n">
        <x:v>0.05</x:v>
      </x:c>
      <x:c r="K430" s="7" t="n">
        <x:v>7547.65</x:v>
      </x:c>
      <x:c r="L430" s="7" t="n">
        <x:v>2241.71</x:v>
      </x:c>
      <x:c r="M430" s="3" t="str">
        <x:v>Credit Card</x:v>
      </x:c>
      <x:c r="N430" s="3"/>
      <x:c r="O430" s="3"/>
      <x:c r="P430" s="3"/>
      <x:c r="Q430" s="3"/>
    </x:row>
    <x:row r="431" ht="21" customHeight="1">
      <x:c r="A431" s="3" t="str">
        <x:v>ORD-100965</x:v>
      </x:c>
      <x:c r="B431" s="5" t="n">
        <x:v>45426</x:v>
      </x:c>
      <x:c r="C431" s="3" t="str">
        <x:v>CUST-00384</x:v>
      </x:c>
      <x:c r="D431" s="3" t="str">
        <x:v>East</x:v>
      </x:c>
      <x:c r="E431" s="3" t="str">
        <x:v>Fashion</x:v>
      </x:c>
      <x:c r="F431" s="3" t="str">
        <x:v>Footwear</x:v>
      </x:c>
      <x:c r="G431" s="3" t="str">
        <x:v>UrbanLoafers</x:v>
      </x:c>
      <x:c r="H431" s="3" t="n">
        <x:v>1</x:v>
      </x:c>
      <x:c r="I431" s="7" t="n">
        <x:v>3557.91</x:v>
      </x:c>
      <x:c r="J431" s="9" t="n">
        <x:v>0.3</x:v>
      </x:c>
      <x:c r="K431" s="7" t="n">
        <x:v>2490.54</x:v>
      </x:c>
      <x:c r="L431" s="7" t="n">
        <x:v>190.76</x:v>
      </x:c>
      <x:c r="M431" s="3" t="str">
        <x:v>Net Banking</x:v>
      </x:c>
      <x:c r="N431" s="3"/>
      <x:c r="O431" s="3"/>
      <x:c r="P431" s="3"/>
      <x:c r="Q431" s="3"/>
    </x:row>
    <x:row r="432" ht="21" customHeight="1">
      <x:c r="A432" s="3" t="str">
        <x:v>ORD-101267</x:v>
      </x:c>
      <x:c r="B432" s="5" t="n">
        <x:v>45426</x:v>
      </x:c>
      <x:c r="C432" s="3" t="str">
        <x:v>CUST-00119</x:v>
      </x:c>
      <x:c r="D432" s="3" t="str">
        <x:v>North</x:v>
      </x:c>
      <x:c r="E432" s="3" t="str">
        <x:v>Electronics</x:v>
      </x:c>
      <x:c r="F432" s="3" t="str">
        <x:v>Mobile</x:v>
      </x:c>
      <x:c r="G432" s="3" t="str">
        <x:v>Galaxy Nova X5</x:v>
      </x:c>
      <x:c r="H432" s="3" t="n">
        <x:v>3</x:v>
      </x:c>
      <x:c r="I432" s="7" t="n">
        <x:v>24322.96</x:v>
      </x:c>
      <x:c r="J432" s="9" t="n">
        <x:v>0.05</x:v>
      </x:c>
      <x:c r="K432" s="7" t="n">
        <x:v>69320.44</x:v>
      </x:c>
      <x:c r="L432" s="7" t="n">
        <x:v>9308.85</x:v>
      </x:c>
      <x:c r="M432" s="3" t="str">
        <x:v>Cash on Delivery</x:v>
      </x:c>
      <x:c r="N432" s="3"/>
      <x:c r="O432" s="3"/>
      <x:c r="P432" s="3"/>
      <x:c r="Q432" s="3"/>
    </x:row>
    <x:row r="433" ht="21" customHeight="1">
      <x:c r="A433" s="3" t="str">
        <x:v>ORD-101900</x:v>
      </x:c>
      <x:c r="B433" s="5" t="n">
        <x:v>45426</x:v>
      </x:c>
      <x:c r="C433" s="3" t="str">
        <x:v>CUST-00309</x:v>
      </x:c>
      <x:c r="D433" s="3" t="str">
        <x:v>North</x:v>
      </x:c>
      <x:c r="E433" s="3" t="str">
        <x:v>Home &amp; Kitchen</x:v>
      </x:c>
      <x:c r="F433" s="3" t="str">
        <x:v>Appliances</x:v>
      </x:c>
      <x:c r="G433" s="3" t="str">
        <x:v>AirFryer Deluxe</x:v>
      </x:c>
      <x:c r="H433" s="3" t="n">
        <x:v>2</x:v>
      </x:c>
      <x:c r="I433" s="7" t="n">
        <x:v>7771.44</x:v>
      </x:c>
      <x:c r="J433" s="9" t="n">
        <x:v>0.1</x:v>
      </x:c>
      <x:c r="K433" s="7" t="n">
        <x:v>13988.59</x:v>
      </x:c>
      <x:c r="L433" s="7" t="n">
        <x:v>3214.37</x:v>
      </x:c>
      <x:c r="M433" s="3" t="str">
        <x:v>UPI</x:v>
      </x:c>
      <x:c r="N433" s="3"/>
      <x:c r="O433" s="3"/>
      <x:c r="P433" s="3"/>
      <x:c r="Q433" s="3"/>
    </x:row>
    <x:row r="434" ht="21" customHeight="1">
      <x:c r="A434" s="3" t="str">
        <x:v>ORD-100182</x:v>
      </x:c>
      <x:c r="B434" s="5" t="n">
        <x:v>45427</x:v>
      </x:c>
      <x:c r="C434" s="3" t="str">
        <x:v>CUST-00442</x:v>
      </x:c>
      <x:c r="D434" s="3" t="str">
        <x:v>South</x:v>
      </x:c>
      <x:c r="E434" s="3" t="str">
        <x:v>Sports</x:v>
      </x:c>
      <x:c r="F434" s="3" t="str">
        <x:v>Fitness</x:v>
      </x:c>
      <x:c r="G434" s="3" t="str">
        <x:v>Adjustable Dumbbell 24kg</x:v>
      </x:c>
      <x:c r="H434" s="3" t="n">
        <x:v>1</x:v>
      </x:c>
      <x:c r="I434" s="7" t="n">
        <x:v>9504.24</x:v>
      </x:c>
      <x:c r="J434" s="9" t="n">
        <x:v>0</x:v>
      </x:c>
      <x:c r="K434" s="7" t="n">
        <x:v>9504.24</x:v>
      </x:c>
      <x:c r="L434" s="7" t="n">
        <x:v>3465.83</x:v>
      </x:c>
      <x:c r="M434" s="3" t="str">
        <x:v>UPI</x:v>
      </x:c>
      <x:c r="N434" s="3"/>
      <x:c r="O434" s="3"/>
      <x:c r="P434" s="3"/>
      <x:c r="Q434" s="3"/>
    </x:row>
    <x:row r="435" ht="21" customHeight="1">
      <x:c r="A435" s="3" t="str">
        <x:v>ORD-100204</x:v>
      </x:c>
      <x:c r="B435" s="5" t="n">
        <x:v>45427</x:v>
      </x:c>
      <x:c r="C435" s="3" t="str">
        <x:v>CUST-00330</x:v>
      </x:c>
      <x:c r="D435" s="3" t="str">
        <x:v>North</x:v>
      </x:c>
      <x:c r="E435" s="3" t="str">
        <x:v>Home &amp; Kitchen</x:v>
      </x:c>
      <x:c r="F435" s="3" t="str">
        <x:v>Appliances</x:v>
      </x:c>
      <x:c r="G435" s="3" t="str">
        <x:v>ColdBrew Coffee Maker</x:v>
      </x:c>
      <x:c r="H435" s="3" t="n">
        <x:v>4</x:v>
      </x:c>
      <x:c r="I435" s="7" t="n">
        <x:v>6759.06</x:v>
      </x:c>
      <x:c r="J435" s="9" t="n">
        <x:v>0.05</x:v>
      </x:c>
      <x:c r="K435" s="7" t="n">
        <x:v>25684.43</x:v>
      </x:c>
      <x:c r="L435" s="7" t="n">
        <x:v>7646.63</x:v>
      </x:c>
      <x:c r="M435" s="3" t="str">
        <x:v>Debit Card</x:v>
      </x:c>
      <x:c r="N435" s="3"/>
      <x:c r="O435" s="3"/>
      <x:c r="P435" s="3"/>
      <x:c r="Q435" s="3"/>
    </x:row>
    <x:row r="436" ht="21" customHeight="1">
      <x:c r="A436" s="3" t="str">
        <x:v>ORD-100469</x:v>
      </x:c>
      <x:c r="B436" s="5" t="n">
        <x:v>45427</x:v>
      </x:c>
      <x:c r="C436" s="3" t="str">
        <x:v>CUST-00245</x:v>
      </x:c>
      <x:c r="D436" s="3" t="str">
        <x:v>East</x:v>
      </x:c>
      <x:c r="E436" s="3" t="str">
        <x:v>Sports</x:v>
      </x:c>
      <x:c r="F436" s="3" t="str">
        <x:v>Outdoor</x:v>
      </x:c>
      <x:c r="G436" s="3" t="str">
        <x:v>TrailHike Backpack 60L</x:v>
      </x:c>
      <x:c r="H436" s="3" t="n">
        <x:v>1</x:v>
      </x:c>
      <x:c r="I436" s="7" t="n">
        <x:v>3519.46</x:v>
      </x:c>
      <x:c r="J436" s="9" t="n">
        <x:v>0</x:v>
      </x:c>
      <x:c r="K436" s="7" t="n">
        <x:v>3519.46</x:v>
      </x:c>
      <x:c r="L436" s="7" t="n">
        <x:v>1200.11</x:v>
      </x:c>
      <x:c r="M436" s="3" t="str">
        <x:v>Cash on Delivery</x:v>
      </x:c>
      <x:c r="N436" s="3"/>
      <x:c r="O436" s="3"/>
      <x:c r="P436" s="3"/>
      <x:c r="Q436" s="3"/>
    </x:row>
    <x:row r="437" ht="21" customHeight="1">
      <x:c r="A437" s="3" t="str">
        <x:v>ORD-100921</x:v>
      </x:c>
      <x:c r="B437" s="5" t="n">
        <x:v>45427</x:v>
      </x:c>
      <x:c r="C437" s="3" t="str">
        <x:v>CUST-00032</x:v>
      </x:c>
      <x:c r="D437" s="3" t="str">
        <x:v>East</x:v>
      </x:c>
      <x:c r="E437" s="3" t="str">
        <x:v>Beauty</x:v>
      </x:c>
      <x:c r="F437" s="3" t="str">
        <x:v>Skincare</x:v>
      </x:c>
      <x:c r="G437" s="3" t="str">
        <x:v>Vitamin C Serum</x:v>
      </x:c>
      <x:c r="H437" s="3" t="n">
        <x:v>1</x:v>
      </x:c>
      <x:c r="I437" s="7" t="n">
        <x:v>875.56</x:v>
      </x:c>
      <x:c r="J437" s="9" t="n">
        <x:v>0.15</x:v>
      </x:c>
      <x:c r="K437" s="7" t="n">
        <x:v>744.23</x:v>
      </x:c>
      <x:c r="L437" s="7" t="n">
        <x:v>279.29</x:v>
      </x:c>
      <x:c r="M437" s="3" t="str">
        <x:v>UPI</x:v>
      </x:c>
      <x:c r="N437" s="3"/>
      <x:c r="O437" s="3"/>
      <x:c r="P437" s="3"/>
      <x:c r="Q437" s="3"/>
    </x:row>
    <x:row r="438" ht="21" customHeight="1">
      <x:c r="A438" s="3" t="str">
        <x:v>ORD-101728</x:v>
      </x:c>
      <x:c r="B438" s="5" t="n">
        <x:v>45427</x:v>
      </x:c>
      <x:c r="C438" s="3" t="str">
        <x:v>CUST-00195</x:v>
      </x:c>
      <x:c r="D438" s="3" t="str">
        <x:v>North</x:v>
      </x:c>
      <x:c r="E438" s="3" t="str">
        <x:v>Electronics</x:v>
      </x:c>
      <x:c r="F438" s="3" t="str">
        <x:v>Laptop</x:v>
      </x:c>
      <x:c r="G438" s="3" t="str">
        <x:v>AirBook Slim</x:v>
      </x:c>
      <x:c r="H438" s="3" t="n">
        <x:v>2</x:v>
      </x:c>
      <x:c r="I438" s="7" t="n">
        <x:v>76681.54</x:v>
      </x:c>
      <x:c r="J438" s="9" t="n">
        <x:v>0.15</x:v>
      </x:c>
      <x:c r="K438" s="7" t="n">
        <x:v>130358.62</x:v>
      </x:c>
      <x:c r="L438" s="7" t="n">
        <x:v>-2112.08</x:v>
      </x:c>
      <x:c r="M438" s="3" t="str">
        <x:v>Debit Card</x:v>
      </x:c>
      <x:c r="N438" s="3"/>
      <x:c r="O438" s="3"/>
      <x:c r="P438" s="3"/>
      <x:c r="Q438" s="3"/>
    </x:row>
    <x:row r="439" ht="21" customHeight="1">
      <x:c r="A439" s="3" t="str">
        <x:v>ORD-101961</x:v>
      </x:c>
      <x:c r="B439" s="5" t="n">
        <x:v>45427</x:v>
      </x:c>
      <x:c r="C439" s="3" t="str">
        <x:v>CUST-00005</x:v>
      </x:c>
      <x:c r="D439" s="3" t="str">
        <x:v>South</x:v>
      </x:c>
      <x:c r="E439" s="3" t="str">
        <x:v>Electronics</x:v>
      </x:c>
      <x:c r="F439" s="3" t="str">
        <x:v>Mobile</x:v>
      </x:c>
      <x:c r="G439" s="3" t="str">
        <x:v>iPhone Zeta</x:v>
      </x:c>
      <x:c r="H439" s="3" t="n">
        <x:v>4</x:v>
      </x:c>
      <x:c r="I439" s="7" t="n">
        <x:v>67462.99</x:v>
      </x:c>
      <x:c r="J439" s="9" t="n">
        <x:v>0</x:v>
      </x:c>
      <x:c r="K439" s="7" t="n">
        <x:v>269851.96</x:v>
      </x:c>
      <x:c r="L439" s="7" t="n">
        <x:v>49849.1</x:v>
      </x:c>
      <x:c r="M439" s="3" t="str">
        <x:v>UPI</x:v>
      </x:c>
      <x:c r="N439" s="3"/>
      <x:c r="O439" s="3"/>
      <x:c r="P439" s="3"/>
      <x:c r="Q439" s="3"/>
    </x:row>
    <x:row r="440" ht="21" customHeight="1">
      <x:c r="A440" s="3" t="str">
        <x:v>ORD-100159</x:v>
      </x:c>
      <x:c r="B440" s="5" t="n">
        <x:v>45428</x:v>
      </x:c>
      <x:c r="C440" s="3" t="str">
        <x:v>CUST-00357</x:v>
      </x:c>
      <x:c r="D440" s="3" t="str">
        <x:v>South</x:v>
      </x:c>
      <x:c r="E440" s="3" t="str">
        <x:v>Fashion</x:v>
      </x:c>
      <x:c r="F440" s="3" t="str">
        <x:v>Men</x:v>
      </x:c>
      <x:c r="G440" s="3" t="str">
        <x:v>Oxford Casual Shirt</x:v>
      </x:c>
      <x:c r="H440" s="3" t="n">
        <x:v>1</x:v>
      </x:c>
      <x:c r="I440" s="7" t="n">
        <x:v>1292.31</x:v>
      </x:c>
      <x:c r="J440" s="9" t="n">
        <x:v>0.2</x:v>
      </x:c>
      <x:c r="K440" s="7" t="n">
        <x:v>1033.85</x:v>
      </x:c>
      <x:c r="L440" s="7" t="n">
        <x:v>230.93</x:v>
      </x:c>
      <x:c r="M440" s="3" t="str">
        <x:v>UPI</x:v>
      </x:c>
      <x:c r="N440" s="3"/>
      <x:c r="O440" s="3"/>
      <x:c r="P440" s="3"/>
      <x:c r="Q440" s="3"/>
    </x:row>
    <x:row r="441" ht="21" customHeight="1">
      <x:c r="A441" s="3" t="str">
        <x:v>ORD-100637</x:v>
      </x:c>
      <x:c r="B441" s="5" t="n">
        <x:v>45428</x:v>
      </x:c>
      <x:c r="C441" s="3" t="str">
        <x:v>CUST-00326</x:v>
      </x:c>
      <x:c r="D441" s="3" t="str">
        <x:v>South</x:v>
      </x:c>
      <x:c r="E441" s="3" t="str">
        <x:v>Electronics</x:v>
      </x:c>
      <x:c r="F441" s="3" t="str">
        <x:v>Audio</x:v>
      </x:c>
      <x:c r="G441" s="3" t="str">
        <x:v>SoundPods Pro</x:v>
      </x:c>
      <x:c r="H441" s="3" t="n">
        <x:v>1</x:v>
      </x:c>
      <x:c r="I441" s="7" t="n">
        <x:v>4911.19</x:v>
      </x:c>
      <x:c r="J441" s="9" t="n">
        <x:v>0</x:v>
      </x:c>
      <x:c r="K441" s="7" t="n">
        <x:v>4911.19</x:v>
      </x:c>
      <x:c r="L441" s="7" t="n">
        <x:v>935.43</x:v>
      </x:c>
      <x:c r="M441" s="3" t="str">
        <x:v>Net Banking</x:v>
      </x:c>
      <x:c r="N441" s="3"/>
      <x:c r="O441" s="3"/>
      <x:c r="P441" s="3"/>
      <x:c r="Q441" s="3"/>
    </x:row>
    <x:row r="442" ht="21" customHeight="1">
      <x:c r="A442" s="3" t="str">
        <x:v>ORD-100689</x:v>
      </x:c>
      <x:c r="B442" s="5" t="n">
        <x:v>45428</x:v>
      </x:c>
      <x:c r="C442" s="3" t="str">
        <x:v>CUST-00053</x:v>
      </x:c>
      <x:c r="D442" s="3" t="str">
        <x:v>North</x:v>
      </x:c>
      <x:c r="E442" s="3" t="str">
        <x:v>Beauty</x:v>
      </x:c>
      <x:c r="F442" s="3" t="str">
        <x:v>Skincare</x:v>
      </x:c>
      <x:c r="G442" s="3" t="str">
        <x:v>HydraBoost Moisturizer</x:v>
      </x:c>
      <x:c r="H442" s="3" t="n">
        <x:v>5</x:v>
      </x:c>
      <x:c r="I442" s="7" t="n">
        <x:v>1244.79</x:v>
      </x:c>
      <x:c r="J442" s="9" t="n">
        <x:v>0.1</x:v>
      </x:c>
      <x:c r="K442" s="7" t="n">
        <x:v>5601.56</x:v>
      </x:c>
      <x:c r="L442" s="7" t="n">
        <x:v>2447.22</x:v>
      </x:c>
      <x:c r="M442" s="3" t="str">
        <x:v>UPI</x:v>
      </x:c>
      <x:c r="N442" s="3"/>
      <x:c r="O442" s="3"/>
      <x:c r="P442" s="3"/>
      <x:c r="Q442" s="3"/>
    </x:row>
    <x:row r="443" ht="21" customHeight="1">
      <x:c r="A443" s="3" t="str">
        <x:v>ORD-101255</x:v>
      </x:c>
      <x:c r="B443" s="5" t="n">
        <x:v>45428</x:v>
      </x:c>
      <x:c r="C443" s="3" t="str">
        <x:v>CUST-00590</x:v>
      </x:c>
      <x:c r="D443" s="3" t="str">
        <x:v>East</x:v>
      </x:c>
      <x:c r="E443" s="3" t="str">
        <x:v>Sports</x:v>
      </x:c>
      <x:c r="F443" s="3" t="str">
        <x:v>Outdoor</x:v>
      </x:c>
      <x:c r="G443" s="3" t="str">
        <x:v>AllWeather Tent 4P</x:v>
      </x:c>
      <x:c r="H443" s="3" t="n">
        <x:v>1</x:v>
      </x:c>
      <x:c r="I443" s="7" t="n">
        <x:v>12377.24</x:v>
      </x:c>
      <x:c r="J443" s="9" t="n">
        <x:v>0.05</x:v>
      </x:c>
      <x:c r="K443" s="7" t="n">
        <x:v>11758.38</x:v>
      </x:c>
      <x:c r="L443" s="7" t="n">
        <x:v>3598.45</x:v>
      </x:c>
      <x:c r="M443" s="3" t="str">
        <x:v>Credit Card</x:v>
      </x:c>
      <x:c r="N443" s="3"/>
      <x:c r="O443" s="3"/>
      <x:c r="P443" s="3"/>
      <x:c r="Q443" s="3"/>
    </x:row>
    <x:row r="444" ht="21" customHeight="1">
      <x:c r="A444" s="3" t="str">
        <x:v>ORD-101206</x:v>
      </x:c>
      <x:c r="B444" s="5" t="n">
        <x:v>45429</x:v>
      </x:c>
      <x:c r="C444" s="3" t="str">
        <x:v>CUST-00064</x:v>
      </x:c>
      <x:c r="D444" s="3" t="str">
        <x:v>West</x:v>
      </x:c>
      <x:c r="E444" s="3" t="str">
        <x:v>Fashion</x:v>
      </x:c>
      <x:c r="F444" s="3" t="str">
        <x:v>Footwear</x:v>
      </x:c>
      <x:c r="G444" s="3" t="str">
        <x:v>RunFlex Sneakers</x:v>
      </x:c>
      <x:c r="H444" s="3" t="n">
        <x:v>1</x:v>
      </x:c>
      <x:c r="I444" s="7" t="n">
        <x:v>2999.29</x:v>
      </x:c>
      <x:c r="J444" s="9" t="n">
        <x:v>0.1</x:v>
      </x:c>
      <x:c r="K444" s="7" t="n">
        <x:v>2699.36</x:v>
      </x:c>
      <x:c r="L444" s="7" t="n">
        <x:v>753.87</x:v>
      </x:c>
      <x:c r="M444" s="3" t="str">
        <x:v>UPI</x:v>
      </x:c>
      <x:c r="N444" s="3"/>
      <x:c r="O444" s="3"/>
      <x:c r="P444" s="3"/>
      <x:c r="Q444" s="3"/>
    </x:row>
    <x:row r="445" ht="21" customHeight="1">
      <x:c r="A445" s="3" t="str">
        <x:v>ORD-101576</x:v>
      </x:c>
      <x:c r="B445" s="5" t="n">
        <x:v>45429</x:v>
      </x:c>
      <x:c r="C445" s="3" t="str">
        <x:v>CUST-00354</x:v>
      </x:c>
      <x:c r="D445" s="3" t="str">
        <x:v>East</x:v>
      </x:c>
      <x:c r="E445" s="3" t="str">
        <x:v>Home &amp; Kitchen</x:v>
      </x:c>
      <x:c r="F445" s="3" t="str">
        <x:v>Decor</x:v>
      </x:c>
      <x:c r="G445" s="3" t="str">
        <x:v>Ceramic Vase Set</x:v>
      </x:c>
      <x:c r="H445" s="3" t="n">
        <x:v>1</x:v>
      </x:c>
      <x:c r="I445" s="7" t="n">
        <x:v>1485.36</x:v>
      </x:c>
      <x:c r="J445" s="9" t="n">
        <x:v>0</x:v>
      </x:c>
      <x:c r="K445" s="7" t="n">
        <x:v>1485.36</x:v>
      </x:c>
      <x:c r="L445" s="7" t="n">
        <x:v>508.18</x:v>
      </x:c>
      <x:c r="M445" s="3" t="str">
        <x:v>UPI</x:v>
      </x:c>
      <x:c r="N445" s="3"/>
      <x:c r="O445" s="3"/>
      <x:c r="P445" s="3"/>
      <x:c r="Q445" s="3"/>
    </x:row>
    <x:row r="446" ht="21" customHeight="1">
      <x:c r="A446" s="3" t="str">
        <x:v>ORD-101665</x:v>
      </x:c>
      <x:c r="B446" s="5" t="n">
        <x:v>45429</x:v>
      </x:c>
      <x:c r="C446" s="3" t="str">
        <x:v>CUST-00001</x:v>
      </x:c>
      <x:c r="D446" s="3" t="str">
        <x:v>West</x:v>
      </x:c>
      <x:c r="E446" s="3" t="str">
        <x:v>Beauty</x:v>
      </x:c>
      <x:c r="F446" s="3" t="str">
        <x:v>Skincare</x:v>
      </x:c>
      <x:c r="G446" s="3" t="str">
        <x:v>Vitamin C Serum</x:v>
      </x:c>
      <x:c r="H446" s="3" t="n">
        <x:v>3</x:v>
      </x:c>
      <x:c r="I446" s="7" t="n">
        <x:v>912.95</x:v>
      </x:c>
      <x:c r="J446" s="9" t="n">
        <x:v>0.1</x:v>
      </x:c>
      <x:c r="K446" s="7" t="n">
        <x:v>2464.97</x:v>
      </x:c>
      <x:c r="L446" s="7" t="n">
        <x:v>1051.44</x:v>
      </x:c>
      <x:c r="M446" s="3" t="str">
        <x:v>Credit Card</x:v>
      </x:c>
      <x:c r="N446" s="3"/>
      <x:c r="O446" s="3"/>
      <x:c r="P446" s="3"/>
      <x:c r="Q446" s="3"/>
    </x:row>
    <x:row r="447" ht="21" customHeight="1">
      <x:c r="A447" s="3" t="str">
        <x:v>ORD-101404</x:v>
      </x:c>
      <x:c r="B447" s="5" t="n">
        <x:v>45430</x:v>
      </x:c>
      <x:c r="C447" s="3" t="str">
        <x:v>CUST-00160</x:v>
      </x:c>
      <x:c r="D447" s="3" t="str">
        <x:v>West</x:v>
      </x:c>
      <x:c r="E447" s="3" t="str">
        <x:v>Fashion</x:v>
      </x:c>
      <x:c r="F447" s="3" t="str">
        <x:v>Men</x:v>
      </x:c>
      <x:c r="G447" s="3" t="str">
        <x:v>SlimFit Denim Jeans</x:v>
      </x:c>
      <x:c r="H447" s="3" t="n">
        <x:v>1</x:v>
      </x:c>
      <x:c r="I447" s="7" t="n">
        <x:v>1957.93</x:v>
      </x:c>
      <x:c r="J447" s="9" t="n">
        <x:v>0</x:v>
      </x:c>
      <x:c r="K447" s="7" t="n">
        <x:v>1957.93</x:v>
      </x:c>
      <x:c r="L447" s="7" t="n">
        <x:v>763.98</x:v>
      </x:c>
      <x:c r="M447" s="3" t="str">
        <x:v>Cash on Delivery</x:v>
      </x:c>
      <x:c r="N447" s="3"/>
      <x:c r="O447" s="3"/>
      <x:c r="P447" s="3"/>
      <x:c r="Q447" s="3"/>
    </x:row>
    <x:row r="448" ht="21" customHeight="1">
      <x:c r="A448" s="3" t="str">
        <x:v>ORD-100519</x:v>
      </x:c>
      <x:c r="B448" s="5" t="n">
        <x:v>45431</x:v>
      </x:c>
      <x:c r="C448" s="3" t="str">
        <x:v>CUST-00285</x:v>
      </x:c>
      <x:c r="D448" s="3" t="str">
        <x:v>North</x:v>
      </x:c>
      <x:c r="E448" s="3" t="str">
        <x:v>Electronics</x:v>
      </x:c>
      <x:c r="F448" s="3" t="str">
        <x:v>Mobile</x:v>
      </x:c>
      <x:c r="G448" s="3" t="str">
        <x:v>Pixel Aura 12</x:v>
      </x:c>
      <x:c r="H448" s="3" t="n">
        <x:v>1</x:v>
      </x:c>
      <x:c r="I448" s="7" t="n">
        <x:v>32788.24</x:v>
      </x:c>
      <x:c r="J448" s="9" t="n">
        <x:v>0.1</x:v>
      </x:c>
      <x:c r="K448" s="7" t="n">
        <x:v>29509.42</x:v>
      </x:c>
      <x:c r="L448" s="7" t="n">
        <x:v>2264.96</x:v>
      </x:c>
      <x:c r="M448" s="3" t="str">
        <x:v>UPI</x:v>
      </x:c>
      <x:c r="N448" s="3"/>
      <x:c r="O448" s="3"/>
      <x:c r="P448" s="3"/>
      <x:c r="Q448" s="3"/>
    </x:row>
    <x:row r="449" ht="21" customHeight="1">
      <x:c r="A449" s="3" t="str">
        <x:v>ORD-100687</x:v>
      </x:c>
      <x:c r="B449" s="5" t="n">
        <x:v>45431</x:v>
      </x:c>
      <x:c r="C449" s="3" t="str">
        <x:v>CUST-00528</x:v>
      </x:c>
      <x:c r="D449" s="3" t="str">
        <x:v>South</x:v>
      </x:c>
      <x:c r="E449" s="3" t="str">
        <x:v>Electronics</x:v>
      </x:c>
      <x:c r="F449" s="3" t="str">
        <x:v>Audio</x:v>
      </x:c>
      <x:c r="G449" s="3" t="str">
        <x:v>BassBoom Speaker</x:v>
      </x:c>
      <x:c r="H449" s="3" t="n">
        <x:v>2</x:v>
      </x:c>
      <x:c r="I449" s="7" t="n">
        <x:v>9335.88</x:v>
      </x:c>
      <x:c r="J449" s="9" t="n">
        <x:v>0.05</x:v>
      </x:c>
      <x:c r="K449" s="7" t="n">
        <x:v>17738.17</x:v>
      </x:c>
      <x:c r="L449" s="7" t="n">
        <x:v>2828.76</x:v>
      </x:c>
      <x:c r="M449" s="3" t="str">
        <x:v>Credit Card</x:v>
      </x:c>
      <x:c r="N449" s="3"/>
      <x:c r="O449" s="3"/>
      <x:c r="P449" s="3"/>
      <x:c r="Q449" s="3"/>
    </x:row>
    <x:row r="450" ht="21" customHeight="1">
      <x:c r="A450" s="3" t="str">
        <x:v>ORD-101395</x:v>
      </x:c>
      <x:c r="B450" s="5" t="n">
        <x:v>45431</x:v>
      </x:c>
      <x:c r="C450" s="3" t="str">
        <x:v>CUST-00007</x:v>
      </x:c>
      <x:c r="D450" s="3" t="str">
        <x:v>South</x:v>
      </x:c>
      <x:c r="E450" s="3" t="str">
        <x:v>Beauty</x:v>
      </x:c>
      <x:c r="F450" s="3" t="str">
        <x:v>Makeup</x:v>
      </x:c>
      <x:c r="G450" s="3" t="str">
        <x:v>HD Foundation Kit</x:v>
      </x:c>
      <x:c r="H450" s="3" t="n">
        <x:v>1</x:v>
      </x:c>
      <x:c r="I450" s="7" t="n">
        <x:v>1559.39</x:v>
      </x:c>
      <x:c r="J450" s="9" t="n">
        <x:v>0</x:v>
      </x:c>
      <x:c r="K450" s="7" t="n">
        <x:v>1559.39</x:v>
      </x:c>
      <x:c r="L450" s="7" t="n">
        <x:v>806.32</x:v>
      </x:c>
      <x:c r="M450" s="3" t="str">
        <x:v>UPI</x:v>
      </x:c>
      <x:c r="N450" s="3"/>
      <x:c r="O450" s="3"/>
      <x:c r="P450" s="3"/>
      <x:c r="Q450" s="3"/>
    </x:row>
    <x:row r="451" ht="21" customHeight="1">
      <x:c r="A451" s="3" t="str">
        <x:v>ORD-101536</x:v>
      </x:c>
      <x:c r="B451" s="5" t="n">
        <x:v>45431</x:v>
      </x:c>
      <x:c r="C451" s="3" t="str">
        <x:v>CUST-00590</x:v>
      </x:c>
      <x:c r="D451" s="3" t="str">
        <x:v>North</x:v>
      </x:c>
      <x:c r="E451" s="3" t="str">
        <x:v>Sports</x:v>
      </x:c>
      <x:c r="F451" s="3" t="str">
        <x:v>Outdoor</x:v>
      </x:c>
      <x:c r="G451" s="3" t="str">
        <x:v>TrailHike Backpack 60L</x:v>
      </x:c>
      <x:c r="H451" s="3" t="n">
        <x:v>2</x:v>
      </x:c>
      <x:c r="I451" s="7" t="n">
        <x:v>3650.21</x:v>
      </x:c>
      <x:c r="J451" s="9" t="n">
        <x:v>0.05</x:v>
      </x:c>
      <x:c r="K451" s="7" t="n">
        <x:v>6935.4</x:v>
      </x:c>
      <x:c r="L451" s="7" t="n">
        <x:v>2506.83</x:v>
      </x:c>
      <x:c r="M451" s="3" t="str">
        <x:v>Debit Card</x:v>
      </x:c>
      <x:c r="N451" s="3"/>
      <x:c r="O451" s="3"/>
      <x:c r="P451" s="3"/>
      <x:c r="Q451" s="3"/>
    </x:row>
    <x:row r="452" ht="21" customHeight="1">
      <x:c r="A452" s="3" t="str">
        <x:v>ORD-101591</x:v>
      </x:c>
      <x:c r="B452" s="5" t="n">
        <x:v>45431</x:v>
      </x:c>
      <x:c r="C452" s="3" t="str">
        <x:v>CUST-00368</x:v>
      </x:c>
      <x:c r="D452" s="3" t="str">
        <x:v>North</x:v>
      </x:c>
      <x:c r="E452" s="3" t="str">
        <x:v>Electronics</x:v>
      </x:c>
      <x:c r="F452" s="3" t="str">
        <x:v>Mobile</x:v>
      </x:c>
      <x:c r="G452" s="3" t="str">
        <x:v>Pixel Aura 12</x:v>
      </x:c>
      <x:c r="H452" s="3" t="n">
        <x:v>1</x:v>
      </x:c>
      <x:c r="I452" s="7" t="n">
        <x:v>33001.63</x:v>
      </x:c>
      <x:c r="J452" s="9" t="n">
        <x:v>0.1</x:v>
      </x:c>
      <x:c r="K452" s="7" t="n">
        <x:v>29701.47</x:v>
      </x:c>
      <x:c r="L452" s="7" t="n">
        <x:v>908.93</x:v>
      </x:c>
      <x:c r="M452" s="3" t="str">
        <x:v>UPI</x:v>
      </x:c>
      <x:c r="N452" s="3"/>
      <x:c r="O452" s="3"/>
      <x:c r="P452" s="3"/>
      <x:c r="Q452" s="3"/>
    </x:row>
    <x:row r="453" ht="21" customHeight="1">
      <x:c r="A453" s="3" t="str">
        <x:v>ORD-100124</x:v>
      </x:c>
      <x:c r="B453" s="5" t="n">
        <x:v>45432</x:v>
      </x:c>
      <x:c r="C453" s="3" t="str">
        <x:v>CUST-00408</x:v>
      </x:c>
      <x:c r="D453" s="3" t="str">
        <x:v>South</x:v>
      </x:c>
      <x:c r="E453" s="3" t="str">
        <x:v>Fashion</x:v>
      </x:c>
      <x:c r="F453" s="3" t="str">
        <x:v>Footwear</x:v>
      </x:c>
      <x:c r="G453" s="3" t="str">
        <x:v>UrbanLoafers</x:v>
      </x:c>
      <x:c r="H453" s="3" t="n">
        <x:v>1</x:v>
      </x:c>
      <x:c r="I453" s="7" t="n">
        <x:v>3335.38</x:v>
      </x:c>
      <x:c r="J453" s="9" t="n">
        <x:v>0.25</x:v>
      </x:c>
      <x:c r="K453" s="7" t="n">
        <x:v>2501.53</x:v>
      </x:c>
      <x:c r="L453" s="7" t="n">
        <x:v>262.1</x:v>
      </x:c>
      <x:c r="M453" s="3" t="str">
        <x:v>UPI</x:v>
      </x:c>
      <x:c r="N453" s="3"/>
      <x:c r="O453" s="3"/>
      <x:c r="P453" s="3"/>
      <x:c r="Q453" s="3"/>
    </x:row>
    <x:row r="454" ht="21" customHeight="1">
      <x:c r="A454" s="3" t="str">
        <x:v>ORD-101063</x:v>
      </x:c>
      <x:c r="B454" s="5" t="n">
        <x:v>45432</x:v>
      </x:c>
      <x:c r="C454" s="3" t="str">
        <x:v>CUST-00331</x:v>
      </x:c>
      <x:c r="D454" s="3" t="str">
        <x:v>North</x:v>
      </x:c>
      <x:c r="E454" s="3" t="str">
        <x:v>Fashion</x:v>
      </x:c>
      <x:c r="F454" s="3" t="str">
        <x:v>Men</x:v>
      </x:c>
      <x:c r="G454" s="3" t="str">
        <x:v>SlimFit Denim Jeans</x:v>
      </x:c>
      <x:c r="H454" s="3" t="n">
        <x:v>2</x:v>
      </x:c>
      <x:c r="I454" s="7" t="n">
        <x:v>1909.54</x:v>
      </x:c>
      <x:c r="J454" s="9" t="n">
        <x:v>0.1</x:v>
      </x:c>
      <x:c r="K454" s="7" t="n">
        <x:v>3437.17</x:v>
      </x:c>
      <x:c r="L454" s="7" t="n">
        <x:v>1142.62</x:v>
      </x:c>
      <x:c r="M454" s="3" t="str">
        <x:v>UPI</x:v>
      </x:c>
      <x:c r="N454" s="3"/>
      <x:c r="O454" s="3"/>
      <x:c r="P454" s="3"/>
      <x:c r="Q454" s="3"/>
    </x:row>
    <x:row r="455" ht="21" customHeight="1">
      <x:c r="A455" s="3" t="str">
        <x:v>ORD-101099</x:v>
      </x:c>
      <x:c r="B455" s="5" t="n">
        <x:v>45432</x:v>
      </x:c>
      <x:c r="C455" s="3" t="str">
        <x:v>CUST-00094</x:v>
      </x:c>
      <x:c r="D455" s="3" t="str">
        <x:v>West</x:v>
      </x:c>
      <x:c r="E455" s="3" t="str">
        <x:v>Home &amp; Kitchen</x:v>
      </x:c>
      <x:c r="F455" s="3" t="str">
        <x:v>Decor</x:v>
      </x:c>
      <x:c r="G455" s="3" t="str">
        <x:v>LED Wall Lamp</x:v>
      </x:c>
      <x:c r="H455" s="3" t="n">
        <x:v>1</x:v>
      </x:c>
      <x:c r="I455" s="7" t="n">
        <x:v>981.73</x:v>
      </x:c>
      <x:c r="J455" s="9" t="n">
        <x:v>0.1</x:v>
      </x:c>
      <x:c r="K455" s="7" t="n">
        <x:v>883.56</x:v>
      </x:c>
      <x:c r="L455" s="7" t="n">
        <x:v>176.4</x:v>
      </x:c>
      <x:c r="M455" s="3" t="str">
        <x:v>Credit Card</x:v>
      </x:c>
      <x:c r="N455" s="3"/>
      <x:c r="O455" s="3"/>
      <x:c r="P455" s="3"/>
      <x:c r="Q455" s="3"/>
    </x:row>
    <x:row r="456" ht="21" customHeight="1">
      <x:c r="A456" s="3" t="str">
        <x:v>ORD-101235</x:v>
      </x:c>
      <x:c r="B456" s="5" t="n">
        <x:v>45432</x:v>
      </x:c>
      <x:c r="C456" s="3" t="str">
        <x:v>CUST-00569</x:v>
      </x:c>
      <x:c r="D456" s="3" t="str">
        <x:v>East</x:v>
      </x:c>
      <x:c r="E456" s="3" t="str">
        <x:v>Sports</x:v>
      </x:c>
      <x:c r="F456" s="3" t="str">
        <x:v>Outdoor</x:v>
      </x:c>
      <x:c r="G456" s="3" t="str">
        <x:v>AllWeather Tent 4P</x:v>
      </x:c>
      <x:c r="H456" s="3" t="n">
        <x:v>1</x:v>
      </x:c>
      <x:c r="I456" s="7" t="n">
        <x:v>12530.47</x:v>
      </x:c>
      <x:c r="J456" s="9" t="n">
        <x:v>0</x:v>
      </x:c>
      <x:c r="K456" s="7" t="n">
        <x:v>12530.47</x:v>
      </x:c>
      <x:c r="L456" s="7" t="n">
        <x:v>5147.95</x:v>
      </x:c>
      <x:c r="M456" s="3" t="str">
        <x:v>Debit Card</x:v>
      </x:c>
      <x:c r="N456" s="3"/>
      <x:c r="O456" s="3"/>
      <x:c r="P456" s="3"/>
      <x:c r="Q456" s="3"/>
    </x:row>
    <x:row r="457" ht="21" customHeight="1">
      <x:c r="A457" s="3" t="str">
        <x:v>ORD-101740</x:v>
      </x:c>
      <x:c r="B457" s="5" t="n">
        <x:v>45432</x:v>
      </x:c>
      <x:c r="C457" s="3" t="str">
        <x:v>CUST-00293</x:v>
      </x:c>
      <x:c r="D457" s="3" t="str">
        <x:v>West</x:v>
      </x:c>
      <x:c r="E457" s="3" t="str">
        <x:v>Sports</x:v>
      </x:c>
      <x:c r="F457" s="3" t="str">
        <x:v>Fitness</x:v>
      </x:c>
      <x:c r="G457" s="3" t="str">
        <x:v>ProYoga Mat</x:v>
      </x:c>
      <x:c r="H457" s="3" t="n">
        <x:v>3</x:v>
      </x:c>
      <x:c r="I457" s="7" t="n">
        <x:v>1353.2</x:v>
      </x:c>
      <x:c r="J457" s="9" t="n">
        <x:v>0.05</x:v>
      </x:c>
      <x:c r="K457" s="7" t="n">
        <x:v>3856.62</x:v>
      </x:c>
      <x:c r="L457" s="7" t="n">
        <x:v>1381.83</x:v>
      </x:c>
      <x:c r="M457" s="3" t="str">
        <x:v>Credit Card</x:v>
      </x:c>
      <x:c r="N457" s="3"/>
      <x:c r="O457" s="3"/>
      <x:c r="P457" s="3"/>
      <x:c r="Q457" s="3"/>
    </x:row>
    <x:row r="458" ht="21" customHeight="1">
      <x:c r="A458" s="3" t="str">
        <x:v>ORD-100292</x:v>
      </x:c>
      <x:c r="B458" s="5" t="n">
        <x:v>45433</x:v>
      </x:c>
      <x:c r="C458" s="3" t="str">
        <x:v>CUST-00525</x:v>
      </x:c>
      <x:c r="D458" s="3" t="str">
        <x:v>West</x:v>
      </x:c>
      <x:c r="E458" s="3" t="str">
        <x:v>Beauty</x:v>
      </x:c>
      <x:c r="F458" s="3" t="str">
        <x:v>Makeup</x:v>
      </x:c>
      <x:c r="G458" s="3" t="str">
        <x:v>HD Foundation Kit</x:v>
      </x:c>
      <x:c r="H458" s="3" t="n">
        <x:v>5</x:v>
      </x:c>
      <x:c r="I458" s="7" t="n">
        <x:v>1538.33</x:v>
      </x:c>
      <x:c r="J458" s="9" t="n">
        <x:v>0.25</x:v>
      </x:c>
      <x:c r="K458" s="7" t="n">
        <x:v>5768.74</x:v>
      </x:c>
      <x:c r="L458" s="7" t="n">
        <x:v>1409.81</x:v>
      </x:c>
      <x:c r="M458" s="3" t="str">
        <x:v>Cash on Delivery</x:v>
      </x:c>
      <x:c r="N458" s="3"/>
      <x:c r="O458" s="3"/>
      <x:c r="P458" s="3"/>
      <x:c r="Q458" s="3"/>
    </x:row>
    <x:row r="459" ht="21" customHeight="1">
      <x:c r="A459" s="3" t="str">
        <x:v>ORD-100772</x:v>
      </x:c>
      <x:c r="B459" s="5" t="n">
        <x:v>45433</x:v>
      </x:c>
      <x:c r="C459" s="3" t="str">
        <x:v>CUST-00123</x:v>
      </x:c>
      <x:c r="D459" s="3" t="str">
        <x:v>North</x:v>
      </x:c>
      <x:c r="E459" s="3" t="str">
        <x:v>Electronics</x:v>
      </x:c>
      <x:c r="F459" s="3" t="str">
        <x:v>Mobile</x:v>
      </x:c>
      <x:c r="G459" s="3" t="str">
        <x:v>Pixel Aura 12</x:v>
      </x:c>
      <x:c r="H459" s="3" t="n">
        <x:v>1</x:v>
      </x:c>
      <x:c r="I459" s="7" t="n">
        <x:v>33371.07</x:v>
      </x:c>
      <x:c r="J459" s="9" t="n">
        <x:v>0.05</x:v>
      </x:c>
      <x:c r="K459" s="7" t="n">
        <x:v>31702.52</x:v>
      </x:c>
      <x:c r="L459" s="7" t="n">
        <x:v>4676.08</x:v>
      </x:c>
      <x:c r="M459" s="3" t="str">
        <x:v>UPI</x:v>
      </x:c>
      <x:c r="N459" s="3"/>
      <x:c r="O459" s="3"/>
      <x:c r="P459" s="3"/>
      <x:c r="Q459" s="3"/>
    </x:row>
    <x:row r="460" ht="21" customHeight="1">
      <x:c r="A460" s="3" t="str">
        <x:v>ORD-100818</x:v>
      </x:c>
      <x:c r="B460" s="5" t="n">
        <x:v>45433</x:v>
      </x:c>
      <x:c r="C460" s="3" t="str">
        <x:v>CUST-00121</x:v>
      </x:c>
      <x:c r="D460" s="3" t="str">
        <x:v>South</x:v>
      </x:c>
      <x:c r="E460" s="3" t="str">
        <x:v>Beauty</x:v>
      </x:c>
      <x:c r="F460" s="3" t="str">
        <x:v>Makeup</x:v>
      </x:c>
      <x:c r="G460" s="3" t="str">
        <x:v>Matte Lipstick Set</x:v>
      </x:c>
      <x:c r="H460" s="3" t="n">
        <x:v>2</x:v>
      </x:c>
      <x:c r="I460" s="7" t="n">
        <x:v>1025.54</x:v>
      </x:c>
      <x:c r="J460" s="9" t="n">
        <x:v>0</x:v>
      </x:c>
      <x:c r="K460" s="7" t="n">
        <x:v>2051.08</x:v>
      </x:c>
      <x:c r="L460" s="7" t="n">
        <x:v>1160.16</x:v>
      </x:c>
      <x:c r="M460" s="3" t="str">
        <x:v>Credit Card</x:v>
      </x:c>
      <x:c r="N460" s="3"/>
      <x:c r="O460" s="3"/>
      <x:c r="P460" s="3"/>
      <x:c r="Q460" s="3"/>
    </x:row>
    <x:row r="461" ht="21" customHeight="1">
      <x:c r="A461" s="3" t="str">
        <x:v>ORD-100899</x:v>
      </x:c>
      <x:c r="B461" s="5" t="n">
        <x:v>45433</x:v>
      </x:c>
      <x:c r="C461" s="3" t="str">
        <x:v>CUST-00046</x:v>
      </x:c>
      <x:c r="D461" s="3" t="str">
        <x:v>East</x:v>
      </x:c>
      <x:c r="E461" s="3" t="str">
        <x:v>Fashion</x:v>
      </x:c>
      <x:c r="F461" s="3" t="str">
        <x:v>Footwear</x:v>
      </x:c>
      <x:c r="G461" s="3" t="str">
        <x:v>RunFlex Sneakers</x:v>
      </x:c>
      <x:c r="H461" s="3" t="n">
        <x:v>2</x:v>
      </x:c>
      <x:c r="I461" s="7" t="n">
        <x:v>2950.97</x:v>
      </x:c>
      <x:c r="J461" s="9" t="n">
        <x:v>0.05</x:v>
      </x:c>
      <x:c r="K461" s="7" t="n">
        <x:v>5606.84</x:v>
      </x:c>
      <x:c r="L461" s="7" t="n">
        <x:v>2177.47</x:v>
      </x:c>
      <x:c r="M461" s="3" t="str">
        <x:v>Debit Card</x:v>
      </x:c>
      <x:c r="N461" s="3"/>
      <x:c r="O461" s="3"/>
      <x:c r="P461" s="3"/>
      <x:c r="Q461" s="3"/>
    </x:row>
    <x:row r="462" ht="21" customHeight="1">
      <x:c r="A462" s="3" t="str">
        <x:v>ORD-100919</x:v>
      </x:c>
      <x:c r="B462" s="5" t="n">
        <x:v>45433</x:v>
      </x:c>
      <x:c r="C462" s="3" t="str">
        <x:v>CUST-00516</x:v>
      </x:c>
      <x:c r="D462" s="3" t="str">
        <x:v>East</x:v>
      </x:c>
      <x:c r="E462" s="3" t="str">
        <x:v>Sports</x:v>
      </x:c>
      <x:c r="F462" s="3" t="str">
        <x:v>Fitness</x:v>
      </x:c>
      <x:c r="G462" s="3" t="str">
        <x:v>ProYoga Mat</x:v>
      </x:c>
      <x:c r="H462" s="3" t="n">
        <x:v>1</x:v>
      </x:c>
      <x:c r="I462" s="7" t="n">
        <x:v>1360.6</x:v>
      </x:c>
      <x:c r="J462" s="9" t="n">
        <x:v>0.1</x:v>
      </x:c>
      <x:c r="K462" s="7" t="n">
        <x:v>1224.54</x:v>
      </x:c>
      <x:c r="L462" s="7" t="n">
        <x:v>315.72</x:v>
      </x:c>
      <x:c r="M462" s="3" t="str">
        <x:v>Credit Card</x:v>
      </x:c>
      <x:c r="N462" s="3"/>
      <x:c r="O462" s="3"/>
      <x:c r="P462" s="3"/>
      <x:c r="Q462" s="3"/>
    </x:row>
    <x:row r="463" ht="21" customHeight="1">
      <x:c r="A463" s="3" t="str">
        <x:v>ORD-101280</x:v>
      </x:c>
      <x:c r="B463" s="5" t="n">
        <x:v>45433</x:v>
      </x:c>
      <x:c r="C463" s="3" t="str">
        <x:v>CUST-00572</x:v>
      </x:c>
      <x:c r="D463" s="3" t="str">
        <x:v>East</x:v>
      </x:c>
      <x:c r="E463" s="3" t="str">
        <x:v>Home &amp; Kitchen</x:v>
      </x:c>
      <x:c r="F463" s="3" t="str">
        <x:v>Furniture</x:v>
      </x:c>
      <x:c r="G463" s="3" t="str">
        <x:v>ErgoComfort Chair</x:v>
      </x:c>
      <x:c r="H463" s="3" t="n">
        <x:v>2</x:v>
      </x:c>
      <x:c r="I463" s="7" t="n">
        <x:v>9195.87</x:v>
      </x:c>
      <x:c r="J463" s="9" t="n">
        <x:v>0.25</x:v>
      </x:c>
      <x:c r="K463" s="7" t="n">
        <x:v>13793.81</x:v>
      </x:c>
      <x:c r="L463" s="7" t="n">
        <x:v>270.9</x:v>
      </x:c>
      <x:c r="M463" s="3" t="str">
        <x:v>Debit Card</x:v>
      </x:c>
      <x:c r="N463" s="3"/>
      <x:c r="O463" s="3"/>
      <x:c r="P463" s="3"/>
      <x:c r="Q463" s="3"/>
    </x:row>
    <x:row r="464" ht="21" customHeight="1">
      <x:c r="A464" s="3" t="str">
        <x:v>ORD-101403</x:v>
      </x:c>
      <x:c r="B464" s="5" t="n">
        <x:v>45433</x:v>
      </x:c>
      <x:c r="C464" s="3" t="str">
        <x:v>CUST-00489</x:v>
      </x:c>
      <x:c r="D464" s="3" t="str">
        <x:v>South</x:v>
      </x:c>
      <x:c r="E464" s="3" t="str">
        <x:v>Beauty</x:v>
      </x:c>
      <x:c r="F464" s="3" t="str">
        <x:v>Skincare</x:v>
      </x:c>
      <x:c r="G464" s="3" t="str">
        <x:v>HydraBoost Moisturizer</x:v>
      </x:c>
      <x:c r="H464" s="3" t="n">
        <x:v>4</x:v>
      </x:c>
      <x:c r="I464" s="7" t="n">
        <x:v>1172.16</x:v>
      </x:c>
      <x:c r="J464" s="9" t="n">
        <x:v>0.15</x:v>
      </x:c>
      <x:c r="K464" s="7" t="n">
        <x:v>3985.34</x:v>
      </x:c>
      <x:c r="L464" s="7" t="n">
        <x:v>1651.59</x:v>
      </x:c>
      <x:c r="M464" s="3" t="str">
        <x:v>UPI</x:v>
      </x:c>
      <x:c r="N464" s="3"/>
      <x:c r="O464" s="3"/>
      <x:c r="P464" s="3"/>
      <x:c r="Q464" s="3"/>
    </x:row>
    <x:row r="465" ht="21" customHeight="1">
      <x:c r="A465" s="3" t="str">
        <x:v>ORD-101891</x:v>
      </x:c>
      <x:c r="B465" s="5" t="n">
        <x:v>45433</x:v>
      </x:c>
      <x:c r="C465" s="3" t="str">
        <x:v>CUST-00530</x:v>
      </x:c>
      <x:c r="D465" s="3" t="str">
        <x:v>South</x:v>
      </x:c>
      <x:c r="E465" s="3" t="str">
        <x:v>Sports</x:v>
      </x:c>
      <x:c r="F465" s="3" t="str">
        <x:v>Fitness</x:v>
      </x:c>
      <x:c r="G465" s="3" t="str">
        <x:v>Adjustable Dumbbell 24kg</x:v>
      </x:c>
      <x:c r="H465" s="3" t="n">
        <x:v>1</x:v>
      </x:c>
      <x:c r="I465" s="7" t="n">
        <x:v>10182.94</x:v>
      </x:c>
      <x:c r="J465" s="9" t="n">
        <x:v>0</x:v>
      </x:c>
      <x:c r="K465" s="7" t="n">
        <x:v>10182.94</x:v>
      </x:c>
      <x:c r="L465" s="7" t="n">
        <x:v>3562.48</x:v>
      </x:c>
      <x:c r="M465" s="3" t="str">
        <x:v>UPI</x:v>
      </x:c>
      <x:c r="N465" s="3"/>
      <x:c r="O465" s="3"/>
      <x:c r="P465" s="3"/>
      <x:c r="Q465" s="3"/>
    </x:row>
    <x:row r="466" ht="21" customHeight="1">
      <x:c r="A466" s="3" t="str">
        <x:v>ORD-100127</x:v>
      </x:c>
      <x:c r="B466" s="5" t="n">
        <x:v>45434</x:v>
      </x:c>
      <x:c r="C466" s="3" t="str">
        <x:v>CUST-00506</x:v>
      </x:c>
      <x:c r="D466" s="3" t="str">
        <x:v>East</x:v>
      </x:c>
      <x:c r="E466" s="3" t="str">
        <x:v>Beauty</x:v>
      </x:c>
      <x:c r="F466" s="3" t="str">
        <x:v>Makeup</x:v>
      </x:c>
      <x:c r="G466" s="3" t="str">
        <x:v>HD Foundation Kit</x:v>
      </x:c>
      <x:c r="H466" s="3" t="n">
        <x:v>3</x:v>
      </x:c>
      <x:c r="I466" s="7" t="n">
        <x:v>1563.06</x:v>
      </x:c>
      <x:c r="J466" s="9" t="n">
        <x:v>0.15</x:v>
      </x:c>
      <x:c r="K466" s="7" t="n">
        <x:v>3985.8</x:v>
      </x:c>
      <x:c r="L466" s="7" t="n">
        <x:v>1548.55</x:v>
      </x:c>
      <x:c r="M466" s="3" t="str">
        <x:v>Credit Card</x:v>
      </x:c>
      <x:c r="N466" s="3"/>
      <x:c r="O466" s="3"/>
      <x:c r="P466" s="3"/>
      <x:c r="Q466" s="3"/>
    </x:row>
    <x:row r="467" ht="21" customHeight="1">
      <x:c r="A467" s="3" t="str">
        <x:v>ORD-100188</x:v>
      </x:c>
      <x:c r="B467" s="5" t="n">
        <x:v>45434</x:v>
      </x:c>
      <x:c r="C467" s="3" t="str">
        <x:v>CUST-00248</x:v>
      </x:c>
      <x:c r="D467" s="3" t="str">
        <x:v>East</x:v>
      </x:c>
      <x:c r="E467" s="3" t="str">
        <x:v>Fashion</x:v>
      </x:c>
      <x:c r="F467" s="3" t="str">
        <x:v>Footwear</x:v>
      </x:c>
      <x:c r="G467" s="3" t="str">
        <x:v>RunFlex Sneakers</x:v>
      </x:c>
      <x:c r="H467" s="3" t="n">
        <x:v>2</x:v>
      </x:c>
      <x:c r="I467" s="7" t="n">
        <x:v>3134.86</x:v>
      </x:c>
      <x:c r="J467" s="9" t="n">
        <x:v>0.1</x:v>
      </x:c>
      <x:c r="K467" s="7" t="n">
        <x:v>5642.75</x:v>
      </x:c>
      <x:c r="L467" s="7" t="n">
        <x:v>1703.71</x:v>
      </x:c>
      <x:c r="M467" s="3" t="str">
        <x:v>Credit Card</x:v>
      </x:c>
      <x:c r="N467" s="3"/>
      <x:c r="O467" s="3"/>
      <x:c r="P467" s="3"/>
      <x:c r="Q467" s="3"/>
    </x:row>
    <x:row r="468" ht="21" customHeight="1">
      <x:c r="A468" s="3" t="str">
        <x:v>ORD-100657</x:v>
      </x:c>
      <x:c r="B468" s="5" t="n">
        <x:v>45434</x:v>
      </x:c>
      <x:c r="C468" s="3" t="str">
        <x:v>CUST-00126</x:v>
      </x:c>
      <x:c r="D468" s="3" t="str">
        <x:v>West</x:v>
      </x:c>
      <x:c r="E468" s="3" t="str">
        <x:v>Sports</x:v>
      </x:c>
      <x:c r="F468" s="3" t="str">
        <x:v>Outdoor</x:v>
      </x:c>
      <x:c r="G468" s="3" t="str">
        <x:v>TrailHike Backpack 60L</x:v>
      </x:c>
      <x:c r="H468" s="3" t="n">
        <x:v>5</x:v>
      </x:c>
      <x:c r="I468" s="7" t="n">
        <x:v>3606.16</x:v>
      </x:c>
      <x:c r="J468" s="9" t="n">
        <x:v>0.2</x:v>
      </x:c>
      <x:c r="K468" s="7" t="n">
        <x:v>14424.64</x:v>
      </x:c>
      <x:c r="L468" s="7" t="n">
        <x:v>1590.27</x:v>
      </x:c>
      <x:c r="M468" s="3" t="str">
        <x:v>UPI</x:v>
      </x:c>
      <x:c r="N468" s="3"/>
      <x:c r="O468" s="3"/>
      <x:c r="P468" s="3"/>
      <x:c r="Q468" s="3"/>
    </x:row>
    <x:row r="469" ht="21" customHeight="1">
      <x:c r="A469" s="3" t="str">
        <x:v>ORD-100724</x:v>
      </x:c>
      <x:c r="B469" s="5" t="n">
        <x:v>45434</x:v>
      </x:c>
      <x:c r="C469" s="3" t="str">
        <x:v>CUST-00148</x:v>
      </x:c>
      <x:c r="D469" s="3" t="str">
        <x:v>West</x:v>
      </x:c>
      <x:c r="E469" s="3" t="str">
        <x:v>Electronics</x:v>
      </x:c>
      <x:c r="F469" s="3" t="str">
        <x:v>Mobile</x:v>
      </x:c>
      <x:c r="G469" s="3" t="str">
        <x:v>Pixel Aura 12</x:v>
      </x:c>
      <x:c r="H469" s="3" t="n">
        <x:v>1</x:v>
      </x:c>
      <x:c r="I469" s="7" t="n">
        <x:v>31405.66</x:v>
      </x:c>
      <x:c r="J469" s="9" t="n">
        <x:v>0.4</x:v>
      </x:c>
      <x:c r="K469" s="7" t="n">
        <x:v>18843.4</x:v>
      </x:c>
      <x:c r="L469" s="7" t="n">
        <x:v>-5188.15</x:v>
      </x:c>
      <x:c r="M469" s="3" t="str">
        <x:v>Net Banking</x:v>
      </x:c>
      <x:c r="N469" s="3"/>
      <x:c r="O469" s="3"/>
      <x:c r="P469" s="3"/>
      <x:c r="Q469" s="3"/>
    </x:row>
    <x:row r="470" ht="21" customHeight="1">
      <x:c r="A470" s="3" t="str">
        <x:v>ORD-101247</x:v>
      </x:c>
      <x:c r="B470" s="5" t="n">
        <x:v>45434</x:v>
      </x:c>
      <x:c r="C470" s="3" t="str">
        <x:v>CUST-00408</x:v>
      </x:c>
      <x:c r="D470" s="3" t="str">
        <x:v>East</x:v>
      </x:c>
      <x:c r="E470" s="3" t="str">
        <x:v>Beauty</x:v>
      </x:c>
      <x:c r="F470" s="3" t="str">
        <x:v>Makeup</x:v>
      </x:c>
      <x:c r="G470" s="3" t="str">
        <x:v>Matte Lipstick Set</x:v>
      </x:c>
      <x:c r="H470" s="3" t="n">
        <x:v>2</x:v>
      </x:c>
      <x:c r="I470" s="7" t="n">
        <x:v>964.07</x:v>
      </x:c>
      <x:c r="J470" s="9" t="n">
        <x:v>0.05</x:v>
      </x:c>
      <x:c r="K470" s="7" t="n">
        <x:v>1831.73</x:v>
      </x:c>
      <x:c r="L470" s="7" t="n">
        <x:v>839.53</x:v>
      </x:c>
      <x:c r="M470" s="3" t="str">
        <x:v>Cash on Delivery</x:v>
      </x:c>
      <x:c r="N470" s="3"/>
      <x:c r="O470" s="3"/>
      <x:c r="P470" s="3"/>
      <x:c r="Q470" s="3"/>
    </x:row>
    <x:row r="471" ht="21" customHeight="1">
      <x:c r="A471" s="3" t="str">
        <x:v>ORD-101310</x:v>
      </x:c>
      <x:c r="B471" s="5" t="n">
        <x:v>45434</x:v>
      </x:c>
      <x:c r="C471" s="3" t="str">
        <x:v>CUST-00479</x:v>
      </x:c>
      <x:c r="D471" s="3" t="str">
        <x:v>West</x:v>
      </x:c>
      <x:c r="E471" s="3" t="str">
        <x:v>Beauty</x:v>
      </x:c>
      <x:c r="F471" s="3" t="str">
        <x:v>Skincare</x:v>
      </x:c>
      <x:c r="G471" s="3" t="str">
        <x:v>HydraBoost Moisturizer</x:v>
      </x:c>
      <x:c r="H471" s="3" t="n">
        <x:v>3</x:v>
      </x:c>
      <x:c r="I471" s="7" t="n">
        <x:v>1237.67</x:v>
      </x:c>
      <x:c r="J471" s="9" t="n">
        <x:v>0</x:v>
      </x:c>
      <x:c r="K471" s="7" t="n">
        <x:v>3713.01</x:v>
      </x:c>
      <x:c r="L471" s="7" t="n">
        <x:v>1972.09</x:v>
      </x:c>
      <x:c r="M471" s="3" t="str">
        <x:v>Debit Card</x:v>
      </x:c>
      <x:c r="N471" s="3"/>
      <x:c r="O471" s="3"/>
      <x:c r="P471" s="3"/>
      <x:c r="Q471" s="3"/>
    </x:row>
    <x:row r="472" ht="21" customHeight="1">
      <x:c r="A472" s="3" t="str">
        <x:v>ORD-101592</x:v>
      </x:c>
      <x:c r="B472" s="5" t="n">
        <x:v>45434</x:v>
      </x:c>
      <x:c r="C472" s="3" t="str">
        <x:v>CUST-00340</x:v>
      </x:c>
      <x:c r="D472" s="3" t="str">
        <x:v>North</x:v>
      </x:c>
      <x:c r="E472" s="3" t="str">
        <x:v>Fashion</x:v>
      </x:c>
      <x:c r="F472" s="3" t="str">
        <x:v>Women</x:v>
      </x:c>
      <x:c r="G472" s="3" t="str">
        <x:v>Knit Winter Sweater</x:v>
      </x:c>
      <x:c r="H472" s="3" t="n">
        <x:v>1</x:v>
      </x:c>
      <x:c r="I472" s="7" t="n">
        <x:v>2164.79</x:v>
      </x:c>
      <x:c r="J472" s="9" t="n">
        <x:v>0.25</x:v>
      </x:c>
      <x:c r="K472" s="7" t="n">
        <x:v>1623.59</x:v>
      </x:c>
      <x:c r="L472" s="7" t="n">
        <x:v>209.21</x:v>
      </x:c>
      <x:c r="M472" s="3" t="str">
        <x:v>UPI</x:v>
      </x:c>
      <x:c r="N472" s="3"/>
      <x:c r="O472" s="3"/>
      <x:c r="P472" s="3"/>
      <x:c r="Q472" s="3"/>
    </x:row>
    <x:row r="473" ht="21" customHeight="1">
      <x:c r="A473" s="3" t="str">
        <x:v>ORD-101743</x:v>
      </x:c>
      <x:c r="B473" s="5" t="n">
        <x:v>45434</x:v>
      </x:c>
      <x:c r="C473" s="3" t="str">
        <x:v>CUST-00434</x:v>
      </x:c>
      <x:c r="D473" s="3" t="str">
        <x:v>South</x:v>
      </x:c>
      <x:c r="E473" s="3" t="str">
        <x:v>Beauty</x:v>
      </x:c>
      <x:c r="F473" s="3" t="str">
        <x:v>Makeup</x:v>
      </x:c>
      <x:c r="G473" s="3" t="str">
        <x:v>Matte Lipstick Set</x:v>
      </x:c>
      <x:c r="H473" s="3" t="n">
        <x:v>1</x:v>
      </x:c>
      <x:c r="I473" s="7" t="n">
        <x:v>950.26</x:v>
      </x:c>
      <x:c r="J473" s="9" t="n">
        <x:v>0.05</x:v>
      </x:c>
      <x:c r="K473" s="7" t="n">
        <x:v>902.75</x:v>
      </x:c>
      <x:c r="L473" s="7" t="n">
        <x:v>478.51</x:v>
      </x:c>
      <x:c r="M473" s="3" t="str">
        <x:v>Debit Card</x:v>
      </x:c>
      <x:c r="N473" s="3"/>
      <x:c r="O473" s="3"/>
      <x:c r="P473" s="3"/>
      <x:c r="Q473" s="3"/>
    </x:row>
    <x:row r="474" ht="21" customHeight="1">
      <x:c r="A474" s="3" t="str">
        <x:v>ORD-100452</x:v>
      </x:c>
      <x:c r="B474" s="5" t="n">
        <x:v>45435</x:v>
      </x:c>
      <x:c r="C474" s="3" t="str">
        <x:v>CUST-00026</x:v>
      </x:c>
      <x:c r="D474" s="3" t="str">
        <x:v>East</x:v>
      </x:c>
      <x:c r="E474" s="3" t="str">
        <x:v>Beauty</x:v>
      </x:c>
      <x:c r="F474" s="3" t="str">
        <x:v>Skincare</x:v>
      </x:c>
      <x:c r="G474" s="3" t="str">
        <x:v>HydraBoost Moisturizer</x:v>
      </x:c>
      <x:c r="H474" s="3" t="n">
        <x:v>2</x:v>
      </x:c>
      <x:c r="I474" s="7" t="n">
        <x:v>1185.82</x:v>
      </x:c>
      <x:c r="J474" s="9" t="n">
        <x:v>0</x:v>
      </x:c>
      <x:c r="K474" s="7" t="n">
        <x:v>2371.64</x:v>
      </x:c>
      <x:c r="L474" s="7" t="n">
        <x:v>1229.79</x:v>
      </x:c>
      <x:c r="M474" s="3" t="str">
        <x:v>Credit Card</x:v>
      </x:c>
      <x:c r="N474" s="3"/>
      <x:c r="O474" s="3"/>
      <x:c r="P474" s="3"/>
      <x:c r="Q474" s="3"/>
    </x:row>
    <x:row r="475" ht="21" customHeight="1">
      <x:c r="A475" s="3" t="str">
        <x:v>ORD-101105</x:v>
      </x:c>
      <x:c r="B475" s="5" t="n">
        <x:v>45435</x:v>
      </x:c>
      <x:c r="C475" s="3" t="str">
        <x:v>CUST-00371</x:v>
      </x:c>
      <x:c r="D475" s="3" t="str">
        <x:v>South</x:v>
      </x:c>
      <x:c r="E475" s="3" t="str">
        <x:v>Fashion</x:v>
      </x:c>
      <x:c r="F475" s="3" t="str">
        <x:v>Women</x:v>
      </x:c>
      <x:c r="G475" s="3" t="str">
        <x:v>Floral Summer Dress</x:v>
      </x:c>
      <x:c r="H475" s="3" t="n">
        <x:v>5</x:v>
      </x:c>
      <x:c r="I475" s="7" t="n">
        <x:v>1797.12</x:v>
      </x:c>
      <x:c r="J475" s="9" t="n">
        <x:v>0.1</x:v>
      </x:c>
      <x:c r="K475" s="7" t="n">
        <x:v>8087.04</x:v>
      </x:c>
      <x:c r="L475" s="7" t="n">
        <x:v>2212.99</x:v>
      </x:c>
      <x:c r="M475" s="3" t="str">
        <x:v>UPI</x:v>
      </x:c>
      <x:c r="N475" s="3"/>
      <x:c r="O475" s="3"/>
      <x:c r="P475" s="3"/>
      <x:c r="Q475" s="3"/>
    </x:row>
    <x:row r="476" ht="21" customHeight="1">
      <x:c r="A476" s="3" t="str">
        <x:v>ORD-101124</x:v>
      </x:c>
      <x:c r="B476" s="5" t="n">
        <x:v>45435</x:v>
      </x:c>
      <x:c r="C476" s="3" t="str">
        <x:v>CUST-00310</x:v>
      </x:c>
      <x:c r="D476" s="3" t="str">
        <x:v>East</x:v>
      </x:c>
      <x:c r="E476" s="3" t="str">
        <x:v>Home &amp; Kitchen</x:v>
      </x:c>
      <x:c r="F476" s="3" t="str">
        <x:v>Furniture</x:v>
      </x:c>
      <x:c r="G476" s="3" t="str">
        <x:v>ErgoComfort Chair</x:v>
      </x:c>
      <x:c r="H476" s="3" t="n">
        <x:v>1</x:v>
      </x:c>
      <x:c r="I476" s="7" t="n">
        <x:v>8743.04</x:v>
      </x:c>
      <x:c r="J476" s="9" t="n">
        <x:v>0.15</x:v>
      </x:c>
      <x:c r="K476" s="7" t="n">
        <x:v>7431.58</x:v>
      </x:c>
      <x:c r="L476" s="7" t="n">
        <x:v>1334.01</x:v>
      </x:c>
      <x:c r="M476" s="3" t="str">
        <x:v>Credit Card</x:v>
      </x:c>
      <x:c r="N476" s="3"/>
      <x:c r="O476" s="3"/>
      <x:c r="P476" s="3"/>
      <x:c r="Q476" s="3"/>
    </x:row>
    <x:row r="477" ht="21" customHeight="1">
      <x:c r="A477" s="3" t="str">
        <x:v>ORD-101657</x:v>
      </x:c>
      <x:c r="B477" s="5" t="n">
        <x:v>45435</x:v>
      </x:c>
      <x:c r="C477" s="3" t="str">
        <x:v>CUST-00130</x:v>
      </x:c>
      <x:c r="D477" s="3" t="str">
        <x:v>South</x:v>
      </x:c>
      <x:c r="E477" s="3" t="str">
        <x:v>Electronics</x:v>
      </x:c>
      <x:c r="F477" s="3" t="str">
        <x:v>Audio</x:v>
      </x:c>
      <x:c r="G477" s="3" t="str">
        <x:v>SoundPods Pro</x:v>
      </x:c>
      <x:c r="H477" s="3" t="n">
        <x:v>1</x:v>
      </x:c>
      <x:c r="I477" s="7" t="n">
        <x:v>4773.73</x:v>
      </x:c>
      <x:c r="J477" s="9" t="n">
        <x:v>0.1</x:v>
      </x:c>
      <x:c r="K477" s="7" t="n">
        <x:v>4296.36</x:v>
      </x:c>
      <x:c r="L477" s="7" t="n">
        <x:v>400.03</x:v>
      </x:c>
      <x:c r="M477" s="3" t="str">
        <x:v>Credit Card</x:v>
      </x:c>
      <x:c r="N477" s="3"/>
      <x:c r="O477" s="3"/>
      <x:c r="P477" s="3"/>
      <x:c r="Q477" s="3"/>
    </x:row>
    <x:row r="478" ht="21" customHeight="1">
      <x:c r="A478" s="3" t="str">
        <x:v>ORD-101174</x:v>
      </x:c>
      <x:c r="B478" s="5" t="n">
        <x:v>45436</x:v>
      </x:c>
      <x:c r="C478" s="3" t="str">
        <x:v>CUST-00182</x:v>
      </x:c>
      <x:c r="D478" s="3" t="str">
        <x:v>South</x:v>
      </x:c>
      <x:c r="E478" s="3" t="str">
        <x:v>Electronics</x:v>
      </x:c>
      <x:c r="F478" s="3" t="str">
        <x:v>Laptop</x:v>
      </x:c>
      <x:c r="G478" s="3" t="str">
        <x:v>AirBook Slim</x:v>
      </x:c>
      <x:c r="H478" s="3" t="n">
        <x:v>1</x:v>
      </x:c>
      <x:c r="I478" s="7" t="n">
        <x:v>81635.12</x:v>
      </x:c>
      <x:c r="J478" s="9" t="n">
        <x:v>0.15</x:v>
      </x:c>
      <x:c r="K478" s="7" t="n">
        <x:v>69389.85</x:v>
      </x:c>
      <x:c r="L478" s="7" t="n">
        <x:v>1898.92</x:v>
      </x:c>
      <x:c r="M478" s="3" t="str">
        <x:v>UPI</x:v>
      </x:c>
      <x:c r="N478" s="3"/>
      <x:c r="O478" s="3"/>
      <x:c r="P478" s="3"/>
      <x:c r="Q478" s="3"/>
    </x:row>
    <x:row r="479" ht="21" customHeight="1">
      <x:c r="A479" s="3" t="str">
        <x:v>ORD-101753</x:v>
      </x:c>
      <x:c r="B479" s="5" t="n">
        <x:v>45436</x:v>
      </x:c>
      <x:c r="C479" s="3" t="str">
        <x:v>CUST-00245</x:v>
      </x:c>
      <x:c r="D479" s="3" t="str">
        <x:v>East</x:v>
      </x:c>
      <x:c r="E479" s="3" t="str">
        <x:v>Home &amp; Kitchen</x:v>
      </x:c>
      <x:c r="F479" s="3" t="str">
        <x:v>Furniture</x:v>
      </x:c>
      <x:c r="G479" s="3" t="str">
        <x:v>ErgoComfort Chair</x:v>
      </x:c>
      <x:c r="H479" s="3" t="n">
        <x:v>1</x:v>
      </x:c>
      <x:c r="I479" s="7" t="n">
        <x:v>9388.7</x:v>
      </x:c>
      <x:c r="J479" s="9" t="n">
        <x:v>0</x:v>
      </x:c>
      <x:c r="K479" s="7" t="n">
        <x:v>9388.7</x:v>
      </x:c>
      <x:c r="L479" s="7" t="n">
        <x:v>2842.49</x:v>
      </x:c>
      <x:c r="M479" s="3" t="str">
        <x:v>Net Banking</x:v>
      </x:c>
      <x:c r="N479" s="3"/>
      <x:c r="O479" s="3"/>
      <x:c r="P479" s="3"/>
      <x:c r="Q479" s="3"/>
    </x:row>
    <x:row r="480" ht="21" customHeight="1">
      <x:c r="A480" s="3" t="str">
        <x:v>ORD-100211</x:v>
      </x:c>
      <x:c r="B480" s="5" t="n">
        <x:v>45438</x:v>
      </x:c>
      <x:c r="C480" s="3" t="str">
        <x:v>CUST-00577</x:v>
      </x:c>
      <x:c r="D480" s="3" t="str">
        <x:v>West</x:v>
      </x:c>
      <x:c r="E480" s="3" t="str">
        <x:v>Electronics</x:v>
      </x:c>
      <x:c r="F480" s="3" t="str">
        <x:v>Audio</x:v>
      </x:c>
      <x:c r="G480" s="3" t="str">
        <x:v>SoundPods Pro</x:v>
      </x:c>
      <x:c r="H480" s="3" t="n">
        <x:v>1</x:v>
      </x:c>
      <x:c r="I480" s="7" t="n">
        <x:v>4898.65</x:v>
      </x:c>
      <x:c r="J480" s="9" t="n">
        <x:v>0.05</x:v>
      </x:c>
      <x:c r="K480" s="7" t="n">
        <x:v>4653.72</x:v>
      </x:c>
      <x:c r="L480" s="7" t="n">
        <x:v>526.42</x:v>
      </x:c>
      <x:c r="M480" s="3" t="str">
        <x:v>Net Banking</x:v>
      </x:c>
      <x:c r="N480" s="3"/>
      <x:c r="O480" s="3"/>
      <x:c r="P480" s="3"/>
      <x:c r="Q480" s="3"/>
    </x:row>
    <x:row r="481" ht="21" customHeight="1">
      <x:c r="A481" s="3" t="str">
        <x:v>ORD-100651</x:v>
      </x:c>
      <x:c r="B481" s="5" t="n">
        <x:v>45438</x:v>
      </x:c>
      <x:c r="C481" s="3" t="str">
        <x:v>CUST-00215</x:v>
      </x:c>
      <x:c r="D481" s="3" t="str">
        <x:v>East</x:v>
      </x:c>
      <x:c r="E481" s="3" t="str">
        <x:v>Beauty</x:v>
      </x:c>
      <x:c r="F481" s="3" t="str">
        <x:v>Makeup</x:v>
      </x:c>
      <x:c r="G481" s="3" t="str">
        <x:v>HD Foundation Kit</x:v>
      </x:c>
      <x:c r="H481" s="3" t="n">
        <x:v>2</x:v>
      </x:c>
      <x:c r="I481" s="7" t="n">
        <x:v>1554.38</x:v>
      </x:c>
      <x:c r="J481" s="9" t="n">
        <x:v>0.25</x:v>
      </x:c>
      <x:c r="K481" s="7" t="n">
        <x:v>2331.57</x:v>
      </x:c>
      <x:c r="L481" s="7" t="n">
        <x:v>539.16</x:v>
      </x:c>
      <x:c r="M481" s="3" t="str">
        <x:v>Debit Card</x:v>
      </x:c>
      <x:c r="N481" s="3"/>
      <x:c r="O481" s="3"/>
      <x:c r="P481" s="3"/>
      <x:c r="Q481" s="3"/>
    </x:row>
    <x:row r="482" ht="21" customHeight="1">
      <x:c r="A482" s="3" t="str">
        <x:v>ORD-101219</x:v>
      </x:c>
      <x:c r="B482" s="5" t="n">
        <x:v>45438</x:v>
      </x:c>
      <x:c r="C482" s="3" t="str">
        <x:v>CUST-00538</x:v>
      </x:c>
      <x:c r="D482" s="3" t="str">
        <x:v>West</x:v>
      </x:c>
      <x:c r="E482" s="3" t="str">
        <x:v>Home &amp; Kitchen</x:v>
      </x:c>
      <x:c r="F482" s="3" t="str">
        <x:v>Furniture</x:v>
      </x:c>
      <x:c r="G482" s="3" t="str">
        <x:v>ErgoComfort Chair</x:v>
      </x:c>
      <x:c r="H482" s="3" t="n">
        <x:v>1</x:v>
      </x:c>
      <x:c r="I482" s="7" t="n">
        <x:v>9063.83</x:v>
      </x:c>
      <x:c r="J482" s="9" t="n">
        <x:v>0</x:v>
      </x:c>
      <x:c r="K482" s="7" t="n">
        <x:v>9063.83</x:v>
      </x:c>
      <x:c r="L482" s="7" t="n">
        <x:v>2980.47</x:v>
      </x:c>
      <x:c r="M482" s="3" t="str">
        <x:v>Credit Card</x:v>
      </x:c>
      <x:c r="N482" s="3"/>
      <x:c r="O482" s="3"/>
      <x:c r="P482" s="3"/>
      <x:c r="Q482" s="3"/>
    </x:row>
    <x:row r="483" ht="21" customHeight="1">
      <x:c r="A483" s="3" t="str">
        <x:v>ORD-100756</x:v>
      </x:c>
      <x:c r="B483" s="5" t="n">
        <x:v>45439</x:v>
      </x:c>
      <x:c r="C483" s="3" t="str">
        <x:v>CUST-00594</x:v>
      </x:c>
      <x:c r="D483" s="3" t="str">
        <x:v>North</x:v>
      </x:c>
      <x:c r="E483" s="3" t="str">
        <x:v>Home &amp; Kitchen</x:v>
      </x:c>
      <x:c r="F483" s="3" t="str">
        <x:v>Furniture</x:v>
      </x:c>
      <x:c r="G483" s="3" t="str">
        <x:v>Oakwood Study Desk</x:v>
      </x:c>
      <x:c r="H483" s="3" t="n">
        <x:v>2</x:v>
      </x:c>
      <x:c r="I483" s="7" t="n">
        <x:v>12840.55</x:v>
      </x:c>
      <x:c r="J483" s="9" t="n">
        <x:v>0.15</x:v>
      </x:c>
      <x:c r="K483" s="7" t="n">
        <x:v>21828.93</x:v>
      </x:c>
      <x:c r="L483" s="7" t="n">
        <x:v>3019.78</x:v>
      </x:c>
      <x:c r="M483" s="3" t="str">
        <x:v>UPI</x:v>
      </x:c>
      <x:c r="N483" s="3"/>
      <x:c r="O483" s="3"/>
      <x:c r="P483" s="3"/>
      <x:c r="Q483" s="3"/>
    </x:row>
    <x:row r="484" ht="21" customHeight="1">
      <x:c r="A484" s="3" t="str">
        <x:v>ORD-101022</x:v>
      </x:c>
      <x:c r="B484" s="5" t="n">
        <x:v>45439</x:v>
      </x:c>
      <x:c r="C484" s="3" t="str">
        <x:v>CUST-00421</x:v>
      </x:c>
      <x:c r="D484" s="3" t="str">
        <x:v>West</x:v>
      </x:c>
      <x:c r="E484" s="3" t="str">
        <x:v>Sports</x:v>
      </x:c>
      <x:c r="F484" s="3" t="str">
        <x:v>Outdoor</x:v>
      </x:c>
      <x:c r="G484" s="3" t="str">
        <x:v>TrailHike Backpack 60L</x:v>
      </x:c>
      <x:c r="H484" s="3" t="n">
        <x:v>1</x:v>
      </x:c>
      <x:c r="I484" s="7" t="n">
        <x:v>3385.06</x:v>
      </x:c>
      <x:c r="J484" s="9" t="n">
        <x:v>0.1</x:v>
      </x:c>
      <x:c r="K484" s="7" t="n">
        <x:v>3046.55</x:v>
      </x:c>
      <x:c r="L484" s="7" t="n">
        <x:v>921.25</x:v>
      </x:c>
      <x:c r="M484" s="3" t="str">
        <x:v>Net Banking</x:v>
      </x:c>
      <x:c r="N484" s="3"/>
      <x:c r="O484" s="3"/>
      <x:c r="P484" s="3"/>
      <x:c r="Q484" s="3"/>
    </x:row>
    <x:row r="485" ht="21" customHeight="1">
      <x:c r="A485" s="3" t="str">
        <x:v>ORD-101574</x:v>
      </x:c>
      <x:c r="B485" s="5" t="n">
        <x:v>45439</x:v>
      </x:c>
      <x:c r="C485" s="3" t="str">
        <x:v>CUST-00220</x:v>
      </x:c>
      <x:c r="D485" s="3" t="str">
        <x:v>North</x:v>
      </x:c>
      <x:c r="E485" s="3" t="str">
        <x:v>Fashion</x:v>
      </x:c>
      <x:c r="F485" s="3" t="str">
        <x:v>Women</x:v>
      </x:c>
      <x:c r="G485" s="3" t="str">
        <x:v>Knit Winter Sweater</x:v>
      </x:c>
      <x:c r="H485" s="3" t="n">
        <x:v>3</x:v>
      </x:c>
      <x:c r="I485" s="7" t="n">
        <x:v>2118.02</x:v>
      </x:c>
      <x:c r="J485" s="9" t="n">
        <x:v>0.25</x:v>
      </x:c>
      <x:c r="K485" s="7" t="n">
        <x:v>4765.55</x:v>
      </x:c>
      <x:c r="L485" s="7" t="n">
        <x:v>578.27</x:v>
      </x:c>
      <x:c r="M485" s="3" t="str">
        <x:v>UPI</x:v>
      </x:c>
      <x:c r="N485" s="3"/>
      <x:c r="O485" s="3"/>
      <x:c r="P485" s="3"/>
      <x:c r="Q485" s="3"/>
    </x:row>
    <x:row r="486" ht="21" customHeight="1">
      <x:c r="A486" s="3" t="str">
        <x:v>ORD-100523</x:v>
      </x:c>
      <x:c r="B486" s="5" t="n">
        <x:v>45440</x:v>
      </x:c>
      <x:c r="C486" s="3" t="str">
        <x:v>CUST-00377</x:v>
      </x:c>
      <x:c r="D486" s="3" t="str">
        <x:v>South</x:v>
      </x:c>
      <x:c r="E486" s="3" t="str">
        <x:v>Beauty</x:v>
      </x:c>
      <x:c r="F486" s="3" t="str">
        <x:v>Skincare</x:v>
      </x:c>
      <x:c r="G486" s="3" t="str">
        <x:v>HydraBoost Moisturizer</x:v>
      </x:c>
      <x:c r="H486" s="3" t="n">
        <x:v>1</x:v>
      </x:c>
      <x:c r="I486" s="7" t="n">
        <x:v>1152.59</x:v>
      </x:c>
      <x:c r="J486" s="9" t="n">
        <x:v>0.1</x:v>
      </x:c>
      <x:c r="K486" s="7" t="n">
        <x:v>1037.33</x:v>
      </x:c>
      <x:c r="L486" s="7" t="n">
        <x:v>455.03</x:v>
      </x:c>
      <x:c r="M486" s="3" t="str">
        <x:v>UPI</x:v>
      </x:c>
      <x:c r="N486" s="3"/>
      <x:c r="O486" s="3"/>
      <x:c r="P486" s="3"/>
      <x:c r="Q486" s="3"/>
    </x:row>
    <x:row r="487" ht="21" customHeight="1">
      <x:c r="A487" s="3" t="str">
        <x:v>ORD-101176</x:v>
      </x:c>
      <x:c r="B487" s="5" t="n">
        <x:v>45440</x:v>
      </x:c>
      <x:c r="C487" s="3" t="str">
        <x:v>CUST-00380</x:v>
      </x:c>
      <x:c r="D487" s="3" t="str">
        <x:v>West</x:v>
      </x:c>
      <x:c r="E487" s="3" t="str">
        <x:v>Fashion</x:v>
      </x:c>
      <x:c r="F487" s="3" t="str">
        <x:v>Women</x:v>
      </x:c>
      <x:c r="G487" s="3" t="str">
        <x:v>Floral Summer Dress</x:v>
      </x:c>
      <x:c r="H487" s="3" t="n">
        <x:v>1</x:v>
      </x:c>
      <x:c r="I487" s="7" t="n">
        <x:v>1796.46</x:v>
      </x:c>
      <x:c r="J487" s="9" t="n">
        <x:v>0</x:v>
      </x:c>
      <x:c r="K487" s="7" t="n">
        <x:v>1796.46</x:v>
      </x:c>
      <x:c r="L487" s="7" t="n">
        <x:v>714.11</x:v>
      </x:c>
      <x:c r="M487" s="3" t="str">
        <x:v>Credit Card</x:v>
      </x:c>
      <x:c r="N487" s="3"/>
      <x:c r="O487" s="3"/>
      <x:c r="P487" s="3"/>
      <x:c r="Q487" s="3"/>
    </x:row>
    <x:row r="488" ht="21" customHeight="1">
      <x:c r="A488" s="3" t="str">
        <x:v>ORD-101618</x:v>
      </x:c>
      <x:c r="B488" s="5" t="n">
        <x:v>45440</x:v>
      </x:c>
      <x:c r="C488" s="3" t="str">
        <x:v>CUST-00005</x:v>
      </x:c>
      <x:c r="D488" s="3" t="str">
        <x:v>North</x:v>
      </x:c>
      <x:c r="E488" s="3" t="str">
        <x:v>Fashion</x:v>
      </x:c>
      <x:c r="F488" s="3" t="str">
        <x:v>Footwear</x:v>
      </x:c>
      <x:c r="G488" s="3" t="str">
        <x:v>UrbanLoafers</x:v>
      </x:c>
      <x:c r="H488" s="3" t="n">
        <x:v>2</x:v>
      </x:c>
      <x:c r="I488" s="7" t="n">
        <x:v>3654.12</x:v>
      </x:c>
      <x:c r="J488" s="9" t="n">
        <x:v>0.25</x:v>
      </x:c>
      <x:c r="K488" s="7" t="n">
        <x:v>5481.18</x:v>
      </x:c>
      <x:c r="L488" s="7" t="n">
        <x:v>546.23</x:v>
      </x:c>
      <x:c r="M488" s="3" t="str">
        <x:v>UPI</x:v>
      </x:c>
      <x:c r="N488" s="3"/>
      <x:c r="O488" s="3"/>
      <x:c r="P488" s="3"/>
      <x:c r="Q488" s="3"/>
    </x:row>
    <x:row r="489" ht="21" customHeight="1">
      <x:c r="A489" s="3" t="str">
        <x:v>ORD-100070</x:v>
      </x:c>
      <x:c r="B489" s="5" t="n">
        <x:v>45441</x:v>
      </x:c>
      <x:c r="C489" s="3" t="str">
        <x:v>CUST-00422</x:v>
      </x:c>
      <x:c r="D489" s="3" t="str">
        <x:v>North</x:v>
      </x:c>
      <x:c r="E489" s="3" t="str">
        <x:v>Electronics</x:v>
      </x:c>
      <x:c r="F489" s="3" t="str">
        <x:v>Laptop</x:v>
      </x:c>
      <x:c r="G489" s="3" t="str">
        <x:v>ThinkPro 14</x:v>
      </x:c>
      <x:c r="H489" s="3" t="n">
        <x:v>2</x:v>
      </x:c>
      <x:c r="I489" s="7" t="n">
        <x:v>52502</x:v>
      </x:c>
      <x:c r="J489" s="9" t="n">
        <x:v>0.25</x:v>
      </x:c>
      <x:c r="K489" s="7" t="n">
        <x:v>78753</x:v>
      </x:c>
      <x:c r="L489" s="7" t="n">
        <x:v>-6600.17</x:v>
      </x:c>
      <x:c r="M489" s="3" t="str">
        <x:v>UPI</x:v>
      </x:c>
      <x:c r="N489" s="3"/>
      <x:c r="O489" s="3"/>
      <x:c r="P489" s="3"/>
      <x:c r="Q489" s="3"/>
    </x:row>
    <x:row r="490" ht="21" customHeight="1">
      <x:c r="A490" s="3" t="str">
        <x:v>ORD-100113</x:v>
      </x:c>
      <x:c r="B490" s="5" t="n">
        <x:v>45441</x:v>
      </x:c>
      <x:c r="C490" s="3" t="str">
        <x:v>CUST-00294</x:v>
      </x:c>
      <x:c r="D490" s="3" t="str">
        <x:v>West</x:v>
      </x:c>
      <x:c r="E490" s="3" t="str">
        <x:v>Home &amp; Kitchen</x:v>
      </x:c>
      <x:c r="F490" s="3" t="str">
        <x:v>Furniture</x:v>
      </x:c>
      <x:c r="G490" s="3" t="str">
        <x:v>ErgoComfort Chair</x:v>
      </x:c>
      <x:c r="H490" s="3" t="n">
        <x:v>5</x:v>
      </x:c>
      <x:c r="I490" s="7" t="n">
        <x:v>8574.42</x:v>
      </x:c>
      <x:c r="J490" s="9" t="n">
        <x:v>0.05</x:v>
      </x:c>
      <x:c r="K490" s="7" t="n">
        <x:v>40728.49</x:v>
      </x:c>
      <x:c r="L490" s="7" t="n">
        <x:v>12502.26</x:v>
      </x:c>
      <x:c r="M490" s="3" t="str">
        <x:v>Credit Card</x:v>
      </x:c>
      <x:c r="N490" s="3"/>
      <x:c r="O490" s="3"/>
      <x:c r="P490" s="3"/>
      <x:c r="Q490" s="3"/>
    </x:row>
    <x:row r="491" ht="21" customHeight="1">
      <x:c r="A491" s="3" t="str">
        <x:v>ORD-100146</x:v>
      </x:c>
      <x:c r="B491" s="5" t="n">
        <x:v>45441</x:v>
      </x:c>
      <x:c r="C491" s="3" t="str">
        <x:v>CUST-00295</x:v>
      </x:c>
      <x:c r="D491" s="3" t="str">
        <x:v>East</x:v>
      </x:c>
      <x:c r="E491" s="3" t="str">
        <x:v>Home &amp; Kitchen</x:v>
      </x:c>
      <x:c r="F491" s="3" t="str">
        <x:v>Decor</x:v>
      </x:c>
      <x:c r="G491" s="3" t="str">
        <x:v>LED Wall Lamp</x:v>
      </x:c>
      <x:c r="H491" s="3" t="n">
        <x:v>2</x:v>
      </x:c>
      <x:c r="I491" s="7" t="n">
        <x:v>1021.14</x:v>
      </x:c>
      <x:c r="J491" s="9" t="n">
        <x:v>0.25</x:v>
      </x:c>
      <x:c r="K491" s="7" t="n">
        <x:v>1531.71</x:v>
      </x:c>
      <x:c r="L491" s="7" t="n">
        <x:v>39.09</x:v>
      </x:c>
      <x:c r="M491" s="3" t="str">
        <x:v>Credit Card</x:v>
      </x:c>
      <x:c r="N491" s="3"/>
      <x:c r="O491" s="3"/>
      <x:c r="P491" s="3"/>
      <x:c r="Q491" s="3"/>
    </x:row>
    <x:row r="492" ht="21" customHeight="1">
      <x:c r="A492" s="3" t="str">
        <x:v>ORD-100359</x:v>
      </x:c>
      <x:c r="B492" s="5" t="n">
        <x:v>45441</x:v>
      </x:c>
      <x:c r="C492" s="3" t="str">
        <x:v>CUST-00402</x:v>
      </x:c>
      <x:c r="D492" s="3" t="str">
        <x:v>East</x:v>
      </x:c>
      <x:c r="E492" s="3" t="str">
        <x:v>Sports</x:v>
      </x:c>
      <x:c r="F492" s="3" t="str">
        <x:v>Fitness</x:v>
      </x:c>
      <x:c r="G492" s="3" t="str">
        <x:v>Adjustable Dumbbell 24kg</x:v>
      </x:c>
      <x:c r="H492" s="3" t="n">
        <x:v>1</x:v>
      </x:c>
      <x:c r="I492" s="7" t="n">
        <x:v>9997.4</x:v>
      </x:c>
      <x:c r="J492" s="9" t="n">
        <x:v>0.15</x:v>
      </x:c>
      <x:c r="K492" s="7" t="n">
        <x:v>8497.79</x:v>
      </x:c>
      <x:c r="L492" s="7" t="n">
        <x:v>1675.86</x:v>
      </x:c>
      <x:c r="M492" s="3" t="str">
        <x:v>UPI</x:v>
      </x:c>
      <x:c r="N492" s="3"/>
      <x:c r="O492" s="3"/>
      <x:c r="P492" s="3"/>
      <x:c r="Q492" s="3"/>
    </x:row>
    <x:row r="493" ht="21" customHeight="1">
      <x:c r="A493" s="3" t="str">
        <x:v>ORD-100741</x:v>
      </x:c>
      <x:c r="B493" s="5" t="n">
        <x:v>45441</x:v>
      </x:c>
      <x:c r="C493" s="3" t="str">
        <x:v>CUST-00328</x:v>
      </x:c>
      <x:c r="D493" s="3" t="str">
        <x:v>South</x:v>
      </x:c>
      <x:c r="E493" s="3" t="str">
        <x:v>Home &amp; Kitchen</x:v>
      </x:c>
      <x:c r="F493" s="3" t="str">
        <x:v>Decor</x:v>
      </x:c>
      <x:c r="G493" s="3" t="str">
        <x:v>LED Wall Lamp</x:v>
      </x:c>
      <x:c r="H493" s="3" t="n">
        <x:v>1</x:v>
      </x:c>
      <x:c r="I493" s="7" t="n">
        <x:v>960.47</x:v>
      </x:c>
      <x:c r="J493" s="9" t="n">
        <x:v>0.15</x:v>
      </x:c>
      <x:c r="K493" s="7" t="n">
        <x:v>816.4</x:v>
      </x:c>
      <x:c r="L493" s="7" t="n">
        <x:v>125.62</x:v>
      </x:c>
      <x:c r="M493" s="3" t="str">
        <x:v>Cash on Delivery</x:v>
      </x:c>
      <x:c r="N493" s="3"/>
      <x:c r="O493" s="3"/>
      <x:c r="P493" s="3"/>
      <x:c r="Q493" s="3"/>
    </x:row>
    <x:row r="494" ht="21" customHeight="1">
      <x:c r="A494" s="3" t="str">
        <x:v>ORD-101076</x:v>
      </x:c>
      <x:c r="B494" s="5" t="n">
        <x:v>45441</x:v>
      </x:c>
      <x:c r="C494" s="3" t="str">
        <x:v>CUST-00356</x:v>
      </x:c>
      <x:c r="D494" s="3" t="str">
        <x:v>South</x:v>
      </x:c>
      <x:c r="E494" s="3" t="str">
        <x:v>Fashion</x:v>
      </x:c>
      <x:c r="F494" s="3" t="str">
        <x:v>Footwear</x:v>
      </x:c>
      <x:c r="G494" s="3" t="str">
        <x:v>RunFlex Sneakers</x:v>
      </x:c>
      <x:c r="H494" s="3" t="n">
        <x:v>1</x:v>
      </x:c>
      <x:c r="I494" s="7" t="n">
        <x:v>2959.2</x:v>
      </x:c>
      <x:c r="J494" s="9" t="n">
        <x:v>0</x:v>
      </x:c>
      <x:c r="K494" s="7" t="n">
        <x:v>2959.2</x:v>
      </x:c>
      <x:c r="L494" s="7" t="n">
        <x:v>1318.79</x:v>
      </x:c>
      <x:c r="M494" s="3" t="str">
        <x:v>UPI</x:v>
      </x:c>
      <x:c r="N494" s="3"/>
      <x:c r="O494" s="3"/>
      <x:c r="P494" s="3"/>
      <x:c r="Q494" s="3"/>
    </x:row>
    <x:row r="495" ht="21" customHeight="1">
      <x:c r="A495" s="3" t="str">
        <x:v>ORD-101458</x:v>
      </x:c>
      <x:c r="B495" s="5" t="n">
        <x:v>45441</x:v>
      </x:c>
      <x:c r="C495" s="3" t="str">
        <x:v>CUST-00337</x:v>
      </x:c>
      <x:c r="D495" s="3" t="str">
        <x:v>East</x:v>
      </x:c>
      <x:c r="E495" s="3" t="str">
        <x:v>Home &amp; Kitchen</x:v>
      </x:c>
      <x:c r="F495" s="3" t="str">
        <x:v>Furniture</x:v>
      </x:c>
      <x:c r="G495" s="3" t="str">
        <x:v>ErgoComfort Chair</x:v>
      </x:c>
      <x:c r="H495" s="3" t="n">
        <x:v>3</x:v>
      </x:c>
      <x:c r="I495" s="7" t="n">
        <x:v>9022.24</x:v>
      </x:c>
      <x:c r="J495" s="9" t="n">
        <x:v>0</x:v>
      </x:c>
      <x:c r="K495" s="7" t="n">
        <x:v>27066.72</x:v>
      </x:c>
      <x:c r="L495" s="7" t="n">
        <x:v>9313.16</x:v>
      </x:c>
      <x:c r="M495" s="3" t="str">
        <x:v>Credit Card</x:v>
      </x:c>
      <x:c r="N495" s="3"/>
      <x:c r="O495" s="3"/>
      <x:c r="P495" s="3"/>
      <x:c r="Q495" s="3"/>
    </x:row>
    <x:row r="496" ht="21" customHeight="1">
      <x:c r="A496" s="3" t="str">
        <x:v>ORD-101982</x:v>
      </x:c>
      <x:c r="B496" s="5" t="n">
        <x:v>45441</x:v>
      </x:c>
      <x:c r="C496" s="3" t="str">
        <x:v>CUST-00435</x:v>
      </x:c>
      <x:c r="D496" s="3" t="str">
        <x:v>East</x:v>
      </x:c>
      <x:c r="E496" s="3" t="str">
        <x:v>Home &amp; Kitchen</x:v>
      </x:c>
      <x:c r="F496" s="3" t="str">
        <x:v>Furniture</x:v>
      </x:c>
      <x:c r="G496" s="3" t="str">
        <x:v>Oakwood Study Desk</x:v>
      </x:c>
      <x:c r="H496" s="3" t="n">
        <x:v>1</x:v>
      </x:c>
      <x:c r="I496" s="7" t="n">
        <x:v>12946.01</x:v>
      </x:c>
      <x:c r="J496" s="9" t="n">
        <x:v>0.1</x:v>
      </x:c>
      <x:c r="K496" s="7" t="n">
        <x:v>11651.41</x:v>
      </x:c>
      <x:c r="L496" s="7" t="n">
        <x:v>2363.36</x:v>
      </x:c>
      <x:c r="M496" s="3" t="str">
        <x:v>Credit Card</x:v>
      </x:c>
      <x:c r="N496" s="3"/>
      <x:c r="O496" s="3"/>
      <x:c r="P496" s="3"/>
      <x:c r="Q496" s="3"/>
    </x:row>
    <x:row r="497" ht="21" customHeight="1">
      <x:c r="A497" s="3" t="str">
        <x:v>ORD-100252</x:v>
      </x:c>
      <x:c r="B497" s="5" t="n">
        <x:v>45442</x:v>
      </x:c>
      <x:c r="C497" s="3" t="str">
        <x:v>CUST-00460</x:v>
      </x:c>
      <x:c r="D497" s="3" t="str">
        <x:v>East</x:v>
      </x:c>
      <x:c r="E497" s="3" t="str">
        <x:v>Sports</x:v>
      </x:c>
      <x:c r="F497" s="3" t="str">
        <x:v>Fitness</x:v>
      </x:c>
      <x:c r="G497" s="3" t="str">
        <x:v>Adjustable Dumbbell 24kg</x:v>
      </x:c>
      <x:c r="H497" s="3" t="n">
        <x:v>1</x:v>
      </x:c>
      <x:c r="I497" s="7" t="n">
        <x:v>10352.9</x:v>
      </x:c>
      <x:c r="J497" s="9" t="n">
        <x:v>0.05</x:v>
      </x:c>
      <x:c r="K497" s="7" t="n">
        <x:v>9835.25</x:v>
      </x:c>
      <x:c r="L497" s="7" t="n">
        <x:v>2805.78</x:v>
      </x:c>
      <x:c r="M497" s="3" t="str">
        <x:v>Credit Card</x:v>
      </x:c>
      <x:c r="N497" s="3"/>
      <x:c r="O497" s="3"/>
      <x:c r="P497" s="3"/>
      <x:c r="Q497" s="3"/>
    </x:row>
    <x:row r="498" ht="21" customHeight="1">
      <x:c r="A498" s="3" t="str">
        <x:v>ORD-101228</x:v>
      </x:c>
      <x:c r="B498" s="5" t="n">
        <x:v>45442</x:v>
      </x:c>
      <x:c r="C498" s="3" t="str">
        <x:v>CUST-00273</x:v>
      </x:c>
      <x:c r="D498" s="3" t="str">
        <x:v>East</x:v>
      </x:c>
      <x:c r="E498" s="3" t="str">
        <x:v>Fashion</x:v>
      </x:c>
      <x:c r="F498" s="3" t="str">
        <x:v>Footwear</x:v>
      </x:c>
      <x:c r="G498" s="3" t="str">
        <x:v>UrbanLoafers</x:v>
      </x:c>
      <x:c r="H498" s="3" t="n">
        <x:v>1</x:v>
      </x:c>
      <x:c r="I498" s="7" t="n">
        <x:v>3621.11</x:v>
      </x:c>
      <x:c r="J498" s="9" t="n">
        <x:v>0.1</x:v>
      </x:c>
      <x:c r="K498" s="7" t="n">
        <x:v>3259</x:v>
      </x:c>
      <x:c r="L498" s="7" t="n">
        <x:v>902.02</x:v>
      </x:c>
      <x:c r="M498" s="3" t="str">
        <x:v>UPI</x:v>
      </x:c>
      <x:c r="N498" s="3"/>
      <x:c r="O498" s="3"/>
      <x:c r="P498" s="3"/>
      <x:c r="Q498" s="3"/>
    </x:row>
    <x:row r="499" ht="21" customHeight="1">
      <x:c r="A499" s="3" t="str">
        <x:v>ORD-101838</x:v>
      </x:c>
      <x:c r="B499" s="5" t="n">
        <x:v>45442</x:v>
      </x:c>
      <x:c r="C499" s="3" t="str">
        <x:v>CUST-00482</x:v>
      </x:c>
      <x:c r="D499" s="3" t="str">
        <x:v>East</x:v>
      </x:c>
      <x:c r="E499" s="3" t="str">
        <x:v>Home &amp; Kitchen</x:v>
      </x:c>
      <x:c r="F499" s="3" t="str">
        <x:v>Decor</x:v>
      </x:c>
      <x:c r="G499" s="3" t="str">
        <x:v>LED Wall Lamp</x:v>
      </x:c>
      <x:c r="H499" s="3" t="n">
        <x:v>1</x:v>
      </x:c>
      <x:c r="I499" s="7" t="n">
        <x:v>1015.86</x:v>
      </x:c>
      <x:c r="J499" s="9" t="n">
        <x:v>0.05</x:v>
      </x:c>
      <x:c r="K499" s="7" t="n">
        <x:v>965.07</x:v>
      </x:c>
      <x:c r="L499" s="7" t="n">
        <x:v>226.4</x:v>
      </x:c>
      <x:c r="M499" s="3" t="str">
        <x:v>UPI</x:v>
      </x:c>
      <x:c r="N499" s="3"/>
      <x:c r="O499" s="3"/>
      <x:c r="P499" s="3"/>
      <x:c r="Q499" s="3"/>
    </x:row>
    <x:row r="500" ht="21" customHeight="1">
      <x:c r="A500" s="3" t="str">
        <x:v>ORD-100024</x:v>
      </x:c>
      <x:c r="B500" s="5" t="n">
        <x:v>45443</x:v>
      </x:c>
      <x:c r="C500" s="3" t="str">
        <x:v>CUST-00043</x:v>
      </x:c>
      <x:c r="D500" s="3" t="str">
        <x:v>West</x:v>
      </x:c>
      <x:c r="E500" s="3" t="str">
        <x:v>Home &amp; Kitchen</x:v>
      </x:c>
      <x:c r="F500" s="3" t="str">
        <x:v>Furniture</x:v>
      </x:c>
      <x:c r="G500" s="3" t="str">
        <x:v>ErgoComfort Chair</x:v>
      </x:c>
      <x:c r="H500" s="3" t="n">
        <x:v>2</x:v>
      </x:c>
      <x:c r="I500" s="7" t="n">
        <x:v>8557.75</x:v>
      </x:c>
      <x:c r="J500" s="9" t="n">
        <x:v>0.05</x:v>
      </x:c>
      <x:c r="K500" s="7" t="n">
        <x:v>16259.72</x:v>
      </x:c>
      <x:c r="L500" s="7" t="n">
        <x:v>3878.26</x:v>
      </x:c>
      <x:c r="M500" s="3" t="str">
        <x:v>Net Banking</x:v>
      </x:c>
      <x:c r="N500" s="3"/>
      <x:c r="O500" s="3"/>
      <x:c r="P500" s="3"/>
      <x:c r="Q500" s="3"/>
    </x:row>
    <x:row r="501" ht="21" customHeight="1">
      <x:c r="A501" s="3" t="str">
        <x:v>ORD-100670</x:v>
      </x:c>
      <x:c r="B501" s="5" t="n">
        <x:v>45443</x:v>
      </x:c>
      <x:c r="C501" s="3" t="str">
        <x:v>CUST-00438</x:v>
      </x:c>
      <x:c r="D501" s="3" t="str">
        <x:v>East</x:v>
      </x:c>
      <x:c r="E501" s="3" t="str">
        <x:v>Fashion</x:v>
      </x:c>
      <x:c r="F501" s="3" t="str">
        <x:v>Women</x:v>
      </x:c>
      <x:c r="G501" s="3" t="str">
        <x:v>Knit Winter Sweater</x:v>
      </x:c>
      <x:c r="H501" s="3" t="n">
        <x:v>1</x:v>
      </x:c>
      <x:c r="I501" s="7" t="n">
        <x:v>2137.02</x:v>
      </x:c>
      <x:c r="J501" s="9" t="n">
        <x:v>0</x:v>
      </x:c>
      <x:c r="K501" s="7" t="n">
        <x:v>2137.02</x:v>
      </x:c>
      <x:c r="L501" s="7" t="n">
        <x:v>940.01</x:v>
      </x:c>
      <x:c r="M501" s="3" t="str">
        <x:v>UPI</x:v>
      </x:c>
      <x:c r="N501" s="3"/>
      <x:c r="O501" s="3"/>
      <x:c r="P501" s="3"/>
      <x:c r="Q501" s="3"/>
    </x:row>
    <x:row r="502" ht="21" customHeight="1">
      <x:c r="A502" s="3" t="str">
        <x:v>ORD-100994</x:v>
      </x:c>
      <x:c r="B502" s="5" t="n">
        <x:v>45443</x:v>
      </x:c>
      <x:c r="C502" s="3" t="str">
        <x:v>CUST-00363</x:v>
      </x:c>
      <x:c r="D502" s="3" t="str">
        <x:v>North</x:v>
      </x:c>
      <x:c r="E502" s="3" t="str">
        <x:v>Sports</x:v>
      </x:c>
      <x:c r="F502" s="3" t="str">
        <x:v>Outdoor</x:v>
      </x:c>
      <x:c r="G502" s="3" t="str">
        <x:v>TrailHike Backpack 60L</x:v>
      </x:c>
      <x:c r="H502" s="3" t="n">
        <x:v>4</x:v>
      </x:c>
      <x:c r="I502" s="7" t="n">
        <x:v>3519.98</x:v>
      </x:c>
      <x:c r="J502" s="9" t="n">
        <x:v>0</x:v>
      </x:c>
      <x:c r="K502" s="7" t="n">
        <x:v>14079.92</x:v>
      </x:c>
      <x:c r="L502" s="7" t="n">
        <x:v>5416.82</x:v>
      </x:c>
      <x:c r="M502" s="3" t="str">
        <x:v>UPI</x:v>
      </x:c>
      <x:c r="N502" s="3"/>
      <x:c r="O502" s="3"/>
      <x:c r="P502" s="3"/>
      <x:c r="Q502" s="3"/>
    </x:row>
    <x:row r="503" ht="21" customHeight="1">
      <x:c r="A503" s="3" t="str">
        <x:v>ORD-101143</x:v>
      </x:c>
      <x:c r="B503" s="5" t="n">
        <x:v>45443</x:v>
      </x:c>
      <x:c r="C503" s="3" t="str">
        <x:v>CUST-00460</x:v>
      </x:c>
      <x:c r="D503" s="3" t="str">
        <x:v>North</x:v>
      </x:c>
      <x:c r="E503" s="3" t="str">
        <x:v>Home &amp; Kitchen</x:v>
      </x:c>
      <x:c r="F503" s="3" t="str">
        <x:v>Appliances</x:v>
      </x:c>
      <x:c r="G503" s="3" t="str">
        <x:v>ColdBrew Coffee Maker</x:v>
      </x:c>
      <x:c r="H503" s="3" t="n">
        <x:v>1</x:v>
      </x:c>
      <x:c r="I503" s="7" t="n">
        <x:v>6631.08</x:v>
      </x:c>
      <x:c r="J503" s="9" t="n">
        <x:v>0.05</x:v>
      </x:c>
      <x:c r="K503" s="7" t="n">
        <x:v>6299.53</x:v>
      </x:c>
      <x:c r="L503" s="7" t="n">
        <x:v>1483.19</x:v>
      </x:c>
      <x:c r="M503" s="3" t="str">
        <x:v>Net Banking</x:v>
      </x:c>
      <x:c r="N503" s="3"/>
      <x:c r="O503" s="3"/>
      <x:c r="P503" s="3"/>
      <x:c r="Q503" s="3"/>
    </x:row>
    <x:row r="504" ht="21" customHeight="1">
      <x:c r="A504" s="3" t="str">
        <x:v>ORD-101146</x:v>
      </x:c>
      <x:c r="B504" s="5" t="n">
        <x:v>45443</x:v>
      </x:c>
      <x:c r="C504" s="3" t="str">
        <x:v>CUST-00144</x:v>
      </x:c>
      <x:c r="D504" s="3" t="str">
        <x:v>South</x:v>
      </x:c>
      <x:c r="E504" s="3" t="str">
        <x:v>Sports</x:v>
      </x:c>
      <x:c r="F504" s="3" t="str">
        <x:v>Outdoor</x:v>
      </x:c>
      <x:c r="G504" s="3" t="str">
        <x:v>TrailHike Backpack 60L</x:v>
      </x:c>
      <x:c r="H504" s="3" t="n">
        <x:v>1</x:v>
      </x:c>
      <x:c r="I504" s="7" t="n">
        <x:v>3657.96</x:v>
      </x:c>
      <x:c r="J504" s="9" t="n">
        <x:v>0.15</x:v>
      </x:c>
      <x:c r="K504" s="7" t="n">
        <x:v>3109.27</x:v>
      </x:c>
      <x:c r="L504" s="7" t="n">
        <x:v>624.23</x:v>
      </x:c>
      <x:c r="M504" s="3" t="str">
        <x:v>Cash on Delivery</x:v>
      </x:c>
      <x:c r="N504" s="3"/>
      <x:c r="O504" s="3"/>
      <x:c r="P504" s="3"/>
      <x:c r="Q504" s="3"/>
    </x:row>
    <x:row r="505" ht="21" customHeight="1">
      <x:c r="A505" s="3" t="str">
        <x:v>ORD-101428</x:v>
      </x:c>
      <x:c r="B505" s="5" t="n">
        <x:v>45443</x:v>
      </x:c>
      <x:c r="C505" s="3" t="str">
        <x:v>CUST-00456</x:v>
      </x:c>
      <x:c r="D505" s="3" t="str">
        <x:v>South</x:v>
      </x:c>
      <x:c r="E505" s="3" t="str">
        <x:v>Fashion</x:v>
      </x:c>
      <x:c r="F505" s="3" t="str">
        <x:v>Footwear</x:v>
      </x:c>
      <x:c r="G505" s="3" t="str">
        <x:v>RunFlex Sneakers</x:v>
      </x:c>
      <x:c r="H505" s="3" t="n">
        <x:v>3</x:v>
      </x:c>
      <x:c r="I505" s="7" t="n">
        <x:v>3051.99</x:v>
      </x:c>
      <x:c r="J505" s="9" t="n">
        <x:v>0.25</x:v>
      </x:c>
      <x:c r="K505" s="7" t="n">
        <x:v>6866.98</x:v>
      </x:c>
      <x:c r="L505" s="7" t="n">
        <x:v>1015.08</x:v>
      </x:c>
      <x:c r="M505" s="3" t="str">
        <x:v>UPI</x:v>
      </x:c>
      <x:c r="N505" s="3"/>
      <x:c r="O505" s="3"/>
      <x:c r="P505" s="3"/>
      <x:c r="Q505" s="3"/>
    </x:row>
    <x:row r="506" ht="21" customHeight="1">
      <x:c r="A506" s="3" t="str">
        <x:v>ORD-101477</x:v>
      </x:c>
      <x:c r="B506" s="5" t="n">
        <x:v>45443</x:v>
      </x:c>
      <x:c r="C506" s="3" t="str">
        <x:v>CUST-00066</x:v>
      </x:c>
      <x:c r="D506" s="3" t="str">
        <x:v>North</x:v>
      </x:c>
      <x:c r="E506" s="3" t="str">
        <x:v>Home &amp; Kitchen</x:v>
      </x:c>
      <x:c r="F506" s="3" t="str">
        <x:v>Furniture</x:v>
      </x:c>
      <x:c r="G506" s="3" t="str">
        <x:v>ErgoComfort Chair</x:v>
      </x:c>
      <x:c r="H506" s="3" t="n">
        <x:v>1</x:v>
      </x:c>
      <x:c r="I506" s="7" t="n">
        <x:v>9032.14</x:v>
      </x:c>
      <x:c r="J506" s="9" t="n">
        <x:v>0.1</x:v>
      </x:c>
      <x:c r="K506" s="7" t="n">
        <x:v>8128.93</x:v>
      </x:c>
      <x:c r="L506" s="7" t="n">
        <x:v>2021.18</x:v>
      </x:c>
      <x:c r="M506" s="3" t="str">
        <x:v>Credit Card</x:v>
      </x:c>
      <x:c r="N506" s="3"/>
      <x:c r="O506" s="3"/>
      <x:c r="P506" s="3"/>
      <x:c r="Q506" s="3"/>
    </x:row>
    <x:row r="507" ht="21" customHeight="1">
      <x:c r="A507" s="3" t="str">
        <x:v>ORD-100065</x:v>
      </x:c>
      <x:c r="B507" s="5" t="n">
        <x:v>45444</x:v>
      </x:c>
      <x:c r="C507" s="3" t="str">
        <x:v>CUST-00496</x:v>
      </x:c>
      <x:c r="D507" s="3" t="str">
        <x:v>West</x:v>
      </x:c>
      <x:c r="E507" s="3" t="str">
        <x:v>Home &amp; Kitchen</x:v>
      </x:c>
      <x:c r="F507" s="3" t="str">
        <x:v>Appliances</x:v>
      </x:c>
      <x:c r="G507" s="3" t="str">
        <x:v>ColdBrew Coffee Maker</x:v>
      </x:c>
      <x:c r="H507" s="3" t="n">
        <x:v>3</x:v>
      </x:c>
      <x:c r="I507" s="7" t="n">
        <x:v>6368.08</x:v>
      </x:c>
      <x:c r="J507" s="9" t="n">
        <x:v>0</x:v>
      </x:c>
      <x:c r="K507" s="7" t="n">
        <x:v>19104.24</x:v>
      </x:c>
      <x:c r="L507" s="7" t="n">
        <x:v>6437.27</x:v>
      </x:c>
      <x:c r="M507" s="3" t="str">
        <x:v>Credit Card</x:v>
      </x:c>
      <x:c r="N507" s="3"/>
      <x:c r="O507" s="3"/>
      <x:c r="P507" s="3"/>
      <x:c r="Q507" s="3"/>
    </x:row>
    <x:row r="508" ht="21" customHeight="1">
      <x:c r="A508" s="3" t="str">
        <x:v>ORD-101047</x:v>
      </x:c>
      <x:c r="B508" s="5" t="n">
        <x:v>45444</x:v>
      </x:c>
      <x:c r="C508" s="3" t="str">
        <x:v>CUST-00015</x:v>
      </x:c>
      <x:c r="D508" s="3" t="str">
        <x:v>South</x:v>
      </x:c>
      <x:c r="E508" s="3" t="str">
        <x:v>Home &amp; Kitchen</x:v>
      </x:c>
      <x:c r="F508" s="3" t="str">
        <x:v>Decor</x:v>
      </x:c>
      <x:c r="G508" s="3" t="str">
        <x:v>LED Wall Lamp</x:v>
      </x:c>
      <x:c r="H508" s="3" t="n">
        <x:v>3</x:v>
      </x:c>
      <x:c r="I508" s="7" t="n">
        <x:v>964.3</x:v>
      </x:c>
      <x:c r="J508" s="9" t="n">
        <x:v>0.05</x:v>
      </x:c>
      <x:c r="K508" s="7" t="n">
        <x:v>2748.25</x:v>
      </x:c>
      <x:c r="L508" s="7" t="n">
        <x:v>801.19</x:v>
      </x:c>
      <x:c r="M508" s="3" t="str">
        <x:v>Cash on Delivery</x:v>
      </x:c>
      <x:c r="N508" s="3"/>
      <x:c r="O508" s="3"/>
      <x:c r="P508" s="3"/>
      <x:c r="Q508" s="3"/>
    </x:row>
    <x:row r="509" ht="21" customHeight="1">
      <x:c r="A509" s="3" t="str">
        <x:v>ORD-101230</x:v>
      </x:c>
      <x:c r="B509" s="5" t="n">
        <x:v>45444</x:v>
      </x:c>
      <x:c r="C509" s="3" t="str">
        <x:v>CUST-00319</x:v>
      </x:c>
      <x:c r="D509" s="3" t="str">
        <x:v>North</x:v>
      </x:c>
      <x:c r="E509" s="3" t="str">
        <x:v>Fashion</x:v>
      </x:c>
      <x:c r="F509" s="3" t="str">
        <x:v>Footwear</x:v>
      </x:c>
      <x:c r="G509" s="3" t="str">
        <x:v>UrbanLoafers</x:v>
      </x:c>
      <x:c r="H509" s="3" t="n">
        <x:v>2</x:v>
      </x:c>
      <x:c r="I509" s="7" t="n">
        <x:v>3586.62</x:v>
      </x:c>
      <x:c r="J509" s="9" t="n">
        <x:v>0.4</x:v>
      </x:c>
      <x:c r="K509" s="7" t="n">
        <x:v>4303.94</x:v>
      </x:c>
      <x:c r="L509" s="7" t="n">
        <x:v>-257.57</x:v>
      </x:c>
      <x:c r="M509" s="3" t="str">
        <x:v>UPI</x:v>
      </x:c>
      <x:c r="N509" s="3"/>
      <x:c r="O509" s="3"/>
      <x:c r="P509" s="3"/>
      <x:c r="Q509" s="3"/>
    </x:row>
    <x:row r="510" ht="21" customHeight="1">
      <x:c r="A510" s="3" t="str">
        <x:v>ORD-101406</x:v>
      </x:c>
      <x:c r="B510" s="5" t="n">
        <x:v>45444</x:v>
      </x:c>
      <x:c r="C510" s="3" t="str">
        <x:v>CUST-00135</x:v>
      </x:c>
      <x:c r="D510" s="3" t="str">
        <x:v>East</x:v>
      </x:c>
      <x:c r="E510" s="3" t="str">
        <x:v>Beauty</x:v>
      </x:c>
      <x:c r="F510" s="3" t="str">
        <x:v>Skincare</x:v>
      </x:c>
      <x:c r="G510" s="3" t="str">
        <x:v>Vitamin C Serum</x:v>
      </x:c>
      <x:c r="H510" s="3" t="n">
        <x:v>2</x:v>
      </x:c>
      <x:c r="I510" s="7" t="n">
        <x:v>920.11</x:v>
      </x:c>
      <x:c r="J510" s="9" t="n">
        <x:v>0.15</x:v>
      </x:c>
      <x:c r="K510" s="7" t="n">
        <x:v>1564.19</x:v>
      </x:c>
      <x:c r="L510" s="7" t="n">
        <x:v>543.88</x:v>
      </x:c>
      <x:c r="M510" s="3" t="str">
        <x:v>Cash on Delivery</x:v>
      </x:c>
      <x:c r="N510" s="3"/>
      <x:c r="O510" s="3"/>
      <x:c r="P510" s="3"/>
      <x:c r="Q510" s="3"/>
    </x:row>
    <x:row r="511" ht="21" customHeight="1">
      <x:c r="A511" s="3" t="str">
        <x:v>ORD-101598</x:v>
      </x:c>
      <x:c r="B511" s="5" t="n">
        <x:v>45444</x:v>
      </x:c>
      <x:c r="C511" s="3" t="str">
        <x:v>CUST-00359</x:v>
      </x:c>
      <x:c r="D511" s="3" t="str">
        <x:v>West</x:v>
      </x:c>
      <x:c r="E511" s="3" t="str">
        <x:v>Home &amp; Kitchen</x:v>
      </x:c>
      <x:c r="F511" s="3" t="str">
        <x:v>Furniture</x:v>
      </x:c>
      <x:c r="G511" s="3" t="str">
        <x:v>Oakwood Study Desk</x:v>
      </x:c>
      <x:c r="H511" s="3" t="n">
        <x:v>1</x:v>
      </x:c>
      <x:c r="I511" s="7" t="n">
        <x:v>13387.08</x:v>
      </x:c>
      <x:c r="J511" s="9" t="n">
        <x:v>0.15</x:v>
      </x:c>
      <x:c r="K511" s="7" t="n">
        <x:v>11379.02</x:v>
      </x:c>
      <x:c r="L511" s="7" t="n">
        <x:v>2231.91</x:v>
      </x:c>
      <x:c r="M511" s="3" t="str">
        <x:v>UPI</x:v>
      </x:c>
      <x:c r="N511" s="3"/>
      <x:c r="O511" s="3"/>
      <x:c r="P511" s="3"/>
      <x:c r="Q511" s="3"/>
    </x:row>
    <x:row r="512" ht="21" customHeight="1">
      <x:c r="A512" s="3" t="str">
        <x:v>ORD-100105</x:v>
      </x:c>
      <x:c r="B512" s="5" t="n">
        <x:v>45445</x:v>
      </x:c>
      <x:c r="C512" s="3" t="str">
        <x:v>CUST-00597</x:v>
      </x:c>
      <x:c r="D512" s="3" t="str">
        <x:v>East</x:v>
      </x:c>
      <x:c r="E512" s="3" t="str">
        <x:v>Beauty</x:v>
      </x:c>
      <x:c r="F512" s="3" t="str">
        <x:v>Skincare</x:v>
      </x:c>
      <x:c r="G512" s="3" t="str">
        <x:v>HydraBoost Moisturizer</x:v>
      </x:c>
      <x:c r="H512" s="3" t="n">
        <x:v>1</x:v>
      </x:c>
      <x:c r="I512" s="7" t="n">
        <x:v>1220.39</x:v>
      </x:c>
      <x:c r="J512" s="9" t="n">
        <x:v>0</x:v>
      </x:c>
      <x:c r="K512" s="7" t="n">
        <x:v>1220.39</x:v>
      </x:c>
      <x:c r="L512" s="7" t="n">
        <x:v>650.14</x:v>
      </x:c>
      <x:c r="M512" s="3" t="str">
        <x:v>Credit Card</x:v>
      </x:c>
      <x:c r="N512" s="3"/>
      <x:c r="O512" s="3"/>
      <x:c r="P512" s="3"/>
      <x:c r="Q512" s="3"/>
    </x:row>
    <x:row r="513" ht="21" customHeight="1">
      <x:c r="A513" s="3" t="str">
        <x:v>ORD-100324</x:v>
      </x:c>
      <x:c r="B513" s="5" t="n">
        <x:v>45445</x:v>
      </x:c>
      <x:c r="C513" s="3" t="str">
        <x:v>CUST-00182</x:v>
      </x:c>
      <x:c r="D513" s="3" t="str">
        <x:v>West</x:v>
      </x:c>
      <x:c r="E513" s="3" t="str">
        <x:v>Sports</x:v>
      </x:c>
      <x:c r="F513" s="3" t="str">
        <x:v>Fitness</x:v>
      </x:c>
      <x:c r="G513" s="3" t="str">
        <x:v>ProYoga Mat</x:v>
      </x:c>
      <x:c r="H513" s="3" t="n">
        <x:v>1</x:v>
      </x:c>
      <x:c r="I513" s="7" t="n">
        <x:v>1236.2</x:v>
      </x:c>
      <x:c r="J513" s="9" t="n">
        <x:v>0</x:v>
      </x:c>
      <x:c r="K513" s="7" t="n">
        <x:v>1236.2</x:v>
      </x:c>
      <x:c r="L513" s="7" t="n">
        <x:v>472</x:v>
      </x:c>
      <x:c r="M513" s="3" t="str">
        <x:v>Credit Card</x:v>
      </x:c>
      <x:c r="N513" s="3"/>
      <x:c r="O513" s="3"/>
      <x:c r="P513" s="3"/>
      <x:c r="Q513" s="3"/>
    </x:row>
    <x:row r="514" ht="21" customHeight="1">
      <x:c r="A514" s="3" t="str">
        <x:v>ORD-100344</x:v>
      </x:c>
      <x:c r="B514" s="5" t="n">
        <x:v>45445</x:v>
      </x:c>
      <x:c r="C514" s="3" t="str">
        <x:v>CUST-00010</x:v>
      </x:c>
      <x:c r="D514" s="3" t="str">
        <x:v>West</x:v>
      </x:c>
      <x:c r="E514" s="3" t="str">
        <x:v>Fashion</x:v>
      </x:c>
      <x:c r="F514" s="3" t="str">
        <x:v>Footwear</x:v>
      </x:c>
      <x:c r="G514" s="3" t="str">
        <x:v>RunFlex Sneakers</x:v>
      </x:c>
      <x:c r="H514" s="3" t="n">
        <x:v>3</x:v>
      </x:c>
      <x:c r="I514" s="7" t="n">
        <x:v>3090.2</x:v>
      </x:c>
      <x:c r="J514" s="9" t="n">
        <x:v>0.15</x:v>
      </x:c>
      <x:c r="K514" s="7" t="n">
        <x:v>7880.01</x:v>
      </x:c>
      <x:c r="L514" s="7" t="n">
        <x:v>1985.19</x:v>
      </x:c>
      <x:c r="M514" s="3" t="str">
        <x:v>UPI</x:v>
      </x:c>
      <x:c r="N514" s="3"/>
      <x:c r="O514" s="3"/>
      <x:c r="P514" s="3"/>
      <x:c r="Q514" s="3"/>
    </x:row>
    <x:row r="515" ht="21" customHeight="1">
      <x:c r="A515" s="3" t="str">
        <x:v>ORD-100733</x:v>
      </x:c>
      <x:c r="B515" s="5" t="n">
        <x:v>45445</x:v>
      </x:c>
      <x:c r="C515" s="3" t="str">
        <x:v>CUST-00392</x:v>
      </x:c>
      <x:c r="D515" s="3" t="str">
        <x:v>North</x:v>
      </x:c>
      <x:c r="E515" s="3" t="str">
        <x:v>Sports</x:v>
      </x:c>
      <x:c r="F515" s="3" t="str">
        <x:v>Outdoor</x:v>
      </x:c>
      <x:c r="G515" s="3" t="str">
        <x:v>TrailHike Backpack 60L</x:v>
      </x:c>
      <x:c r="H515" s="3" t="n">
        <x:v>2</x:v>
      </x:c>
      <x:c r="I515" s="7" t="n">
        <x:v>3466.56</x:v>
      </x:c>
      <x:c r="J515" s="9" t="n">
        <x:v>0</x:v>
      </x:c>
      <x:c r="K515" s="7" t="n">
        <x:v>6933.12</x:v>
      </x:c>
      <x:c r="L515" s="7" t="n">
        <x:v>2768.51</x:v>
      </x:c>
      <x:c r="M515" s="3" t="str">
        <x:v>Debit Card</x:v>
      </x:c>
      <x:c r="N515" s="3"/>
      <x:c r="O515" s="3"/>
      <x:c r="P515" s="3"/>
      <x:c r="Q515" s="3"/>
    </x:row>
    <x:row r="516" ht="21" customHeight="1">
      <x:c r="A516" s="3" t="str">
        <x:v>ORD-100719</x:v>
      </x:c>
      <x:c r="B516" s="5" t="n">
        <x:v>45446</x:v>
      </x:c>
      <x:c r="C516" s="3" t="str">
        <x:v>CUST-00544</x:v>
      </x:c>
      <x:c r="D516" s="3" t="str">
        <x:v>West</x:v>
      </x:c>
      <x:c r="E516" s="3" t="str">
        <x:v>Fashion</x:v>
      </x:c>
      <x:c r="F516" s="3" t="str">
        <x:v>Men</x:v>
      </x:c>
      <x:c r="G516" s="3" t="str">
        <x:v>Oxford Casual Shirt</x:v>
      </x:c>
      <x:c r="H516" s="3" t="n">
        <x:v>1</x:v>
      </x:c>
      <x:c r="I516" s="7" t="n">
        <x:v>1249.42</x:v>
      </x:c>
      <x:c r="J516" s="9" t="n">
        <x:v>0.1</x:v>
      </x:c>
      <x:c r="K516" s="7" t="n">
        <x:v>1124.48</x:v>
      </x:c>
      <x:c r="L516" s="7" t="n">
        <x:v>381.05</x:v>
      </x:c>
      <x:c r="M516" s="3" t="str">
        <x:v>Net Banking</x:v>
      </x:c>
      <x:c r="N516" s="3"/>
      <x:c r="O516" s="3"/>
      <x:c r="P516" s="3"/>
      <x:c r="Q516" s="3"/>
    </x:row>
    <x:row r="517" ht="21" customHeight="1">
      <x:c r="A517" s="3" t="str">
        <x:v>ORD-101714</x:v>
      </x:c>
      <x:c r="B517" s="5" t="n">
        <x:v>45446</x:v>
      </x:c>
      <x:c r="C517" s="3" t="str">
        <x:v>CUST-00188</x:v>
      </x:c>
      <x:c r="D517" s="3" t="str">
        <x:v>North</x:v>
      </x:c>
      <x:c r="E517" s="3" t="str">
        <x:v>Sports</x:v>
      </x:c>
      <x:c r="F517" s="3" t="str">
        <x:v>Outdoor</x:v>
      </x:c>
      <x:c r="G517" s="3" t="str">
        <x:v>AllWeather Tent 4P</x:v>
      </x:c>
      <x:c r="H517" s="3" t="n">
        <x:v>1</x:v>
      </x:c>
      <x:c r="I517" s="7" t="n">
        <x:v>12199.54</x:v>
      </x:c>
      <x:c r="J517" s="9" t="n">
        <x:v>0.15</x:v>
      </x:c>
      <x:c r="K517" s="7" t="n">
        <x:v>10369.61</x:v>
      </x:c>
      <x:c r="L517" s="7" t="n">
        <x:v>2315.36</x:v>
      </x:c>
      <x:c r="M517" s="3" t="str">
        <x:v>UPI</x:v>
      </x:c>
      <x:c r="N517" s="3"/>
      <x:c r="O517" s="3"/>
      <x:c r="P517" s="3"/>
      <x:c r="Q517" s="3"/>
    </x:row>
    <x:row r="518" ht="21" customHeight="1">
      <x:c r="A518" s="3" t="str">
        <x:v>ORD-101836</x:v>
      </x:c>
      <x:c r="B518" s="5" t="n">
        <x:v>45446</x:v>
      </x:c>
      <x:c r="C518" s="3" t="str">
        <x:v>CUST-00347</x:v>
      </x:c>
      <x:c r="D518" s="3" t="str">
        <x:v>South</x:v>
      </x:c>
      <x:c r="E518" s="3" t="str">
        <x:v>Beauty</x:v>
      </x:c>
      <x:c r="F518" s="3" t="str">
        <x:v>Makeup</x:v>
      </x:c>
      <x:c r="G518" s="3" t="str">
        <x:v>Matte Lipstick Set</x:v>
      </x:c>
      <x:c r="H518" s="3" t="n">
        <x:v>1</x:v>
      </x:c>
      <x:c r="I518" s="7" t="n">
        <x:v>1040.04</x:v>
      </x:c>
      <x:c r="J518" s="9" t="n">
        <x:v>0</x:v>
      </x:c>
      <x:c r="K518" s="7" t="n">
        <x:v>1040.04</x:v>
      </x:c>
      <x:c r="L518" s="7" t="n">
        <x:v>593.24</x:v>
      </x:c>
      <x:c r="M518" s="3" t="str">
        <x:v>Net Banking</x:v>
      </x:c>
      <x:c r="N518" s="3"/>
      <x:c r="O518" s="3"/>
      <x:c r="P518" s="3"/>
      <x:c r="Q518" s="3"/>
    </x:row>
    <x:row r="519" ht="21" customHeight="1">
      <x:c r="A519" s="3" t="str">
        <x:v>ORD-101849</x:v>
      </x:c>
      <x:c r="B519" s="5" t="n">
        <x:v>45446</x:v>
      </x:c>
      <x:c r="C519" s="3" t="str">
        <x:v>CUST-00428</x:v>
      </x:c>
      <x:c r="D519" s="3" t="str">
        <x:v>North</x:v>
      </x:c>
      <x:c r="E519" s="3" t="str">
        <x:v>Home &amp; Kitchen</x:v>
      </x:c>
      <x:c r="F519" s="3" t="str">
        <x:v>Appliances</x:v>
      </x:c>
      <x:c r="G519" s="3" t="str">
        <x:v>AirFryer Deluxe</x:v>
      </x:c>
      <x:c r="H519" s="3" t="n">
        <x:v>3</x:v>
      </x:c>
      <x:c r="I519" s="7" t="n">
        <x:v>7848.26</x:v>
      </x:c>
      <x:c r="J519" s="9" t="n">
        <x:v>0</x:v>
      </x:c>
      <x:c r="K519" s="7" t="n">
        <x:v>23544.78</x:v>
      </x:c>
      <x:c r="L519" s="7" t="n">
        <x:v>8521.25</x:v>
      </x:c>
      <x:c r="M519" s="3" t="str">
        <x:v>Net Banking</x:v>
      </x:c>
      <x:c r="N519" s="3"/>
      <x:c r="O519" s="3"/>
      <x:c r="P519" s="3"/>
      <x:c r="Q519" s="3"/>
    </x:row>
    <x:row r="520" ht="21" customHeight="1">
      <x:c r="A520" s="3" t="str">
        <x:v>ORD-100449</x:v>
      </x:c>
      <x:c r="B520" s="5" t="n">
        <x:v>45447</x:v>
      </x:c>
      <x:c r="C520" s="3" t="str">
        <x:v>CUST-00401</x:v>
      </x:c>
      <x:c r="D520" s="3" t="str">
        <x:v>North</x:v>
      </x:c>
      <x:c r="E520" s="3" t="str">
        <x:v>Beauty</x:v>
      </x:c>
      <x:c r="F520" s="3" t="str">
        <x:v>Makeup</x:v>
      </x:c>
      <x:c r="G520" s="3" t="str">
        <x:v>HD Foundation Kit</x:v>
      </x:c>
      <x:c r="H520" s="3" t="n">
        <x:v>1</x:v>
      </x:c>
      <x:c r="I520" s="7" t="n">
        <x:v>1521.91</x:v>
      </x:c>
      <x:c r="J520" s="9" t="n">
        <x:v>0.05</x:v>
      </x:c>
      <x:c r="K520" s="7" t="n">
        <x:v>1445.81</x:v>
      </x:c>
      <x:c r="L520" s="7" t="n">
        <x:v>654.33</x:v>
      </x:c>
      <x:c r="M520" s="3" t="str">
        <x:v>UPI</x:v>
      </x:c>
      <x:c r="N520" s="3"/>
      <x:c r="O520" s="3"/>
      <x:c r="P520" s="3"/>
      <x:c r="Q520" s="3"/>
    </x:row>
    <x:row r="521" ht="21" customHeight="1">
      <x:c r="A521" s="3" t="str">
        <x:v>ORD-100950</x:v>
      </x:c>
      <x:c r="B521" s="5" t="n">
        <x:v>45447</x:v>
      </x:c>
      <x:c r="C521" s="3" t="str">
        <x:v>CUST-00075</x:v>
      </x:c>
      <x:c r="D521" s="3" t="str">
        <x:v>South</x:v>
      </x:c>
      <x:c r="E521" s="3" t="str">
        <x:v>Electronics</x:v>
      </x:c>
      <x:c r="F521" s="3" t="str">
        <x:v>Audio</x:v>
      </x:c>
      <x:c r="G521" s="3" t="str">
        <x:v>BassBoom Speaker</x:v>
      </x:c>
      <x:c r="H521" s="3" t="n">
        <x:v>2</x:v>
      </x:c>
      <x:c r="I521" s="7" t="n">
        <x:v>9225.69</x:v>
      </x:c>
      <x:c r="J521" s="9" t="n">
        <x:v>0.4</x:v>
      </x:c>
      <x:c r="K521" s="7" t="n">
        <x:v>11070.83</x:v>
      </x:c>
      <x:c r="L521" s="7" t="n">
        <x:v>-2863.26</x:v>
      </x:c>
      <x:c r="M521" s="3" t="str">
        <x:v>UPI</x:v>
      </x:c>
      <x:c r="N521" s="3"/>
      <x:c r="O521" s="3"/>
      <x:c r="P521" s="3"/>
      <x:c r="Q521" s="3"/>
    </x:row>
    <x:row r="522" ht="21" customHeight="1">
      <x:c r="A522" s="3" t="str">
        <x:v>ORD-100972</x:v>
      </x:c>
      <x:c r="B522" s="5" t="n">
        <x:v>45447</x:v>
      </x:c>
      <x:c r="C522" s="3" t="str">
        <x:v>CUST-00435</x:v>
      </x:c>
      <x:c r="D522" s="3" t="str">
        <x:v>East</x:v>
      </x:c>
      <x:c r="E522" s="3" t="str">
        <x:v>Home &amp; Kitchen</x:v>
      </x:c>
      <x:c r="F522" s="3" t="str">
        <x:v>Appliances</x:v>
      </x:c>
      <x:c r="G522" s="3" t="str">
        <x:v>AirFryer Deluxe</x:v>
      </x:c>
      <x:c r="H522" s="3" t="n">
        <x:v>2</x:v>
      </x:c>
      <x:c r="I522" s="7" t="n">
        <x:v>7732.44</x:v>
      </x:c>
      <x:c r="J522" s="9" t="n">
        <x:v>0.4</x:v>
      </x:c>
      <x:c r="K522" s="7" t="n">
        <x:v>9278.93</x:v>
      </x:c>
      <x:c r="L522" s="7" t="n">
        <x:v>-1459.58</x:v>
      </x:c>
      <x:c r="M522" s="3" t="str">
        <x:v>Credit Card</x:v>
      </x:c>
      <x:c r="N522" s="3"/>
      <x:c r="O522" s="3"/>
      <x:c r="P522" s="3"/>
      <x:c r="Q522" s="3"/>
    </x:row>
    <x:row r="523" ht="21" customHeight="1">
      <x:c r="A523" s="3" t="str">
        <x:v>ORD-101430</x:v>
      </x:c>
      <x:c r="B523" s="5" t="n">
        <x:v>45447</x:v>
      </x:c>
      <x:c r="C523" s="3" t="str">
        <x:v>CUST-00183</x:v>
      </x:c>
      <x:c r="D523" s="3" t="str">
        <x:v>North</x:v>
      </x:c>
      <x:c r="E523" s="3" t="str">
        <x:v>Beauty</x:v>
      </x:c>
      <x:c r="F523" s="3" t="str">
        <x:v>Skincare</x:v>
      </x:c>
      <x:c r="G523" s="3" t="str">
        <x:v>Vitamin C Serum</x:v>
      </x:c>
      <x:c r="H523" s="3" t="n">
        <x:v>4</x:v>
      </x:c>
      <x:c r="I523" s="7" t="n">
        <x:v>912.4</x:v>
      </x:c>
      <x:c r="J523" s="9" t="n">
        <x:v>0.05</x:v>
      </x:c>
      <x:c r="K523" s="7" t="n">
        <x:v>3467.12</x:v>
      </x:c>
      <x:c r="L523" s="7" t="n">
        <x:v>1751.46</x:v>
      </x:c>
      <x:c r="M523" s="3" t="str">
        <x:v>UPI</x:v>
      </x:c>
      <x:c r="N523" s="3"/>
      <x:c r="O523" s="3"/>
      <x:c r="P523" s="3"/>
      <x:c r="Q523" s="3"/>
    </x:row>
    <x:row r="524" ht="21" customHeight="1">
      <x:c r="A524" s="3" t="str">
        <x:v>ORD-100391</x:v>
      </x:c>
      <x:c r="B524" s="5" t="n">
        <x:v>45448</x:v>
      </x:c>
      <x:c r="C524" s="3" t="str">
        <x:v>CUST-00320</x:v>
      </x:c>
      <x:c r="D524" s="3" t="str">
        <x:v>East</x:v>
      </x:c>
      <x:c r="E524" s="3" t="str">
        <x:v>Sports</x:v>
      </x:c>
      <x:c r="F524" s="3" t="str">
        <x:v>Fitness</x:v>
      </x:c>
      <x:c r="G524" s="3" t="str">
        <x:v>ProYoga Mat</x:v>
      </x:c>
      <x:c r="H524" s="3" t="n">
        <x:v>2</x:v>
      </x:c>
      <x:c r="I524" s="7" t="n">
        <x:v>1322.12</x:v>
      </x:c>
      <x:c r="J524" s="9" t="n">
        <x:v>0.1</x:v>
      </x:c>
      <x:c r="K524" s="7" t="n">
        <x:v>2379.82</x:v>
      </x:c>
      <x:c r="L524" s="7" t="n">
        <x:v>701.61</x:v>
      </x:c>
      <x:c r="M524" s="3" t="str">
        <x:v>UPI</x:v>
      </x:c>
      <x:c r="N524" s="3"/>
      <x:c r="O524" s="3"/>
      <x:c r="P524" s="3"/>
      <x:c r="Q524" s="3"/>
    </x:row>
    <x:row r="525" ht="21" customHeight="1">
      <x:c r="A525" s="3" t="str">
        <x:v>ORD-100506</x:v>
      </x:c>
      <x:c r="B525" s="5" t="n">
        <x:v>45448</x:v>
      </x:c>
      <x:c r="C525" s="3" t="str">
        <x:v>CUST-00099</x:v>
      </x:c>
      <x:c r="D525" s="3" t="str">
        <x:v>South</x:v>
      </x:c>
      <x:c r="E525" s="3" t="str">
        <x:v>Electronics</x:v>
      </x:c>
      <x:c r="F525" s="3" t="str">
        <x:v>Mobile</x:v>
      </x:c>
      <x:c r="G525" s="3" t="str">
        <x:v>iPhone Zeta</x:v>
      </x:c>
      <x:c r="H525" s="3" t="n">
        <x:v>1</x:v>
      </x:c>
      <x:c r="I525" s="7" t="n">
        <x:v>71245.73</x:v>
      </x:c>
      <x:c r="J525" s="9" t="n">
        <x:v>0</x:v>
      </x:c>
      <x:c r="K525" s="7" t="n">
        <x:v>71245.73</x:v>
      </x:c>
      <x:c r="L525" s="7" t="n">
        <x:v>15514.88</x:v>
      </x:c>
      <x:c r="M525" s="3" t="str">
        <x:v>Credit Card</x:v>
      </x:c>
      <x:c r="N525" s="3"/>
      <x:c r="O525" s="3"/>
      <x:c r="P525" s="3"/>
      <x:c r="Q525" s="3"/>
    </x:row>
    <x:row r="526" ht="21" customHeight="1">
      <x:c r="A526" s="3" t="str">
        <x:v>ORD-101073</x:v>
      </x:c>
      <x:c r="B526" s="5" t="n">
        <x:v>45448</x:v>
      </x:c>
      <x:c r="C526" s="3" t="str">
        <x:v>CUST-00408</x:v>
      </x:c>
      <x:c r="D526" s="3" t="str">
        <x:v>North</x:v>
      </x:c>
      <x:c r="E526" s="3" t="str">
        <x:v>Electronics</x:v>
      </x:c>
      <x:c r="F526" s="3" t="str">
        <x:v>Audio</x:v>
      </x:c>
      <x:c r="G526" s="3" t="str">
        <x:v>SoundPods Pro</x:v>
      </x:c>
      <x:c r="H526" s="3" t="n">
        <x:v>1</x:v>
      </x:c>
      <x:c r="I526" s="7" t="n">
        <x:v>5096.44</x:v>
      </x:c>
      <x:c r="J526" s="9" t="n">
        <x:v>0.2</x:v>
      </x:c>
      <x:c r="K526" s="7" t="n">
        <x:v>4077.15</x:v>
      </x:c>
      <x:c r="L526" s="7" t="n">
        <x:v>-277.85</x:v>
      </x:c>
      <x:c r="M526" s="3" t="str">
        <x:v>Credit Card</x:v>
      </x:c>
      <x:c r="N526" s="3"/>
      <x:c r="O526" s="3"/>
      <x:c r="P526" s="3"/>
      <x:c r="Q526" s="3"/>
    </x:row>
    <x:row r="527" ht="21" customHeight="1">
      <x:c r="A527" s="3" t="str">
        <x:v>ORD-101438</x:v>
      </x:c>
      <x:c r="B527" s="5" t="n">
        <x:v>45448</x:v>
      </x:c>
      <x:c r="C527" s="3" t="str">
        <x:v>CUST-00166</x:v>
      </x:c>
      <x:c r="D527" s="3" t="str">
        <x:v>West</x:v>
      </x:c>
      <x:c r="E527" s="3" t="str">
        <x:v>Sports</x:v>
      </x:c>
      <x:c r="F527" s="3" t="str">
        <x:v>Outdoor</x:v>
      </x:c>
      <x:c r="G527" s="3" t="str">
        <x:v>TrailHike Backpack 60L</x:v>
      </x:c>
      <x:c r="H527" s="3" t="n">
        <x:v>1</x:v>
      </x:c>
      <x:c r="I527" s="7" t="n">
        <x:v>3369.9</x:v>
      </x:c>
      <x:c r="J527" s="9" t="n">
        <x:v>0.15</x:v>
      </x:c>
      <x:c r="K527" s="7" t="n">
        <x:v>2864.41</x:v>
      </x:c>
      <x:c r="L527" s="7" t="n">
        <x:v>527.87</x:v>
      </x:c>
      <x:c r="M527" s="3" t="str">
        <x:v>UPI</x:v>
      </x:c>
      <x:c r="N527" s="3"/>
      <x:c r="O527" s="3"/>
      <x:c r="P527" s="3"/>
      <x:c r="Q527" s="3"/>
    </x:row>
    <x:row r="528" ht="21" customHeight="1">
      <x:c r="A528" s="3" t="str">
        <x:v>ORD-100063</x:v>
      </x:c>
      <x:c r="B528" s="5" t="n">
        <x:v>45449</x:v>
      </x:c>
      <x:c r="C528" s="3" t="str">
        <x:v>CUST-00299</x:v>
      </x:c>
      <x:c r="D528" s="3" t="str">
        <x:v>South</x:v>
      </x:c>
      <x:c r="E528" s="3" t="str">
        <x:v>Fashion</x:v>
      </x:c>
      <x:c r="F528" s="3" t="str">
        <x:v>Women</x:v>
      </x:c>
      <x:c r="G528" s="3" t="str">
        <x:v>Floral Summer Dress</x:v>
      </x:c>
      <x:c r="H528" s="3" t="n">
        <x:v>2</x:v>
      </x:c>
      <x:c r="I528" s="7" t="n">
        <x:v>1887.56</x:v>
      </x:c>
      <x:c r="J528" s="9" t="n">
        <x:v>0</x:v>
      </x:c>
      <x:c r="K528" s="7" t="n">
        <x:v>3775.12</x:v>
      </x:c>
      <x:c r="L528" s="7" t="n">
        <x:v>1710.26</x:v>
      </x:c>
      <x:c r="M528" s="3" t="str">
        <x:v>UPI</x:v>
      </x:c>
      <x:c r="N528" s="3"/>
      <x:c r="O528" s="3"/>
      <x:c r="P528" s="3"/>
      <x:c r="Q528" s="3"/>
    </x:row>
    <x:row r="529" ht="21" customHeight="1">
      <x:c r="A529" s="3" t="str">
        <x:v>ORD-100364</x:v>
      </x:c>
      <x:c r="B529" s="5" t="n">
        <x:v>45449</x:v>
      </x:c>
      <x:c r="C529" s="3" t="str">
        <x:v>CUST-00110</x:v>
      </x:c>
      <x:c r="D529" s="3" t="str">
        <x:v>East</x:v>
      </x:c>
      <x:c r="E529" s="3" t="str">
        <x:v>Fashion</x:v>
      </x:c>
      <x:c r="F529" s="3" t="str">
        <x:v>Men</x:v>
      </x:c>
      <x:c r="G529" s="3" t="str">
        <x:v>Oxford Casual Shirt</x:v>
      </x:c>
      <x:c r="H529" s="3" t="n">
        <x:v>1</x:v>
      </x:c>
      <x:c r="I529" s="7" t="n">
        <x:v>1354.97</x:v>
      </x:c>
      <x:c r="J529" s="9" t="n">
        <x:v>0.1</x:v>
      </x:c>
      <x:c r="K529" s="7" t="n">
        <x:v>1219.47</x:v>
      </x:c>
      <x:c r="L529" s="7" t="n">
        <x:v>420.42</x:v>
      </x:c>
      <x:c r="M529" s="3" t="str">
        <x:v>UPI</x:v>
      </x:c>
      <x:c r="N529" s="3"/>
      <x:c r="O529" s="3"/>
      <x:c r="P529" s="3"/>
      <x:c r="Q529" s="3"/>
    </x:row>
    <x:row r="530" ht="21" customHeight="1">
      <x:c r="A530" s="3" t="str">
        <x:v>ORD-100631</x:v>
      </x:c>
      <x:c r="B530" s="5" t="n">
        <x:v>45449</x:v>
      </x:c>
      <x:c r="C530" s="3" t="str">
        <x:v>CUST-00183</x:v>
      </x:c>
      <x:c r="D530" s="3" t="str">
        <x:v>North</x:v>
      </x:c>
      <x:c r="E530" s="3" t="str">
        <x:v>Fashion</x:v>
      </x:c>
      <x:c r="F530" s="3" t="str">
        <x:v>Men</x:v>
      </x:c>
      <x:c r="G530" s="3" t="str">
        <x:v>SlimFit Denim Jeans</x:v>
      </x:c>
      <x:c r="H530" s="3" t="n">
        <x:v>2</x:v>
      </x:c>
      <x:c r="I530" s="7" t="n">
        <x:v>1923.87</x:v>
      </x:c>
      <x:c r="J530" s="9" t="n">
        <x:v>0</x:v>
      </x:c>
      <x:c r="K530" s="7" t="n">
        <x:v>3847.74</x:v>
      </x:c>
      <x:c r="L530" s="7" t="n">
        <x:v>1690.37</x:v>
      </x:c>
      <x:c r="M530" s="3" t="str">
        <x:v>Credit Card</x:v>
      </x:c>
      <x:c r="N530" s="3"/>
      <x:c r="O530" s="3"/>
      <x:c r="P530" s="3"/>
      <x:c r="Q530" s="3"/>
    </x:row>
    <x:row r="531" ht="21" customHeight="1">
      <x:c r="A531" s="3" t="str">
        <x:v>ORD-101187</x:v>
      </x:c>
      <x:c r="B531" s="5" t="n">
        <x:v>45449</x:v>
      </x:c>
      <x:c r="C531" s="3" t="str">
        <x:v>CUST-00446</x:v>
      </x:c>
      <x:c r="D531" s="3" t="str">
        <x:v>East</x:v>
      </x:c>
      <x:c r="E531" s="3" t="str">
        <x:v>Fashion</x:v>
      </x:c>
      <x:c r="F531" s="3" t="str">
        <x:v>Women</x:v>
      </x:c>
      <x:c r="G531" s="3" t="str">
        <x:v>Floral Summer Dress</x:v>
      </x:c>
      <x:c r="H531" s="3" t="n">
        <x:v>1</x:v>
      </x:c>
      <x:c r="I531" s="7" t="n">
        <x:v>1869.68</x:v>
      </x:c>
      <x:c r="J531" s="9" t="n">
        <x:v>0.1</x:v>
      </x:c>
      <x:c r="K531" s="7" t="n">
        <x:v>1682.71</x:v>
      </x:c>
      <x:c r="L531" s="7" t="n">
        <x:v>460.53</x:v>
      </x:c>
      <x:c r="M531" s="3" t="str">
        <x:v>UPI</x:v>
      </x:c>
      <x:c r="N531" s="3"/>
      <x:c r="O531" s="3"/>
      <x:c r="P531" s="3"/>
      <x:c r="Q531" s="3"/>
    </x:row>
    <x:row r="532" ht="21" customHeight="1">
      <x:c r="A532" s="3" t="str">
        <x:v>ORD-101439</x:v>
      </x:c>
      <x:c r="B532" s="5" t="n">
        <x:v>45449</x:v>
      </x:c>
      <x:c r="C532" s="3" t="str">
        <x:v>CUST-00189</x:v>
      </x:c>
      <x:c r="D532" s="3" t="str">
        <x:v>West</x:v>
      </x:c>
      <x:c r="E532" s="3" t="str">
        <x:v>Beauty</x:v>
      </x:c>
      <x:c r="F532" s="3" t="str">
        <x:v>Skincare</x:v>
      </x:c>
      <x:c r="G532" s="3" t="str">
        <x:v>Vitamin C Serum</x:v>
      </x:c>
      <x:c r="H532" s="3" t="n">
        <x:v>2</x:v>
      </x:c>
      <x:c r="I532" s="7" t="n">
        <x:v>943.69</x:v>
      </x:c>
      <x:c r="J532" s="9" t="n">
        <x:v>0</x:v>
      </x:c>
      <x:c r="K532" s="7" t="n">
        <x:v>1887.38</x:v>
      </x:c>
      <x:c r="L532" s="7" t="n">
        <x:v>1014.82</x:v>
      </x:c>
      <x:c r="M532" s="3" t="str">
        <x:v>Net Banking</x:v>
      </x:c>
      <x:c r="N532" s="3"/>
      <x:c r="O532" s="3"/>
      <x:c r="P532" s="3"/>
      <x:c r="Q532" s="3"/>
    </x:row>
    <x:row r="533" ht="21" customHeight="1">
      <x:c r="A533" s="3" t="str">
        <x:v>ORD-101487</x:v>
      </x:c>
      <x:c r="B533" s="5" t="n">
        <x:v>45449</x:v>
      </x:c>
      <x:c r="C533" s="3" t="str">
        <x:v>CUST-00083</x:v>
      </x:c>
      <x:c r="D533" s="3" t="str">
        <x:v>North</x:v>
      </x:c>
      <x:c r="E533" s="3" t="str">
        <x:v>Sports</x:v>
      </x:c>
      <x:c r="F533" s="3" t="str">
        <x:v>Fitness</x:v>
      </x:c>
      <x:c r="G533" s="3" t="str">
        <x:v>Adjustable Dumbbell 24kg</x:v>
      </x:c>
      <x:c r="H533" s="3" t="n">
        <x:v>1</x:v>
      </x:c>
      <x:c r="I533" s="7" t="n">
        <x:v>9973.17</x:v>
      </x:c>
      <x:c r="J533" s="9" t="n">
        <x:v>0.25</x:v>
      </x:c>
      <x:c r="K533" s="7" t="n">
        <x:v>7479.88</x:v>
      </x:c>
      <x:c r="L533" s="7" t="n">
        <x:v>868.29</x:v>
      </x:c>
      <x:c r="M533" s="3" t="str">
        <x:v>UPI</x:v>
      </x:c>
      <x:c r="N533" s="3"/>
      <x:c r="O533" s="3"/>
      <x:c r="P533" s="3"/>
      <x:c r="Q533" s="3"/>
    </x:row>
    <x:row r="534" ht="21" customHeight="1">
      <x:c r="A534" s="3" t="str">
        <x:v>ORD-101489</x:v>
      </x:c>
      <x:c r="B534" s="5" t="n">
        <x:v>45449</x:v>
      </x:c>
      <x:c r="C534" s="3" t="str">
        <x:v>CUST-00177</x:v>
      </x:c>
      <x:c r="D534" s="3" t="str">
        <x:v>South</x:v>
      </x:c>
      <x:c r="E534" s="3" t="str">
        <x:v>Sports</x:v>
      </x:c>
      <x:c r="F534" s="3" t="str">
        <x:v>Fitness</x:v>
      </x:c>
      <x:c r="G534" s="3" t="str">
        <x:v>ProYoga Mat</x:v>
      </x:c>
      <x:c r="H534" s="3" t="n">
        <x:v>1</x:v>
      </x:c>
      <x:c r="I534" s="7" t="n">
        <x:v>1332.44</x:v>
      </x:c>
      <x:c r="J534" s="9" t="n">
        <x:v>0.05</x:v>
      </x:c>
      <x:c r="K534" s="7" t="n">
        <x:v>1265.82</x:v>
      </x:c>
      <x:c r="L534" s="7" t="n">
        <x:v>428.59</x:v>
      </x:c>
      <x:c r="M534" s="3" t="str">
        <x:v>Credit Card</x:v>
      </x:c>
      <x:c r="N534" s="3"/>
      <x:c r="O534" s="3"/>
      <x:c r="P534" s="3"/>
      <x:c r="Q534" s="3"/>
    </x:row>
    <x:row r="535" ht="21" customHeight="1">
      <x:c r="A535" s="3" t="str">
        <x:v>ORD-101770</x:v>
      </x:c>
      <x:c r="B535" s="5" t="n">
        <x:v>45449</x:v>
      </x:c>
      <x:c r="C535" s="3" t="str">
        <x:v>CUST-00123</x:v>
      </x:c>
      <x:c r="D535" s="3" t="str">
        <x:v>East</x:v>
      </x:c>
      <x:c r="E535" s="3" t="str">
        <x:v>Beauty</x:v>
      </x:c>
      <x:c r="F535" s="3" t="str">
        <x:v>Makeup</x:v>
      </x:c>
      <x:c r="G535" s="3" t="str">
        <x:v>HD Foundation Kit</x:v>
      </x:c>
      <x:c r="H535" s="3" t="n">
        <x:v>1</x:v>
      </x:c>
      <x:c r="I535" s="7" t="n">
        <x:v>1460.24</x:v>
      </x:c>
      <x:c r="J535" s="9" t="n">
        <x:v>0.1</x:v>
      </x:c>
      <x:c r="K535" s="7" t="n">
        <x:v>1314.22</x:v>
      </x:c>
      <x:c r="L535" s="7" t="n">
        <x:v>519.51</x:v>
      </x:c>
      <x:c r="M535" s="3" t="str">
        <x:v>Net Banking</x:v>
      </x:c>
      <x:c r="N535" s="3"/>
      <x:c r="O535" s="3"/>
      <x:c r="P535" s="3"/>
      <x:c r="Q535" s="3"/>
    </x:row>
    <x:row r="536" ht="21" customHeight="1">
      <x:c r="A536" s="3" t="str">
        <x:v>ORD-101825</x:v>
      </x:c>
      <x:c r="B536" s="5" t="n">
        <x:v>45449</x:v>
      </x:c>
      <x:c r="C536" s="3" t="str">
        <x:v>CUST-00419</x:v>
      </x:c>
      <x:c r="D536" s="3" t="str">
        <x:v>North</x:v>
      </x:c>
      <x:c r="E536" s="3" t="str">
        <x:v>Home &amp; Kitchen</x:v>
      </x:c>
      <x:c r="F536" s="3" t="str">
        <x:v>Appliances</x:v>
      </x:c>
      <x:c r="G536" s="3" t="str">
        <x:v>AirFryer Deluxe</x:v>
      </x:c>
      <x:c r="H536" s="3" t="n">
        <x:v>2</x:v>
      </x:c>
      <x:c r="I536" s="7" t="n">
        <x:v>7709.52</x:v>
      </x:c>
      <x:c r="J536" s="9" t="n">
        <x:v>0.25</x:v>
      </x:c>
      <x:c r="K536" s="7" t="n">
        <x:v>11564.28</x:v>
      </x:c>
      <x:c r="L536" s="7" t="n">
        <x:v>295.64</x:v>
      </x:c>
      <x:c r="M536" s="3" t="str">
        <x:v>UPI</x:v>
      </x:c>
      <x:c r="N536" s="3"/>
      <x:c r="O536" s="3"/>
      <x:c r="P536" s="3"/>
      <x:c r="Q536" s="3"/>
    </x:row>
    <x:row r="537" ht="21" customHeight="1">
      <x:c r="A537" s="3" t="str">
        <x:v>ORD-100299</x:v>
      </x:c>
      <x:c r="B537" s="5" t="n">
        <x:v>45450</x:v>
      </x:c>
      <x:c r="C537" s="3" t="str">
        <x:v>CUST-00331</x:v>
      </x:c>
      <x:c r="D537" s="3" t="str">
        <x:v>West</x:v>
      </x:c>
      <x:c r="E537" s="3" t="str">
        <x:v>Beauty</x:v>
      </x:c>
      <x:c r="F537" s="3" t="str">
        <x:v>Skincare</x:v>
      </x:c>
      <x:c r="G537" s="3" t="str">
        <x:v>HydraBoost Moisturizer</x:v>
      </x:c>
      <x:c r="H537" s="3" t="n">
        <x:v>1</x:v>
      </x:c>
      <x:c r="I537" s="7" t="n">
        <x:v>1170.73</x:v>
      </x:c>
      <x:c r="J537" s="9" t="n">
        <x:v>0</x:v>
      </x:c>
      <x:c r="K537" s="7" t="n">
        <x:v>1170.73</x:v>
      </x:c>
      <x:c r="L537" s="7" t="n">
        <x:v>612.14</x:v>
      </x:c>
      <x:c r="M537" s="3" t="str">
        <x:v>UPI</x:v>
      </x:c>
      <x:c r="N537" s="3"/>
      <x:c r="O537" s="3"/>
      <x:c r="P537" s="3"/>
      <x:c r="Q537" s="3"/>
    </x:row>
    <x:row r="538" ht="21" customHeight="1">
      <x:c r="A538" s="3" t="str">
        <x:v>ORD-100363</x:v>
      </x:c>
      <x:c r="B538" s="5" t="n">
        <x:v>45450</x:v>
      </x:c>
      <x:c r="C538" s="3" t="str">
        <x:v>CUST-00092</x:v>
      </x:c>
      <x:c r="D538" s="3" t="str">
        <x:v>East</x:v>
      </x:c>
      <x:c r="E538" s="3" t="str">
        <x:v>Electronics</x:v>
      </x:c>
      <x:c r="F538" s="3" t="str">
        <x:v>Mobile</x:v>
      </x:c>
      <x:c r="G538" s="3" t="str">
        <x:v>Pixel Aura 12</x:v>
      </x:c>
      <x:c r="H538" s="3" t="n">
        <x:v>2</x:v>
      </x:c>
      <x:c r="I538" s="7" t="n">
        <x:v>32151.22</x:v>
      </x:c>
      <x:c r="J538" s="9" t="n">
        <x:v>0.05</x:v>
      </x:c>
      <x:c r="K538" s="7" t="n">
        <x:v>61087.32</x:v>
      </x:c>
      <x:c r="L538" s="7" t="n">
        <x:v>9774.39</x:v>
      </x:c>
      <x:c r="M538" s="3" t="str">
        <x:v>Credit Card</x:v>
      </x:c>
      <x:c r="N538" s="3"/>
      <x:c r="O538" s="3"/>
      <x:c r="P538" s="3"/>
      <x:c r="Q538" s="3"/>
    </x:row>
    <x:row r="539" ht="21" customHeight="1">
      <x:c r="A539" s="3" t="str">
        <x:v>ORD-100799</x:v>
      </x:c>
      <x:c r="B539" s="5" t="n">
        <x:v>45450</x:v>
      </x:c>
      <x:c r="C539" s="3" t="str">
        <x:v>CUST-00319</x:v>
      </x:c>
      <x:c r="D539" s="3" t="str">
        <x:v>West</x:v>
      </x:c>
      <x:c r="E539" s="3" t="str">
        <x:v>Beauty</x:v>
      </x:c>
      <x:c r="F539" s="3" t="str">
        <x:v>Skincare</x:v>
      </x:c>
      <x:c r="G539" s="3" t="str">
        <x:v>Vitamin C Serum</x:v>
      </x:c>
      <x:c r="H539" s="3" t="n">
        <x:v>1</x:v>
      </x:c>
      <x:c r="I539" s="7" t="n">
        <x:v>941.01</x:v>
      </x:c>
      <x:c r="J539" s="9" t="n">
        <x:v>0.1</x:v>
      </x:c>
      <x:c r="K539" s="7" t="n">
        <x:v>846.91</x:v>
      </x:c>
      <x:c r="L539" s="7" t="n">
        <x:v>343.77</x:v>
      </x:c>
      <x:c r="M539" s="3" t="str">
        <x:v>Credit Card</x:v>
      </x:c>
      <x:c r="N539" s="3"/>
      <x:c r="O539" s="3"/>
      <x:c r="P539" s="3"/>
      <x:c r="Q539" s="3"/>
    </x:row>
    <x:row r="540" ht="21" customHeight="1">
      <x:c r="A540" s="3" t="str">
        <x:v>ORD-100940</x:v>
      </x:c>
      <x:c r="B540" s="5" t="n">
        <x:v>45450</x:v>
      </x:c>
      <x:c r="C540" s="3" t="str">
        <x:v>CUST-00197</x:v>
      </x:c>
      <x:c r="D540" s="3" t="str">
        <x:v>South</x:v>
      </x:c>
      <x:c r="E540" s="3" t="str">
        <x:v>Fashion</x:v>
      </x:c>
      <x:c r="F540" s="3" t="str">
        <x:v>Men</x:v>
      </x:c>
      <x:c r="G540" s="3" t="str">
        <x:v>Oxford Casual Shirt</x:v>
      </x:c>
      <x:c r="H540" s="3" t="n">
        <x:v>1</x:v>
      </x:c>
      <x:c r="I540" s="7" t="n">
        <x:v>1302.95</x:v>
      </x:c>
      <x:c r="J540" s="9" t="n">
        <x:v>0.05</x:v>
      </x:c>
      <x:c r="K540" s="7" t="n">
        <x:v>1237.8</x:v>
      </x:c>
      <x:c r="L540" s="7" t="n">
        <x:v>409.38</x:v>
      </x:c>
      <x:c r="M540" s="3" t="str">
        <x:v>Credit Card</x:v>
      </x:c>
      <x:c r="N540" s="3"/>
      <x:c r="O540" s="3"/>
      <x:c r="P540" s="3"/>
      <x:c r="Q540" s="3"/>
    </x:row>
    <x:row r="541" ht="21" customHeight="1">
      <x:c r="A541" s="3" t="str">
        <x:v>ORD-100022</x:v>
      </x:c>
      <x:c r="B541" s="5" t="n">
        <x:v>45451</x:v>
      </x:c>
      <x:c r="C541" s="3" t="str">
        <x:v>CUST-00216</x:v>
      </x:c>
      <x:c r="D541" s="3" t="str">
        <x:v>West</x:v>
      </x:c>
      <x:c r="E541" s="3" t="str">
        <x:v>Beauty</x:v>
      </x:c>
      <x:c r="F541" s="3" t="str">
        <x:v>Makeup</x:v>
      </x:c>
      <x:c r="G541" s="3" t="str">
        <x:v>Matte Lipstick Set</x:v>
      </x:c>
      <x:c r="H541" s="3" t="n">
        <x:v>2</x:v>
      </x:c>
      <x:c r="I541" s="7" t="n">
        <x:v>1042.13</x:v>
      </x:c>
      <x:c r="J541" s="9" t="n">
        <x:v>0.1</x:v>
      </x:c>
      <x:c r="K541" s="7" t="n">
        <x:v>1875.83</x:v>
      </x:c>
      <x:c r="L541" s="7" t="n">
        <x:v>756.5</x:v>
      </x:c>
      <x:c r="M541" s="3" t="str">
        <x:v>UPI</x:v>
      </x:c>
      <x:c r="N541" s="3"/>
      <x:c r="O541" s="3"/>
      <x:c r="P541" s="3"/>
      <x:c r="Q541" s="3"/>
    </x:row>
    <x:row r="542" ht="21" customHeight="1">
      <x:c r="A542" s="3" t="str">
        <x:v>ORD-100228</x:v>
      </x:c>
      <x:c r="B542" s="5" t="n">
        <x:v>45451</x:v>
      </x:c>
      <x:c r="C542" s="3" t="str">
        <x:v>CUST-00461</x:v>
      </x:c>
      <x:c r="D542" s="3" t="str">
        <x:v>East</x:v>
      </x:c>
      <x:c r="E542" s="3" t="str">
        <x:v>Home &amp; Kitchen</x:v>
      </x:c>
      <x:c r="F542" s="3" t="str">
        <x:v>Decor</x:v>
      </x:c>
      <x:c r="G542" s="3" t="str">
        <x:v>LED Wall Lamp</x:v>
      </x:c>
      <x:c r="H542" s="3" t="n">
        <x:v>1</x:v>
      </x:c>
      <x:c r="I542" s="7" t="n">
        <x:v>956.51</x:v>
      </x:c>
      <x:c r="J542" s="9" t="n">
        <x:v>0</x:v>
      </x:c>
      <x:c r="K542" s="7" t="n">
        <x:v>956.51</x:v>
      </x:c>
      <x:c r="L542" s="7" t="n">
        <x:v>292.9</x:v>
      </x:c>
      <x:c r="M542" s="3" t="str">
        <x:v>Credit Card</x:v>
      </x:c>
      <x:c r="N542" s="3"/>
      <x:c r="O542" s="3"/>
      <x:c r="P542" s="3"/>
      <x:c r="Q542" s="3"/>
    </x:row>
    <x:row r="543" ht="21" customHeight="1">
      <x:c r="A543" s="3" t="str">
        <x:v>ORD-100481</x:v>
      </x:c>
      <x:c r="B543" s="5" t="n">
        <x:v>45451</x:v>
      </x:c>
      <x:c r="C543" s="3" t="str">
        <x:v>CUST-00560</x:v>
      </x:c>
      <x:c r="D543" s="3" t="str">
        <x:v>West</x:v>
      </x:c>
      <x:c r="E543" s="3" t="str">
        <x:v>Home &amp; Kitchen</x:v>
      </x:c>
      <x:c r="F543" s="3" t="str">
        <x:v>Decor</x:v>
      </x:c>
      <x:c r="G543" s="3" t="str">
        <x:v>Ceramic Vase Set</x:v>
      </x:c>
      <x:c r="H543" s="3" t="n">
        <x:v>1</x:v>
      </x:c>
      <x:c r="I543" s="7" t="n">
        <x:v>1448.42</x:v>
      </x:c>
      <x:c r="J543" s="9" t="n">
        <x:v>0.1</x:v>
      </x:c>
      <x:c r="K543" s="7" t="n">
        <x:v>1303.58</x:v>
      </x:c>
      <x:c r="L543" s="7" t="n">
        <x:v>259.58</x:v>
      </x:c>
      <x:c r="M543" s="3" t="str">
        <x:v>UPI</x:v>
      </x:c>
      <x:c r="N543" s="3"/>
      <x:c r="O543" s="3"/>
      <x:c r="P543" s="3"/>
      <x:c r="Q543" s="3"/>
    </x:row>
    <x:row r="544" ht="21" customHeight="1">
      <x:c r="A544" s="3" t="str">
        <x:v>ORD-101696</x:v>
      </x:c>
      <x:c r="B544" s="5" t="n">
        <x:v>45451</x:v>
      </x:c>
      <x:c r="C544" s="3" t="str">
        <x:v>CUST-00306</x:v>
      </x:c>
      <x:c r="D544" s="3" t="str">
        <x:v>South</x:v>
      </x:c>
      <x:c r="E544" s="3" t="str">
        <x:v>Beauty</x:v>
      </x:c>
      <x:c r="F544" s="3" t="str">
        <x:v>Skincare</x:v>
      </x:c>
      <x:c r="G544" s="3" t="str">
        <x:v>Vitamin C Serum</x:v>
      </x:c>
      <x:c r="H544" s="3" t="n">
        <x:v>1</x:v>
      </x:c>
      <x:c r="I544" s="7" t="n">
        <x:v>894.39</x:v>
      </x:c>
      <x:c r="J544" s="9" t="n">
        <x:v>0</x:v>
      </x:c>
      <x:c r="K544" s="7" t="n">
        <x:v>894.39</x:v>
      </x:c>
      <x:c r="L544" s="7" t="n">
        <x:v>459.46</x:v>
      </x:c>
      <x:c r="M544" s="3" t="str">
        <x:v>Cash on Delivery</x:v>
      </x:c>
      <x:c r="N544" s="3"/>
      <x:c r="O544" s="3"/>
      <x:c r="P544" s="3"/>
      <x:c r="Q544" s="3"/>
    </x:row>
    <x:row r="545" ht="21" customHeight="1">
      <x:c r="A545" s="3" t="str">
        <x:v>ORD-101864</x:v>
      </x:c>
      <x:c r="B545" s="5" t="n">
        <x:v>45451</x:v>
      </x:c>
      <x:c r="C545" s="3" t="str">
        <x:v>CUST-00367</x:v>
      </x:c>
      <x:c r="D545" s="3" t="str">
        <x:v>South</x:v>
      </x:c>
      <x:c r="E545" s="3" t="str">
        <x:v>Fashion</x:v>
      </x:c>
      <x:c r="F545" s="3" t="str">
        <x:v>Men</x:v>
      </x:c>
      <x:c r="G545" s="3" t="str">
        <x:v>SlimFit Denim Jeans</x:v>
      </x:c>
      <x:c r="H545" s="3" t="n">
        <x:v>2</x:v>
      </x:c>
      <x:c r="I545" s="7" t="n">
        <x:v>2010.21</x:v>
      </x:c>
      <x:c r="J545" s="9" t="n">
        <x:v>0</x:v>
      </x:c>
      <x:c r="K545" s="7" t="n">
        <x:v>4020.42</x:v>
      </x:c>
      <x:c r="L545" s="7" t="n">
        <x:v>1619.07</x:v>
      </x:c>
      <x:c r="M545" s="3" t="str">
        <x:v>Credit Card</x:v>
      </x:c>
      <x:c r="N545" s="3"/>
      <x:c r="O545" s="3"/>
      <x:c r="P545" s="3"/>
      <x:c r="Q545" s="3"/>
    </x:row>
    <x:row r="546" ht="21" customHeight="1">
      <x:c r="A546" s="3" t="str">
        <x:v>ORD-100307</x:v>
      </x:c>
      <x:c r="B546" s="5" t="n">
        <x:v>45452</x:v>
      </x:c>
      <x:c r="C546" s="3" t="str">
        <x:v>CUST-00140</x:v>
      </x:c>
      <x:c r="D546" s="3" t="str">
        <x:v>West</x:v>
      </x:c>
      <x:c r="E546" s="3" t="str">
        <x:v>Electronics</x:v>
      </x:c>
      <x:c r="F546" s="3" t="str">
        <x:v>Laptop</x:v>
      </x:c>
      <x:c r="G546" s="3" t="str">
        <x:v>AirBook Slim</x:v>
      </x:c>
      <x:c r="H546" s="3" t="n">
        <x:v>2</x:v>
      </x:c>
      <x:c r="I546" s="7" t="n">
        <x:v>82369.82</x:v>
      </x:c>
      <x:c r="J546" s="9" t="n">
        <x:v>0</x:v>
      </x:c>
      <x:c r="K546" s="7" t="n">
        <x:v>164739.64</x:v>
      </x:c>
      <x:c r="L546" s="7" t="n">
        <x:v>28090.26</x:v>
      </x:c>
      <x:c r="M546" s="3" t="str">
        <x:v>UPI</x:v>
      </x:c>
      <x:c r="N546" s="3"/>
      <x:c r="O546" s="3"/>
      <x:c r="P546" s="3"/>
      <x:c r="Q546" s="3"/>
    </x:row>
    <x:row r="547" ht="21" customHeight="1">
      <x:c r="A547" s="3" t="str">
        <x:v>ORD-100728</x:v>
      </x:c>
      <x:c r="B547" s="5" t="n">
        <x:v>45452</x:v>
      </x:c>
      <x:c r="C547" s="3" t="str">
        <x:v>CUST-00095</x:v>
      </x:c>
      <x:c r="D547" s="3" t="str">
        <x:v>East</x:v>
      </x:c>
      <x:c r="E547" s="3" t="str">
        <x:v>Sports</x:v>
      </x:c>
      <x:c r="F547" s="3" t="str">
        <x:v>Outdoor</x:v>
      </x:c>
      <x:c r="G547" s="3" t="str">
        <x:v>AllWeather Tent 4P</x:v>
      </x:c>
      <x:c r="H547" s="3" t="n">
        <x:v>2</x:v>
      </x:c>
      <x:c r="I547" s="7" t="n">
        <x:v>12501.94</x:v>
      </x:c>
      <x:c r="J547" s="9" t="n">
        <x:v>0.2</x:v>
      </x:c>
      <x:c r="K547" s="7" t="n">
        <x:v>20003.1</x:v>
      </x:c>
      <x:c r="L547" s="7" t="n">
        <x:v>3003.46</x:v>
      </x:c>
      <x:c r="M547" s="3" t="str">
        <x:v>Credit Card</x:v>
      </x:c>
      <x:c r="N547" s="3"/>
      <x:c r="O547" s="3"/>
      <x:c r="P547" s="3"/>
      <x:c r="Q547" s="3"/>
    </x:row>
    <x:row r="548" ht="21" customHeight="1">
      <x:c r="A548" s="3" t="str">
        <x:v>ORD-101491</x:v>
      </x:c>
      <x:c r="B548" s="5" t="n">
        <x:v>45452</x:v>
      </x:c>
      <x:c r="C548" s="3" t="str">
        <x:v>CUST-00086</x:v>
      </x:c>
      <x:c r="D548" s="3" t="str">
        <x:v>West</x:v>
      </x:c>
      <x:c r="E548" s="3" t="str">
        <x:v>Electronics</x:v>
      </x:c>
      <x:c r="F548" s="3" t="str">
        <x:v>Mobile</x:v>
      </x:c>
      <x:c r="G548" s="3" t="str">
        <x:v>iPhone Zeta</x:v>
      </x:c>
      <x:c r="H548" s="3" t="n">
        <x:v>1</x:v>
      </x:c>
      <x:c r="I548" s="7" t="n">
        <x:v>66804.31</x:v>
      </x:c>
      <x:c r="J548" s="9" t="n">
        <x:v>0.2</x:v>
      </x:c>
      <x:c r="K548" s="7" t="n">
        <x:v>53443.45</x:v>
      </x:c>
      <x:c r="L548" s="7" t="n">
        <x:v>-2356.23</x:v>
      </x:c>
      <x:c r="M548" s="3" t="str">
        <x:v>UPI</x:v>
      </x:c>
      <x:c r="N548" s="3"/>
      <x:c r="O548" s="3"/>
      <x:c r="P548" s="3"/>
      <x:c r="Q548" s="3"/>
    </x:row>
    <x:row r="549" ht="21" customHeight="1">
      <x:c r="A549" s="3" t="str">
        <x:v>ORD-101619</x:v>
      </x:c>
      <x:c r="B549" s="5" t="n">
        <x:v>45452</x:v>
      </x:c>
      <x:c r="C549" s="3" t="str">
        <x:v>CUST-00217</x:v>
      </x:c>
      <x:c r="D549" s="3" t="str">
        <x:v>South</x:v>
      </x:c>
      <x:c r="E549" s="3" t="str">
        <x:v>Sports</x:v>
      </x:c>
      <x:c r="F549" s="3" t="str">
        <x:v>Fitness</x:v>
      </x:c>
      <x:c r="G549" s="3" t="str">
        <x:v>ProYoga Mat</x:v>
      </x:c>
      <x:c r="H549" s="3" t="n">
        <x:v>1</x:v>
      </x:c>
      <x:c r="I549" s="7" t="n">
        <x:v>1356.29</x:v>
      </x:c>
      <x:c r="J549" s="9" t="n">
        <x:v>0</x:v>
      </x:c>
      <x:c r="K549" s="7" t="n">
        <x:v>1356.29</x:v>
      </x:c>
      <x:c r="L549" s="7" t="n">
        <x:v>549.39</x:v>
      </x:c>
      <x:c r="M549" s="3" t="str">
        <x:v>UPI</x:v>
      </x:c>
      <x:c r="N549" s="3"/>
      <x:c r="O549" s="3"/>
      <x:c r="P549" s="3"/>
      <x:c r="Q549" s="3"/>
    </x:row>
    <x:row r="550" ht="21" customHeight="1">
      <x:c r="A550" s="3" t="str">
        <x:v>ORD-101975</x:v>
      </x:c>
      <x:c r="B550" s="5" t="n">
        <x:v>45452</x:v>
      </x:c>
      <x:c r="C550" s="3" t="str">
        <x:v>CUST-00600</x:v>
      </x:c>
      <x:c r="D550" s="3" t="str">
        <x:v>North</x:v>
      </x:c>
      <x:c r="E550" s="3" t="str">
        <x:v>Home &amp; Kitchen</x:v>
      </x:c>
      <x:c r="F550" s="3" t="str">
        <x:v>Furniture</x:v>
      </x:c>
      <x:c r="G550" s="3" t="str">
        <x:v>ErgoComfort Chair</x:v>
      </x:c>
      <x:c r="H550" s="3" t="n">
        <x:v>3</x:v>
      </x:c>
      <x:c r="I550" s="7" t="n">
        <x:v>9372.77</x:v>
      </x:c>
      <x:c r="J550" s="9" t="n">
        <x:v>0.05</x:v>
      </x:c>
      <x:c r="K550" s="7" t="n">
        <x:v>26712.39</x:v>
      </x:c>
      <x:c r="L550" s="7" t="n">
        <x:v>6391.33</x:v>
      </x:c>
      <x:c r="M550" s="3" t="str">
        <x:v>Credit Card</x:v>
      </x:c>
      <x:c r="N550" s="3"/>
      <x:c r="O550" s="3"/>
      <x:c r="P550" s="3"/>
      <x:c r="Q550" s="3"/>
    </x:row>
    <x:row r="551" ht="21" customHeight="1">
      <x:c r="A551" s="3" t="str">
        <x:v>ORD-100148</x:v>
      </x:c>
      <x:c r="B551" s="5" t="n">
        <x:v>45453</x:v>
      </x:c>
      <x:c r="C551" s="3" t="str">
        <x:v>CUST-00488</x:v>
      </x:c>
      <x:c r="D551" s="3" t="str">
        <x:v>North</x:v>
      </x:c>
      <x:c r="E551" s="3" t="str">
        <x:v>Fashion</x:v>
      </x:c>
      <x:c r="F551" s="3" t="str">
        <x:v>Men</x:v>
      </x:c>
      <x:c r="G551" s="3" t="str">
        <x:v>SlimFit Denim Jeans</x:v>
      </x:c>
      <x:c r="H551" s="3" t="n">
        <x:v>2</x:v>
      </x:c>
      <x:c r="I551" s="7" t="n">
        <x:v>1981.67</x:v>
      </x:c>
      <x:c r="J551" s="9" t="n">
        <x:v>0</x:v>
      </x:c>
      <x:c r="K551" s="7" t="n">
        <x:v>3963.34</x:v>
      </x:c>
      <x:c r="L551" s="7" t="n">
        <x:v>1733.52</x:v>
      </x:c>
      <x:c r="M551" s="3" t="str">
        <x:v>Debit Card</x:v>
      </x:c>
      <x:c r="N551" s="3"/>
      <x:c r="O551" s="3"/>
      <x:c r="P551" s="3"/>
      <x:c r="Q551" s="3"/>
    </x:row>
    <x:row r="552" ht="21" customHeight="1">
      <x:c r="A552" s="3" t="str">
        <x:v>ORD-100361</x:v>
      </x:c>
      <x:c r="B552" s="5" t="n">
        <x:v>45454</x:v>
      </x:c>
      <x:c r="C552" s="3" t="str">
        <x:v>CUST-00044</x:v>
      </x:c>
      <x:c r="D552" s="3" t="str">
        <x:v>North</x:v>
      </x:c>
      <x:c r="E552" s="3" t="str">
        <x:v>Fashion</x:v>
      </x:c>
      <x:c r="F552" s="3" t="str">
        <x:v>Footwear</x:v>
      </x:c>
      <x:c r="G552" s="3" t="str">
        <x:v>RunFlex Sneakers</x:v>
      </x:c>
      <x:c r="H552" s="3" t="n">
        <x:v>1</x:v>
      </x:c>
      <x:c r="I552" s="7" t="n">
        <x:v>2877.23</x:v>
      </x:c>
      <x:c r="J552" s="9" t="n">
        <x:v>0.15</x:v>
      </x:c>
      <x:c r="K552" s="7" t="n">
        <x:v>2445.65</x:v>
      </x:c>
      <x:c r="L552" s="7" t="n">
        <x:v>637.78</x:v>
      </x:c>
      <x:c r="M552" s="3" t="str">
        <x:v>UPI</x:v>
      </x:c>
      <x:c r="N552" s="3"/>
      <x:c r="O552" s="3"/>
      <x:c r="P552" s="3"/>
      <x:c r="Q552" s="3"/>
    </x:row>
    <x:row r="553" ht="21" customHeight="1">
      <x:c r="A553" s="3" t="str">
        <x:v>ORD-101186</x:v>
      </x:c>
      <x:c r="B553" s="5" t="n">
        <x:v>45454</x:v>
      </x:c>
      <x:c r="C553" s="3" t="str">
        <x:v>CUST-00008</x:v>
      </x:c>
      <x:c r="D553" s="3" t="str">
        <x:v>South</x:v>
      </x:c>
      <x:c r="E553" s="3" t="str">
        <x:v>Electronics</x:v>
      </x:c>
      <x:c r="F553" s="3" t="str">
        <x:v>Audio</x:v>
      </x:c>
      <x:c r="G553" s="3" t="str">
        <x:v>SoundPods Pro</x:v>
      </x:c>
      <x:c r="H553" s="3" t="n">
        <x:v>1</x:v>
      </x:c>
      <x:c r="I553" s="7" t="n">
        <x:v>5129.52</x:v>
      </x:c>
      <x:c r="J553" s="9" t="n">
        <x:v>0.15</x:v>
      </x:c>
      <x:c r="K553" s="7" t="n">
        <x:v>4360.09</x:v>
      </x:c>
      <x:c r="L553" s="7" t="n">
        <x:v>149.46</x:v>
      </x:c>
      <x:c r="M553" s="3" t="str">
        <x:v>Credit Card</x:v>
      </x:c>
      <x:c r="N553" s="3"/>
      <x:c r="O553" s="3"/>
      <x:c r="P553" s="3"/>
      <x:c r="Q553" s="3"/>
    </x:row>
    <x:row r="554" ht="21" customHeight="1">
      <x:c r="A554" s="3" t="str">
        <x:v>ORD-100001</x:v>
      </x:c>
      <x:c r="B554" s="5" t="n">
        <x:v>45455</x:v>
      </x:c>
      <x:c r="C554" s="3" t="str">
        <x:v>CUST-00349</x:v>
      </x:c>
      <x:c r="D554" s="3" t="str">
        <x:v>South</x:v>
      </x:c>
      <x:c r="E554" s="3" t="str">
        <x:v>Fashion</x:v>
      </x:c>
      <x:c r="F554" s="3" t="str">
        <x:v>Men</x:v>
      </x:c>
      <x:c r="G554" s="3" t="str">
        <x:v>SlimFit Denim Jeans</x:v>
      </x:c>
      <x:c r="H554" s="3" t="n">
        <x:v>2</x:v>
      </x:c>
      <x:c r="I554" s="7" t="n">
        <x:v>2039.24</x:v>
      </x:c>
      <x:c r="J554" s="9" t="n">
        <x:v>0.15</x:v>
      </x:c>
      <x:c r="K554" s="7" t="n">
        <x:v>3466.71</x:v>
      </x:c>
      <x:c r="L554" s="7" t="n">
        <x:v>835.69</x:v>
      </x:c>
      <x:c r="M554" s="3" t="str">
        <x:v>UPI</x:v>
      </x:c>
      <x:c r="N554" s="3"/>
      <x:c r="O554" s="3"/>
      <x:c r="P554" s="3"/>
      <x:c r="Q554" s="3"/>
    </x:row>
    <x:row r="555" ht="21" customHeight="1">
      <x:c r="A555" s="3" t="str">
        <x:v>ORD-100401</x:v>
      </x:c>
      <x:c r="B555" s="5" t="n">
        <x:v>45455</x:v>
      </x:c>
      <x:c r="C555" s="3" t="str">
        <x:v>CUST-00390</x:v>
      </x:c>
      <x:c r="D555" s="3" t="str">
        <x:v>East</x:v>
      </x:c>
      <x:c r="E555" s="3" t="str">
        <x:v>Electronics</x:v>
      </x:c>
      <x:c r="F555" s="3" t="str">
        <x:v>Mobile</x:v>
      </x:c>
      <x:c r="G555" s="3" t="str">
        <x:v>Galaxy Nova X5</x:v>
      </x:c>
      <x:c r="H555" s="3" t="n">
        <x:v>2</x:v>
      </x:c>
      <x:c r="I555" s="7" t="n">
        <x:v>23962.31</x:v>
      </x:c>
      <x:c r="J555" s="9" t="n">
        <x:v>0.1</x:v>
      </x:c>
      <x:c r="K555" s="7" t="n">
        <x:v>43132.16</x:v>
      </x:c>
      <x:c r="L555" s="7" t="n">
        <x:v>3518.82</x:v>
      </x:c>
      <x:c r="M555" s="3" t="str">
        <x:v>Cash on Delivery</x:v>
      </x:c>
      <x:c r="N555" s="3"/>
      <x:c r="O555" s="3"/>
      <x:c r="P555" s="3"/>
      <x:c r="Q555" s="3"/>
    </x:row>
    <x:row r="556" ht="21" customHeight="1">
      <x:c r="A556" s="3" t="str">
        <x:v>ORD-101380</x:v>
      </x:c>
      <x:c r="B556" s="5" t="n">
        <x:v>45455</x:v>
      </x:c>
      <x:c r="C556" s="3" t="str">
        <x:v>CUST-00188</x:v>
      </x:c>
      <x:c r="D556" s="3" t="str">
        <x:v>North</x:v>
      </x:c>
      <x:c r="E556" s="3" t="str">
        <x:v>Sports</x:v>
      </x:c>
      <x:c r="F556" s="3" t="str">
        <x:v>Outdoor</x:v>
      </x:c>
      <x:c r="G556" s="3" t="str">
        <x:v>AllWeather Tent 4P</x:v>
      </x:c>
      <x:c r="H556" s="3" t="n">
        <x:v>2</x:v>
      </x:c>
      <x:c r="I556" s="7" t="n">
        <x:v>11937.79</x:v>
      </x:c>
      <x:c r="J556" s="9" t="n">
        <x:v>0.05</x:v>
      </x:c>
      <x:c r="K556" s="7" t="n">
        <x:v>22681.8</x:v>
      </x:c>
      <x:c r="L556" s="7" t="n">
        <x:v>7016.5</x:v>
      </x:c>
      <x:c r="M556" s="3" t="str">
        <x:v>Cash on Delivery</x:v>
      </x:c>
      <x:c r="N556" s="3"/>
      <x:c r="O556" s="3"/>
      <x:c r="P556" s="3"/>
      <x:c r="Q556" s="3"/>
    </x:row>
    <x:row r="557" ht="21" customHeight="1">
      <x:c r="A557" s="3" t="str">
        <x:v>ORD-101834</x:v>
      </x:c>
      <x:c r="B557" s="5" t="n">
        <x:v>45455</x:v>
      </x:c>
      <x:c r="C557" s="3" t="str">
        <x:v>CUST-00453</x:v>
      </x:c>
      <x:c r="D557" s="3" t="str">
        <x:v>West</x:v>
      </x:c>
      <x:c r="E557" s="3" t="str">
        <x:v>Sports</x:v>
      </x:c>
      <x:c r="F557" s="3" t="str">
        <x:v>Outdoor</x:v>
      </x:c>
      <x:c r="G557" s="3" t="str">
        <x:v>TrailHike Backpack 60L</x:v>
      </x:c>
      <x:c r="H557" s="3" t="n">
        <x:v>1</x:v>
      </x:c>
      <x:c r="I557" s="7" t="n">
        <x:v>3453.33</x:v>
      </x:c>
      <x:c r="J557" s="9" t="n">
        <x:v>0.15</x:v>
      </x:c>
      <x:c r="K557" s="7" t="n">
        <x:v>2935.33</x:v>
      </x:c>
      <x:c r="L557" s="7" t="n">
        <x:v>550.19</x:v>
      </x:c>
      <x:c r="M557" s="3" t="str">
        <x:v>Credit Card</x:v>
      </x:c>
      <x:c r="N557" s="3"/>
      <x:c r="O557" s="3"/>
      <x:c r="P557" s="3"/>
      <x:c r="Q557" s="3"/>
    </x:row>
    <x:row r="558" ht="21" customHeight="1">
      <x:c r="A558" s="3" t="str">
        <x:v>ORD-100060</x:v>
      </x:c>
      <x:c r="B558" s="5" t="n">
        <x:v>45456</x:v>
      </x:c>
      <x:c r="C558" s="3" t="str">
        <x:v>CUST-00508</x:v>
      </x:c>
      <x:c r="D558" s="3" t="str">
        <x:v>South</x:v>
      </x:c>
      <x:c r="E558" s="3" t="str">
        <x:v>Home &amp; Kitchen</x:v>
      </x:c>
      <x:c r="F558" s="3" t="str">
        <x:v>Furniture</x:v>
      </x:c>
      <x:c r="G558" s="3" t="str">
        <x:v>ErgoComfort Chair</x:v>
      </x:c>
      <x:c r="H558" s="3" t="n">
        <x:v>2</x:v>
      </x:c>
      <x:c r="I558" s="7" t="n">
        <x:v>8631.16</x:v>
      </x:c>
      <x:c r="J558" s="9" t="n">
        <x:v>0.05</x:v>
      </x:c>
      <x:c r="K558" s="7" t="n">
        <x:v>16399.2</x:v>
      </x:c>
      <x:c r="L558" s="7" t="n">
        <x:v>4269.32</x:v>
      </x:c>
      <x:c r="M558" s="3" t="str">
        <x:v>Credit Card</x:v>
      </x:c>
      <x:c r="N558" s="3"/>
      <x:c r="O558" s="3"/>
      <x:c r="P558" s="3"/>
      <x:c r="Q558" s="3"/>
    </x:row>
    <x:row r="559" ht="21" customHeight="1">
      <x:c r="A559" s="3" t="str">
        <x:v>ORD-100366</x:v>
      </x:c>
      <x:c r="B559" s="5" t="n">
        <x:v>45456</x:v>
      </x:c>
      <x:c r="C559" s="3" t="str">
        <x:v>CUST-00159</x:v>
      </x:c>
      <x:c r="D559" s="3" t="str">
        <x:v>East</x:v>
      </x:c>
      <x:c r="E559" s="3" t="str">
        <x:v>Fashion</x:v>
      </x:c>
      <x:c r="F559" s="3" t="str">
        <x:v>Footwear</x:v>
      </x:c>
      <x:c r="G559" s="3" t="str">
        <x:v>RunFlex Sneakers</x:v>
      </x:c>
      <x:c r="H559" s="3" t="n">
        <x:v>1</x:v>
      </x:c>
      <x:c r="I559" s="7" t="n">
        <x:v>2989.52</x:v>
      </x:c>
      <x:c r="J559" s="9" t="n">
        <x:v>0.05</x:v>
      </x:c>
      <x:c r="K559" s="7" t="n">
        <x:v>2840.04</x:v>
      </x:c>
      <x:c r="L559" s="7" t="n">
        <x:v>1113.05</x:v>
      </x:c>
      <x:c r="M559" s="3" t="str">
        <x:v>Net Banking</x:v>
      </x:c>
      <x:c r="N559" s="3"/>
      <x:c r="O559" s="3"/>
      <x:c r="P559" s="3"/>
      <x:c r="Q559" s="3"/>
    </x:row>
    <x:row r="560" ht="21" customHeight="1">
      <x:c r="A560" s="3" t="str">
        <x:v>ORD-100479</x:v>
      </x:c>
      <x:c r="B560" s="5" t="n">
        <x:v>45456</x:v>
      </x:c>
      <x:c r="C560" s="3" t="str">
        <x:v>CUST-00293</x:v>
      </x:c>
      <x:c r="D560" s="3" t="str">
        <x:v>South</x:v>
      </x:c>
      <x:c r="E560" s="3" t="str">
        <x:v>Fashion</x:v>
      </x:c>
      <x:c r="F560" s="3" t="str">
        <x:v>Women</x:v>
      </x:c>
      <x:c r="G560" s="3" t="str">
        <x:v>Knit Winter Sweater</x:v>
      </x:c>
      <x:c r="H560" s="3" t="n">
        <x:v>5</x:v>
      </x:c>
      <x:c r="I560" s="7" t="n">
        <x:v>2099.46</x:v>
      </x:c>
      <x:c r="J560" s="9" t="n">
        <x:v>0.15</x:v>
      </x:c>
      <x:c r="K560" s="7" t="n">
        <x:v>8922.7</x:v>
      </x:c>
      <x:c r="L560" s="7" t="n">
        <x:v>2103.52</x:v>
      </x:c>
      <x:c r="M560" s="3" t="str">
        <x:v>UPI</x:v>
      </x:c>
      <x:c r="N560" s="3"/>
      <x:c r="O560" s="3"/>
      <x:c r="P560" s="3"/>
      <x:c r="Q560" s="3"/>
    </x:row>
    <x:row r="561" ht="21" customHeight="1">
      <x:c r="A561" s="3" t="str">
        <x:v>ORD-101108</x:v>
      </x:c>
      <x:c r="B561" s="5" t="n">
        <x:v>45456</x:v>
      </x:c>
      <x:c r="C561" s="3" t="str">
        <x:v>CUST-00277</x:v>
      </x:c>
      <x:c r="D561" s="3" t="str">
        <x:v>South</x:v>
      </x:c>
      <x:c r="E561" s="3" t="str">
        <x:v>Electronics</x:v>
      </x:c>
      <x:c r="F561" s="3" t="str">
        <x:v>Audio</x:v>
      </x:c>
      <x:c r="G561" s="3" t="str">
        <x:v>BassBoom Speaker</x:v>
      </x:c>
      <x:c r="H561" s="3" t="n">
        <x:v>2</x:v>
      </x:c>
      <x:c r="I561" s="7" t="n">
        <x:v>9418.71</x:v>
      </x:c>
      <x:c r="J561" s="9" t="n">
        <x:v>0</x:v>
      </x:c>
      <x:c r="K561" s="7" t="n">
        <x:v>18837.42</x:v>
      </x:c>
      <x:c r="L561" s="7" t="n">
        <x:v>3214.83</x:v>
      </x:c>
      <x:c r="M561" s="3" t="str">
        <x:v>UPI</x:v>
      </x:c>
      <x:c r="N561" s="3"/>
      <x:c r="O561" s="3"/>
      <x:c r="P561" s="3"/>
      <x:c r="Q561" s="3"/>
    </x:row>
    <x:row r="562" ht="21" customHeight="1">
      <x:c r="A562" s="3" t="str">
        <x:v>ORD-100329</x:v>
      </x:c>
      <x:c r="B562" s="5" t="n">
        <x:v>45457</x:v>
      </x:c>
      <x:c r="C562" s="3" t="str">
        <x:v>CUST-00521</x:v>
      </x:c>
      <x:c r="D562" s="3" t="str">
        <x:v>North</x:v>
      </x:c>
      <x:c r="E562" s="3" t="str">
        <x:v>Beauty</x:v>
      </x:c>
      <x:c r="F562" s="3" t="str">
        <x:v>Makeup</x:v>
      </x:c>
      <x:c r="G562" s="3" t="str">
        <x:v>HD Foundation Kit</x:v>
      </x:c>
      <x:c r="H562" s="3" t="n">
        <x:v>5</x:v>
      </x:c>
      <x:c r="I562" s="7" t="n">
        <x:v>1540.1</x:v>
      </x:c>
      <x:c r="J562" s="9" t="n">
        <x:v>0.1</x:v>
      </x:c>
      <x:c r="K562" s="7" t="n">
        <x:v>6930.45</x:v>
      </x:c>
      <x:c r="L562" s="7" t="n">
        <x:v>2958.27</x:v>
      </x:c>
      <x:c r="M562" s="3" t="str">
        <x:v>Net Banking</x:v>
      </x:c>
      <x:c r="N562" s="3"/>
      <x:c r="O562" s="3"/>
      <x:c r="P562" s="3"/>
      <x:c r="Q562" s="3"/>
    </x:row>
    <x:row r="563" ht="21" customHeight="1">
      <x:c r="A563" s="3" t="str">
        <x:v>ORD-100556</x:v>
      </x:c>
      <x:c r="B563" s="5" t="n">
        <x:v>45457</x:v>
      </x:c>
      <x:c r="C563" s="3" t="str">
        <x:v>CUST-00290</x:v>
      </x:c>
      <x:c r="D563" s="3" t="str">
        <x:v>East</x:v>
      </x:c>
      <x:c r="E563" s="3" t="str">
        <x:v>Fashion</x:v>
      </x:c>
      <x:c r="F563" s="3" t="str">
        <x:v>Women</x:v>
      </x:c>
      <x:c r="G563" s="3" t="str">
        <x:v>Knit Winter Sweater</x:v>
      </x:c>
      <x:c r="H563" s="3" t="n">
        <x:v>4</x:v>
      </x:c>
      <x:c r="I563" s="7" t="n">
        <x:v>2237.07</x:v>
      </x:c>
      <x:c r="J563" s="9" t="n">
        <x:v>0.2</x:v>
      </x:c>
      <x:c r="K563" s="7" t="n">
        <x:v>7158.62</x:v>
      </x:c>
      <x:c r="L563" s="7" t="n">
        <x:v>1494.48</x:v>
      </x:c>
      <x:c r="M563" s="3" t="str">
        <x:v>Debit Card</x:v>
      </x:c>
      <x:c r="N563" s="3"/>
      <x:c r="O563" s="3"/>
      <x:c r="P563" s="3"/>
      <x:c r="Q563" s="3"/>
    </x:row>
    <x:row r="564" ht="21" customHeight="1">
      <x:c r="A564" s="3" t="str">
        <x:v>ORD-100649</x:v>
      </x:c>
      <x:c r="B564" s="5" t="n">
        <x:v>45457</x:v>
      </x:c>
      <x:c r="C564" s="3" t="str">
        <x:v>CUST-00095</x:v>
      </x:c>
      <x:c r="D564" s="3" t="str">
        <x:v>East</x:v>
      </x:c>
      <x:c r="E564" s="3" t="str">
        <x:v>Home &amp; Kitchen</x:v>
      </x:c>
      <x:c r="F564" s="3" t="str">
        <x:v>Appliances</x:v>
      </x:c>
      <x:c r="G564" s="3" t="str">
        <x:v>AirFryer Deluxe</x:v>
      </x:c>
      <x:c r="H564" s="3" t="n">
        <x:v>2</x:v>
      </x:c>
      <x:c r="I564" s="7" t="n">
        <x:v>7808.09</x:v>
      </x:c>
      <x:c r="J564" s="9" t="n">
        <x:v>0.1</x:v>
      </x:c>
      <x:c r="K564" s="7" t="n">
        <x:v>14054.56</x:v>
      </x:c>
      <x:c r="L564" s="7" t="n">
        <x:v>2971.66</x:v>
      </x:c>
      <x:c r="M564" s="3" t="str">
        <x:v>UPI</x:v>
      </x:c>
      <x:c r="N564" s="3"/>
      <x:c r="O564" s="3"/>
      <x:c r="P564" s="3"/>
      <x:c r="Q564" s="3"/>
    </x:row>
    <x:row r="565" ht="21" customHeight="1">
      <x:c r="A565" s="3" t="str">
        <x:v>ORD-101943</x:v>
      </x:c>
      <x:c r="B565" s="5" t="n">
        <x:v>45457</x:v>
      </x:c>
      <x:c r="C565" s="3" t="str">
        <x:v>CUST-00412</x:v>
      </x:c>
      <x:c r="D565" s="3" t="str">
        <x:v>East</x:v>
      </x:c>
      <x:c r="E565" s="3" t="str">
        <x:v>Sports</x:v>
      </x:c>
      <x:c r="F565" s="3" t="str">
        <x:v>Fitness</x:v>
      </x:c>
      <x:c r="G565" s="3" t="str">
        <x:v>Adjustable Dumbbell 24kg</x:v>
      </x:c>
      <x:c r="H565" s="3" t="n">
        <x:v>1</x:v>
      </x:c>
      <x:c r="I565" s="7" t="n">
        <x:v>10165.75</x:v>
      </x:c>
      <x:c r="J565" s="9" t="n">
        <x:v>0.25</x:v>
      </x:c>
      <x:c r="K565" s="7" t="n">
        <x:v>7624.31</x:v>
      </x:c>
      <x:c r="L565" s="7" t="n">
        <x:v>415.27</x:v>
      </x:c>
      <x:c r="M565" s="3" t="str">
        <x:v>UPI</x:v>
      </x:c>
      <x:c r="N565" s="3"/>
      <x:c r="O565" s="3"/>
      <x:c r="P565" s="3"/>
      <x:c r="Q565" s="3"/>
    </x:row>
    <x:row r="566" ht="21" customHeight="1">
      <x:c r="A566" s="3" t="str">
        <x:v>ORD-100647</x:v>
      </x:c>
      <x:c r="B566" s="5" t="n">
        <x:v>45458</x:v>
      </x:c>
      <x:c r="C566" s="3" t="str">
        <x:v>CUST-00447</x:v>
      </x:c>
      <x:c r="D566" s="3" t="str">
        <x:v>North</x:v>
      </x:c>
      <x:c r="E566" s="3" t="str">
        <x:v>Sports</x:v>
      </x:c>
      <x:c r="F566" s="3" t="str">
        <x:v>Outdoor</x:v>
      </x:c>
      <x:c r="G566" s="3" t="str">
        <x:v>AllWeather Tent 4P</x:v>
      </x:c>
      <x:c r="H566" s="3" t="n">
        <x:v>1</x:v>
      </x:c>
      <x:c r="I566" s="7" t="n">
        <x:v>12104.96</x:v>
      </x:c>
      <x:c r="J566" s="9" t="n">
        <x:v>0.1</x:v>
      </x:c>
      <x:c r="K566" s="7" t="n">
        <x:v>10894.46</x:v>
      </x:c>
      <x:c r="L566" s="7" t="n">
        <x:v>2807.54</x:v>
      </x:c>
      <x:c r="M566" s="3" t="str">
        <x:v>Net Banking</x:v>
      </x:c>
      <x:c r="N566" s="3"/>
      <x:c r="O566" s="3"/>
      <x:c r="P566" s="3"/>
      <x:c r="Q566" s="3"/>
    </x:row>
    <x:row r="567" ht="21" customHeight="1">
      <x:c r="A567" s="3" t="str">
        <x:v>ORD-100004</x:v>
      </x:c>
      <x:c r="B567" s="5" t="n">
        <x:v>45459</x:v>
      </x:c>
      <x:c r="C567" s="3" t="str">
        <x:v>CUST-00277</x:v>
      </x:c>
      <x:c r="D567" s="3" t="str">
        <x:v>North</x:v>
      </x:c>
      <x:c r="E567" s="3" t="str">
        <x:v>Home &amp; Kitchen</x:v>
      </x:c>
      <x:c r="F567" s="3" t="str">
        <x:v>Furniture</x:v>
      </x:c>
      <x:c r="G567" s="3" t="str">
        <x:v>ErgoComfort Chair</x:v>
      </x:c>
      <x:c r="H567" s="3" t="n">
        <x:v>1</x:v>
      </x:c>
      <x:c r="I567" s="7" t="n">
        <x:v>9180.62</x:v>
      </x:c>
      <x:c r="J567" s="9" t="n">
        <x:v>0.1</x:v>
      </x:c>
      <x:c r="K567" s="7" t="n">
        <x:v>8262.56</x:v>
      </x:c>
      <x:c r="L567" s="7" t="n">
        <x:v>1897.78</x:v>
      </x:c>
      <x:c r="M567" s="3" t="str">
        <x:v>Credit Card</x:v>
      </x:c>
      <x:c r="N567" s="3"/>
      <x:c r="O567" s="3"/>
      <x:c r="P567" s="3"/>
      <x:c r="Q567" s="3"/>
    </x:row>
    <x:row r="568" ht="21" customHeight="1">
      <x:c r="A568" s="3" t="str">
        <x:v>ORD-101238</x:v>
      </x:c>
      <x:c r="B568" s="5" t="n">
        <x:v>45459</x:v>
      </x:c>
      <x:c r="C568" s="3" t="str">
        <x:v>CUST-00116</x:v>
      </x:c>
      <x:c r="D568" s="3" t="str">
        <x:v>East</x:v>
      </x:c>
      <x:c r="E568" s="3" t="str">
        <x:v>Electronics</x:v>
      </x:c>
      <x:c r="F568" s="3" t="str">
        <x:v>Laptop</x:v>
      </x:c>
      <x:c r="G568" s="3" t="str">
        <x:v>ThinkPro 14</x:v>
      </x:c>
      <x:c r="H568" s="3" t="n">
        <x:v>1</x:v>
      </x:c>
      <x:c r="I568" s="7" t="n">
        <x:v>57727.56</x:v>
      </x:c>
      <x:c r="J568" s="9" t="n">
        <x:v>0</x:v>
      </x:c>
      <x:c r="K568" s="7" t="n">
        <x:v>57727.56</x:v>
      </x:c>
      <x:c r="L568" s="7" t="n">
        <x:v>12273.52</x:v>
      </x:c>
      <x:c r="M568" s="3" t="str">
        <x:v>UPI</x:v>
      </x:c>
      <x:c r="N568" s="3"/>
      <x:c r="O568" s="3"/>
      <x:c r="P568" s="3"/>
      <x:c r="Q568" s="3"/>
    </x:row>
    <x:row r="569" ht="21" customHeight="1">
      <x:c r="A569" s="3" t="str">
        <x:v>ORD-101469</x:v>
      </x:c>
      <x:c r="B569" s="5" t="n">
        <x:v>45459</x:v>
      </x:c>
      <x:c r="C569" s="3" t="str">
        <x:v>CUST-00573</x:v>
      </x:c>
      <x:c r="D569" s="3" t="str">
        <x:v>North</x:v>
      </x:c>
      <x:c r="E569" s="3" t="str">
        <x:v>Electronics</x:v>
      </x:c>
      <x:c r="F569" s="3" t="str">
        <x:v>Laptop</x:v>
      </x:c>
      <x:c r="G569" s="3" t="str">
        <x:v>AirBook Slim</x:v>
      </x:c>
      <x:c r="H569" s="3" t="n">
        <x:v>1</x:v>
      </x:c>
      <x:c r="I569" s="7" t="n">
        <x:v>76690.96</x:v>
      </x:c>
      <x:c r="J569" s="9" t="n">
        <x:v>0</x:v>
      </x:c>
      <x:c r="K569" s="7" t="n">
        <x:v>76690.96</x:v>
      </x:c>
      <x:c r="L569" s="7" t="n">
        <x:v>12691.05</x:v>
      </x:c>
      <x:c r="M569" s="3" t="str">
        <x:v>Credit Card</x:v>
      </x:c>
      <x:c r="N569" s="3"/>
      <x:c r="O569" s="3"/>
      <x:c r="P569" s="3"/>
      <x:c r="Q569" s="3"/>
    </x:row>
    <x:row r="570" ht="21" customHeight="1">
      <x:c r="A570" s="3" t="str">
        <x:v>ORD-101766</x:v>
      </x:c>
      <x:c r="B570" s="5" t="n">
        <x:v>45459</x:v>
      </x:c>
      <x:c r="C570" s="3" t="str">
        <x:v>CUST-00198</x:v>
      </x:c>
      <x:c r="D570" s="3" t="str">
        <x:v>South</x:v>
      </x:c>
      <x:c r="E570" s="3" t="str">
        <x:v>Beauty</x:v>
      </x:c>
      <x:c r="F570" s="3" t="str">
        <x:v>Makeup</x:v>
      </x:c>
      <x:c r="G570" s="3" t="str">
        <x:v>Matte Lipstick Set</x:v>
      </x:c>
      <x:c r="H570" s="3" t="n">
        <x:v>1</x:v>
      </x:c>
      <x:c r="I570" s="7" t="n">
        <x:v>956.37</x:v>
      </x:c>
      <x:c r="J570" s="9" t="n">
        <x:v>0</x:v>
      </x:c>
      <x:c r="K570" s="7" t="n">
        <x:v>956.37</x:v>
      </x:c>
      <x:c r="L570" s="7" t="n">
        <x:v>540.16</x:v>
      </x:c>
      <x:c r="M570" s="3" t="str">
        <x:v>Credit Card</x:v>
      </x:c>
      <x:c r="N570" s="3"/>
      <x:c r="O570" s="3"/>
      <x:c r="P570" s="3"/>
      <x:c r="Q570" s="3"/>
    </x:row>
    <x:row r="571" ht="21" customHeight="1">
      <x:c r="A571" s="3" t="str">
        <x:v>ORD-100076</x:v>
      </x:c>
      <x:c r="B571" s="5" t="n">
        <x:v>45460</x:v>
      </x:c>
      <x:c r="C571" s="3" t="str">
        <x:v>CUST-00494</x:v>
      </x:c>
      <x:c r="D571" s="3" t="str">
        <x:v>South</x:v>
      </x:c>
      <x:c r="E571" s="3" t="str">
        <x:v>Home &amp; Kitchen</x:v>
      </x:c>
      <x:c r="F571" s="3" t="str">
        <x:v>Appliances</x:v>
      </x:c>
      <x:c r="G571" s="3" t="str">
        <x:v>ColdBrew Coffee Maker</x:v>
      </x:c>
      <x:c r="H571" s="3" t="n">
        <x:v>1</x:v>
      </x:c>
      <x:c r="I571" s="7" t="n">
        <x:v>6524.61</x:v>
      </x:c>
      <x:c r="J571" s="9" t="n">
        <x:v>0</x:v>
      </x:c>
      <x:c r="K571" s="7" t="n">
        <x:v>6524.61</x:v>
      </x:c>
      <x:c r="L571" s="7" t="n">
        <x:v>2399.22</x:v>
      </x:c>
      <x:c r="M571" s="3" t="str">
        <x:v>Net Banking</x:v>
      </x:c>
      <x:c r="N571" s="3"/>
      <x:c r="O571" s="3"/>
      <x:c r="P571" s="3"/>
      <x:c r="Q571" s="3"/>
    </x:row>
    <x:row r="572" ht="21" customHeight="1">
      <x:c r="A572" s="3" t="str">
        <x:v>ORD-100875</x:v>
      </x:c>
      <x:c r="B572" s="5" t="n">
        <x:v>45460</x:v>
      </x:c>
      <x:c r="C572" s="3" t="str">
        <x:v>CUST-00001</x:v>
      </x:c>
      <x:c r="D572" s="3" t="str">
        <x:v>West</x:v>
      </x:c>
      <x:c r="E572" s="3" t="str">
        <x:v>Beauty</x:v>
      </x:c>
      <x:c r="F572" s="3" t="str">
        <x:v>Makeup</x:v>
      </x:c>
      <x:c r="G572" s="3" t="str">
        <x:v>Matte Lipstick Set</x:v>
      </x:c>
      <x:c r="H572" s="3" t="n">
        <x:v>1</x:v>
      </x:c>
      <x:c r="I572" s="7" t="n">
        <x:v>1047.86</x:v>
      </x:c>
      <x:c r="J572" s="9" t="n">
        <x:v>0.15</x:v>
      </x:c>
      <x:c r="K572" s="7" t="n">
        <x:v>890.68</x:v>
      </x:c>
      <x:c r="L572" s="7" t="n">
        <x:v>307.11</x:v>
      </x:c>
      <x:c r="M572" s="3" t="str">
        <x:v>UPI</x:v>
      </x:c>
      <x:c r="N572" s="3"/>
      <x:c r="O572" s="3"/>
      <x:c r="P572" s="3"/>
      <x:c r="Q572" s="3"/>
    </x:row>
    <x:row r="573" ht="21" customHeight="1">
      <x:c r="A573" s="3" t="str">
        <x:v>ORD-101193</x:v>
      </x:c>
      <x:c r="B573" s="5" t="n">
        <x:v>45460</x:v>
      </x:c>
      <x:c r="C573" s="3" t="str">
        <x:v>CUST-00346</x:v>
      </x:c>
      <x:c r="D573" s="3" t="str">
        <x:v>East</x:v>
      </x:c>
      <x:c r="E573" s="3" t="str">
        <x:v>Electronics</x:v>
      </x:c>
      <x:c r="F573" s="3" t="str">
        <x:v>Audio</x:v>
      </x:c>
      <x:c r="G573" s="3" t="str">
        <x:v>SoundPods Pro</x:v>
      </x:c>
      <x:c r="H573" s="3" t="n">
        <x:v>2</x:v>
      </x:c>
      <x:c r="I573" s="7" t="n">
        <x:v>5109.44</x:v>
      </x:c>
      <x:c r="J573" s="9" t="n">
        <x:v>0</x:v>
      </x:c>
      <x:c r="K573" s="7" t="n">
        <x:v>10218.88</x:v>
      </x:c>
      <x:c r="L573" s="7" t="n">
        <x:v>1877.6</x:v>
      </x:c>
      <x:c r="M573" s="3" t="str">
        <x:v>UPI</x:v>
      </x:c>
      <x:c r="N573" s="3"/>
      <x:c r="O573" s="3"/>
      <x:c r="P573" s="3"/>
      <x:c r="Q573" s="3"/>
    </x:row>
    <x:row r="574" ht="21" customHeight="1">
      <x:c r="A574" s="3" t="str">
        <x:v>ORD-101256</x:v>
      </x:c>
      <x:c r="B574" s="5" t="n">
        <x:v>45460</x:v>
      </x:c>
      <x:c r="C574" s="3" t="str">
        <x:v>CUST-00336</x:v>
      </x:c>
      <x:c r="D574" s="3" t="str">
        <x:v>West</x:v>
      </x:c>
      <x:c r="E574" s="3" t="str">
        <x:v>Home &amp; Kitchen</x:v>
      </x:c>
      <x:c r="F574" s="3" t="str">
        <x:v>Decor</x:v>
      </x:c>
      <x:c r="G574" s="3" t="str">
        <x:v>Ceramic Vase Set</x:v>
      </x:c>
      <x:c r="H574" s="3" t="n">
        <x:v>3</x:v>
      </x:c>
      <x:c r="I574" s="7" t="n">
        <x:v>1568.03</x:v>
      </x:c>
      <x:c r="J574" s="9" t="n">
        <x:v>0</x:v>
      </x:c>
      <x:c r="K574" s="7" t="n">
        <x:v>4704.09</x:v>
      </x:c>
      <x:c r="L574" s="7" t="n">
        <x:v>1711.83</x:v>
      </x:c>
      <x:c r="M574" s="3" t="str">
        <x:v>UPI</x:v>
      </x:c>
      <x:c r="N574" s="3"/>
      <x:c r="O574" s="3"/>
      <x:c r="P574" s="3"/>
      <x:c r="Q574" s="3"/>
    </x:row>
    <x:row r="575" ht="21" customHeight="1">
      <x:c r="A575" s="3" t="str">
        <x:v>ORD-101339</x:v>
      </x:c>
      <x:c r="B575" s="5" t="n">
        <x:v>45460</x:v>
      </x:c>
      <x:c r="C575" s="3" t="str">
        <x:v>CUST-00436</x:v>
      </x:c>
      <x:c r="D575" s="3" t="str">
        <x:v>South</x:v>
      </x:c>
      <x:c r="E575" s="3" t="str">
        <x:v>Fashion</x:v>
      </x:c>
      <x:c r="F575" s="3" t="str">
        <x:v>Footwear</x:v>
      </x:c>
      <x:c r="G575" s="3" t="str">
        <x:v>UrbanLoafers</x:v>
      </x:c>
      <x:c r="H575" s="3" t="n">
        <x:v>1</x:v>
      </x:c>
      <x:c r="I575" s="7" t="n">
        <x:v>3328.82</x:v>
      </x:c>
      <x:c r="J575" s="9" t="n">
        <x:v>0.15</x:v>
      </x:c>
      <x:c r="K575" s="7" t="n">
        <x:v>2829.5</x:v>
      </x:c>
      <x:c r="L575" s="7" t="n">
        <x:v>768.64</x:v>
      </x:c>
      <x:c r="M575" s="3" t="str">
        <x:v>Cash on Delivery</x:v>
      </x:c>
      <x:c r="N575" s="3"/>
      <x:c r="O575" s="3"/>
      <x:c r="P575" s="3"/>
      <x:c r="Q575" s="3"/>
    </x:row>
    <x:row r="576" ht="21" customHeight="1">
      <x:c r="A576" s="3" t="str">
        <x:v>ORD-100011</x:v>
      </x:c>
      <x:c r="B576" s="5" t="n">
        <x:v>45461</x:v>
      </x:c>
      <x:c r="C576" s="3" t="str">
        <x:v>CUST-00434</x:v>
      </x:c>
      <x:c r="D576" s="3" t="str">
        <x:v>North</x:v>
      </x:c>
      <x:c r="E576" s="3" t="str">
        <x:v>Electronics</x:v>
      </x:c>
      <x:c r="F576" s="3" t="str">
        <x:v>Mobile</x:v>
      </x:c>
      <x:c r="G576" s="3" t="str">
        <x:v>iPhone Zeta</x:v>
      </x:c>
      <x:c r="H576" s="3" t="n">
        <x:v>1</x:v>
      </x:c>
      <x:c r="I576" s="7" t="n">
        <x:v>71823.19</x:v>
      </x:c>
      <x:c r="J576" s="9" t="n">
        <x:v>0</x:v>
      </x:c>
      <x:c r="K576" s="7" t="n">
        <x:v>71823.19</x:v>
      </x:c>
      <x:c r="L576" s="7" t="n">
        <x:v>14455.62</x:v>
      </x:c>
      <x:c r="M576" s="3" t="str">
        <x:v>Credit Card</x:v>
      </x:c>
      <x:c r="N576" s="3"/>
      <x:c r="O576" s="3"/>
      <x:c r="P576" s="3"/>
      <x:c r="Q576" s="3"/>
    </x:row>
    <x:row r="577" ht="21" customHeight="1">
      <x:c r="A577" s="3" t="str">
        <x:v>ORD-100577</x:v>
      </x:c>
      <x:c r="B577" s="5" t="n">
        <x:v>45461</x:v>
      </x:c>
      <x:c r="C577" s="3" t="str">
        <x:v>CUST-00586</x:v>
      </x:c>
      <x:c r="D577" s="3" t="str">
        <x:v>North</x:v>
      </x:c>
      <x:c r="E577" s="3" t="str">
        <x:v>Sports</x:v>
      </x:c>
      <x:c r="F577" s="3" t="str">
        <x:v>Fitness</x:v>
      </x:c>
      <x:c r="G577" s="3" t="str">
        <x:v>Adjustable Dumbbell 24kg</x:v>
      </x:c>
      <x:c r="H577" s="3" t="n">
        <x:v>1</x:v>
      </x:c>
      <x:c r="I577" s="7" t="n">
        <x:v>10169.43</x:v>
      </x:c>
      <x:c r="J577" s="9" t="n">
        <x:v>0</x:v>
      </x:c>
      <x:c r="K577" s="7" t="n">
        <x:v>10169.43</x:v>
      </x:c>
      <x:c r="L577" s="7" t="n">
        <x:v>3818.09</x:v>
      </x:c>
      <x:c r="M577" s="3" t="str">
        <x:v>UPI</x:v>
      </x:c>
      <x:c r="N577" s="3"/>
      <x:c r="O577" s="3"/>
      <x:c r="P577" s="3"/>
      <x:c r="Q577" s="3"/>
    </x:row>
    <x:row r="578" ht="21" customHeight="1">
      <x:c r="A578" s="3" t="str">
        <x:v>ORD-101222</x:v>
      </x:c>
      <x:c r="B578" s="5" t="n">
        <x:v>45461</x:v>
      </x:c>
      <x:c r="C578" s="3" t="str">
        <x:v>CUST-00587</x:v>
      </x:c>
      <x:c r="D578" s="3" t="str">
        <x:v>West</x:v>
      </x:c>
      <x:c r="E578" s="3" t="str">
        <x:v>Beauty</x:v>
      </x:c>
      <x:c r="F578" s="3" t="str">
        <x:v>Skincare</x:v>
      </x:c>
      <x:c r="G578" s="3" t="str">
        <x:v>HydraBoost Moisturizer</x:v>
      </x:c>
      <x:c r="H578" s="3" t="n">
        <x:v>1</x:v>
      </x:c>
      <x:c r="I578" s="7" t="n">
        <x:v>1140.94</x:v>
      </x:c>
      <x:c r="J578" s="9" t="n">
        <x:v>0</x:v>
      </x:c>
      <x:c r="K578" s="7" t="n">
        <x:v>1140.94</x:v>
      </x:c>
      <x:c r="L578" s="7" t="n">
        <x:v>672.73</x:v>
      </x:c>
      <x:c r="M578" s="3" t="str">
        <x:v>Credit Card</x:v>
      </x:c>
      <x:c r="N578" s="3"/>
      <x:c r="O578" s="3"/>
      <x:c r="P578" s="3"/>
      <x:c r="Q578" s="3"/>
    </x:row>
    <x:row r="579" ht="21" customHeight="1">
      <x:c r="A579" s="3" t="str">
        <x:v>ORD-100281</x:v>
      </x:c>
      <x:c r="B579" s="5" t="n">
        <x:v>45462</x:v>
      </x:c>
      <x:c r="C579" s="3" t="str">
        <x:v>CUST-00061</x:v>
      </x:c>
      <x:c r="D579" s="3" t="str">
        <x:v>South</x:v>
      </x:c>
      <x:c r="E579" s="3" t="str">
        <x:v>Fashion</x:v>
      </x:c>
      <x:c r="F579" s="3" t="str">
        <x:v>Men</x:v>
      </x:c>
      <x:c r="G579" s="3" t="str">
        <x:v>Oxford Casual Shirt</x:v>
      </x:c>
      <x:c r="H579" s="3" t="n">
        <x:v>1</x:v>
      </x:c>
      <x:c r="I579" s="7" t="n">
        <x:v>1342.61</x:v>
      </x:c>
      <x:c r="J579" s="9" t="n">
        <x:v>0.05</x:v>
      </x:c>
      <x:c r="K579" s="7" t="n">
        <x:v>1275.48</x:v>
      </x:c>
      <x:c r="L579" s="7" t="n">
        <x:v>481.74</x:v>
      </x:c>
      <x:c r="M579" s="3" t="str">
        <x:v>Credit Card</x:v>
      </x:c>
      <x:c r="N579" s="3"/>
      <x:c r="O579" s="3"/>
      <x:c r="P579" s="3"/>
      <x:c r="Q579" s="3"/>
    </x:row>
    <x:row r="580" ht="21" customHeight="1">
      <x:c r="A580" s="3" t="str">
        <x:v>ORD-100706</x:v>
      </x:c>
      <x:c r="B580" s="5" t="n">
        <x:v>45462</x:v>
      </x:c>
      <x:c r="C580" s="3" t="str">
        <x:v>CUST-00133</x:v>
      </x:c>
      <x:c r="D580" s="3" t="str">
        <x:v>North</x:v>
      </x:c>
      <x:c r="E580" s="3" t="str">
        <x:v>Home &amp; Kitchen</x:v>
      </x:c>
      <x:c r="F580" s="3" t="str">
        <x:v>Appliances</x:v>
      </x:c>
      <x:c r="G580" s="3" t="str">
        <x:v>ColdBrew Coffee Maker</x:v>
      </x:c>
      <x:c r="H580" s="3" t="n">
        <x:v>4</x:v>
      </x:c>
      <x:c r="I580" s="7" t="n">
        <x:v>6640.24</x:v>
      </x:c>
      <x:c r="J580" s="9" t="n">
        <x:v>0.05</x:v>
      </x:c>
      <x:c r="K580" s="7" t="n">
        <x:v>25232.91</x:v>
      </x:c>
      <x:c r="L580" s="7" t="n">
        <x:v>7705.32</x:v>
      </x:c>
      <x:c r="M580" s="3" t="str">
        <x:v>UPI</x:v>
      </x:c>
      <x:c r="N580" s="3"/>
      <x:c r="O580" s="3"/>
      <x:c r="P580" s="3"/>
      <x:c r="Q580" s="3"/>
    </x:row>
    <x:row r="581" ht="21" customHeight="1">
      <x:c r="A581" s="3" t="str">
        <x:v>ORD-101344</x:v>
      </x:c>
      <x:c r="B581" s="5" t="n">
        <x:v>45462</x:v>
      </x:c>
      <x:c r="C581" s="3" t="str">
        <x:v>CUST-00032</x:v>
      </x:c>
      <x:c r="D581" s="3" t="str">
        <x:v>East</x:v>
      </x:c>
      <x:c r="E581" s="3" t="str">
        <x:v>Beauty</x:v>
      </x:c>
      <x:c r="F581" s="3" t="str">
        <x:v>Makeup</x:v>
      </x:c>
      <x:c r="G581" s="3" t="str">
        <x:v>Matte Lipstick Set</x:v>
      </x:c>
      <x:c r="H581" s="3" t="n">
        <x:v>1</x:v>
      </x:c>
      <x:c r="I581" s="7" t="n">
        <x:v>988.82</x:v>
      </x:c>
      <x:c r="J581" s="9" t="n">
        <x:v>0.25</x:v>
      </x:c>
      <x:c r="K581" s="7" t="n">
        <x:v>741.62</x:v>
      </x:c>
      <x:c r="L581" s="7" t="n">
        <x:v>177.25</x:v>
      </x:c>
      <x:c r="M581" s="3" t="str">
        <x:v>Credit Card</x:v>
      </x:c>
      <x:c r="N581" s="3"/>
      <x:c r="O581" s="3"/>
      <x:c r="P581" s="3"/>
      <x:c r="Q581" s="3"/>
    </x:row>
    <x:row r="582" ht="21" customHeight="1">
      <x:c r="A582" s="3" t="str">
        <x:v>ORD-100492</x:v>
      </x:c>
      <x:c r="B582" s="5" t="n">
        <x:v>45463</x:v>
      </x:c>
      <x:c r="C582" s="3" t="str">
        <x:v>CUST-00324</x:v>
      </x:c>
      <x:c r="D582" s="3" t="str">
        <x:v>North</x:v>
      </x:c>
      <x:c r="E582" s="3" t="str">
        <x:v>Electronics</x:v>
      </x:c>
      <x:c r="F582" s="3" t="str">
        <x:v>Laptop</x:v>
      </x:c>
      <x:c r="G582" s="3" t="str">
        <x:v>AirBook Slim</x:v>
      </x:c>
      <x:c r="H582" s="3" t="n">
        <x:v>1</x:v>
      </x:c>
      <x:c r="I582" s="7" t="n">
        <x:v>79108.54</x:v>
      </x:c>
      <x:c r="J582" s="9" t="n">
        <x:v>0.25</x:v>
      </x:c>
      <x:c r="K582" s="7" t="n">
        <x:v>59331.4</x:v>
      </x:c>
      <x:c r="L582" s="7" t="n">
        <x:v>-5113.45</x:v>
      </x:c>
      <x:c r="M582" s="3" t="str">
        <x:v>UPI</x:v>
      </x:c>
      <x:c r="N582" s="3"/>
      <x:c r="O582" s="3"/>
      <x:c r="P582" s="3"/>
      <x:c r="Q582" s="3"/>
    </x:row>
    <x:row r="583" ht="21" customHeight="1">
      <x:c r="A583" s="3" t="str">
        <x:v>ORD-101997</x:v>
      </x:c>
      <x:c r="B583" s="5" t="n">
        <x:v>45463</x:v>
      </x:c>
      <x:c r="C583" s="3" t="str">
        <x:v>CUST-00060</x:v>
      </x:c>
      <x:c r="D583" s="3" t="str">
        <x:v>East</x:v>
      </x:c>
      <x:c r="E583" s="3" t="str">
        <x:v>Sports</x:v>
      </x:c>
      <x:c r="F583" s="3" t="str">
        <x:v>Fitness</x:v>
      </x:c>
      <x:c r="G583" s="3" t="str">
        <x:v>ProYoga Mat</x:v>
      </x:c>
      <x:c r="H583" s="3" t="n">
        <x:v>2</x:v>
      </x:c>
      <x:c r="I583" s="7" t="n">
        <x:v>1257.58</x:v>
      </x:c>
      <x:c r="J583" s="9" t="n">
        <x:v>0.1</x:v>
      </x:c>
      <x:c r="K583" s="7" t="n">
        <x:v>2263.64</x:v>
      </x:c>
      <x:c r="L583" s="7" t="n">
        <x:v>681.73</x:v>
      </x:c>
      <x:c r="M583" s="3" t="str">
        <x:v>Debit Card</x:v>
      </x:c>
      <x:c r="N583" s="3"/>
      <x:c r="O583" s="3"/>
      <x:c r="P583" s="3"/>
      <x:c r="Q583" s="3"/>
    </x:row>
    <x:row r="584" ht="21" customHeight="1">
      <x:c r="A584" s="3" t="str">
        <x:v>ORD-100203</x:v>
      </x:c>
      <x:c r="B584" s="5" t="n">
        <x:v>45464</x:v>
      </x:c>
      <x:c r="C584" s="3" t="str">
        <x:v>CUST-00300</x:v>
      </x:c>
      <x:c r="D584" s="3" t="str">
        <x:v>East</x:v>
      </x:c>
      <x:c r="E584" s="3" t="str">
        <x:v>Beauty</x:v>
      </x:c>
      <x:c r="F584" s="3" t="str">
        <x:v>Makeup</x:v>
      </x:c>
      <x:c r="G584" s="3" t="str">
        <x:v>Matte Lipstick Set</x:v>
      </x:c>
      <x:c r="H584" s="3" t="n">
        <x:v>2</x:v>
      </x:c>
      <x:c r="I584" s="7" t="n">
        <x:v>1030.32</x:v>
      </x:c>
      <x:c r="J584" s="9" t="n">
        <x:v>0.15</x:v>
      </x:c>
      <x:c r="K584" s="7" t="n">
        <x:v>1751.54</x:v>
      </x:c>
      <x:c r="L584" s="7" t="n">
        <x:v>704.01</x:v>
      </x:c>
      <x:c r="M584" s="3" t="str">
        <x:v>Credit Card</x:v>
      </x:c>
      <x:c r="N584" s="3"/>
      <x:c r="O584" s="3"/>
      <x:c r="P584" s="3"/>
      <x:c r="Q584" s="3"/>
    </x:row>
    <x:row r="585" ht="21" customHeight="1">
      <x:c r="A585" s="3" t="str">
        <x:v>ORD-100271</x:v>
      </x:c>
      <x:c r="B585" s="5" t="n">
        <x:v>45464</x:v>
      </x:c>
      <x:c r="C585" s="3" t="str">
        <x:v>CUST-00163</x:v>
      </x:c>
      <x:c r="D585" s="3" t="str">
        <x:v>North</x:v>
      </x:c>
      <x:c r="E585" s="3" t="str">
        <x:v>Electronics</x:v>
      </x:c>
      <x:c r="F585" s="3" t="str">
        <x:v>Laptop</x:v>
      </x:c>
      <x:c r="G585" s="3" t="str">
        <x:v>AirBook Slim</x:v>
      </x:c>
      <x:c r="H585" s="3" t="n">
        <x:v>2</x:v>
      </x:c>
      <x:c r="I585" s="7" t="n">
        <x:v>80061.53</x:v>
      </x:c>
      <x:c r="J585" s="9" t="n">
        <x:v>0</x:v>
      </x:c>
      <x:c r="K585" s="7" t="n">
        <x:v>160123.06</x:v>
      </x:c>
      <x:c r="L585" s="7" t="n">
        <x:v>22477.61</x:v>
      </x:c>
      <x:c r="M585" s="3" t="str">
        <x:v>Debit Card</x:v>
      </x:c>
      <x:c r="N585" s="3"/>
      <x:c r="O585" s="3"/>
      <x:c r="P585" s="3"/>
      <x:c r="Q585" s="3"/>
    </x:row>
    <x:row r="586" ht="21" customHeight="1">
      <x:c r="A586" s="3" t="str">
        <x:v>ORD-100312</x:v>
      </x:c>
      <x:c r="B586" s="5" t="n">
        <x:v>45464</x:v>
      </x:c>
      <x:c r="C586" s="3" t="str">
        <x:v>CUST-00253</x:v>
      </x:c>
      <x:c r="D586" s="3" t="str">
        <x:v>South</x:v>
      </x:c>
      <x:c r="E586" s="3" t="str">
        <x:v>Fashion</x:v>
      </x:c>
      <x:c r="F586" s="3" t="str">
        <x:v>Women</x:v>
      </x:c>
      <x:c r="G586" s="3" t="str">
        <x:v>Knit Winter Sweater</x:v>
      </x:c>
      <x:c r="H586" s="3" t="n">
        <x:v>1</x:v>
      </x:c>
      <x:c r="I586" s="7" t="n">
        <x:v>2156.27</x:v>
      </x:c>
      <x:c r="J586" s="9" t="n">
        <x:v>0.1</x:v>
      </x:c>
      <x:c r="K586" s="7" t="n">
        <x:v>1940.64</x:v>
      </x:c>
      <x:c r="L586" s="7" t="n">
        <x:v>604.96</x:v>
      </x:c>
      <x:c r="M586" s="3" t="str">
        <x:v>UPI</x:v>
      </x:c>
      <x:c r="N586" s="3"/>
      <x:c r="O586" s="3"/>
      <x:c r="P586" s="3"/>
      <x:c r="Q586" s="3"/>
    </x:row>
    <x:row r="587" ht="21" customHeight="1">
      <x:c r="A587" s="3" t="str">
        <x:v>ORD-100457</x:v>
      </x:c>
      <x:c r="B587" s="5" t="n">
        <x:v>45464</x:v>
      </x:c>
      <x:c r="C587" s="3" t="str">
        <x:v>CUST-00567</x:v>
      </x:c>
      <x:c r="D587" s="3" t="str">
        <x:v>South</x:v>
      </x:c>
      <x:c r="E587" s="3" t="str">
        <x:v>Beauty</x:v>
      </x:c>
      <x:c r="F587" s="3" t="str">
        <x:v>Skincare</x:v>
      </x:c>
      <x:c r="G587" s="3" t="str">
        <x:v>HydraBoost Moisturizer</x:v>
      </x:c>
      <x:c r="H587" s="3" t="n">
        <x:v>3</x:v>
      </x:c>
      <x:c r="I587" s="7" t="n">
        <x:v>1230.68</x:v>
      </x:c>
      <x:c r="J587" s="9" t="n">
        <x:v>0.15</x:v>
      </x:c>
      <x:c r="K587" s="7" t="n">
        <x:v>3138.23</x:v>
      </x:c>
      <x:c r="L587" s="7" t="n">
        <x:v>1208.05</x:v>
      </x:c>
      <x:c r="M587" s="3" t="str">
        <x:v>UPI</x:v>
      </x:c>
      <x:c r="N587" s="3"/>
      <x:c r="O587" s="3"/>
      <x:c r="P587" s="3"/>
      <x:c r="Q587" s="3"/>
    </x:row>
    <x:row r="588" ht="21" customHeight="1">
      <x:c r="A588" s="3" t="str">
        <x:v>ORD-100503</x:v>
      </x:c>
      <x:c r="B588" s="5" t="n">
        <x:v>45464</x:v>
      </x:c>
      <x:c r="C588" s="3" t="str">
        <x:v>CUST-00204</x:v>
      </x:c>
      <x:c r="D588" s="3" t="str">
        <x:v>East</x:v>
      </x:c>
      <x:c r="E588" s="3" t="str">
        <x:v>Electronics</x:v>
      </x:c>
      <x:c r="F588" s="3" t="str">
        <x:v>Laptop</x:v>
      </x:c>
      <x:c r="G588" s="3" t="str">
        <x:v>AirBook Slim</x:v>
      </x:c>
      <x:c r="H588" s="3" t="n">
        <x:v>1</x:v>
      </x:c>
      <x:c r="I588" s="7" t="n">
        <x:v>75990.86</x:v>
      </x:c>
      <x:c r="J588" s="9" t="n">
        <x:v>0.1</x:v>
      </x:c>
      <x:c r="K588" s="7" t="n">
        <x:v>68391.77</x:v>
      </x:c>
      <x:c r="L588" s="7" t="n">
        <x:v>3869.94</x:v>
      </x:c>
      <x:c r="M588" s="3" t="str">
        <x:v>Cash on Delivery</x:v>
      </x:c>
      <x:c r="N588" s="3"/>
      <x:c r="O588" s="3"/>
      <x:c r="P588" s="3"/>
      <x:c r="Q588" s="3"/>
    </x:row>
    <x:row r="589" ht="21" customHeight="1">
      <x:c r="A589" s="3" t="str">
        <x:v>ORD-100986</x:v>
      </x:c>
      <x:c r="B589" s="5" t="n">
        <x:v>45464</x:v>
      </x:c>
      <x:c r="C589" s="3" t="str">
        <x:v>CUST-00115</x:v>
      </x:c>
      <x:c r="D589" s="3" t="str">
        <x:v>South</x:v>
      </x:c>
      <x:c r="E589" s="3" t="str">
        <x:v>Beauty</x:v>
      </x:c>
      <x:c r="F589" s="3" t="str">
        <x:v>Makeup</x:v>
      </x:c>
      <x:c r="G589" s="3" t="str">
        <x:v>Matte Lipstick Set</x:v>
      </x:c>
      <x:c r="H589" s="3" t="n">
        <x:v>2</x:v>
      </x:c>
      <x:c r="I589" s="7" t="n">
        <x:v>1034.56</x:v>
      </x:c>
      <x:c r="J589" s="9" t="n">
        <x:v>0</x:v>
      </x:c>
      <x:c r="K589" s="7" t="n">
        <x:v>2069.12</x:v>
      </x:c>
      <x:c r="L589" s="7" t="n">
        <x:v>1135.61</x:v>
      </x:c>
      <x:c r="M589" s="3" t="str">
        <x:v>Credit Card</x:v>
      </x:c>
      <x:c r="N589" s="3"/>
      <x:c r="O589" s="3"/>
      <x:c r="P589" s="3"/>
      <x:c r="Q589" s="3"/>
    </x:row>
    <x:row r="590" ht="21" customHeight="1">
      <x:c r="A590" s="3" t="str">
        <x:v>ORD-101399</x:v>
      </x:c>
      <x:c r="B590" s="5" t="n">
        <x:v>45464</x:v>
      </x:c>
      <x:c r="C590" s="3" t="str">
        <x:v>CUST-00176</x:v>
      </x:c>
      <x:c r="D590" s="3" t="str">
        <x:v>North</x:v>
      </x:c>
      <x:c r="E590" s="3" t="str">
        <x:v>Electronics</x:v>
      </x:c>
      <x:c r="F590" s="3" t="str">
        <x:v>Mobile</x:v>
      </x:c>
      <x:c r="G590" s="3" t="str">
        <x:v>Pixel Aura 12</x:v>
      </x:c>
      <x:c r="H590" s="3" t="n">
        <x:v>3</x:v>
      </x:c>
      <x:c r="I590" s="7" t="n">
        <x:v>33830.36</x:v>
      </x:c>
      <x:c r="J590" s="9" t="n">
        <x:v>0</x:v>
      </x:c>
      <x:c r="K590" s="7" t="n">
        <x:v>101491.08</x:v>
      </x:c>
      <x:c r="L590" s="7" t="n">
        <x:v>14258.43</x:v>
      </x:c>
      <x:c r="M590" s="3" t="str">
        <x:v>Debit Card</x:v>
      </x:c>
      <x:c r="N590" s="3"/>
      <x:c r="O590" s="3"/>
      <x:c r="P590" s="3"/>
      <x:c r="Q590" s="3"/>
    </x:row>
    <x:row r="591" ht="21" customHeight="1">
      <x:c r="A591" s="3" t="str">
        <x:v>ORD-101674</x:v>
      </x:c>
      <x:c r="B591" s="5" t="n">
        <x:v>45464</x:v>
      </x:c>
      <x:c r="C591" s="3" t="str">
        <x:v>CUST-00225</x:v>
      </x:c>
      <x:c r="D591" s="3" t="str">
        <x:v>North</x:v>
      </x:c>
      <x:c r="E591" s="3" t="str">
        <x:v>Sports</x:v>
      </x:c>
      <x:c r="F591" s="3" t="str">
        <x:v>Fitness</x:v>
      </x:c>
      <x:c r="G591" s="3" t="str">
        <x:v>ProYoga Mat</x:v>
      </x:c>
      <x:c r="H591" s="3" t="n">
        <x:v>3</x:v>
      </x:c>
      <x:c r="I591" s="7" t="n">
        <x:v>1314</x:v>
      </x:c>
      <x:c r="J591" s="9" t="n">
        <x:v>0.05</x:v>
      </x:c>
      <x:c r="K591" s="7" t="n">
        <x:v>3744.9</x:v>
      </x:c>
      <x:c r="L591" s="7" t="n">
        <x:v>1114.49</x:v>
      </x:c>
      <x:c r="M591" s="3" t="str">
        <x:v>UPI</x:v>
      </x:c>
      <x:c r="N591" s="3"/>
      <x:c r="O591" s="3"/>
      <x:c r="P591" s="3"/>
      <x:c r="Q591" s="3"/>
    </x:row>
    <x:row r="592" ht="21" customHeight="1">
      <x:c r="A592" s="3" t="str">
        <x:v>ORD-100332</x:v>
      </x:c>
      <x:c r="B592" s="5" t="n">
        <x:v>45465</x:v>
      </x:c>
      <x:c r="C592" s="3" t="str">
        <x:v>CUST-00369</x:v>
      </x:c>
      <x:c r="D592" s="3" t="str">
        <x:v>South</x:v>
      </x:c>
      <x:c r="E592" s="3" t="str">
        <x:v>Electronics</x:v>
      </x:c>
      <x:c r="F592" s="3" t="str">
        <x:v>Mobile</x:v>
      </x:c>
      <x:c r="G592" s="3" t="str">
        <x:v>iPhone Zeta</x:v>
      </x:c>
      <x:c r="H592" s="3" t="n">
        <x:v>4</x:v>
      </x:c>
      <x:c r="I592" s="7" t="n">
        <x:v>67862.26</x:v>
      </x:c>
      <x:c r="J592" s="9" t="n">
        <x:v>0.05</x:v>
      </x:c>
      <x:c r="K592" s="7" t="n">
        <x:v>257876.59</x:v>
      </x:c>
      <x:c r="L592" s="7" t="n">
        <x:v>37448</x:v>
      </x:c>
      <x:c r="M592" s="3" t="str">
        <x:v>Credit Card</x:v>
      </x:c>
      <x:c r="N592" s="3"/>
      <x:c r="O592" s="3"/>
      <x:c r="P592" s="3"/>
      <x:c r="Q592" s="3"/>
    </x:row>
    <x:row r="593" ht="21" customHeight="1">
      <x:c r="A593" s="3" t="str">
        <x:v>ORD-100535</x:v>
      </x:c>
      <x:c r="B593" s="5" t="n">
        <x:v>45465</x:v>
      </x:c>
      <x:c r="C593" s="3" t="str">
        <x:v>CUST-00348</x:v>
      </x:c>
      <x:c r="D593" s="3" t="str">
        <x:v>North</x:v>
      </x:c>
      <x:c r="E593" s="3" t="str">
        <x:v>Beauty</x:v>
      </x:c>
      <x:c r="F593" s="3" t="str">
        <x:v>Makeup</x:v>
      </x:c>
      <x:c r="G593" s="3" t="str">
        <x:v>HD Foundation Kit</x:v>
      </x:c>
      <x:c r="H593" s="3" t="n">
        <x:v>5</x:v>
      </x:c>
      <x:c r="I593" s="7" t="n">
        <x:v>1443.87</x:v>
      </x:c>
      <x:c r="J593" s="9" t="n">
        <x:v>0.1</x:v>
      </x:c>
      <x:c r="K593" s="7" t="n">
        <x:v>6497.41</x:v>
      </x:c>
      <x:c r="L593" s="7" t="n">
        <x:v>3030.25</x:v>
      </x:c>
      <x:c r="M593" s="3" t="str">
        <x:v>UPI</x:v>
      </x:c>
      <x:c r="N593" s="3"/>
      <x:c r="O593" s="3"/>
      <x:c r="P593" s="3"/>
      <x:c r="Q593" s="3"/>
    </x:row>
    <x:row r="594" ht="21" customHeight="1">
      <x:c r="A594" s="3" t="str">
        <x:v>ORD-100581</x:v>
      </x:c>
      <x:c r="B594" s="5" t="n">
        <x:v>45465</x:v>
      </x:c>
      <x:c r="C594" s="3" t="str">
        <x:v>CUST-00334</x:v>
      </x:c>
      <x:c r="D594" s="3" t="str">
        <x:v>North</x:v>
      </x:c>
      <x:c r="E594" s="3" t="str">
        <x:v>Electronics</x:v>
      </x:c>
      <x:c r="F594" s="3" t="str">
        <x:v>Mobile</x:v>
      </x:c>
      <x:c r="G594" s="3" t="str">
        <x:v>Galaxy Nova X5</x:v>
      </x:c>
      <x:c r="H594" s="3" t="n">
        <x:v>1</x:v>
      </x:c>
      <x:c r="I594" s="7" t="n">
        <x:v>24205.7</x:v>
      </x:c>
      <x:c r="J594" s="9" t="n">
        <x:v>0</x:v>
      </x:c>
      <x:c r="K594" s="7" t="n">
        <x:v>24205.7</x:v>
      </x:c>
      <x:c r="L594" s="7" t="n">
        <x:v>4876.59</x:v>
      </x:c>
      <x:c r="M594" s="3" t="str">
        <x:v>Cash on Delivery</x:v>
      </x:c>
      <x:c r="N594" s="3"/>
      <x:c r="O594" s="3"/>
      <x:c r="P594" s="3"/>
      <x:c r="Q594" s="3"/>
    </x:row>
    <x:row r="595" ht="21" customHeight="1">
      <x:c r="A595" s="3" t="str">
        <x:v>ORD-100142</x:v>
      </x:c>
      <x:c r="B595" s="5" t="n">
        <x:v>45466</x:v>
      </x:c>
      <x:c r="C595" s="3" t="str">
        <x:v>CUST-00390</x:v>
      </x:c>
      <x:c r="D595" s="3" t="str">
        <x:v>East</x:v>
      </x:c>
      <x:c r="E595" s="3" t="str">
        <x:v>Beauty</x:v>
      </x:c>
      <x:c r="F595" s="3" t="str">
        <x:v>Makeup</x:v>
      </x:c>
      <x:c r="G595" s="3" t="str">
        <x:v>HD Foundation Kit</x:v>
      </x:c>
      <x:c r="H595" s="3" t="n">
        <x:v>5</x:v>
      </x:c>
      <x:c r="I595" s="7" t="n">
        <x:v>1540.4</x:v>
      </x:c>
      <x:c r="J595" s="9" t="n">
        <x:v>0.15</x:v>
      </x:c>
      <x:c r="K595" s="7" t="n">
        <x:v>6546.7</x:v>
      </x:c>
      <x:c r="L595" s="7" t="n">
        <x:v>2512.04</x:v>
      </x:c>
      <x:c r="M595" s="3" t="str">
        <x:v>Credit Card</x:v>
      </x:c>
      <x:c r="N595" s="3"/>
      <x:c r="O595" s="3"/>
      <x:c r="P595" s="3"/>
      <x:c r="Q595" s="3"/>
    </x:row>
    <x:row r="596" ht="21" customHeight="1">
      <x:c r="A596" s="3" t="str">
        <x:v>ORD-100466</x:v>
      </x:c>
      <x:c r="B596" s="5" t="n">
        <x:v>45466</x:v>
      </x:c>
      <x:c r="C596" s="3" t="str">
        <x:v>CUST-00567</x:v>
      </x:c>
      <x:c r="D596" s="3" t="str">
        <x:v>South</x:v>
      </x:c>
      <x:c r="E596" s="3" t="str">
        <x:v>Beauty</x:v>
      </x:c>
      <x:c r="F596" s="3" t="str">
        <x:v>Skincare</x:v>
      </x:c>
      <x:c r="G596" s="3" t="str">
        <x:v>HydraBoost Moisturizer</x:v>
      </x:c>
      <x:c r="H596" s="3" t="n">
        <x:v>1</x:v>
      </x:c>
      <x:c r="I596" s="7" t="n">
        <x:v>1194.03</x:v>
      </x:c>
      <x:c r="J596" s="9" t="n">
        <x:v>0.2</x:v>
      </x:c>
      <x:c r="K596" s="7" t="n">
        <x:v>955.22</x:v>
      </x:c>
      <x:c r="L596" s="7" t="n">
        <x:v>280.54</x:v>
      </x:c>
      <x:c r="M596" s="3" t="str">
        <x:v>Net Banking</x:v>
      </x:c>
      <x:c r="N596" s="3"/>
      <x:c r="O596" s="3"/>
      <x:c r="P596" s="3"/>
      <x:c r="Q596" s="3"/>
    </x:row>
    <x:row r="597" ht="21" customHeight="1">
      <x:c r="A597" s="3" t="str">
        <x:v>ORD-100683</x:v>
      </x:c>
      <x:c r="B597" s="5" t="n">
        <x:v>45466</x:v>
      </x:c>
      <x:c r="C597" s="3" t="str">
        <x:v>CUST-00399</x:v>
      </x:c>
      <x:c r="D597" s="3" t="str">
        <x:v>East</x:v>
      </x:c>
      <x:c r="E597" s="3" t="str">
        <x:v>Beauty</x:v>
      </x:c>
      <x:c r="F597" s="3" t="str">
        <x:v>Makeup</x:v>
      </x:c>
      <x:c r="G597" s="3" t="str">
        <x:v>Matte Lipstick Set</x:v>
      </x:c>
      <x:c r="H597" s="3" t="n">
        <x:v>1</x:v>
      </x:c>
      <x:c r="I597" s="7" t="n">
        <x:v>1035.5</x:v>
      </x:c>
      <x:c r="J597" s="9" t="n">
        <x:v>0.15</x:v>
      </x:c>
      <x:c r="K597" s="7" t="n">
        <x:v>880.17</x:v>
      </x:c>
      <x:c r="L597" s="7" t="n">
        <x:v>335.89</x:v>
      </x:c>
      <x:c r="M597" s="3" t="str">
        <x:v>Net Banking</x:v>
      </x:c>
      <x:c r="N597" s="3"/>
      <x:c r="O597" s="3"/>
      <x:c r="P597" s="3"/>
      <x:c r="Q597" s="3"/>
    </x:row>
    <x:row r="598" ht="21" customHeight="1">
      <x:c r="A598" s="3" t="str">
        <x:v>ORD-100913</x:v>
      </x:c>
      <x:c r="B598" s="5" t="n">
        <x:v>45466</x:v>
      </x:c>
      <x:c r="C598" s="3" t="str">
        <x:v>CUST-00262</x:v>
      </x:c>
      <x:c r="D598" s="3" t="str">
        <x:v>East</x:v>
      </x:c>
      <x:c r="E598" s="3" t="str">
        <x:v>Beauty</x:v>
      </x:c>
      <x:c r="F598" s="3" t="str">
        <x:v>Skincare</x:v>
      </x:c>
      <x:c r="G598" s="3" t="str">
        <x:v>HydraBoost Moisturizer</x:v>
      </x:c>
      <x:c r="H598" s="3" t="n">
        <x:v>1</x:v>
      </x:c>
      <x:c r="I598" s="7" t="n">
        <x:v>1192.33</x:v>
      </x:c>
      <x:c r="J598" s="9" t="n">
        <x:v>0.05</x:v>
      </x:c>
      <x:c r="K598" s="7" t="n">
        <x:v>1132.71</x:v>
      </x:c>
      <x:c r="L598" s="7" t="n">
        <x:v>554.41</x:v>
      </x:c>
      <x:c r="M598" s="3" t="str">
        <x:v>UPI</x:v>
      </x:c>
      <x:c r="N598" s="3"/>
      <x:c r="O598" s="3"/>
      <x:c r="P598" s="3"/>
      <x:c r="Q598" s="3"/>
    </x:row>
    <x:row r="599" ht="21" customHeight="1">
      <x:c r="A599" s="3" t="str">
        <x:v>ORD-101538</x:v>
      </x:c>
      <x:c r="B599" s="5" t="n">
        <x:v>45466</x:v>
      </x:c>
      <x:c r="C599" s="3" t="str">
        <x:v>CUST-00400</x:v>
      </x:c>
      <x:c r="D599" s="3" t="str">
        <x:v>East</x:v>
      </x:c>
      <x:c r="E599" s="3" t="str">
        <x:v>Beauty</x:v>
      </x:c>
      <x:c r="F599" s="3" t="str">
        <x:v>Makeup</x:v>
      </x:c>
      <x:c r="G599" s="3" t="str">
        <x:v>HD Foundation Kit</x:v>
      </x:c>
      <x:c r="H599" s="3" t="n">
        <x:v>1</x:v>
      </x:c>
      <x:c r="I599" s="7" t="n">
        <x:v>1559.85</x:v>
      </x:c>
      <x:c r="J599" s="9" t="n">
        <x:v>0</x:v>
      </x:c>
      <x:c r="K599" s="7" t="n">
        <x:v>1559.85</x:v>
      </x:c>
      <x:c r="L599" s="7" t="n">
        <x:v>899.43</x:v>
      </x:c>
      <x:c r="M599" s="3" t="str">
        <x:v>UPI</x:v>
      </x:c>
      <x:c r="N599" s="3"/>
      <x:c r="O599" s="3"/>
      <x:c r="P599" s="3"/>
      <x:c r="Q599" s="3"/>
    </x:row>
    <x:row r="600" ht="21" customHeight="1">
      <x:c r="A600" s="3" t="str">
        <x:v>ORD-101539</x:v>
      </x:c>
      <x:c r="B600" s="5" t="n">
        <x:v>45466</x:v>
      </x:c>
      <x:c r="C600" s="3" t="str">
        <x:v>CUST-00380</x:v>
      </x:c>
      <x:c r="D600" s="3" t="str">
        <x:v>South</x:v>
      </x:c>
      <x:c r="E600" s="3" t="str">
        <x:v>Home &amp; Kitchen</x:v>
      </x:c>
      <x:c r="F600" s="3" t="str">
        <x:v>Appliances</x:v>
      </x:c>
      <x:c r="G600" s="3" t="str">
        <x:v>ColdBrew Coffee Maker</x:v>
      </x:c>
      <x:c r="H600" s="3" t="n">
        <x:v>2</x:v>
      </x:c>
      <x:c r="I600" s="7" t="n">
        <x:v>6719.56</x:v>
      </x:c>
      <x:c r="J600" s="9" t="n">
        <x:v>0.25</x:v>
      </x:c>
      <x:c r="K600" s="7" t="n">
        <x:v>10079.34</x:v>
      </x:c>
      <x:c r="L600" s="7" t="n">
        <x:v>521.16</x:v>
      </x:c>
      <x:c r="M600" s="3" t="str">
        <x:v>UPI</x:v>
      </x:c>
      <x:c r="N600" s="3"/>
      <x:c r="O600" s="3"/>
      <x:c r="P600" s="3"/>
      <x:c r="Q600" s="3"/>
    </x:row>
    <x:row r="601" ht="21" customHeight="1">
      <x:c r="A601" s="3" t="str">
        <x:v>ORD-100176</x:v>
      </x:c>
      <x:c r="B601" s="5" t="n">
        <x:v>45467</x:v>
      </x:c>
      <x:c r="C601" s="3" t="str">
        <x:v>CUST-00445</x:v>
      </x:c>
      <x:c r="D601" s="3" t="str">
        <x:v>South</x:v>
      </x:c>
      <x:c r="E601" s="3" t="str">
        <x:v>Fashion</x:v>
      </x:c>
      <x:c r="F601" s="3" t="str">
        <x:v>Women</x:v>
      </x:c>
      <x:c r="G601" s="3" t="str">
        <x:v>Floral Summer Dress</x:v>
      </x:c>
      <x:c r="H601" s="3" t="n">
        <x:v>2</x:v>
      </x:c>
      <x:c r="I601" s="7" t="n">
        <x:v>1845.7</x:v>
      </x:c>
      <x:c r="J601" s="9" t="n">
        <x:v>0.2</x:v>
      </x:c>
      <x:c r="K601" s="7" t="n">
        <x:v>2953.12</x:v>
      </x:c>
      <x:c r="L601" s="7" t="n">
        <x:v>465.06</x:v>
      </x:c>
      <x:c r="M601" s="3" t="str">
        <x:v>Credit Card</x:v>
      </x:c>
      <x:c r="N601" s="3"/>
      <x:c r="O601" s="3"/>
      <x:c r="P601" s="3"/>
      <x:c r="Q601" s="3"/>
    </x:row>
    <x:row r="602" ht="21" customHeight="1">
      <x:c r="A602" s="3" t="str">
        <x:v>ORD-100562</x:v>
      </x:c>
      <x:c r="B602" s="5" t="n">
        <x:v>45467</x:v>
      </x:c>
      <x:c r="C602" s="3" t="str">
        <x:v>CUST-00382</x:v>
      </x:c>
      <x:c r="D602" s="3" t="str">
        <x:v>South</x:v>
      </x:c>
      <x:c r="E602" s="3" t="str">
        <x:v>Electronics</x:v>
      </x:c>
      <x:c r="F602" s="3" t="str">
        <x:v>Mobile</x:v>
      </x:c>
      <x:c r="G602" s="3" t="str">
        <x:v>Pixel Aura 12</x:v>
      </x:c>
      <x:c r="H602" s="3" t="n">
        <x:v>5</x:v>
      </x:c>
      <x:c r="I602" s="7" t="n">
        <x:v>31370.79</x:v>
      </x:c>
      <x:c r="J602" s="9" t="n">
        <x:v>0.15</x:v>
      </x:c>
      <x:c r="K602" s="7" t="n">
        <x:v>133325.86</x:v>
      </x:c>
      <x:c r="L602" s="7" t="n">
        <x:v>4571.09</x:v>
      </x:c>
      <x:c r="M602" s="3" t="str">
        <x:v>UPI</x:v>
      </x:c>
      <x:c r="N602" s="3"/>
      <x:c r="O602" s="3"/>
      <x:c r="P602" s="3"/>
      <x:c r="Q602" s="3"/>
    </x:row>
    <x:row r="603" ht="21" customHeight="1">
      <x:c r="A603" s="3" t="str">
        <x:v>ORD-101237</x:v>
      </x:c>
      <x:c r="B603" s="5" t="n">
        <x:v>45467</x:v>
      </x:c>
      <x:c r="C603" s="3" t="str">
        <x:v>CUST-00411</x:v>
      </x:c>
      <x:c r="D603" s="3" t="str">
        <x:v>North</x:v>
      </x:c>
      <x:c r="E603" s="3" t="str">
        <x:v>Beauty</x:v>
      </x:c>
      <x:c r="F603" s="3" t="str">
        <x:v>Makeup</x:v>
      </x:c>
      <x:c r="G603" s="3" t="str">
        <x:v>Matte Lipstick Set</x:v>
      </x:c>
      <x:c r="H603" s="3" t="n">
        <x:v>5</x:v>
      </x:c>
      <x:c r="I603" s="7" t="n">
        <x:v>994.39</x:v>
      </x:c>
      <x:c r="J603" s="9" t="n">
        <x:v>0</x:v>
      </x:c>
      <x:c r="K603" s="7" t="n">
        <x:v>4971.95</x:v>
      </x:c>
      <x:c r="L603" s="7" t="n">
        <x:v>2571.17</x:v>
      </x:c>
      <x:c r="M603" s="3" t="str">
        <x:v>Cash on Delivery</x:v>
      </x:c>
      <x:c r="N603" s="3"/>
      <x:c r="O603" s="3"/>
      <x:c r="P603" s="3"/>
      <x:c r="Q603" s="3"/>
    </x:row>
    <x:row r="604" ht="21" customHeight="1">
      <x:c r="A604" s="3" t="str">
        <x:v>ORD-101257</x:v>
      </x:c>
      <x:c r="B604" s="5" t="n">
        <x:v>45467</x:v>
      </x:c>
      <x:c r="C604" s="3" t="str">
        <x:v>CUST-00227</x:v>
      </x:c>
      <x:c r="D604" s="3" t="str">
        <x:v>South</x:v>
      </x:c>
      <x:c r="E604" s="3" t="str">
        <x:v>Fashion</x:v>
      </x:c>
      <x:c r="F604" s="3" t="str">
        <x:v>Footwear</x:v>
      </x:c>
      <x:c r="G604" s="3" t="str">
        <x:v>UrbanLoafers</x:v>
      </x:c>
      <x:c r="H604" s="3" t="n">
        <x:v>2</x:v>
      </x:c>
      <x:c r="I604" s="7" t="n">
        <x:v>3386.3</x:v>
      </x:c>
      <x:c r="J604" s="9" t="n">
        <x:v>0.25</x:v>
      </x:c>
      <x:c r="K604" s="7" t="n">
        <x:v>5079.45</x:v>
      </x:c>
      <x:c r="L604" s="7" t="n">
        <x:v>853.87</x:v>
      </x:c>
      <x:c r="M604" s="3" t="str">
        <x:v>Cash on Delivery</x:v>
      </x:c>
      <x:c r="N604" s="3"/>
      <x:c r="O604" s="3"/>
      <x:c r="P604" s="3"/>
      <x:c r="Q604" s="3"/>
    </x:row>
    <x:row r="605" ht="21" customHeight="1">
      <x:c r="A605" s="3" t="str">
        <x:v>ORD-101500</x:v>
      </x:c>
      <x:c r="B605" s="5" t="n">
        <x:v>45467</x:v>
      </x:c>
      <x:c r="C605" s="3" t="str">
        <x:v>CUST-00579</x:v>
      </x:c>
      <x:c r="D605" s="3" t="str">
        <x:v>West</x:v>
      </x:c>
      <x:c r="E605" s="3" t="str">
        <x:v>Home &amp; Kitchen</x:v>
      </x:c>
      <x:c r="F605" s="3" t="str">
        <x:v>Furniture</x:v>
      </x:c>
      <x:c r="G605" s="3" t="str">
        <x:v>ErgoComfort Chair</x:v>
      </x:c>
      <x:c r="H605" s="3" t="n">
        <x:v>1</x:v>
      </x:c>
      <x:c r="I605" s="7" t="n">
        <x:v>8760.48</x:v>
      </x:c>
      <x:c r="J605" s="9" t="n">
        <x:v>0.1</x:v>
      </x:c>
      <x:c r="K605" s="7" t="n">
        <x:v>7884.43</x:v>
      </x:c>
      <x:c r="L605" s="7" t="n">
        <x:v>1827.47</x:v>
      </x:c>
      <x:c r="M605" s="3" t="str">
        <x:v>Credit Card</x:v>
      </x:c>
      <x:c r="N605" s="3"/>
      <x:c r="O605" s="3"/>
      <x:c r="P605" s="3"/>
      <x:c r="Q605" s="3"/>
    </x:row>
    <x:row r="606" ht="21" customHeight="1">
      <x:c r="A606" s="3" t="str">
        <x:v>ORD-101788</x:v>
      </x:c>
      <x:c r="B606" s="5" t="n">
        <x:v>45467</x:v>
      </x:c>
      <x:c r="C606" s="3" t="str">
        <x:v>CUST-00587</x:v>
      </x:c>
      <x:c r="D606" s="3" t="str">
        <x:v>East</x:v>
      </x:c>
      <x:c r="E606" s="3" t="str">
        <x:v>Beauty</x:v>
      </x:c>
      <x:c r="F606" s="3" t="str">
        <x:v>Skincare</x:v>
      </x:c>
      <x:c r="G606" s="3" t="str">
        <x:v>HydraBoost Moisturizer</x:v>
      </x:c>
      <x:c r="H606" s="3" t="n">
        <x:v>4</x:v>
      </x:c>
      <x:c r="I606" s="7" t="n">
        <x:v>1194.22</x:v>
      </x:c>
      <x:c r="J606" s="9" t="n">
        <x:v>0</x:v>
      </x:c>
      <x:c r="K606" s="7" t="n">
        <x:v>4776.88</x:v>
      </x:c>
      <x:c r="L606" s="7" t="n">
        <x:v>2491.4</x:v>
      </x:c>
      <x:c r="M606" s="3" t="str">
        <x:v>UPI</x:v>
      </x:c>
      <x:c r="N606" s="3"/>
      <x:c r="O606" s="3"/>
      <x:c r="P606" s="3"/>
      <x:c r="Q606" s="3"/>
    </x:row>
    <x:row r="607" ht="21" customHeight="1">
      <x:c r="A607" s="3" t="str">
        <x:v>ORD-101026</x:v>
      </x:c>
      <x:c r="B607" s="5" t="n">
        <x:v>45468</x:v>
      </x:c>
      <x:c r="C607" s="3" t="str">
        <x:v>CUST-00577</x:v>
      </x:c>
      <x:c r="D607" s="3" t="str">
        <x:v>North</x:v>
      </x:c>
      <x:c r="E607" s="3" t="str">
        <x:v>Home &amp; Kitchen</x:v>
      </x:c>
      <x:c r="F607" s="3" t="str">
        <x:v>Appliances</x:v>
      </x:c>
      <x:c r="G607" s="3" t="str">
        <x:v>AirFryer Deluxe</x:v>
      </x:c>
      <x:c r="H607" s="3" t="n">
        <x:v>2</x:v>
      </x:c>
      <x:c r="I607" s="7" t="n">
        <x:v>7944.43</x:v>
      </x:c>
      <x:c r="J607" s="9" t="n">
        <x:v>0.25</x:v>
      </x:c>
      <x:c r="K607" s="7" t="n">
        <x:v>11916.65</x:v>
      </x:c>
      <x:c r="L607" s="7" t="n">
        <x:v>928.97</x:v>
      </x:c>
      <x:c r="M607" s="3" t="str">
        <x:v>UPI</x:v>
      </x:c>
      <x:c r="N607" s="3"/>
      <x:c r="O607" s="3"/>
      <x:c r="P607" s="3"/>
      <x:c r="Q607" s="3"/>
    </x:row>
    <x:row r="608" ht="21" customHeight="1">
      <x:c r="A608" s="3" t="str">
        <x:v>ORD-100198</x:v>
      </x:c>
      <x:c r="B608" s="5" t="n">
        <x:v>45469</x:v>
      </x:c>
      <x:c r="C608" s="3" t="str">
        <x:v>CUST-00502</x:v>
      </x:c>
      <x:c r="D608" s="3" t="str">
        <x:v>South</x:v>
      </x:c>
      <x:c r="E608" s="3" t="str">
        <x:v>Electronics</x:v>
      </x:c>
      <x:c r="F608" s="3" t="str">
        <x:v>Mobile</x:v>
      </x:c>
      <x:c r="G608" s="3" t="str">
        <x:v>Pixel Aura 12</x:v>
      </x:c>
      <x:c r="H608" s="3" t="n">
        <x:v>2</x:v>
      </x:c>
      <x:c r="I608" s="7" t="n">
        <x:v>32729.2</x:v>
      </x:c>
      <x:c r="J608" s="9" t="n">
        <x:v>0.05</x:v>
      </x:c>
      <x:c r="K608" s="7" t="n">
        <x:v>62185.48</x:v>
      </x:c>
      <x:c r="L608" s="7" t="n">
        <x:v>5816.17</x:v>
      </x:c>
      <x:c r="M608" s="3" t="str">
        <x:v>UPI</x:v>
      </x:c>
      <x:c r="N608" s="3"/>
      <x:c r="O608" s="3"/>
      <x:c r="P608" s="3"/>
      <x:c r="Q608" s="3"/>
    </x:row>
    <x:row r="609" ht="21" customHeight="1">
      <x:c r="A609" s="3" t="str">
        <x:v>ORD-100237</x:v>
      </x:c>
      <x:c r="B609" s="5" t="n">
        <x:v>45469</x:v>
      </x:c>
      <x:c r="C609" s="3" t="str">
        <x:v>CUST-00326</x:v>
      </x:c>
      <x:c r="D609" s="3" t="str">
        <x:v>South</x:v>
      </x:c>
      <x:c r="E609" s="3" t="str">
        <x:v>Home &amp; Kitchen</x:v>
      </x:c>
      <x:c r="F609" s="3" t="str">
        <x:v>Appliances</x:v>
      </x:c>
      <x:c r="G609" s="3" t="str">
        <x:v>AirFryer Deluxe</x:v>
      </x:c>
      <x:c r="H609" s="3" t="n">
        <x:v>2</x:v>
      </x:c>
      <x:c r="I609" s="7" t="n">
        <x:v>8059.55</x:v>
      </x:c>
      <x:c r="J609" s="9" t="n">
        <x:v>0.25</x:v>
      </x:c>
      <x:c r="K609" s="7" t="n">
        <x:v>12089.33</x:v>
      </x:c>
      <x:c r="L609" s="7" t="n">
        <x:v>980.6</x:v>
      </x:c>
      <x:c r="M609" s="3" t="str">
        <x:v>Cash on Delivery</x:v>
      </x:c>
      <x:c r="N609" s="3"/>
      <x:c r="O609" s="3"/>
      <x:c r="P609" s="3"/>
      <x:c r="Q609" s="3"/>
    </x:row>
    <x:row r="610" ht="21" customHeight="1">
      <x:c r="A610" s="3" t="str">
        <x:v>ORD-100431</x:v>
      </x:c>
      <x:c r="B610" s="5" t="n">
        <x:v>45469</x:v>
      </x:c>
      <x:c r="C610" s="3" t="str">
        <x:v>CUST-00193</x:v>
      </x:c>
      <x:c r="D610" s="3" t="str">
        <x:v>South</x:v>
      </x:c>
      <x:c r="E610" s="3" t="str">
        <x:v>Electronics</x:v>
      </x:c>
      <x:c r="F610" s="3" t="str">
        <x:v>Mobile</x:v>
      </x:c>
      <x:c r="G610" s="3" t="str">
        <x:v>Pixel Aura 12</x:v>
      </x:c>
      <x:c r="H610" s="3" t="n">
        <x:v>2</x:v>
      </x:c>
      <x:c r="I610" s="7" t="n">
        <x:v>32398.84</x:v>
      </x:c>
      <x:c r="J610" s="9" t="n">
        <x:v>0.05</x:v>
      </x:c>
      <x:c r="K610" s="7" t="n">
        <x:v>61557.8</x:v>
      </x:c>
      <x:c r="L610" s="7" t="n">
        <x:v>6963.61</x:v>
      </x:c>
      <x:c r="M610" s="3" t="str">
        <x:v>Credit Card</x:v>
      </x:c>
      <x:c r="N610" s="3"/>
      <x:c r="O610" s="3"/>
      <x:c r="P610" s="3"/>
      <x:c r="Q610" s="3"/>
    </x:row>
    <x:row r="611" ht="21" customHeight="1">
      <x:c r="A611" s="3" t="str">
        <x:v>ORD-100727</x:v>
      </x:c>
      <x:c r="B611" s="5" t="n">
        <x:v>45469</x:v>
      </x:c>
      <x:c r="C611" s="3" t="str">
        <x:v>CUST-00012</x:v>
      </x:c>
      <x:c r="D611" s="3" t="str">
        <x:v>North</x:v>
      </x:c>
      <x:c r="E611" s="3" t="str">
        <x:v>Sports</x:v>
      </x:c>
      <x:c r="F611" s="3" t="str">
        <x:v>Fitness</x:v>
      </x:c>
      <x:c r="G611" s="3" t="str">
        <x:v>Adjustable Dumbbell 24kg</x:v>
      </x:c>
      <x:c r="H611" s="3" t="n">
        <x:v>1</x:v>
      </x:c>
      <x:c r="I611" s="7" t="n">
        <x:v>9942.98</x:v>
      </x:c>
      <x:c r="J611" s="9" t="n">
        <x:v>0.15</x:v>
      </x:c>
      <x:c r="K611" s="7" t="n">
        <x:v>8451.53</x:v>
      </x:c>
      <x:c r="L611" s="7" t="n">
        <x:v>1851.63</x:v>
      </x:c>
      <x:c r="M611" s="3" t="str">
        <x:v>UPI</x:v>
      </x:c>
      <x:c r="N611" s="3"/>
      <x:c r="O611" s="3"/>
      <x:c r="P611" s="3"/>
      <x:c r="Q611" s="3"/>
    </x:row>
    <x:row r="612" ht="21" customHeight="1">
      <x:c r="A612" s="3" t="str">
        <x:v>ORD-101669</x:v>
      </x:c>
      <x:c r="B612" s="5" t="n">
        <x:v>45469</x:v>
      </x:c>
      <x:c r="C612" s="3" t="str">
        <x:v>CUST-00434</x:v>
      </x:c>
      <x:c r="D612" s="3" t="str">
        <x:v>East</x:v>
      </x:c>
      <x:c r="E612" s="3" t="str">
        <x:v>Fashion</x:v>
      </x:c>
      <x:c r="F612" s="3" t="str">
        <x:v>Women</x:v>
      </x:c>
      <x:c r="G612" s="3" t="str">
        <x:v>Knit Winter Sweater</x:v>
      </x:c>
      <x:c r="H612" s="3" t="n">
        <x:v>1</x:v>
      </x:c>
      <x:c r="I612" s="7" t="n">
        <x:v>2295.62</x:v>
      </x:c>
      <x:c r="J612" s="9" t="n">
        <x:v>0.1</x:v>
      </x:c>
      <x:c r="K612" s="7" t="n">
        <x:v>2066.06</x:v>
      </x:c>
      <x:c r="L612" s="7" t="n">
        <x:v>549.21</x:v>
      </x:c>
      <x:c r="M612" s="3" t="str">
        <x:v>UPI</x:v>
      </x:c>
      <x:c r="N612" s="3"/>
      <x:c r="O612" s="3"/>
      <x:c r="P612" s="3"/>
      <x:c r="Q612" s="3"/>
    </x:row>
    <x:row r="613" ht="21" customHeight="1">
      <x:c r="A613" s="3" t="str">
        <x:v>ORD-101984</x:v>
      </x:c>
      <x:c r="B613" s="5" t="n">
        <x:v>45469</x:v>
      </x:c>
      <x:c r="C613" s="3" t="str">
        <x:v>CUST-00564</x:v>
      </x:c>
      <x:c r="D613" s="3" t="str">
        <x:v>South</x:v>
      </x:c>
      <x:c r="E613" s="3" t="str">
        <x:v>Home &amp; Kitchen</x:v>
      </x:c>
      <x:c r="F613" s="3" t="str">
        <x:v>Decor</x:v>
      </x:c>
      <x:c r="G613" s="3" t="str">
        <x:v>Ceramic Vase Set</x:v>
      </x:c>
      <x:c r="H613" s="3" t="n">
        <x:v>1</x:v>
      </x:c>
      <x:c r="I613" s="7" t="n">
        <x:v>1446.37</x:v>
      </x:c>
      <x:c r="J613" s="9" t="n">
        <x:v>0.05</x:v>
      </x:c>
      <x:c r="K613" s="7" t="n">
        <x:v>1374.05</x:v>
      </x:c>
      <x:c r="L613" s="7" t="n">
        <x:v>330.3</x:v>
      </x:c>
      <x:c r="M613" s="3" t="str">
        <x:v>Credit Card</x:v>
      </x:c>
      <x:c r="N613" s="3"/>
      <x:c r="O613" s="3"/>
      <x:c r="P613" s="3"/>
      <x:c r="Q613" s="3"/>
    </x:row>
    <x:row r="614" ht="21" customHeight="1">
      <x:c r="A614" s="3" t="str">
        <x:v>ORD-101708</x:v>
      </x:c>
      <x:c r="B614" s="5" t="n">
        <x:v>45470</x:v>
      </x:c>
      <x:c r="C614" s="3" t="str">
        <x:v>CUST-00052</x:v>
      </x:c>
      <x:c r="D614" s="3" t="str">
        <x:v>West</x:v>
      </x:c>
      <x:c r="E614" s="3" t="str">
        <x:v>Sports</x:v>
      </x:c>
      <x:c r="F614" s="3" t="str">
        <x:v>Outdoor</x:v>
      </x:c>
      <x:c r="G614" s="3" t="str">
        <x:v>AllWeather Tent 4P</x:v>
      </x:c>
      <x:c r="H614" s="3" t="n">
        <x:v>1</x:v>
      </x:c>
      <x:c r="I614" s="7" t="n">
        <x:v>11846.41</x:v>
      </x:c>
      <x:c r="J614" s="9" t="n">
        <x:v>0</x:v>
      </x:c>
      <x:c r="K614" s="7" t="n">
        <x:v>11846.41</x:v>
      </x:c>
      <x:c r="L614" s="7" t="n">
        <x:v>4321.96</x:v>
      </x:c>
      <x:c r="M614" s="3" t="str">
        <x:v>Cash on Delivery</x:v>
      </x:c>
      <x:c r="N614" s="3"/>
      <x:c r="O614" s="3"/>
      <x:c r="P614" s="3"/>
      <x:c r="Q614" s="3"/>
    </x:row>
    <x:row r="615" ht="21" customHeight="1">
      <x:c r="A615" s="3" t="str">
        <x:v>ORD-100059</x:v>
      </x:c>
      <x:c r="B615" s="5" t="n">
        <x:v>45471</x:v>
      </x:c>
      <x:c r="C615" s="3" t="str">
        <x:v>CUST-00453</x:v>
      </x:c>
      <x:c r="D615" s="3" t="str">
        <x:v>East</x:v>
      </x:c>
      <x:c r="E615" s="3" t="str">
        <x:v>Electronics</x:v>
      </x:c>
      <x:c r="F615" s="3" t="str">
        <x:v>Mobile</x:v>
      </x:c>
      <x:c r="G615" s="3" t="str">
        <x:v>iPhone Zeta</x:v>
      </x:c>
      <x:c r="H615" s="3" t="n">
        <x:v>3</x:v>
      </x:c>
      <x:c r="I615" s="7" t="n">
        <x:v>73154.46</x:v>
      </x:c>
      <x:c r="J615" s="9" t="n">
        <x:v>0.1</x:v>
      </x:c>
      <x:c r="K615" s="7" t="n">
        <x:v>197517.04</x:v>
      </x:c>
      <x:c r="L615" s="7" t="n">
        <x:v>20732.53</x:v>
      </x:c>
      <x:c r="M615" s="3" t="str">
        <x:v>UPI</x:v>
      </x:c>
      <x:c r="N615" s="3"/>
      <x:c r="O615" s="3"/>
      <x:c r="P615" s="3"/>
      <x:c r="Q615" s="3"/>
    </x:row>
    <x:row r="616" ht="21" customHeight="1">
      <x:c r="A616" s="3" t="str">
        <x:v>ORD-100149</x:v>
      </x:c>
      <x:c r="B616" s="5" t="n">
        <x:v>45471</x:v>
      </x:c>
      <x:c r="C616" s="3" t="str">
        <x:v>CUST-00181</x:v>
      </x:c>
      <x:c r="D616" s="3" t="str">
        <x:v>East</x:v>
      </x:c>
      <x:c r="E616" s="3" t="str">
        <x:v>Sports</x:v>
      </x:c>
      <x:c r="F616" s="3" t="str">
        <x:v>Fitness</x:v>
      </x:c>
      <x:c r="G616" s="3" t="str">
        <x:v>Adjustable Dumbbell 24kg</x:v>
      </x:c>
      <x:c r="H616" s="3" t="n">
        <x:v>1</x:v>
      </x:c>
      <x:c r="I616" s="7" t="n">
        <x:v>10406.9</x:v>
      </x:c>
      <x:c r="J616" s="9" t="n">
        <x:v>0.1</x:v>
      </x:c>
      <x:c r="K616" s="7" t="n">
        <x:v>9366.21</x:v>
      </x:c>
      <x:c r="L616" s="7" t="n">
        <x:v>2174.43</x:v>
      </x:c>
      <x:c r="M616" s="3" t="str">
        <x:v>Credit Card</x:v>
      </x:c>
      <x:c r="N616" s="3"/>
      <x:c r="O616" s="3"/>
      <x:c r="P616" s="3"/>
      <x:c r="Q616" s="3"/>
    </x:row>
    <x:row r="617" ht="21" customHeight="1">
      <x:c r="A617" s="3" t="str">
        <x:v>ORD-100218</x:v>
      </x:c>
      <x:c r="B617" s="5" t="n">
        <x:v>45471</x:v>
      </x:c>
      <x:c r="C617" s="3" t="str">
        <x:v>CUST-00141</x:v>
      </x:c>
      <x:c r="D617" s="3" t="str">
        <x:v>South</x:v>
      </x:c>
      <x:c r="E617" s="3" t="str">
        <x:v>Fashion</x:v>
      </x:c>
      <x:c r="F617" s="3" t="str">
        <x:v>Men</x:v>
      </x:c>
      <x:c r="G617" s="3" t="str">
        <x:v>SlimFit Denim Jeans</x:v>
      </x:c>
      <x:c r="H617" s="3" t="n">
        <x:v>1</x:v>
      </x:c>
      <x:c r="I617" s="7" t="n">
        <x:v>1989.68</x:v>
      </x:c>
      <x:c r="J617" s="9" t="n">
        <x:v>0.05</x:v>
      </x:c>
      <x:c r="K617" s="7" t="n">
        <x:v>1890.2</x:v>
      </x:c>
      <x:c r="L617" s="7" t="n">
        <x:v>701.65</x:v>
      </x:c>
      <x:c r="M617" s="3" t="str">
        <x:v>Debit Card</x:v>
      </x:c>
      <x:c r="N617" s="3"/>
      <x:c r="O617" s="3"/>
      <x:c r="P617" s="3"/>
      <x:c r="Q617" s="3"/>
    </x:row>
    <x:row r="618" ht="21" customHeight="1">
      <x:c r="A618" s="3" t="str">
        <x:v>ORD-100331</x:v>
      </x:c>
      <x:c r="B618" s="5" t="n">
        <x:v>45471</x:v>
      </x:c>
      <x:c r="C618" s="3" t="str">
        <x:v>CUST-00450</x:v>
      </x:c>
      <x:c r="D618" s="3" t="str">
        <x:v>East</x:v>
      </x:c>
      <x:c r="E618" s="3" t="str">
        <x:v>Fashion</x:v>
      </x:c>
      <x:c r="F618" s="3" t="str">
        <x:v>Women</x:v>
      </x:c>
      <x:c r="G618" s="3" t="str">
        <x:v>Floral Summer Dress</x:v>
      </x:c>
      <x:c r="H618" s="3" t="n">
        <x:v>2</x:v>
      </x:c>
      <x:c r="I618" s="7" t="n">
        <x:v>1876.48</x:v>
      </x:c>
      <x:c r="J618" s="9" t="n">
        <x:v>0.15</x:v>
      </x:c>
      <x:c r="K618" s="7" t="n">
        <x:v>3190.02</x:v>
      </x:c>
      <x:c r="L618" s="7" t="n">
        <x:v>764.17</x:v>
      </x:c>
      <x:c r="M618" s="3" t="str">
        <x:v>UPI</x:v>
      </x:c>
      <x:c r="N618" s="3"/>
      <x:c r="O618" s="3"/>
      <x:c r="P618" s="3"/>
      <x:c r="Q618" s="3"/>
    </x:row>
    <x:row r="619" ht="21" customHeight="1">
      <x:c r="A619" s="3" t="str">
        <x:v>ORD-100411</x:v>
      </x:c>
      <x:c r="B619" s="5" t="n">
        <x:v>45471</x:v>
      </x:c>
      <x:c r="C619" s="3" t="str">
        <x:v>CUST-00347</x:v>
      </x:c>
      <x:c r="D619" s="3" t="str">
        <x:v>South</x:v>
      </x:c>
      <x:c r="E619" s="3" t="str">
        <x:v>Home &amp; Kitchen</x:v>
      </x:c>
      <x:c r="F619" s="3" t="str">
        <x:v>Decor</x:v>
      </x:c>
      <x:c r="G619" s="3" t="str">
        <x:v>LED Wall Lamp</x:v>
      </x:c>
      <x:c r="H619" s="3" t="n">
        <x:v>2</x:v>
      </x:c>
      <x:c r="I619" s="7" t="n">
        <x:v>982.34</x:v>
      </x:c>
      <x:c r="J619" s="9" t="n">
        <x:v>0</x:v>
      </x:c>
      <x:c r="K619" s="7" t="n">
        <x:v>1964.68</x:v>
      </x:c>
      <x:c r="L619" s="7" t="n">
        <x:v>632.01</x:v>
      </x:c>
      <x:c r="M619" s="3" t="str">
        <x:v>Cash on Delivery</x:v>
      </x:c>
      <x:c r="N619" s="3"/>
      <x:c r="O619" s="3"/>
      <x:c r="P619" s="3"/>
      <x:c r="Q619" s="3"/>
    </x:row>
    <x:row r="620" ht="21" customHeight="1">
      <x:c r="A620" s="3" t="str">
        <x:v>ORD-100487</x:v>
      </x:c>
      <x:c r="B620" s="5" t="n">
        <x:v>45471</x:v>
      </x:c>
      <x:c r="C620" s="3" t="str">
        <x:v>CUST-00582</x:v>
      </x:c>
      <x:c r="D620" s="3" t="str">
        <x:v>East</x:v>
      </x:c>
      <x:c r="E620" s="3" t="str">
        <x:v>Sports</x:v>
      </x:c>
      <x:c r="F620" s="3" t="str">
        <x:v>Outdoor</x:v>
      </x:c>
      <x:c r="G620" s="3" t="str">
        <x:v>TrailHike Backpack 60L</x:v>
      </x:c>
      <x:c r="H620" s="3" t="n">
        <x:v>4</x:v>
      </x:c>
      <x:c r="I620" s="7" t="n">
        <x:v>3455.53</x:v>
      </x:c>
      <x:c r="J620" s="9" t="n">
        <x:v>0.1</x:v>
      </x:c>
      <x:c r="K620" s="7" t="n">
        <x:v>12439.91</x:v>
      </x:c>
      <x:c r="L620" s="7" t="n">
        <x:v>2805.57</x:v>
      </x:c>
      <x:c r="M620" s="3" t="str">
        <x:v>UPI</x:v>
      </x:c>
      <x:c r="N620" s="3"/>
      <x:c r="O620" s="3"/>
      <x:c r="P620" s="3"/>
      <x:c r="Q620" s="3"/>
    </x:row>
    <x:row r="621" ht="21" customHeight="1">
      <x:c r="A621" s="3" t="str">
        <x:v>ORD-101341</x:v>
      </x:c>
      <x:c r="B621" s="5" t="n">
        <x:v>45471</x:v>
      </x:c>
      <x:c r="C621" s="3" t="str">
        <x:v>CUST-00127</x:v>
      </x:c>
      <x:c r="D621" s="3" t="str">
        <x:v>West</x:v>
      </x:c>
      <x:c r="E621" s="3" t="str">
        <x:v>Beauty</x:v>
      </x:c>
      <x:c r="F621" s="3" t="str">
        <x:v>Makeup</x:v>
      </x:c>
      <x:c r="G621" s="3" t="str">
        <x:v>Matte Lipstick Set</x:v>
      </x:c>
      <x:c r="H621" s="3" t="n">
        <x:v>1</x:v>
      </x:c>
      <x:c r="I621" s="7" t="n">
        <x:v>1030.87</x:v>
      </x:c>
      <x:c r="J621" s="9" t="n">
        <x:v>0.05</x:v>
      </x:c>
      <x:c r="K621" s="7" t="n">
        <x:v>979.33</x:v>
      </x:c>
      <x:c r="L621" s="7" t="n">
        <x:v>456.37</x:v>
      </x:c>
      <x:c r="M621" s="3" t="str">
        <x:v>Cash on Delivery</x:v>
      </x:c>
      <x:c r="N621" s="3"/>
      <x:c r="O621" s="3"/>
      <x:c r="P621" s="3"/>
      <x:c r="Q621" s="3"/>
    </x:row>
    <x:row r="622" ht="21" customHeight="1">
      <x:c r="A622" s="3" t="str">
        <x:v>ORD-101117</x:v>
      </x:c>
      <x:c r="B622" s="5" t="n">
        <x:v>45472</x:v>
      </x:c>
      <x:c r="C622" s="3" t="str">
        <x:v>CUST-00482</x:v>
      </x:c>
      <x:c r="D622" s="3" t="str">
        <x:v>East</x:v>
      </x:c>
      <x:c r="E622" s="3" t="str">
        <x:v>Fashion</x:v>
      </x:c>
      <x:c r="F622" s="3" t="str">
        <x:v>Footwear</x:v>
      </x:c>
      <x:c r="G622" s="3" t="str">
        <x:v>RunFlex Sneakers</x:v>
      </x:c>
      <x:c r="H622" s="3" t="n">
        <x:v>1</x:v>
      </x:c>
      <x:c r="I622" s="7" t="n">
        <x:v>2864.69</x:v>
      </x:c>
      <x:c r="J622" s="9" t="n">
        <x:v>0</x:v>
      </x:c>
      <x:c r="K622" s="7" t="n">
        <x:v>2864.69</x:v>
      </x:c>
      <x:c r="L622" s="7" t="n">
        <x:v>1238.61</x:v>
      </x:c>
      <x:c r="M622" s="3" t="str">
        <x:v>Cash on Delivery</x:v>
      </x:c>
      <x:c r="N622" s="3"/>
      <x:c r="O622" s="3"/>
      <x:c r="P622" s="3"/>
      <x:c r="Q622" s="3"/>
    </x:row>
    <x:row r="623" ht="21" customHeight="1">
      <x:c r="A623" s="3" t="str">
        <x:v>ORD-101634</x:v>
      </x:c>
      <x:c r="B623" s="5" t="n">
        <x:v>45472</x:v>
      </x:c>
      <x:c r="C623" s="3" t="str">
        <x:v>CUST-00151</x:v>
      </x:c>
      <x:c r="D623" s="3" t="str">
        <x:v>East</x:v>
      </x:c>
      <x:c r="E623" s="3" t="str">
        <x:v>Home &amp; Kitchen</x:v>
      </x:c>
      <x:c r="F623" s="3" t="str">
        <x:v>Furniture</x:v>
      </x:c>
      <x:c r="G623" s="3" t="str">
        <x:v>Oakwood Study Desk</x:v>
      </x:c>
      <x:c r="H623" s="3" t="n">
        <x:v>1</x:v>
      </x:c>
      <x:c r="I623" s="7" t="n">
        <x:v>13323.43</x:v>
      </x:c>
      <x:c r="J623" s="9" t="n">
        <x:v>0.2</x:v>
      </x:c>
      <x:c r="K623" s="7" t="n">
        <x:v>10658.74</x:v>
      </x:c>
      <x:c r="L623" s="7" t="n">
        <x:v>750.58</x:v>
      </x:c>
      <x:c r="M623" s="3" t="str">
        <x:v>UPI</x:v>
      </x:c>
      <x:c r="N623" s="3"/>
      <x:c r="O623" s="3"/>
      <x:c r="P623" s="3"/>
      <x:c r="Q623" s="3"/>
    </x:row>
    <x:row r="624" ht="21" customHeight="1">
      <x:c r="A624" s="3" t="str">
        <x:v>ORD-100622</x:v>
      </x:c>
      <x:c r="B624" s="5" t="n">
        <x:v>45473</x:v>
      </x:c>
      <x:c r="C624" s="3" t="str">
        <x:v>CUST-00501</x:v>
      </x:c>
      <x:c r="D624" s="3" t="str">
        <x:v>North</x:v>
      </x:c>
      <x:c r="E624" s="3" t="str">
        <x:v>Fashion</x:v>
      </x:c>
      <x:c r="F624" s="3" t="str">
        <x:v>Women</x:v>
      </x:c>
      <x:c r="G624" s="3" t="str">
        <x:v>Floral Summer Dress</x:v>
      </x:c>
      <x:c r="H624" s="3" t="n">
        <x:v>1</x:v>
      </x:c>
      <x:c r="I624" s="7" t="n">
        <x:v>1824.01</x:v>
      </x:c>
      <x:c r="J624" s="9" t="n">
        <x:v>0.3</x:v>
      </x:c>
      <x:c r="K624" s="7" t="n">
        <x:v>1276.81</x:v>
      </x:c>
      <x:c r="L624" s="7" t="n">
        <x:v>75.81</x:v>
      </x:c>
      <x:c r="M624" s="3" t="str">
        <x:v>Credit Card</x:v>
      </x:c>
      <x:c r="N624" s="3"/>
      <x:c r="O624" s="3"/>
      <x:c r="P624" s="3"/>
      <x:c r="Q624" s="3"/>
    </x:row>
    <x:row r="625" ht="21" customHeight="1">
      <x:c r="A625" s="3" t="str">
        <x:v>ORD-101001</x:v>
      </x:c>
      <x:c r="B625" s="5" t="n">
        <x:v>45473</x:v>
      </x:c>
      <x:c r="C625" s="3" t="str">
        <x:v>CUST-00456</x:v>
      </x:c>
      <x:c r="D625" s="3" t="str">
        <x:v>South</x:v>
      </x:c>
      <x:c r="E625" s="3" t="str">
        <x:v>Fashion</x:v>
      </x:c>
      <x:c r="F625" s="3" t="str">
        <x:v>Footwear</x:v>
      </x:c>
      <x:c r="G625" s="3" t="str">
        <x:v>RunFlex Sneakers</x:v>
      </x:c>
      <x:c r="H625" s="3" t="n">
        <x:v>5</x:v>
      </x:c>
      <x:c r="I625" s="7" t="n">
        <x:v>3053.94</x:v>
      </x:c>
      <x:c r="J625" s="9" t="n">
        <x:v>0</x:v>
      </x:c>
      <x:c r="K625" s="7" t="n">
        <x:v>15269.7</x:v>
      </x:c>
      <x:c r="L625" s="7" t="n">
        <x:v>5991.43</x:v>
      </x:c>
      <x:c r="M625" s="3" t="str">
        <x:v>UPI</x:v>
      </x:c>
      <x:c r="N625" s="3"/>
      <x:c r="O625" s="3"/>
      <x:c r="P625" s="3"/>
      <x:c r="Q625" s="3"/>
    </x:row>
    <x:row r="626" ht="21" customHeight="1">
      <x:c r="A626" s="3" t="str">
        <x:v>ORD-101382</x:v>
      </x:c>
      <x:c r="B626" s="5" t="n">
        <x:v>45473</x:v>
      </x:c>
      <x:c r="C626" s="3" t="str">
        <x:v>CUST-00025</x:v>
      </x:c>
      <x:c r="D626" s="3" t="str">
        <x:v>South</x:v>
      </x:c>
      <x:c r="E626" s="3" t="str">
        <x:v>Sports</x:v>
      </x:c>
      <x:c r="F626" s="3" t="str">
        <x:v>Fitness</x:v>
      </x:c>
      <x:c r="G626" s="3" t="str">
        <x:v>ProYoga Mat</x:v>
      </x:c>
      <x:c r="H626" s="3" t="n">
        <x:v>1</x:v>
      </x:c>
      <x:c r="I626" s="7" t="n">
        <x:v>1325.52</x:v>
      </x:c>
      <x:c r="J626" s="9" t="n">
        <x:v>0.15</x:v>
      </x:c>
      <x:c r="K626" s="7" t="n">
        <x:v>1126.69</x:v>
      </x:c>
      <x:c r="L626" s="7" t="n">
        <x:v>228.85</x:v>
      </x:c>
      <x:c r="M626" s="3" t="str">
        <x:v>Credit Card</x:v>
      </x:c>
      <x:c r="N626" s="3"/>
      <x:c r="O626" s="3"/>
      <x:c r="P626" s="3"/>
      <x:c r="Q626" s="3"/>
    </x:row>
    <x:row r="627" ht="21" customHeight="1">
      <x:c r="A627" s="3" t="str">
        <x:v>ORD-101553</x:v>
      </x:c>
      <x:c r="B627" s="5" t="n">
        <x:v>45473</x:v>
      </x:c>
      <x:c r="C627" s="3" t="str">
        <x:v>CUST-00387</x:v>
      </x:c>
      <x:c r="D627" s="3" t="str">
        <x:v>South</x:v>
      </x:c>
      <x:c r="E627" s="3" t="str">
        <x:v>Electronics</x:v>
      </x:c>
      <x:c r="F627" s="3" t="str">
        <x:v>Mobile</x:v>
      </x:c>
      <x:c r="G627" s="3" t="str">
        <x:v>iPhone Zeta</x:v>
      </x:c>
      <x:c r="H627" s="3" t="n">
        <x:v>2</x:v>
      </x:c>
      <x:c r="I627" s="7" t="n">
        <x:v>71050.08</x:v>
      </x:c>
      <x:c r="J627" s="9" t="n">
        <x:v>0.4</x:v>
      </x:c>
      <x:c r="K627" s="7" t="n">
        <x:v>85260.1</x:v>
      </x:c>
      <x:c r="L627" s="7" t="n">
        <x:v>-24487.66</x:v>
      </x:c>
      <x:c r="M627" s="3" t="str">
        <x:v>UPI</x:v>
      </x:c>
      <x:c r="N627" s="3"/>
      <x:c r="O627" s="3"/>
      <x:c r="P627" s="3"/>
      <x:c r="Q627" s="3"/>
    </x:row>
    <x:row r="628" ht="21" customHeight="1">
      <x:c r="A628" s="3" t="str">
        <x:v>ORD-100447</x:v>
      </x:c>
      <x:c r="B628" s="5" t="n">
        <x:v>45474</x:v>
      </x:c>
      <x:c r="C628" s="3" t="str">
        <x:v>CUST-00504</x:v>
      </x:c>
      <x:c r="D628" s="3" t="str">
        <x:v>North</x:v>
      </x:c>
      <x:c r="E628" s="3" t="str">
        <x:v>Home &amp; Kitchen</x:v>
      </x:c>
      <x:c r="F628" s="3" t="str">
        <x:v>Furniture</x:v>
      </x:c>
      <x:c r="G628" s="3" t="str">
        <x:v>Oakwood Study Desk</x:v>
      </x:c>
      <x:c r="H628" s="3" t="n">
        <x:v>1</x:v>
      </x:c>
      <x:c r="I628" s="7" t="n">
        <x:v>12854.18</x:v>
      </x:c>
      <x:c r="J628" s="9" t="n">
        <x:v>0</x:v>
      </x:c>
      <x:c r="K628" s="7" t="n">
        <x:v>12854.18</x:v>
      </x:c>
      <x:c r="L628" s="7" t="n">
        <x:v>4751.89</x:v>
      </x:c>
      <x:c r="M628" s="3" t="str">
        <x:v>Debit Card</x:v>
      </x:c>
      <x:c r="N628" s="3"/>
      <x:c r="O628" s="3"/>
      <x:c r="P628" s="3"/>
      <x:c r="Q628" s="3"/>
    </x:row>
    <x:row r="629" ht="21" customHeight="1">
      <x:c r="A629" s="3" t="str">
        <x:v>ORD-101008</x:v>
      </x:c>
      <x:c r="B629" s="5" t="n">
        <x:v>45474</x:v>
      </x:c>
      <x:c r="C629" s="3" t="str">
        <x:v>CUST-00046</x:v>
      </x:c>
      <x:c r="D629" s="3" t="str">
        <x:v>East</x:v>
      </x:c>
      <x:c r="E629" s="3" t="str">
        <x:v>Sports</x:v>
      </x:c>
      <x:c r="F629" s="3" t="str">
        <x:v>Fitness</x:v>
      </x:c>
      <x:c r="G629" s="3" t="str">
        <x:v>Adjustable Dumbbell 24kg</x:v>
      </x:c>
      <x:c r="H629" s="3" t="n">
        <x:v>5</x:v>
      </x:c>
      <x:c r="I629" s="7" t="n">
        <x:v>10324.36</x:v>
      </x:c>
      <x:c r="J629" s="9" t="n">
        <x:v>0</x:v>
      </x:c>
      <x:c r="K629" s="7" t="n">
        <x:v>51621.8</x:v>
      </x:c>
      <x:c r="L629" s="7" t="n">
        <x:v>21159.59</x:v>
      </x:c>
      <x:c r="M629" s="3" t="str">
        <x:v>Credit Card</x:v>
      </x:c>
      <x:c r="N629" s="3"/>
      <x:c r="O629" s="3"/>
      <x:c r="P629" s="3"/>
      <x:c r="Q629" s="3"/>
    </x:row>
    <x:row r="630" ht="21" customHeight="1">
      <x:c r="A630" s="3" t="str">
        <x:v>ORD-100174</x:v>
      </x:c>
      <x:c r="B630" s="5" t="n">
        <x:v>45475</x:v>
      </x:c>
      <x:c r="C630" s="3" t="str">
        <x:v>CUST-00099</x:v>
      </x:c>
      <x:c r="D630" s="3" t="str">
        <x:v>North</x:v>
      </x:c>
      <x:c r="E630" s="3" t="str">
        <x:v>Electronics</x:v>
      </x:c>
      <x:c r="F630" s="3" t="str">
        <x:v>Audio</x:v>
      </x:c>
      <x:c r="G630" s="3" t="str">
        <x:v>BassBoom Speaker</x:v>
      </x:c>
      <x:c r="H630" s="3" t="n">
        <x:v>1</x:v>
      </x:c>
      <x:c r="I630" s="7" t="n">
        <x:v>8796.29</x:v>
      </x:c>
      <x:c r="J630" s="9" t="n">
        <x:v>0.1</x:v>
      </x:c>
      <x:c r="K630" s="7" t="n">
        <x:v>7916.66</x:v>
      </x:c>
      <x:c r="L630" s="7" t="n">
        <x:v>816.99</x:v>
      </x:c>
      <x:c r="M630" s="3" t="str">
        <x:v>Debit Card</x:v>
      </x:c>
      <x:c r="N630" s="3"/>
      <x:c r="O630" s="3"/>
      <x:c r="P630" s="3"/>
      <x:c r="Q630" s="3"/>
    </x:row>
    <x:row r="631" ht="21" customHeight="1">
      <x:c r="A631" s="3" t="str">
        <x:v>ORD-100316</x:v>
      </x:c>
      <x:c r="B631" s="5" t="n">
        <x:v>45475</x:v>
      </x:c>
      <x:c r="C631" s="3" t="str">
        <x:v>CUST-00580</x:v>
      </x:c>
      <x:c r="D631" s="3" t="str">
        <x:v>South</x:v>
      </x:c>
      <x:c r="E631" s="3" t="str">
        <x:v>Electronics</x:v>
      </x:c>
      <x:c r="F631" s="3" t="str">
        <x:v>Audio</x:v>
      </x:c>
      <x:c r="G631" s="3" t="str">
        <x:v>SoundPods Pro</x:v>
      </x:c>
      <x:c r="H631" s="3" t="n">
        <x:v>3</x:v>
      </x:c>
      <x:c r="I631" s="7" t="n">
        <x:v>5056.01</x:v>
      </x:c>
      <x:c r="J631" s="9" t="n">
        <x:v>0.15</x:v>
      </x:c>
      <x:c r="K631" s="7" t="n">
        <x:v>12892.83</x:v>
      </x:c>
      <x:c r="L631" s="7" t="n">
        <x:v>-247.96</x:v>
      </x:c>
      <x:c r="M631" s="3" t="str">
        <x:v>Credit Card</x:v>
      </x:c>
      <x:c r="N631" s="3"/>
      <x:c r="O631" s="3"/>
      <x:c r="P631" s="3"/>
      <x:c r="Q631" s="3"/>
    </x:row>
    <x:row r="632" ht="21" customHeight="1">
      <x:c r="A632" s="3" t="str">
        <x:v>ORD-100372</x:v>
      </x:c>
      <x:c r="B632" s="5" t="n">
        <x:v>45475</x:v>
      </x:c>
      <x:c r="C632" s="3" t="str">
        <x:v>CUST-00572</x:v>
      </x:c>
      <x:c r="D632" s="3" t="str">
        <x:v>North</x:v>
      </x:c>
      <x:c r="E632" s="3" t="str">
        <x:v>Beauty</x:v>
      </x:c>
      <x:c r="F632" s="3" t="str">
        <x:v>Skincare</x:v>
      </x:c>
      <x:c r="G632" s="3" t="str">
        <x:v>Vitamin C Serum</x:v>
      </x:c>
      <x:c r="H632" s="3" t="n">
        <x:v>2</x:v>
      </x:c>
      <x:c r="I632" s="7" t="n">
        <x:v>871.08</x:v>
      </x:c>
      <x:c r="J632" s="9" t="n">
        <x:v>0.1</x:v>
      </x:c>
      <x:c r="K632" s="7" t="n">
        <x:v>1567.94</x:v>
      </x:c>
      <x:c r="L632" s="7" t="n">
        <x:v>685.34</x:v>
      </x:c>
      <x:c r="M632" s="3" t="str">
        <x:v>Credit Card</x:v>
      </x:c>
      <x:c r="N632" s="3"/>
      <x:c r="O632" s="3"/>
      <x:c r="P632" s="3"/>
      <x:c r="Q632" s="3"/>
    </x:row>
    <x:row r="633" ht="21" customHeight="1">
      <x:c r="A633" s="3" t="str">
        <x:v>ORD-101118</x:v>
      </x:c>
      <x:c r="B633" s="5" t="n">
        <x:v>45475</x:v>
      </x:c>
      <x:c r="C633" s="3" t="str">
        <x:v>CUST-00474</x:v>
      </x:c>
      <x:c r="D633" s="3" t="str">
        <x:v>East</x:v>
      </x:c>
      <x:c r="E633" s="3" t="str">
        <x:v>Sports</x:v>
      </x:c>
      <x:c r="F633" s="3" t="str">
        <x:v>Fitness</x:v>
      </x:c>
      <x:c r="G633" s="3" t="str">
        <x:v>ProYoga Mat</x:v>
      </x:c>
      <x:c r="H633" s="3" t="n">
        <x:v>1</x:v>
      </x:c>
      <x:c r="I633" s="7" t="n">
        <x:v>1312.33</x:v>
      </x:c>
      <x:c r="J633" s="9" t="n">
        <x:v>0.3</x:v>
      </x:c>
      <x:c r="K633" s="7" t="n">
        <x:v>918.63</x:v>
      </x:c>
      <x:c r="L633" s="7" t="n">
        <x:v>1.07</x:v>
      </x:c>
      <x:c r="M633" s="3" t="str">
        <x:v>UPI</x:v>
      </x:c>
      <x:c r="N633" s="3"/>
      <x:c r="O633" s="3"/>
      <x:c r="P633" s="3"/>
      <x:c r="Q633" s="3"/>
    </x:row>
    <x:row r="634" ht="21" customHeight="1">
      <x:c r="A634" s="3" t="str">
        <x:v>ORD-101899</x:v>
      </x:c>
      <x:c r="B634" s="5" t="n">
        <x:v>45475</x:v>
      </x:c>
      <x:c r="C634" s="3" t="str">
        <x:v>CUST-00237</x:v>
      </x:c>
      <x:c r="D634" s="3" t="str">
        <x:v>West</x:v>
      </x:c>
      <x:c r="E634" s="3" t="str">
        <x:v>Home &amp; Kitchen</x:v>
      </x:c>
      <x:c r="F634" s="3" t="str">
        <x:v>Furniture</x:v>
      </x:c>
      <x:c r="G634" s="3" t="str">
        <x:v>ErgoComfort Chair</x:v>
      </x:c>
      <x:c r="H634" s="3" t="n">
        <x:v>2</x:v>
      </x:c>
      <x:c r="I634" s="7" t="n">
        <x:v>8925.93</x:v>
      </x:c>
      <x:c r="J634" s="9" t="n">
        <x:v>0.3</x:v>
      </x:c>
      <x:c r="K634" s="7" t="n">
        <x:v>12496.3</x:v>
      </x:c>
      <x:c r="L634" s="7" t="n">
        <x:v>-304.33</x:v>
      </x:c>
      <x:c r="M634" s="3" t="str">
        <x:v>Net Banking</x:v>
      </x:c>
      <x:c r="N634" s="3"/>
      <x:c r="O634" s="3"/>
      <x:c r="P634" s="3"/>
      <x:c r="Q634" s="3"/>
    </x:row>
    <x:row r="635" ht="21" customHeight="1">
      <x:c r="A635" s="3" t="str">
        <x:v>ORD-100121</x:v>
      </x:c>
      <x:c r="B635" s="5" t="n">
        <x:v>45476</x:v>
      </x:c>
      <x:c r="C635" s="3" t="str">
        <x:v>CUST-00329</x:v>
      </x:c>
      <x:c r="D635" s="3" t="str">
        <x:v>North</x:v>
      </x:c>
      <x:c r="E635" s="3" t="str">
        <x:v>Sports</x:v>
      </x:c>
      <x:c r="F635" s="3" t="str">
        <x:v>Outdoor</x:v>
      </x:c>
      <x:c r="G635" s="3" t="str">
        <x:v>AllWeather Tent 4P</x:v>
      </x:c>
      <x:c r="H635" s="3" t="n">
        <x:v>4</x:v>
      </x:c>
      <x:c r="I635" s="7" t="n">
        <x:v>12360.35</x:v>
      </x:c>
      <x:c r="J635" s="9" t="n">
        <x:v>0.05</x:v>
      </x:c>
      <x:c r="K635" s="7" t="n">
        <x:v>46969.33</x:v>
      </x:c>
      <x:c r="L635" s="7" t="n">
        <x:v>16000.88</x:v>
      </x:c>
      <x:c r="M635" s="3" t="str">
        <x:v>Credit Card</x:v>
      </x:c>
      <x:c r="N635" s="3"/>
      <x:c r="O635" s="3"/>
      <x:c r="P635" s="3"/>
      <x:c r="Q635" s="3"/>
    </x:row>
    <x:row r="636" ht="21" customHeight="1">
      <x:c r="A636" s="3" t="str">
        <x:v>ORD-100433</x:v>
      </x:c>
      <x:c r="B636" s="5" t="n">
        <x:v>45476</x:v>
      </x:c>
      <x:c r="C636" s="3" t="str">
        <x:v>CUST-00435</x:v>
      </x:c>
      <x:c r="D636" s="3" t="str">
        <x:v>East</x:v>
      </x:c>
      <x:c r="E636" s="3" t="str">
        <x:v>Sports</x:v>
      </x:c>
      <x:c r="F636" s="3" t="str">
        <x:v>Fitness</x:v>
      </x:c>
      <x:c r="G636" s="3" t="str">
        <x:v>ProYoga Mat</x:v>
      </x:c>
      <x:c r="H636" s="3" t="n">
        <x:v>1</x:v>
      </x:c>
      <x:c r="I636" s="7" t="n">
        <x:v>1345.78</x:v>
      </x:c>
      <x:c r="J636" s="9" t="n">
        <x:v>0.15</x:v>
      </x:c>
      <x:c r="K636" s="7" t="n">
        <x:v>1143.91</x:v>
      </x:c>
      <x:c r="L636" s="7" t="n">
        <x:v>273.38</x:v>
      </x:c>
      <x:c r="M636" s="3" t="str">
        <x:v>Cash on Delivery</x:v>
      </x:c>
      <x:c r="N636" s="3"/>
      <x:c r="O636" s="3"/>
      <x:c r="P636" s="3"/>
      <x:c r="Q636" s="3"/>
    </x:row>
    <x:row r="637" ht="21" customHeight="1">
      <x:c r="A637" s="3" t="str">
        <x:v>ORD-100758</x:v>
      </x:c>
      <x:c r="B637" s="5" t="n">
        <x:v>45476</x:v>
      </x:c>
      <x:c r="C637" s="3" t="str">
        <x:v>CUST-00183</x:v>
      </x:c>
      <x:c r="D637" s="3" t="str">
        <x:v>West</x:v>
      </x:c>
      <x:c r="E637" s="3" t="str">
        <x:v>Electronics</x:v>
      </x:c>
      <x:c r="F637" s="3" t="str">
        <x:v>Laptop</x:v>
      </x:c>
      <x:c r="G637" s="3" t="str">
        <x:v>ThinkPro 14</x:v>
      </x:c>
      <x:c r="H637" s="3" t="n">
        <x:v>1</x:v>
      </x:c>
      <x:c r="I637" s="7" t="n">
        <x:v>53405.66</x:v>
      </x:c>
      <x:c r="J637" s="9" t="n">
        <x:v>0.1</x:v>
      </x:c>
      <x:c r="K637" s="7" t="n">
        <x:v>48065.09</x:v>
      </x:c>
      <x:c r="L637" s="7" t="n">
        <x:v>2816.26</x:v>
      </x:c>
      <x:c r="M637" s="3" t="str">
        <x:v>Credit Card</x:v>
      </x:c>
      <x:c r="N637" s="3"/>
      <x:c r="O637" s="3"/>
      <x:c r="P637" s="3"/>
      <x:c r="Q637" s="3"/>
    </x:row>
    <x:row r="638" ht="21" customHeight="1">
      <x:c r="A638" s="3" t="str">
        <x:v>ORD-101329</x:v>
      </x:c>
      <x:c r="B638" s="5" t="n">
        <x:v>45476</x:v>
      </x:c>
      <x:c r="C638" s="3" t="str">
        <x:v>CUST-00490</x:v>
      </x:c>
      <x:c r="D638" s="3" t="str">
        <x:v>North</x:v>
      </x:c>
      <x:c r="E638" s="3" t="str">
        <x:v>Sports</x:v>
      </x:c>
      <x:c r="F638" s="3" t="str">
        <x:v>Outdoor</x:v>
      </x:c>
      <x:c r="G638" s="3" t="str">
        <x:v>TrailHike Backpack 60L</x:v>
      </x:c>
      <x:c r="H638" s="3" t="n">
        <x:v>1</x:v>
      </x:c>
      <x:c r="I638" s="7" t="n">
        <x:v>3666.57</x:v>
      </x:c>
      <x:c r="J638" s="9" t="n">
        <x:v>0.1</x:v>
      </x:c>
      <x:c r="K638" s="7" t="n">
        <x:v>3299.91</x:v>
      </x:c>
      <x:c r="L638" s="7" t="n">
        <x:v>954.62</x:v>
      </x:c>
      <x:c r="M638" s="3" t="str">
        <x:v>UPI</x:v>
      </x:c>
      <x:c r="N638" s="3"/>
      <x:c r="O638" s="3"/>
      <x:c r="P638" s="3"/>
      <x:c r="Q638" s="3"/>
    </x:row>
    <x:row r="639" ht="21" customHeight="1">
      <x:c r="A639" s="3" t="str">
        <x:v>ORD-101495</x:v>
      </x:c>
      <x:c r="B639" s="5" t="n">
        <x:v>45476</x:v>
      </x:c>
      <x:c r="C639" s="3" t="str">
        <x:v>CUST-00145</x:v>
      </x:c>
      <x:c r="D639" s="3" t="str">
        <x:v>North</x:v>
      </x:c>
      <x:c r="E639" s="3" t="str">
        <x:v>Sports</x:v>
      </x:c>
      <x:c r="F639" s="3" t="str">
        <x:v>Outdoor</x:v>
      </x:c>
      <x:c r="G639" s="3" t="str">
        <x:v>AllWeather Tent 4P</x:v>
      </x:c>
      <x:c r="H639" s="3" t="n">
        <x:v>2</x:v>
      </x:c>
      <x:c r="I639" s="7" t="n">
        <x:v>11541.54</x:v>
      </x:c>
      <x:c r="J639" s="9" t="n">
        <x:v>0.15</x:v>
      </x:c>
      <x:c r="K639" s="7" t="n">
        <x:v>19620.62</x:v>
      </x:c>
      <x:c r="L639" s="7" t="n">
        <x:v>3969.79</x:v>
      </x:c>
      <x:c r="M639" s="3" t="str">
        <x:v>UPI</x:v>
      </x:c>
      <x:c r="N639" s="3"/>
      <x:c r="O639" s="3"/>
      <x:c r="P639" s="3"/>
      <x:c r="Q639" s="3"/>
    </x:row>
    <x:row r="640" ht="21" customHeight="1">
      <x:c r="A640" s="3" t="str">
        <x:v>ORD-100910</x:v>
      </x:c>
      <x:c r="B640" s="5" t="n">
        <x:v>45477</x:v>
      </x:c>
      <x:c r="C640" s="3" t="str">
        <x:v>CUST-00280</x:v>
      </x:c>
      <x:c r="D640" s="3" t="str">
        <x:v>North</x:v>
      </x:c>
      <x:c r="E640" s="3" t="str">
        <x:v>Electronics</x:v>
      </x:c>
      <x:c r="F640" s="3" t="str">
        <x:v>Laptop</x:v>
      </x:c>
      <x:c r="G640" s="3" t="str">
        <x:v>AirBook Slim</x:v>
      </x:c>
      <x:c r="H640" s="3" t="n">
        <x:v>1</x:v>
      </x:c>
      <x:c r="I640" s="7" t="n">
        <x:v>77219.84</x:v>
      </x:c>
      <x:c r="J640" s="9" t="n">
        <x:v>0.25</x:v>
      </x:c>
      <x:c r="K640" s="7" t="n">
        <x:v>57914.88</x:v>
      </x:c>
      <x:c r="L640" s="7" t="n">
        <x:v>-5350.81</x:v>
      </x:c>
      <x:c r="M640" s="3" t="str">
        <x:v>Credit Card</x:v>
      </x:c>
      <x:c r="N640" s="3"/>
      <x:c r="O640" s="3"/>
      <x:c r="P640" s="3"/>
      <x:c r="Q640" s="3"/>
    </x:row>
    <x:row r="641" ht="21" customHeight="1">
      <x:c r="A641" s="3" t="str">
        <x:v>ORD-100040</x:v>
      </x:c>
      <x:c r="B641" s="5" t="n">
        <x:v>45478</x:v>
      </x:c>
      <x:c r="C641" s="3" t="str">
        <x:v>CUST-00389</x:v>
      </x:c>
      <x:c r="D641" s="3" t="str">
        <x:v>East</x:v>
      </x:c>
      <x:c r="E641" s="3" t="str">
        <x:v>Sports</x:v>
      </x:c>
      <x:c r="F641" s="3" t="str">
        <x:v>Fitness</x:v>
      </x:c>
      <x:c r="G641" s="3" t="str">
        <x:v>Adjustable Dumbbell 24kg</x:v>
      </x:c>
      <x:c r="H641" s="3" t="n">
        <x:v>4</x:v>
      </x:c>
      <x:c r="I641" s="7" t="n">
        <x:v>10033.12</x:v>
      </x:c>
      <x:c r="J641" s="9" t="n">
        <x:v>0.4</x:v>
      </x:c>
      <x:c r="K641" s="7" t="n">
        <x:v>24079.49</x:v>
      </x:c>
      <x:c r="L641" s="7" t="n">
        <x:v>-1142.47</x:v>
      </x:c>
      <x:c r="M641" s="3" t="str">
        <x:v>Credit Card</x:v>
      </x:c>
      <x:c r="N641" s="3"/>
      <x:c r="O641" s="3"/>
      <x:c r="P641" s="3"/>
      <x:c r="Q641" s="3"/>
    </x:row>
    <x:row r="642" ht="21" customHeight="1">
      <x:c r="A642" s="3" t="str">
        <x:v>ORD-100047</x:v>
      </x:c>
      <x:c r="B642" s="5" t="n">
        <x:v>45478</x:v>
      </x:c>
      <x:c r="C642" s="3" t="str">
        <x:v>CUST-00364</x:v>
      </x:c>
      <x:c r="D642" s="3" t="str">
        <x:v>East</x:v>
      </x:c>
      <x:c r="E642" s="3" t="str">
        <x:v>Home &amp; Kitchen</x:v>
      </x:c>
      <x:c r="F642" s="3" t="str">
        <x:v>Furniture</x:v>
      </x:c>
      <x:c r="G642" s="3" t="str">
        <x:v>Oakwood Study Desk</x:v>
      </x:c>
      <x:c r="H642" s="3" t="n">
        <x:v>1</x:v>
      </x:c>
      <x:c r="I642" s="7" t="n">
        <x:v>13324.59</x:v>
      </x:c>
      <x:c r="J642" s="9" t="n">
        <x:v>0.05</x:v>
      </x:c>
      <x:c r="K642" s="7" t="n">
        <x:v>12658.36</x:v>
      </x:c>
      <x:c r="L642" s="7" t="n">
        <x:v>3520.14</x:v>
      </x:c>
      <x:c r="M642" s="3" t="str">
        <x:v>UPI</x:v>
      </x:c>
      <x:c r="N642" s="3"/>
      <x:c r="O642" s="3"/>
      <x:c r="P642" s="3"/>
      <x:c r="Q642" s="3"/>
    </x:row>
    <x:row r="643" ht="21" customHeight="1">
      <x:c r="A643" s="3" t="str">
        <x:v>ORD-101268</x:v>
      </x:c>
      <x:c r="B643" s="5" t="n">
        <x:v>45478</x:v>
      </x:c>
      <x:c r="C643" s="3" t="str">
        <x:v>CUST-00291</x:v>
      </x:c>
      <x:c r="D643" s="3" t="str">
        <x:v>East</x:v>
      </x:c>
      <x:c r="E643" s="3" t="str">
        <x:v>Home &amp; Kitchen</x:v>
      </x:c>
      <x:c r="F643" s="3" t="str">
        <x:v>Decor</x:v>
      </x:c>
      <x:c r="G643" s="3" t="str">
        <x:v>Ceramic Vase Set</x:v>
      </x:c>
      <x:c r="H643" s="3" t="n">
        <x:v>1</x:v>
      </x:c>
      <x:c r="I643" s="7" t="n">
        <x:v>1496.08</x:v>
      </x:c>
      <x:c r="J643" s="9" t="n">
        <x:v>0.05</x:v>
      </x:c>
      <x:c r="K643" s="7" t="n">
        <x:v>1421.28</x:v>
      </x:c>
      <x:c r="L643" s="7" t="n">
        <x:v>389.78</x:v>
      </x:c>
      <x:c r="M643" s="3" t="str">
        <x:v>Credit Card</x:v>
      </x:c>
      <x:c r="N643" s="3"/>
      <x:c r="O643" s="3"/>
      <x:c r="P643" s="3"/>
      <x:c r="Q643" s="3"/>
    </x:row>
    <x:row r="644" ht="21" customHeight="1">
      <x:c r="A644" s="3" t="str">
        <x:v>ORD-101383</x:v>
      </x:c>
      <x:c r="B644" s="5" t="n">
        <x:v>45478</x:v>
      </x:c>
      <x:c r="C644" s="3" t="str">
        <x:v>CUST-00322</x:v>
      </x:c>
      <x:c r="D644" s="3" t="str">
        <x:v>East</x:v>
      </x:c>
      <x:c r="E644" s="3" t="str">
        <x:v>Sports</x:v>
      </x:c>
      <x:c r="F644" s="3" t="str">
        <x:v>Outdoor</x:v>
      </x:c>
      <x:c r="G644" s="3" t="str">
        <x:v>TrailHike Backpack 60L</x:v>
      </x:c>
      <x:c r="H644" s="3" t="n">
        <x:v>1</x:v>
      </x:c>
      <x:c r="I644" s="7" t="n">
        <x:v>3417.84</x:v>
      </x:c>
      <x:c r="J644" s="9" t="n">
        <x:v>0.25</x:v>
      </x:c>
      <x:c r="K644" s="7" t="n">
        <x:v>2563.38</x:v>
      </x:c>
      <x:c r="L644" s="7" t="n">
        <x:v>327.45</x:v>
      </x:c>
      <x:c r="M644" s="3" t="str">
        <x:v>Cash on Delivery</x:v>
      </x:c>
      <x:c r="N644" s="3"/>
      <x:c r="O644" s="3"/>
      <x:c r="P644" s="3"/>
      <x:c r="Q644" s="3"/>
    </x:row>
    <x:row r="645" ht="21" customHeight="1">
      <x:c r="A645" s="3" t="str">
        <x:v>ORD-101532</x:v>
      </x:c>
      <x:c r="B645" s="5" t="n">
        <x:v>45478</x:v>
      </x:c>
      <x:c r="C645" s="3" t="str">
        <x:v>CUST-00039</x:v>
      </x:c>
      <x:c r="D645" s="3" t="str">
        <x:v>North</x:v>
      </x:c>
      <x:c r="E645" s="3" t="str">
        <x:v>Beauty</x:v>
      </x:c>
      <x:c r="F645" s="3" t="str">
        <x:v>Skincare</x:v>
      </x:c>
      <x:c r="G645" s="3" t="str">
        <x:v>Vitamin C Serum</x:v>
      </x:c>
      <x:c r="H645" s="3" t="n">
        <x:v>1</x:v>
      </x:c>
      <x:c r="I645" s="7" t="n">
        <x:v>891.92</x:v>
      </x:c>
      <x:c r="J645" s="9" t="n">
        <x:v>0.1</x:v>
      </x:c>
      <x:c r="K645" s="7" t="n">
        <x:v>802.73</x:v>
      </x:c>
      <x:c r="L645" s="7" t="n">
        <x:v>373.2</x:v>
      </x:c>
      <x:c r="M645" s="3" t="str">
        <x:v>UPI</x:v>
      </x:c>
      <x:c r="N645" s="3"/>
      <x:c r="O645" s="3"/>
      <x:c r="P645" s="3"/>
      <x:c r="Q645" s="3"/>
    </x:row>
    <x:row r="646" ht="21" customHeight="1">
      <x:c r="A646" s="3" t="str">
        <x:v>ORD-101606</x:v>
      </x:c>
      <x:c r="B646" s="5" t="n">
        <x:v>45478</x:v>
      </x:c>
      <x:c r="C646" s="3" t="str">
        <x:v>CUST-00380</x:v>
      </x:c>
      <x:c r="D646" s="3" t="str">
        <x:v>West</x:v>
      </x:c>
      <x:c r="E646" s="3" t="str">
        <x:v>Beauty</x:v>
      </x:c>
      <x:c r="F646" s="3" t="str">
        <x:v>Skincare</x:v>
      </x:c>
      <x:c r="G646" s="3" t="str">
        <x:v>HydraBoost Moisturizer</x:v>
      </x:c>
      <x:c r="H646" s="3" t="n">
        <x:v>1</x:v>
      </x:c>
      <x:c r="I646" s="7" t="n">
        <x:v>1141.24</x:v>
      </x:c>
      <x:c r="J646" s="9" t="n">
        <x:v>0.2</x:v>
      </x:c>
      <x:c r="K646" s="7" t="n">
        <x:v>912.99</x:v>
      </x:c>
      <x:c r="L646" s="7" t="n">
        <x:v>317.48</x:v>
      </x:c>
      <x:c r="M646" s="3" t="str">
        <x:v>Cash on Delivery</x:v>
      </x:c>
      <x:c r="N646" s="3"/>
      <x:c r="O646" s="3"/>
      <x:c r="P646" s="3"/>
      <x:c r="Q646" s="3"/>
    </x:row>
    <x:row r="647" ht="21" customHeight="1">
      <x:c r="A647" s="3" t="str">
        <x:v>ORD-100939</x:v>
      </x:c>
      <x:c r="B647" s="5" t="n">
        <x:v>45479</x:v>
      </x:c>
      <x:c r="C647" s="3" t="str">
        <x:v>CUST-00112</x:v>
      </x:c>
      <x:c r="D647" s="3" t="str">
        <x:v>West</x:v>
      </x:c>
      <x:c r="E647" s="3" t="str">
        <x:v>Sports</x:v>
      </x:c>
      <x:c r="F647" s="3" t="str">
        <x:v>Outdoor</x:v>
      </x:c>
      <x:c r="G647" s="3" t="str">
        <x:v>TrailHike Backpack 60L</x:v>
      </x:c>
      <x:c r="H647" s="3" t="n">
        <x:v>1</x:v>
      </x:c>
      <x:c r="I647" s="7" t="n">
        <x:v>3559.52</x:v>
      </x:c>
      <x:c r="J647" s="9" t="n">
        <x:v>0.15</x:v>
      </x:c>
      <x:c r="K647" s="7" t="n">
        <x:v>3025.59</x:v>
      </x:c>
      <x:c r="L647" s="7" t="n">
        <x:v>529.68</x:v>
      </x:c>
      <x:c r="M647" s="3" t="str">
        <x:v>UPI</x:v>
      </x:c>
      <x:c r="N647" s="3"/>
      <x:c r="O647" s="3"/>
      <x:c r="P647" s="3"/>
      <x:c r="Q647" s="3"/>
    </x:row>
    <x:row r="648" ht="21" customHeight="1">
      <x:c r="A648" s="3" t="str">
        <x:v>ORD-101465</x:v>
      </x:c>
      <x:c r="B648" s="5" t="n">
        <x:v>45479</x:v>
      </x:c>
      <x:c r="C648" s="3" t="str">
        <x:v>CUST-00418</x:v>
      </x:c>
      <x:c r="D648" s="3" t="str">
        <x:v>West</x:v>
      </x:c>
      <x:c r="E648" s="3" t="str">
        <x:v>Sports</x:v>
      </x:c>
      <x:c r="F648" s="3" t="str">
        <x:v>Outdoor</x:v>
      </x:c>
      <x:c r="G648" s="3" t="str">
        <x:v>TrailHike Backpack 60L</x:v>
      </x:c>
      <x:c r="H648" s="3" t="n">
        <x:v>1</x:v>
      </x:c>
      <x:c r="I648" s="7" t="n">
        <x:v>3513.71</x:v>
      </x:c>
      <x:c r="J648" s="9" t="n">
        <x:v>0</x:v>
      </x:c>
      <x:c r="K648" s="7" t="n">
        <x:v>3513.71</x:v>
      </x:c>
      <x:c r="L648" s="7" t="n">
        <x:v>1298.94</x:v>
      </x:c>
      <x:c r="M648" s="3" t="str">
        <x:v>UPI</x:v>
      </x:c>
      <x:c r="N648" s="3"/>
      <x:c r="O648" s="3"/>
      <x:c r="P648" s="3"/>
      <x:c r="Q648" s="3"/>
    </x:row>
    <x:row r="649" ht="21" customHeight="1">
      <x:c r="A649" s="3" t="str">
        <x:v>ORD-101599</x:v>
      </x:c>
      <x:c r="B649" s="5" t="n">
        <x:v>45479</x:v>
      </x:c>
      <x:c r="C649" s="3" t="str">
        <x:v>CUST-00004</x:v>
      </x:c>
      <x:c r="D649" s="3" t="str">
        <x:v>East</x:v>
      </x:c>
      <x:c r="E649" s="3" t="str">
        <x:v>Beauty</x:v>
      </x:c>
      <x:c r="F649" s="3" t="str">
        <x:v>Makeup</x:v>
      </x:c>
      <x:c r="G649" s="3" t="str">
        <x:v>Matte Lipstick Set</x:v>
      </x:c>
      <x:c r="H649" s="3" t="n">
        <x:v>1</x:v>
      </x:c>
      <x:c r="I649" s="7" t="n">
        <x:v>965.94</x:v>
      </x:c>
      <x:c r="J649" s="9" t="n">
        <x:v>0.05</x:v>
      </x:c>
      <x:c r="K649" s="7" t="n">
        <x:v>917.64</x:v>
      </x:c>
      <x:c r="L649" s="7" t="n">
        <x:v>484.25</x:v>
      </x:c>
      <x:c r="M649" s="3" t="str">
        <x:v>Debit Card</x:v>
      </x:c>
      <x:c r="N649" s="3"/>
      <x:c r="O649" s="3"/>
      <x:c r="P649" s="3"/>
      <x:c r="Q649" s="3"/>
    </x:row>
    <x:row r="650" ht="21" customHeight="1">
      <x:c r="A650" s="3" t="str">
        <x:v>ORD-101639</x:v>
      </x:c>
      <x:c r="B650" s="5" t="n">
        <x:v>45479</x:v>
      </x:c>
      <x:c r="C650" s="3" t="str">
        <x:v>CUST-00287</x:v>
      </x:c>
      <x:c r="D650" s="3" t="str">
        <x:v>North</x:v>
      </x:c>
      <x:c r="E650" s="3" t="str">
        <x:v>Sports</x:v>
      </x:c>
      <x:c r="F650" s="3" t="str">
        <x:v>Fitness</x:v>
      </x:c>
      <x:c r="G650" s="3" t="str">
        <x:v>Adjustable Dumbbell 24kg</x:v>
      </x:c>
      <x:c r="H650" s="3" t="n">
        <x:v>2</x:v>
      </x:c>
      <x:c r="I650" s="7" t="n">
        <x:v>9790.23</x:v>
      </x:c>
      <x:c r="J650" s="9" t="n">
        <x:v>0.25</x:v>
      </x:c>
      <x:c r="K650" s="7" t="n">
        <x:v>14685.34</x:v>
      </x:c>
      <x:c r="L650" s="7" t="n">
        <x:v>1003.93</x:v>
      </x:c>
      <x:c r="M650" s="3" t="str">
        <x:v>Debit Card</x:v>
      </x:c>
      <x:c r="N650" s="3"/>
      <x:c r="O650" s="3"/>
      <x:c r="P650" s="3"/>
      <x:c r="Q650" s="3"/>
    </x:row>
    <x:row r="651" ht="21" customHeight="1">
      <x:c r="A651" s="3" t="str">
        <x:v>ORD-100300</x:v>
      </x:c>
      <x:c r="B651" s="5" t="n">
        <x:v>45480</x:v>
      </x:c>
      <x:c r="C651" s="3" t="str">
        <x:v>CUST-00518</x:v>
      </x:c>
      <x:c r="D651" s="3" t="str">
        <x:v>South</x:v>
      </x:c>
      <x:c r="E651" s="3" t="str">
        <x:v>Beauty</x:v>
      </x:c>
      <x:c r="F651" s="3" t="str">
        <x:v>Skincare</x:v>
      </x:c>
      <x:c r="G651" s="3" t="str">
        <x:v>HydraBoost Moisturizer</x:v>
      </x:c>
      <x:c r="H651" s="3" t="n">
        <x:v>1</x:v>
      </x:c>
      <x:c r="I651" s="7" t="n">
        <x:v>1181.98</x:v>
      </x:c>
      <x:c r="J651" s="9" t="n">
        <x:v>0.1</x:v>
      </x:c>
      <x:c r="K651" s="7" t="n">
        <x:v>1063.78</x:v>
      </x:c>
      <x:c r="L651" s="7" t="n">
        <x:v>486.92</x:v>
      </x:c>
      <x:c r="M651" s="3" t="str">
        <x:v>UPI</x:v>
      </x:c>
      <x:c r="N651" s="3"/>
      <x:c r="O651" s="3"/>
      <x:c r="P651" s="3"/>
      <x:c r="Q651" s="3"/>
    </x:row>
    <x:row r="652" ht="21" customHeight="1">
      <x:c r="A652" s="3" t="str">
        <x:v>ORD-100393</x:v>
      </x:c>
      <x:c r="B652" s="5" t="n">
        <x:v>45480</x:v>
      </x:c>
      <x:c r="C652" s="3" t="str">
        <x:v>CUST-00150</x:v>
      </x:c>
      <x:c r="D652" s="3" t="str">
        <x:v>South</x:v>
      </x:c>
      <x:c r="E652" s="3" t="str">
        <x:v>Fashion</x:v>
      </x:c>
      <x:c r="F652" s="3" t="str">
        <x:v>Women</x:v>
      </x:c>
      <x:c r="G652" s="3" t="str">
        <x:v>Floral Summer Dress</x:v>
      </x:c>
      <x:c r="H652" s="3" t="n">
        <x:v>2</x:v>
      </x:c>
      <x:c r="I652" s="7" t="n">
        <x:v>1737.48</x:v>
      </x:c>
      <x:c r="J652" s="9" t="n">
        <x:v>0.1</x:v>
      </x:c>
      <x:c r="K652" s="7" t="n">
        <x:v>3127.46</x:v>
      </x:c>
      <x:c r="L652" s="7" t="n">
        <x:v>845.74</x:v>
      </x:c>
      <x:c r="M652" s="3" t="str">
        <x:v>Debit Card</x:v>
      </x:c>
      <x:c r="N652" s="3"/>
      <x:c r="O652" s="3"/>
      <x:c r="P652" s="3"/>
      <x:c r="Q652" s="3"/>
    </x:row>
    <x:row r="653" ht="21" customHeight="1">
      <x:c r="A653" s="3" t="str">
        <x:v>ORD-100527</x:v>
      </x:c>
      <x:c r="B653" s="5" t="n">
        <x:v>45480</x:v>
      </x:c>
      <x:c r="C653" s="3" t="str">
        <x:v>CUST-00140</x:v>
      </x:c>
      <x:c r="D653" s="3" t="str">
        <x:v>East</x:v>
      </x:c>
      <x:c r="E653" s="3" t="str">
        <x:v>Fashion</x:v>
      </x:c>
      <x:c r="F653" s="3" t="str">
        <x:v>Footwear</x:v>
      </x:c>
      <x:c r="G653" s="3" t="str">
        <x:v>UrbanLoafers</x:v>
      </x:c>
      <x:c r="H653" s="3" t="n">
        <x:v>1</x:v>
      </x:c>
      <x:c r="I653" s="7" t="n">
        <x:v>3534.73</x:v>
      </x:c>
      <x:c r="J653" s="9" t="n">
        <x:v>0.05</x:v>
      </x:c>
      <x:c r="K653" s="7" t="n">
        <x:v>3357.99</x:v>
      </x:c>
      <x:c r="L653" s="7" t="n">
        <x:v>1301.47</x:v>
      </x:c>
      <x:c r="M653" s="3" t="str">
        <x:v>Credit Card</x:v>
      </x:c>
      <x:c r="N653" s="3"/>
      <x:c r="O653" s="3"/>
      <x:c r="P653" s="3"/>
      <x:c r="Q653" s="3"/>
    </x:row>
    <x:row r="654" ht="21" customHeight="1">
      <x:c r="A654" s="3" t="str">
        <x:v>ORD-101392</x:v>
      </x:c>
      <x:c r="B654" s="5" t="n">
        <x:v>45480</x:v>
      </x:c>
      <x:c r="C654" s="3" t="str">
        <x:v>CUST-00471</x:v>
      </x:c>
      <x:c r="D654" s="3" t="str">
        <x:v>North</x:v>
      </x:c>
      <x:c r="E654" s="3" t="str">
        <x:v>Fashion</x:v>
      </x:c>
      <x:c r="F654" s="3" t="str">
        <x:v>Footwear</x:v>
      </x:c>
      <x:c r="G654" s="3" t="str">
        <x:v>UrbanLoafers</x:v>
      </x:c>
      <x:c r="H654" s="3" t="n">
        <x:v>3</x:v>
      </x:c>
      <x:c r="I654" s="7" t="n">
        <x:v>3398.41</x:v>
      </x:c>
      <x:c r="J654" s="9" t="n">
        <x:v>0</x:v>
      </x:c>
      <x:c r="K654" s="7" t="n">
        <x:v>10195.23</x:v>
      </x:c>
      <x:c r="L654" s="7" t="n">
        <x:v>4183.7</x:v>
      </x:c>
      <x:c r="M654" s="3" t="str">
        <x:v>Net Banking</x:v>
      </x:c>
      <x:c r="N654" s="3"/>
      <x:c r="O654" s="3"/>
      <x:c r="P654" s="3"/>
      <x:c r="Q654" s="3"/>
    </x:row>
    <x:row r="655" ht="21" customHeight="1">
      <x:c r="A655" s="3" t="str">
        <x:v>ORD-101949</x:v>
      </x:c>
      <x:c r="B655" s="5" t="n">
        <x:v>45480</x:v>
      </x:c>
      <x:c r="C655" s="3" t="str">
        <x:v>CUST-00186</x:v>
      </x:c>
      <x:c r="D655" s="3" t="str">
        <x:v>North</x:v>
      </x:c>
      <x:c r="E655" s="3" t="str">
        <x:v>Electronics</x:v>
      </x:c>
      <x:c r="F655" s="3" t="str">
        <x:v>Audio</x:v>
      </x:c>
      <x:c r="G655" s="3" t="str">
        <x:v>BassBoom Speaker</x:v>
      </x:c>
      <x:c r="H655" s="3" t="n">
        <x:v>1</x:v>
      </x:c>
      <x:c r="I655" s="7" t="n">
        <x:v>9428.25</x:v>
      </x:c>
      <x:c r="J655" s="9" t="n">
        <x:v>0</x:v>
      </x:c>
      <x:c r="K655" s="7" t="n">
        <x:v>9428.25</x:v>
      </x:c>
      <x:c r="L655" s="7" t="n">
        <x:v>1716.38</x:v>
      </x:c>
      <x:c r="M655" s="3" t="str">
        <x:v>Net Banking</x:v>
      </x:c>
      <x:c r="N655" s="3"/>
      <x:c r="O655" s="3"/>
      <x:c r="P655" s="3"/>
      <x:c r="Q655" s="3"/>
    </x:row>
    <x:row r="656" ht="21" customHeight="1">
      <x:c r="A656" s="3" t="str">
        <x:v>ORD-100050</x:v>
      </x:c>
      <x:c r="B656" s="5" t="n">
        <x:v>45481</x:v>
      </x:c>
      <x:c r="C656" s="3" t="str">
        <x:v>CUST-00496</x:v>
      </x:c>
      <x:c r="D656" s="3" t="str">
        <x:v>North</x:v>
      </x:c>
      <x:c r="E656" s="3" t="str">
        <x:v>Sports</x:v>
      </x:c>
      <x:c r="F656" s="3" t="str">
        <x:v>Outdoor</x:v>
      </x:c>
      <x:c r="G656" s="3" t="str">
        <x:v>AllWeather Tent 4P</x:v>
      </x:c>
      <x:c r="H656" s="3" t="n">
        <x:v>2</x:v>
      </x:c>
      <x:c r="I656" s="7" t="n">
        <x:v>11700.71</x:v>
      </x:c>
      <x:c r="J656" s="9" t="n">
        <x:v>0</x:v>
      </x:c>
      <x:c r="K656" s="7" t="n">
        <x:v>23401.42</x:v>
      </x:c>
      <x:c r="L656" s="7" t="n">
        <x:v>8182.36</x:v>
      </x:c>
      <x:c r="M656" s="3" t="str">
        <x:v>UPI</x:v>
      </x:c>
      <x:c r="N656" s="3"/>
      <x:c r="O656" s="3"/>
      <x:c r="P656" s="3"/>
      <x:c r="Q656" s="3"/>
    </x:row>
    <x:row r="657" ht="21" customHeight="1">
      <x:c r="A657" s="3" t="str">
        <x:v>ORD-100674</x:v>
      </x:c>
      <x:c r="B657" s="5" t="n">
        <x:v>45481</x:v>
      </x:c>
      <x:c r="C657" s="3" t="str">
        <x:v>CUST-00021</x:v>
      </x:c>
      <x:c r="D657" s="3" t="str">
        <x:v>North</x:v>
      </x:c>
      <x:c r="E657" s="3" t="str">
        <x:v>Beauty</x:v>
      </x:c>
      <x:c r="F657" s="3" t="str">
        <x:v>Skincare</x:v>
      </x:c>
      <x:c r="G657" s="3" t="str">
        <x:v>HydraBoost Moisturizer</x:v>
      </x:c>
      <x:c r="H657" s="3" t="n">
        <x:v>1</x:v>
      </x:c>
      <x:c r="I657" s="7" t="n">
        <x:v>1191.05</x:v>
      </x:c>
      <x:c r="J657" s="9" t="n">
        <x:v>0.1</x:v>
      </x:c>
      <x:c r="K657" s="7" t="n">
        <x:v>1071.94</x:v>
      </x:c>
      <x:c r="L657" s="7" t="n">
        <x:v>472.42</x:v>
      </x:c>
      <x:c r="M657" s="3" t="str">
        <x:v>UPI</x:v>
      </x:c>
      <x:c r="N657" s="3"/>
      <x:c r="O657" s="3"/>
      <x:c r="P657" s="3"/>
      <x:c r="Q657" s="3"/>
    </x:row>
    <x:row r="658" ht="21" customHeight="1">
      <x:c r="A658" s="3" t="str">
        <x:v>ORD-101447</x:v>
      </x:c>
      <x:c r="B658" s="5" t="n">
        <x:v>45481</x:v>
      </x:c>
      <x:c r="C658" s="3" t="str">
        <x:v>CUST-00399</x:v>
      </x:c>
      <x:c r="D658" s="3" t="str">
        <x:v>South</x:v>
      </x:c>
      <x:c r="E658" s="3" t="str">
        <x:v>Sports</x:v>
      </x:c>
      <x:c r="F658" s="3" t="str">
        <x:v>Outdoor</x:v>
      </x:c>
      <x:c r="G658" s="3" t="str">
        <x:v>TrailHike Backpack 60L</x:v>
      </x:c>
      <x:c r="H658" s="3" t="n">
        <x:v>2</x:v>
      </x:c>
      <x:c r="I658" s="7" t="n">
        <x:v>3399.5</x:v>
      </x:c>
      <x:c r="J658" s="9" t="n">
        <x:v>0.1</x:v>
      </x:c>
      <x:c r="K658" s="7" t="n">
        <x:v>6119.1</x:v>
      </x:c>
      <x:c r="L658" s="7" t="n">
        <x:v>1457.56</x:v>
      </x:c>
      <x:c r="M658" s="3" t="str">
        <x:v>Credit Card</x:v>
      </x:c>
      <x:c r="N658" s="3"/>
      <x:c r="O658" s="3"/>
      <x:c r="P658" s="3"/>
      <x:c r="Q658" s="3"/>
    </x:row>
    <x:row r="659" ht="21" customHeight="1">
      <x:c r="A659" s="3" t="str">
        <x:v>ORD-100653</x:v>
      </x:c>
      <x:c r="B659" s="5" t="n">
        <x:v>45482</x:v>
      </x:c>
      <x:c r="C659" s="3" t="str">
        <x:v>CUST-00188</x:v>
      </x:c>
      <x:c r="D659" s="3" t="str">
        <x:v>South</x:v>
      </x:c>
      <x:c r="E659" s="3" t="str">
        <x:v>Fashion</x:v>
      </x:c>
      <x:c r="F659" s="3" t="str">
        <x:v>Women</x:v>
      </x:c>
      <x:c r="G659" s="3" t="str">
        <x:v>Floral Summer Dress</x:v>
      </x:c>
      <x:c r="H659" s="3" t="n">
        <x:v>2</x:v>
      </x:c>
      <x:c r="I659" s="7" t="n">
        <x:v>1741.79</x:v>
      </x:c>
      <x:c r="J659" s="9" t="n">
        <x:v>0</x:v>
      </x:c>
      <x:c r="K659" s="7" t="n">
        <x:v>3483.58</x:v>
      </x:c>
      <x:c r="L659" s="7" t="n">
        <x:v>1588.09</x:v>
      </x:c>
      <x:c r="M659" s="3" t="str">
        <x:v>Debit Card</x:v>
      </x:c>
      <x:c r="N659" s="3"/>
      <x:c r="O659" s="3"/>
      <x:c r="P659" s="3"/>
      <x:c r="Q659" s="3"/>
    </x:row>
    <x:row r="660" ht="21" customHeight="1">
      <x:c r="A660" s="3" t="str">
        <x:v>ORD-100890</x:v>
      </x:c>
      <x:c r="B660" s="5" t="n">
        <x:v>45482</x:v>
      </x:c>
      <x:c r="C660" s="3" t="str">
        <x:v>CUST-00479</x:v>
      </x:c>
      <x:c r="D660" s="3" t="str">
        <x:v>West</x:v>
      </x:c>
      <x:c r="E660" s="3" t="str">
        <x:v>Beauty</x:v>
      </x:c>
      <x:c r="F660" s="3" t="str">
        <x:v>Makeup</x:v>
      </x:c>
      <x:c r="G660" s="3" t="str">
        <x:v>Matte Lipstick Set</x:v>
      </x:c>
      <x:c r="H660" s="3" t="n">
        <x:v>1</x:v>
      </x:c>
      <x:c r="I660" s="7" t="n">
        <x:v>970.85</x:v>
      </x:c>
      <x:c r="J660" s="9" t="n">
        <x:v>0</x:v>
      </x:c>
      <x:c r="K660" s="7" t="n">
        <x:v>970.85</x:v>
      </x:c>
      <x:c r="L660" s="7" t="n">
        <x:v>515.39</x:v>
      </x:c>
      <x:c r="M660" s="3" t="str">
        <x:v>Credit Card</x:v>
      </x:c>
      <x:c r="N660" s="3"/>
      <x:c r="O660" s="3"/>
      <x:c r="P660" s="3"/>
      <x:c r="Q660" s="3"/>
    </x:row>
    <x:row r="661" ht="21" customHeight="1">
      <x:c r="A661" s="3" t="str">
        <x:v>ORD-101116</x:v>
      </x:c>
      <x:c r="B661" s="5" t="n">
        <x:v>45482</x:v>
      </x:c>
      <x:c r="C661" s="3" t="str">
        <x:v>CUST-00320</x:v>
      </x:c>
      <x:c r="D661" s="3" t="str">
        <x:v>South</x:v>
      </x:c>
      <x:c r="E661" s="3" t="str">
        <x:v>Electronics</x:v>
      </x:c>
      <x:c r="F661" s="3" t="str">
        <x:v>Laptop</x:v>
      </x:c>
      <x:c r="G661" s="3" t="str">
        <x:v>ThinkPro 14</x:v>
      </x:c>
      <x:c r="H661" s="3" t="n">
        <x:v>1</x:v>
      </x:c>
      <x:c r="I661" s="7" t="n">
        <x:v>53068.7</x:v>
      </x:c>
      <x:c r="J661" s="9" t="n">
        <x:v>0</x:v>
      </x:c>
      <x:c r="K661" s="7" t="n">
        <x:v>53068.7</x:v>
      </x:c>
      <x:c r="L661" s="7" t="n">
        <x:v>8030.92</x:v>
      </x:c>
      <x:c r="M661" s="3" t="str">
        <x:v>Net Banking</x:v>
      </x:c>
      <x:c r="N661" s="3"/>
      <x:c r="O661" s="3"/>
      <x:c r="P661" s="3"/>
      <x:c r="Q661" s="3"/>
    </x:row>
    <x:row r="662" ht="21" customHeight="1">
      <x:c r="A662" s="3" t="str">
        <x:v>ORD-101432</x:v>
      </x:c>
      <x:c r="B662" s="5" t="n">
        <x:v>45482</x:v>
      </x:c>
      <x:c r="C662" s="3" t="str">
        <x:v>CUST-00497</x:v>
      </x:c>
      <x:c r="D662" s="3" t="str">
        <x:v>East</x:v>
      </x:c>
      <x:c r="E662" s="3" t="str">
        <x:v>Electronics</x:v>
      </x:c>
      <x:c r="F662" s="3" t="str">
        <x:v>Mobile</x:v>
      </x:c>
      <x:c r="G662" s="3" t="str">
        <x:v>Galaxy Nova X5</x:v>
      </x:c>
      <x:c r="H662" s="3" t="n">
        <x:v>1</x:v>
      </x:c>
      <x:c r="I662" s="7" t="n">
        <x:v>24626.68</x:v>
      </x:c>
      <x:c r="J662" s="9" t="n">
        <x:v>0.1</x:v>
      </x:c>
      <x:c r="K662" s="7" t="n">
        <x:v>22164.01</x:v>
      </x:c>
      <x:c r="L662" s="7" t="n">
        <x:v>827.47</x:v>
      </x:c>
      <x:c r="M662" s="3" t="str">
        <x:v>UPI</x:v>
      </x:c>
      <x:c r="N662" s="3"/>
      <x:c r="O662" s="3"/>
      <x:c r="P662" s="3"/>
      <x:c r="Q662" s="3"/>
    </x:row>
    <x:row r="663" ht="21" customHeight="1">
      <x:c r="A663" s="3" t="str">
        <x:v>ORD-100233</x:v>
      </x:c>
      <x:c r="B663" s="5" t="n">
        <x:v>45483</x:v>
      </x:c>
      <x:c r="C663" s="3" t="str">
        <x:v>CUST-00457</x:v>
      </x:c>
      <x:c r="D663" s="3" t="str">
        <x:v>South</x:v>
      </x:c>
      <x:c r="E663" s="3" t="str">
        <x:v>Electronics</x:v>
      </x:c>
      <x:c r="F663" s="3" t="str">
        <x:v>Mobile</x:v>
      </x:c>
      <x:c r="G663" s="3" t="str">
        <x:v>iPhone Zeta</x:v>
      </x:c>
      <x:c r="H663" s="3" t="n">
        <x:v>1</x:v>
      </x:c>
      <x:c r="I663" s="7" t="n">
        <x:v>69971.89</x:v>
      </x:c>
      <x:c r="J663" s="9" t="n">
        <x:v>0.15</x:v>
      </x:c>
      <x:c r="K663" s="7" t="n">
        <x:v>59476.11</x:v>
      </x:c>
      <x:c r="L663" s="7" t="n">
        <x:v>-111.91</x:v>
      </x:c>
      <x:c r="M663" s="3" t="str">
        <x:v>UPI</x:v>
      </x:c>
      <x:c r="N663" s="3"/>
      <x:c r="O663" s="3"/>
      <x:c r="P663" s="3"/>
      <x:c r="Q663" s="3"/>
    </x:row>
    <x:row r="664" ht="21" customHeight="1">
      <x:c r="A664" s="3" t="str">
        <x:v>ORD-100320</x:v>
      </x:c>
      <x:c r="B664" s="5" t="n">
        <x:v>45483</x:v>
      </x:c>
      <x:c r="C664" s="3" t="str">
        <x:v>CUST-00122</x:v>
      </x:c>
      <x:c r="D664" s="3" t="str">
        <x:v>East</x:v>
      </x:c>
      <x:c r="E664" s="3" t="str">
        <x:v>Sports</x:v>
      </x:c>
      <x:c r="F664" s="3" t="str">
        <x:v>Outdoor</x:v>
      </x:c>
      <x:c r="G664" s="3" t="str">
        <x:v>TrailHike Backpack 60L</x:v>
      </x:c>
      <x:c r="H664" s="3" t="n">
        <x:v>1</x:v>
      </x:c>
      <x:c r="I664" s="7" t="n">
        <x:v>3382</x:v>
      </x:c>
      <x:c r="J664" s="9" t="n">
        <x:v>0</x:v>
      </x:c>
      <x:c r="K664" s="7" t="n">
        <x:v>3382</x:v>
      </x:c>
      <x:c r="L664" s="7" t="n">
        <x:v>1170.74</x:v>
      </x:c>
      <x:c r="M664" s="3" t="str">
        <x:v>UPI</x:v>
      </x:c>
      <x:c r="N664" s="3"/>
      <x:c r="O664" s="3"/>
      <x:c r="P664" s="3"/>
      <x:c r="Q664" s="3"/>
    </x:row>
    <x:row r="665" ht="21" customHeight="1">
      <x:c r="A665" s="3" t="str">
        <x:v>ORD-101435</x:v>
      </x:c>
      <x:c r="B665" s="5" t="n">
        <x:v>45483</x:v>
      </x:c>
      <x:c r="C665" s="3" t="str">
        <x:v>CUST-00510</x:v>
      </x:c>
      <x:c r="D665" s="3" t="str">
        <x:v>West</x:v>
      </x:c>
      <x:c r="E665" s="3" t="str">
        <x:v>Sports</x:v>
      </x:c>
      <x:c r="F665" s="3" t="str">
        <x:v>Fitness</x:v>
      </x:c>
      <x:c r="G665" s="3" t="str">
        <x:v>Adjustable Dumbbell 24kg</x:v>
      </x:c>
      <x:c r="H665" s="3" t="n">
        <x:v>5</x:v>
      </x:c>
      <x:c r="I665" s="7" t="n">
        <x:v>9590.68</x:v>
      </x:c>
      <x:c r="J665" s="9" t="n">
        <x:v>0.05</x:v>
      </x:c>
      <x:c r="K665" s="7" t="n">
        <x:v>45555.73</x:v>
      </x:c>
      <x:c r="L665" s="7" t="n">
        <x:v>13047.91</x:v>
      </x:c>
      <x:c r="M665" s="3" t="str">
        <x:v>UPI</x:v>
      </x:c>
      <x:c r="N665" s="3"/>
      <x:c r="O665" s="3"/>
      <x:c r="P665" s="3"/>
      <x:c r="Q665" s="3"/>
    </x:row>
    <x:row r="666" ht="21" customHeight="1">
      <x:c r="A666" s="3" t="str">
        <x:v>ORD-101504</x:v>
      </x:c>
      <x:c r="B666" s="5" t="n">
        <x:v>45483</x:v>
      </x:c>
      <x:c r="C666" s="3" t="str">
        <x:v>CUST-00065</x:v>
      </x:c>
      <x:c r="D666" s="3" t="str">
        <x:v>East</x:v>
      </x:c>
      <x:c r="E666" s="3" t="str">
        <x:v>Fashion</x:v>
      </x:c>
      <x:c r="F666" s="3" t="str">
        <x:v>Men</x:v>
      </x:c>
      <x:c r="G666" s="3" t="str">
        <x:v>SlimFit Denim Jeans</x:v>
      </x:c>
      <x:c r="H666" s="3" t="n">
        <x:v>2</x:v>
      </x:c>
      <x:c r="I666" s="7" t="n">
        <x:v>2033.59</x:v>
      </x:c>
      <x:c r="J666" s="9" t="n">
        <x:v>0</x:v>
      </x:c>
      <x:c r="K666" s="7" t="n">
        <x:v>4067.18</x:v>
      </x:c>
      <x:c r="L666" s="7" t="n">
        <x:v>1821.82</x:v>
      </x:c>
      <x:c r="M666" s="3" t="str">
        <x:v>UPI</x:v>
      </x:c>
      <x:c r="N666" s="3"/>
      <x:c r="O666" s="3"/>
      <x:c r="P666" s="3"/>
      <x:c r="Q666" s="3"/>
    </x:row>
    <x:row r="667" ht="21" customHeight="1">
      <x:c r="A667" s="3" t="str">
        <x:v>ORD-100713</x:v>
      </x:c>
      <x:c r="B667" s="5" t="n">
        <x:v>45484</x:v>
      </x:c>
      <x:c r="C667" s="3" t="str">
        <x:v>CUST-00074</x:v>
      </x:c>
      <x:c r="D667" s="3" t="str">
        <x:v>West</x:v>
      </x:c>
      <x:c r="E667" s="3" t="str">
        <x:v>Fashion</x:v>
      </x:c>
      <x:c r="F667" s="3" t="str">
        <x:v>Footwear</x:v>
      </x:c>
      <x:c r="G667" s="3" t="str">
        <x:v>UrbanLoafers</x:v>
      </x:c>
      <x:c r="H667" s="3" t="n">
        <x:v>4</x:v>
      </x:c>
      <x:c r="I667" s="7" t="n">
        <x:v>3422.74</x:v>
      </x:c>
      <x:c r="J667" s="9" t="n">
        <x:v>0</x:v>
      </x:c>
      <x:c r="K667" s="7" t="n">
        <x:v>13690.96</x:v>
      </x:c>
      <x:c r="L667" s="7" t="n">
        <x:v>5542.28</x:v>
      </x:c>
      <x:c r="M667" s="3" t="str">
        <x:v>Debit Card</x:v>
      </x:c>
      <x:c r="N667" s="3"/>
      <x:c r="O667" s="3"/>
      <x:c r="P667" s="3"/>
      <x:c r="Q667" s="3"/>
    </x:row>
    <x:row r="668" ht="21" customHeight="1">
      <x:c r="A668" s="3" t="str">
        <x:v>ORD-100871</x:v>
      </x:c>
      <x:c r="B668" s="5" t="n">
        <x:v>45484</x:v>
      </x:c>
      <x:c r="C668" s="3" t="str">
        <x:v>CUST-00097</x:v>
      </x:c>
      <x:c r="D668" s="3" t="str">
        <x:v>West</x:v>
      </x:c>
      <x:c r="E668" s="3" t="str">
        <x:v>Fashion</x:v>
      </x:c>
      <x:c r="F668" s="3" t="str">
        <x:v>Footwear</x:v>
      </x:c>
      <x:c r="G668" s="3" t="str">
        <x:v>UrbanLoafers</x:v>
      </x:c>
      <x:c r="H668" s="3" t="n">
        <x:v>1</x:v>
      </x:c>
      <x:c r="I668" s="7" t="n">
        <x:v>3376.66</x:v>
      </x:c>
      <x:c r="J668" s="9" t="n">
        <x:v>0.05</x:v>
      </x:c>
      <x:c r="K668" s="7" t="n">
        <x:v>3207.83</x:v>
      </x:c>
      <x:c r="L668" s="7" t="n">
        <x:v>1051.73</x:v>
      </x:c>
      <x:c r="M668" s="3" t="str">
        <x:v>UPI</x:v>
      </x:c>
      <x:c r="N668" s="3"/>
      <x:c r="O668" s="3"/>
      <x:c r="P668" s="3"/>
      <x:c r="Q668" s="3"/>
    </x:row>
    <x:row r="669" ht="21" customHeight="1">
      <x:c r="A669" s="3" t="str">
        <x:v>ORD-101908</x:v>
      </x:c>
      <x:c r="B669" s="5" t="n">
        <x:v>45484</x:v>
      </x:c>
      <x:c r="C669" s="3" t="str">
        <x:v>CUST-00379</x:v>
      </x:c>
      <x:c r="D669" s="3" t="str">
        <x:v>West</x:v>
      </x:c>
      <x:c r="E669" s="3" t="str">
        <x:v>Sports</x:v>
      </x:c>
      <x:c r="F669" s="3" t="str">
        <x:v>Fitness</x:v>
      </x:c>
      <x:c r="G669" s="3" t="str">
        <x:v>ProYoga Mat</x:v>
      </x:c>
      <x:c r="H669" s="3" t="n">
        <x:v>2</x:v>
      </x:c>
      <x:c r="I669" s="7" t="n">
        <x:v>1288.52</x:v>
      </x:c>
      <x:c r="J669" s="9" t="n">
        <x:v>0.05</x:v>
      </x:c>
      <x:c r="K669" s="7" t="n">
        <x:v>2448.19</x:v>
      </x:c>
      <x:c r="L669" s="7" t="n">
        <x:v>802.91</x:v>
      </x:c>
      <x:c r="M669" s="3" t="str">
        <x:v>UPI</x:v>
      </x:c>
      <x:c r="N669" s="3"/>
      <x:c r="O669" s="3"/>
      <x:c r="P669" s="3"/>
      <x:c r="Q669" s="3"/>
    </x:row>
    <x:row r="670" ht="21" customHeight="1">
      <x:c r="A670" s="3" t="str">
        <x:v>ORD-100779</x:v>
      </x:c>
      <x:c r="B670" s="5" t="n">
        <x:v>45485</x:v>
      </x:c>
      <x:c r="C670" s="3" t="str">
        <x:v>CUST-00283</x:v>
      </x:c>
      <x:c r="D670" s="3" t="str">
        <x:v>West</x:v>
      </x:c>
      <x:c r="E670" s="3" t="str">
        <x:v>Sports</x:v>
      </x:c>
      <x:c r="F670" s="3" t="str">
        <x:v>Outdoor</x:v>
      </x:c>
      <x:c r="G670" s="3" t="str">
        <x:v>TrailHike Backpack 60L</x:v>
      </x:c>
      <x:c r="H670" s="3" t="n">
        <x:v>1</x:v>
      </x:c>
      <x:c r="I670" s="7" t="n">
        <x:v>3341.24</x:v>
      </x:c>
      <x:c r="J670" s="9" t="n">
        <x:v>0.05</x:v>
      </x:c>
      <x:c r="K670" s="7" t="n">
        <x:v>3174.18</x:v>
      </x:c>
      <x:c r="L670" s="7" t="n">
        <x:v>993.84</x:v>
      </x:c>
      <x:c r="M670" s="3" t="str">
        <x:v>UPI</x:v>
      </x:c>
      <x:c r="N670" s="3"/>
      <x:c r="O670" s="3"/>
      <x:c r="P670" s="3"/>
      <x:c r="Q670" s="3"/>
    </x:row>
    <x:row r="671" ht="21" customHeight="1">
      <x:c r="A671" s="3" t="str">
        <x:v>ORD-101000</x:v>
      </x:c>
      <x:c r="B671" s="5" t="n">
        <x:v>45485</x:v>
      </x:c>
      <x:c r="C671" s="3" t="str">
        <x:v>CUST-00511</x:v>
      </x:c>
      <x:c r="D671" s="3" t="str">
        <x:v>West</x:v>
      </x:c>
      <x:c r="E671" s="3" t="str">
        <x:v>Electronics</x:v>
      </x:c>
      <x:c r="F671" s="3" t="str">
        <x:v>Mobile</x:v>
      </x:c>
      <x:c r="G671" s="3" t="str">
        <x:v>Pixel Aura 12</x:v>
      </x:c>
      <x:c r="H671" s="3" t="n">
        <x:v>1</x:v>
      </x:c>
      <x:c r="I671" s="7" t="n">
        <x:v>34335.94</x:v>
      </x:c>
      <x:c r="J671" s="9" t="n">
        <x:v>0</x:v>
      </x:c>
      <x:c r="K671" s="7" t="n">
        <x:v>34335.94</x:v>
      </x:c>
      <x:c r="L671" s="7" t="n">
        <x:v>6354.52</x:v>
      </x:c>
      <x:c r="M671" s="3" t="str">
        <x:v>Cash on Delivery</x:v>
      </x:c>
      <x:c r="N671" s="3"/>
      <x:c r="O671" s="3"/>
      <x:c r="P671" s="3"/>
      <x:c r="Q671" s="3"/>
    </x:row>
    <x:row r="672" ht="21" customHeight="1">
      <x:c r="A672" s="3" t="str">
        <x:v>ORD-101157</x:v>
      </x:c>
      <x:c r="B672" s="5" t="n">
        <x:v>45485</x:v>
      </x:c>
      <x:c r="C672" s="3" t="str">
        <x:v>CUST-00257</x:v>
      </x:c>
      <x:c r="D672" s="3" t="str">
        <x:v>South</x:v>
      </x:c>
      <x:c r="E672" s="3" t="str">
        <x:v>Sports</x:v>
      </x:c>
      <x:c r="F672" s="3" t="str">
        <x:v>Fitness</x:v>
      </x:c>
      <x:c r="G672" s="3" t="str">
        <x:v>Adjustable Dumbbell 24kg</x:v>
      </x:c>
      <x:c r="H672" s="3" t="n">
        <x:v>2</x:v>
      </x:c>
      <x:c r="I672" s="7" t="n">
        <x:v>9582.31</x:v>
      </x:c>
      <x:c r="J672" s="9" t="n">
        <x:v>0</x:v>
      </x:c>
      <x:c r="K672" s="7" t="n">
        <x:v>19164.62</x:v>
      </x:c>
      <x:c r="L672" s="7" t="n">
        <x:v>7725.64</x:v>
      </x:c>
      <x:c r="M672" s="3" t="str">
        <x:v>UPI</x:v>
      </x:c>
      <x:c r="N672" s="3"/>
      <x:c r="O672" s="3"/>
      <x:c r="P672" s="3"/>
      <x:c r="Q672" s="3"/>
    </x:row>
    <x:row r="673" ht="21" customHeight="1">
      <x:c r="A673" s="3" t="str">
        <x:v>ORD-100338</x:v>
      </x:c>
      <x:c r="B673" s="5" t="n">
        <x:v>45486</x:v>
      </x:c>
      <x:c r="C673" s="3" t="str">
        <x:v>CUST-00205</x:v>
      </x:c>
      <x:c r="D673" s="3" t="str">
        <x:v>West</x:v>
      </x:c>
      <x:c r="E673" s="3" t="str">
        <x:v>Electronics</x:v>
      </x:c>
      <x:c r="F673" s="3" t="str">
        <x:v>Audio</x:v>
      </x:c>
      <x:c r="G673" s="3" t="str">
        <x:v>SoundPods Pro</x:v>
      </x:c>
      <x:c r="H673" s="3" t="n">
        <x:v>1</x:v>
      </x:c>
      <x:c r="I673" s="7" t="n">
        <x:v>5196.12</x:v>
      </x:c>
      <x:c r="J673" s="9" t="n">
        <x:v>0.05</x:v>
      </x:c>
      <x:c r="K673" s="7" t="n">
        <x:v>4936.31</x:v>
      </x:c>
      <x:c r="L673" s="7" t="n">
        <x:v>513.5</x:v>
      </x:c>
      <x:c r="M673" s="3" t="str">
        <x:v>Credit Card</x:v>
      </x:c>
      <x:c r="N673" s="3"/>
      <x:c r="O673" s="3"/>
      <x:c r="P673" s="3"/>
      <x:c r="Q673" s="3"/>
    </x:row>
    <x:row r="674" ht="21" customHeight="1">
      <x:c r="A674" s="3" t="str">
        <x:v>ORD-101224</x:v>
      </x:c>
      <x:c r="B674" s="5" t="n">
        <x:v>45486</x:v>
      </x:c>
      <x:c r="C674" s="3" t="str">
        <x:v>CUST-00229</x:v>
      </x:c>
      <x:c r="D674" s="3" t="str">
        <x:v>South</x:v>
      </x:c>
      <x:c r="E674" s="3" t="str">
        <x:v>Home &amp; Kitchen</x:v>
      </x:c>
      <x:c r="F674" s="3" t="str">
        <x:v>Furniture</x:v>
      </x:c>
      <x:c r="G674" s="3" t="str">
        <x:v>ErgoComfort Chair</x:v>
      </x:c>
      <x:c r="H674" s="3" t="n">
        <x:v>2</x:v>
      </x:c>
      <x:c r="I674" s="7" t="n">
        <x:v>9060.88</x:v>
      </x:c>
      <x:c r="J674" s="9" t="n">
        <x:v>0.1</x:v>
      </x:c>
      <x:c r="K674" s="7" t="n">
        <x:v>16309.58</x:v>
      </x:c>
      <x:c r="L674" s="7" t="n">
        <x:v>3045.89</x:v>
      </x:c>
      <x:c r="M674" s="3" t="str">
        <x:v>UPI</x:v>
      </x:c>
      <x:c r="N674" s="3"/>
      <x:c r="O674" s="3"/>
      <x:c r="P674" s="3"/>
      <x:c r="Q674" s="3"/>
    </x:row>
    <x:row r="675" ht="21" customHeight="1">
      <x:c r="A675" s="3" t="str">
        <x:v>ORD-100704</x:v>
      </x:c>
      <x:c r="B675" s="5" t="n">
        <x:v>45487</x:v>
      </x:c>
      <x:c r="C675" s="3" t="str">
        <x:v>CUST-00457</x:v>
      </x:c>
      <x:c r="D675" s="3" t="str">
        <x:v>North</x:v>
      </x:c>
      <x:c r="E675" s="3" t="str">
        <x:v>Home &amp; Kitchen</x:v>
      </x:c>
      <x:c r="F675" s="3" t="str">
        <x:v>Furniture</x:v>
      </x:c>
      <x:c r="G675" s="3" t="str">
        <x:v>ErgoComfort Chair</x:v>
      </x:c>
      <x:c r="H675" s="3" t="n">
        <x:v>1</x:v>
      </x:c>
      <x:c r="I675" s="7" t="n">
        <x:v>9115.59</x:v>
      </x:c>
      <x:c r="J675" s="9" t="n">
        <x:v>0</x:v>
      </x:c>
      <x:c r="K675" s="7" t="n">
        <x:v>9115.59</x:v>
      </x:c>
      <x:c r="L675" s="7" t="n">
        <x:v>3082.41</x:v>
      </x:c>
      <x:c r="M675" s="3" t="str">
        <x:v>Cash on Delivery</x:v>
      </x:c>
      <x:c r="N675" s="3"/>
      <x:c r="O675" s="3"/>
      <x:c r="P675" s="3"/>
      <x:c r="Q675" s="3"/>
    </x:row>
    <x:row r="676" ht="21" customHeight="1">
      <x:c r="A676" s="3" t="str">
        <x:v>ORD-100956</x:v>
      </x:c>
      <x:c r="B676" s="5" t="n">
        <x:v>45487</x:v>
      </x:c>
      <x:c r="C676" s="3" t="str">
        <x:v>CUST-00093</x:v>
      </x:c>
      <x:c r="D676" s="3" t="str">
        <x:v>East</x:v>
      </x:c>
      <x:c r="E676" s="3" t="str">
        <x:v>Beauty</x:v>
      </x:c>
      <x:c r="F676" s="3" t="str">
        <x:v>Skincare</x:v>
      </x:c>
      <x:c r="G676" s="3" t="str">
        <x:v>Vitamin C Serum</x:v>
      </x:c>
      <x:c r="H676" s="3" t="n">
        <x:v>2</x:v>
      </x:c>
      <x:c r="I676" s="7" t="n">
        <x:v>898.02</x:v>
      </x:c>
      <x:c r="J676" s="9" t="n">
        <x:v>0</x:v>
      </x:c>
      <x:c r="K676" s="7" t="n">
        <x:v>1796.04</x:v>
      </x:c>
      <x:c r="L676" s="7" t="n">
        <x:v>1002.89</x:v>
      </x:c>
      <x:c r="M676" s="3" t="str">
        <x:v>UPI</x:v>
      </x:c>
      <x:c r="N676" s="3"/>
      <x:c r="O676" s="3"/>
      <x:c r="P676" s="3"/>
      <x:c r="Q676" s="3"/>
    </x:row>
    <x:row r="677" ht="21" customHeight="1">
      <x:c r="A677" s="3" t="str">
        <x:v>ORD-101796</x:v>
      </x:c>
      <x:c r="B677" s="5" t="n">
        <x:v>45487</x:v>
      </x:c>
      <x:c r="C677" s="3" t="str">
        <x:v>CUST-00457</x:v>
      </x:c>
      <x:c r="D677" s="3" t="str">
        <x:v>South</x:v>
      </x:c>
      <x:c r="E677" s="3" t="str">
        <x:v>Sports</x:v>
      </x:c>
      <x:c r="F677" s="3" t="str">
        <x:v>Outdoor</x:v>
      </x:c>
      <x:c r="G677" s="3" t="str">
        <x:v>AllWeather Tent 4P</x:v>
      </x:c>
      <x:c r="H677" s="3" t="n">
        <x:v>4</x:v>
      </x:c>
      <x:c r="I677" s="7" t="n">
        <x:v>11778.44</x:v>
      </x:c>
      <x:c r="J677" s="9" t="n">
        <x:v>0</x:v>
      </x:c>
      <x:c r="K677" s="7" t="n">
        <x:v>47113.76</x:v>
      </x:c>
      <x:c r="L677" s="7" t="n">
        <x:v>17604.43</x:v>
      </x:c>
      <x:c r="M677" s="3" t="str">
        <x:v>Credit Card</x:v>
      </x:c>
      <x:c r="N677" s="3"/>
      <x:c r="O677" s="3"/>
      <x:c r="P677" s="3"/>
      <x:c r="Q677" s="3"/>
    </x:row>
    <x:row r="678" ht="21" customHeight="1">
      <x:c r="A678" s="3" t="str">
        <x:v>ORD-100107</x:v>
      </x:c>
      <x:c r="B678" s="5" t="n">
        <x:v>45488</x:v>
      </x:c>
      <x:c r="C678" s="3" t="str">
        <x:v>CUST-00141</x:v>
      </x:c>
      <x:c r="D678" s="3" t="str">
        <x:v>South</x:v>
      </x:c>
      <x:c r="E678" s="3" t="str">
        <x:v>Electronics</x:v>
      </x:c>
      <x:c r="F678" s="3" t="str">
        <x:v>Audio</x:v>
      </x:c>
      <x:c r="G678" s="3" t="str">
        <x:v>BassBoom Speaker</x:v>
      </x:c>
      <x:c r="H678" s="3" t="n">
        <x:v>1</x:v>
      </x:c>
      <x:c r="I678" s="7" t="n">
        <x:v>8827</x:v>
      </x:c>
      <x:c r="J678" s="9" t="n">
        <x:v>0</x:v>
      </x:c>
      <x:c r="K678" s="7" t="n">
        <x:v>8827</x:v>
      </x:c>
      <x:c r="L678" s="7" t="n">
        <x:v>1907.46</x:v>
      </x:c>
      <x:c r="M678" s="3" t="str">
        <x:v>Debit Card</x:v>
      </x:c>
      <x:c r="N678" s="3"/>
      <x:c r="O678" s="3"/>
      <x:c r="P678" s="3"/>
      <x:c r="Q678" s="3"/>
    </x:row>
    <x:row r="679" ht="21" customHeight="1">
      <x:c r="A679" s="3" t="str">
        <x:v>ORD-100990</x:v>
      </x:c>
      <x:c r="B679" s="5" t="n">
        <x:v>45488</x:v>
      </x:c>
      <x:c r="C679" s="3" t="str">
        <x:v>CUST-00532</x:v>
      </x:c>
      <x:c r="D679" s="3" t="str">
        <x:v>West</x:v>
      </x:c>
      <x:c r="E679" s="3" t="str">
        <x:v>Sports</x:v>
      </x:c>
      <x:c r="F679" s="3" t="str">
        <x:v>Fitness</x:v>
      </x:c>
      <x:c r="G679" s="3" t="str">
        <x:v>ProYoga Mat</x:v>
      </x:c>
      <x:c r="H679" s="3" t="n">
        <x:v>1</x:v>
      </x:c>
      <x:c r="I679" s="7" t="n">
        <x:v>1236.75</x:v>
      </x:c>
      <x:c r="J679" s="9" t="n">
        <x:v>0</x:v>
      </x:c>
      <x:c r="K679" s="7" t="n">
        <x:v>1236.75</x:v>
      </x:c>
      <x:c r="L679" s="7" t="n">
        <x:v>481.07</x:v>
      </x:c>
      <x:c r="M679" s="3" t="str">
        <x:v>UPI</x:v>
      </x:c>
      <x:c r="N679" s="3"/>
      <x:c r="O679" s="3"/>
      <x:c r="P679" s="3"/>
      <x:c r="Q679" s="3"/>
    </x:row>
    <x:row r="680" ht="21" customHeight="1">
      <x:c r="A680" s="3" t="str">
        <x:v>ORD-100303</x:v>
      </x:c>
      <x:c r="B680" s="5" t="n">
        <x:v>45489</x:v>
      </x:c>
      <x:c r="C680" s="3" t="str">
        <x:v>CUST-00085</x:v>
      </x:c>
      <x:c r="D680" s="3" t="str">
        <x:v>South</x:v>
      </x:c>
      <x:c r="E680" s="3" t="str">
        <x:v>Sports</x:v>
      </x:c>
      <x:c r="F680" s="3" t="str">
        <x:v>Outdoor</x:v>
      </x:c>
      <x:c r="G680" s="3" t="str">
        <x:v>AllWeather Tent 4P</x:v>
      </x:c>
      <x:c r="H680" s="3" t="n">
        <x:v>1</x:v>
      </x:c>
      <x:c r="I680" s="7" t="n">
        <x:v>12323.57</x:v>
      </x:c>
      <x:c r="J680" s="9" t="n">
        <x:v>0.05</x:v>
      </x:c>
      <x:c r="K680" s="7" t="n">
        <x:v>11707.39</x:v>
      </x:c>
      <x:c r="L680" s="7" t="n">
        <x:v>3789.04</x:v>
      </x:c>
      <x:c r="M680" s="3" t="str">
        <x:v>Credit Card</x:v>
      </x:c>
      <x:c r="N680" s="3"/>
      <x:c r="O680" s="3"/>
      <x:c r="P680" s="3"/>
      <x:c r="Q680" s="3"/>
    </x:row>
    <x:row r="681" ht="21" customHeight="1">
      <x:c r="A681" s="3" t="str">
        <x:v>ORD-100759</x:v>
      </x:c>
      <x:c r="B681" s="5" t="n">
        <x:v>45489</x:v>
      </x:c>
      <x:c r="C681" s="3" t="str">
        <x:v>CUST-00549</x:v>
      </x:c>
      <x:c r="D681" s="3" t="str">
        <x:v>South</x:v>
      </x:c>
      <x:c r="E681" s="3" t="str">
        <x:v>Beauty</x:v>
      </x:c>
      <x:c r="F681" s="3" t="str">
        <x:v>Skincare</x:v>
      </x:c>
      <x:c r="G681" s="3" t="str">
        <x:v>Vitamin C Serum</x:v>
      </x:c>
      <x:c r="H681" s="3" t="n">
        <x:v>5</x:v>
      </x:c>
      <x:c r="I681" s="7" t="n">
        <x:v>897.55</x:v>
      </x:c>
      <x:c r="J681" s="9" t="n">
        <x:v>0.4</x:v>
      </x:c>
      <x:c r="K681" s="7" t="n">
        <x:v>2692.65</x:v>
      </x:c>
      <x:c r="L681" s="7" t="n">
        <x:v>266.9</x:v>
      </x:c>
      <x:c r="M681" s="3" t="str">
        <x:v>UPI</x:v>
      </x:c>
      <x:c r="N681" s="3"/>
      <x:c r="O681" s="3"/>
      <x:c r="P681" s="3"/>
      <x:c r="Q681" s="3"/>
    </x:row>
    <x:row r="682" ht="21" customHeight="1">
      <x:c r="A682" s="3" t="str">
        <x:v>ORD-100761</x:v>
      </x:c>
      <x:c r="B682" s="5" t="n">
        <x:v>45489</x:v>
      </x:c>
      <x:c r="C682" s="3" t="str">
        <x:v>CUST-00203</x:v>
      </x:c>
      <x:c r="D682" s="3" t="str">
        <x:v>South</x:v>
      </x:c>
      <x:c r="E682" s="3" t="str">
        <x:v>Fashion</x:v>
      </x:c>
      <x:c r="F682" s="3" t="str">
        <x:v>Men</x:v>
      </x:c>
      <x:c r="G682" s="3" t="str">
        <x:v>Oxford Casual Shirt</x:v>
      </x:c>
      <x:c r="H682" s="3" t="n">
        <x:v>2</x:v>
      </x:c>
      <x:c r="I682" s="7" t="n">
        <x:v>1294.72</x:v>
      </x:c>
      <x:c r="J682" s="9" t="n">
        <x:v>0.1</x:v>
      </x:c>
      <x:c r="K682" s="7" t="n">
        <x:v>2330.5</x:v>
      </x:c>
      <x:c r="L682" s="7" t="n">
        <x:v>768.41</x:v>
      </x:c>
      <x:c r="M682" s="3" t="str">
        <x:v>Cash on Delivery</x:v>
      </x:c>
      <x:c r="N682" s="3"/>
      <x:c r="O682" s="3"/>
      <x:c r="P682" s="3"/>
      <x:c r="Q682" s="3"/>
    </x:row>
    <x:row r="683" ht="21" customHeight="1">
      <x:c r="A683" s="3" t="str">
        <x:v>ORD-101184</x:v>
      </x:c>
      <x:c r="B683" s="5" t="n">
        <x:v>45489</x:v>
      </x:c>
      <x:c r="C683" s="3" t="str">
        <x:v>CUST-00161</x:v>
      </x:c>
      <x:c r="D683" s="3" t="str">
        <x:v>South</x:v>
      </x:c>
      <x:c r="E683" s="3" t="str">
        <x:v>Beauty</x:v>
      </x:c>
      <x:c r="F683" s="3" t="str">
        <x:v>Skincare</x:v>
      </x:c>
      <x:c r="G683" s="3" t="str">
        <x:v>HydraBoost Moisturizer</x:v>
      </x:c>
      <x:c r="H683" s="3" t="n">
        <x:v>1</x:v>
      </x:c>
      <x:c r="I683" s="7" t="n">
        <x:v>1251.12</x:v>
      </x:c>
      <x:c r="J683" s="9" t="n">
        <x:v>0.1</x:v>
      </x:c>
      <x:c r="K683" s="7" t="n">
        <x:v>1126.01</x:v>
      </x:c>
      <x:c r="L683" s="7" t="n">
        <x:v>512.63</x:v>
      </x:c>
      <x:c r="M683" s="3" t="str">
        <x:v>UPI</x:v>
      </x:c>
      <x:c r="N683" s="3"/>
      <x:c r="O683" s="3"/>
      <x:c r="P683" s="3"/>
      <x:c r="Q683" s="3"/>
    </x:row>
    <x:row r="684" ht="21" customHeight="1">
      <x:c r="A684" s="3" t="str">
        <x:v>ORD-101562</x:v>
      </x:c>
      <x:c r="B684" s="5" t="n">
        <x:v>45489</x:v>
      </x:c>
      <x:c r="C684" s="3" t="str">
        <x:v>CUST-00430</x:v>
      </x:c>
      <x:c r="D684" s="3" t="str">
        <x:v>North</x:v>
      </x:c>
      <x:c r="E684" s="3" t="str">
        <x:v>Sports</x:v>
      </x:c>
      <x:c r="F684" s="3" t="str">
        <x:v>Fitness</x:v>
      </x:c>
      <x:c r="G684" s="3" t="str">
        <x:v>Adjustable Dumbbell 24kg</x:v>
      </x:c>
      <x:c r="H684" s="3" t="n">
        <x:v>1</x:v>
      </x:c>
      <x:c r="I684" s="7" t="n">
        <x:v>10104.03</x:v>
      </x:c>
      <x:c r="J684" s="9" t="n">
        <x:v>0.15</x:v>
      </x:c>
      <x:c r="K684" s="7" t="n">
        <x:v>8588.43</x:v>
      </x:c>
      <x:c r="L684" s="7" t="n">
        <x:v>1866.4</x:v>
      </x:c>
      <x:c r="M684" s="3" t="str">
        <x:v>Cash on Delivery</x:v>
      </x:c>
      <x:c r="N684" s="3"/>
      <x:c r="O684" s="3"/>
      <x:c r="P684" s="3"/>
      <x:c r="Q684" s="3"/>
    </x:row>
    <x:row r="685" ht="21" customHeight="1">
      <x:c r="A685" s="3" t="str">
        <x:v>ORD-100409</x:v>
      </x:c>
      <x:c r="B685" s="5" t="n">
        <x:v>45490</x:v>
      </x:c>
      <x:c r="C685" s="3" t="str">
        <x:v>CUST-00025</x:v>
      </x:c>
      <x:c r="D685" s="3" t="str">
        <x:v>East</x:v>
      </x:c>
      <x:c r="E685" s="3" t="str">
        <x:v>Fashion</x:v>
      </x:c>
      <x:c r="F685" s="3" t="str">
        <x:v>Footwear</x:v>
      </x:c>
      <x:c r="G685" s="3" t="str">
        <x:v>UrbanLoafers</x:v>
      </x:c>
      <x:c r="H685" s="3" t="n">
        <x:v>1</x:v>
      </x:c>
      <x:c r="I685" s="7" t="n">
        <x:v>3496.38</x:v>
      </x:c>
      <x:c r="J685" s="9" t="n">
        <x:v>0.1</x:v>
      </x:c>
      <x:c r="K685" s="7" t="n">
        <x:v>3146.74</x:v>
      </x:c>
      <x:c r="L685" s="7" t="n">
        <x:v>879.18</x:v>
      </x:c>
      <x:c r="M685" s="3" t="str">
        <x:v>Debit Card</x:v>
      </x:c>
      <x:c r="N685" s="3"/>
      <x:c r="O685" s="3"/>
      <x:c r="P685" s="3"/>
      <x:c r="Q685" s="3"/>
    </x:row>
    <x:row r="686" ht="21" customHeight="1">
      <x:c r="A686" s="3" t="str">
        <x:v>ORD-100334</x:v>
      </x:c>
      <x:c r="B686" s="5" t="n">
        <x:v>45491</x:v>
      </x:c>
      <x:c r="C686" s="3" t="str">
        <x:v>CUST-00414</x:v>
      </x:c>
      <x:c r="D686" s="3" t="str">
        <x:v>West</x:v>
      </x:c>
      <x:c r="E686" s="3" t="str">
        <x:v>Electronics</x:v>
      </x:c>
      <x:c r="F686" s="3" t="str">
        <x:v>Audio</x:v>
      </x:c>
      <x:c r="G686" s="3" t="str">
        <x:v>BassBoom Speaker</x:v>
      </x:c>
      <x:c r="H686" s="3" t="n">
        <x:v>2</x:v>
      </x:c>
      <x:c r="I686" s="7" t="n">
        <x:v>9073.63</x:v>
      </x:c>
      <x:c r="J686" s="9" t="n">
        <x:v>0.1</x:v>
      </x:c>
      <x:c r="K686" s="7" t="n">
        <x:v>16332.53</x:v>
      </x:c>
      <x:c r="L686" s="7" t="n">
        <x:v>862.33</x:v>
      </x:c>
      <x:c r="M686" s="3" t="str">
        <x:v>UPI</x:v>
      </x:c>
      <x:c r="N686" s="3"/>
      <x:c r="O686" s="3"/>
      <x:c r="P686" s="3"/>
      <x:c r="Q686" s="3"/>
    </x:row>
    <x:row r="687" ht="21" customHeight="1">
      <x:c r="A687" s="3" t="str">
        <x:v>ORD-100629</x:v>
      </x:c>
      <x:c r="B687" s="5" t="n">
        <x:v>45491</x:v>
      </x:c>
      <x:c r="C687" s="3" t="str">
        <x:v>CUST-00011</x:v>
      </x:c>
      <x:c r="D687" s="3" t="str">
        <x:v>South</x:v>
      </x:c>
      <x:c r="E687" s="3" t="str">
        <x:v>Home &amp; Kitchen</x:v>
      </x:c>
      <x:c r="F687" s="3" t="str">
        <x:v>Furniture</x:v>
      </x:c>
      <x:c r="G687" s="3" t="str">
        <x:v>Oakwood Study Desk</x:v>
      </x:c>
      <x:c r="H687" s="3" t="n">
        <x:v>1</x:v>
      </x:c>
      <x:c r="I687" s="7" t="n">
        <x:v>13251.81</x:v>
      </x:c>
      <x:c r="J687" s="9" t="n">
        <x:v>0</x:v>
      </x:c>
      <x:c r="K687" s="7" t="n">
        <x:v>13251.81</x:v>
      </x:c>
      <x:c r="L687" s="7" t="n">
        <x:v>4637.85</x:v>
      </x:c>
      <x:c r="M687" s="3" t="str">
        <x:v>Debit Card</x:v>
      </x:c>
      <x:c r="N687" s="3"/>
      <x:c r="O687" s="3"/>
      <x:c r="P687" s="3"/>
      <x:c r="Q687" s="3"/>
    </x:row>
    <x:row r="688" ht="21" customHeight="1">
      <x:c r="A688" s="3" t="str">
        <x:v>ORD-100936</x:v>
      </x:c>
      <x:c r="B688" s="5" t="n">
        <x:v>45491</x:v>
      </x:c>
      <x:c r="C688" s="3" t="str">
        <x:v>CUST-00468</x:v>
      </x:c>
      <x:c r="D688" s="3" t="str">
        <x:v>West</x:v>
      </x:c>
      <x:c r="E688" s="3" t="str">
        <x:v>Fashion</x:v>
      </x:c>
      <x:c r="F688" s="3" t="str">
        <x:v>Men</x:v>
      </x:c>
      <x:c r="G688" s="3" t="str">
        <x:v>SlimFit Denim Jeans</x:v>
      </x:c>
      <x:c r="H688" s="3" t="n">
        <x:v>2</x:v>
      </x:c>
      <x:c r="I688" s="7" t="n">
        <x:v>1900.97</x:v>
      </x:c>
      <x:c r="J688" s="9" t="n">
        <x:v>0</x:v>
      </x:c>
      <x:c r="K688" s="7" t="n">
        <x:v>3801.94</x:v>
      </x:c>
      <x:c r="L688" s="7" t="n">
        <x:v>1575.45</x:v>
      </x:c>
      <x:c r="M688" s="3" t="str">
        <x:v>Debit Card</x:v>
      </x:c>
      <x:c r="N688" s="3"/>
      <x:c r="O688" s="3"/>
      <x:c r="P688" s="3"/>
      <x:c r="Q688" s="3"/>
    </x:row>
    <x:row r="689" ht="21" customHeight="1">
      <x:c r="A689" s="3" t="str">
        <x:v>ORD-101944</x:v>
      </x:c>
      <x:c r="B689" s="5" t="n">
        <x:v>45491</x:v>
      </x:c>
      <x:c r="C689" s="3" t="str">
        <x:v>CUST-00407</x:v>
      </x:c>
      <x:c r="D689" s="3" t="str">
        <x:v>South</x:v>
      </x:c>
      <x:c r="E689" s="3" t="str">
        <x:v>Fashion</x:v>
      </x:c>
      <x:c r="F689" s="3" t="str">
        <x:v>Footwear</x:v>
      </x:c>
      <x:c r="G689" s="3" t="str">
        <x:v>RunFlex Sneakers</x:v>
      </x:c>
      <x:c r="H689" s="3" t="n">
        <x:v>1</x:v>
      </x:c>
      <x:c r="I689" s="7" t="n">
        <x:v>2982.16</x:v>
      </x:c>
      <x:c r="J689" s="9" t="n">
        <x:v>0.05</x:v>
      </x:c>
      <x:c r="K689" s="7" t="n">
        <x:v>2833.05</x:v>
      </x:c>
      <x:c r="L689" s="7" t="n">
        <x:v>1101.96</x:v>
      </x:c>
      <x:c r="M689" s="3" t="str">
        <x:v>Credit Card</x:v>
      </x:c>
      <x:c r="N689" s="3"/>
      <x:c r="O689" s="3"/>
      <x:c r="P689" s="3"/>
      <x:c r="Q689" s="3"/>
    </x:row>
    <x:row r="690" ht="21" customHeight="1">
      <x:c r="A690" s="3" t="str">
        <x:v>ORD-101950</x:v>
      </x:c>
      <x:c r="B690" s="5" t="n">
        <x:v>45492</x:v>
      </x:c>
      <x:c r="C690" s="3" t="str">
        <x:v>CUST-00105</x:v>
      </x:c>
      <x:c r="D690" s="3" t="str">
        <x:v>North</x:v>
      </x:c>
      <x:c r="E690" s="3" t="str">
        <x:v>Beauty</x:v>
      </x:c>
      <x:c r="F690" s="3" t="str">
        <x:v>Makeup</x:v>
      </x:c>
      <x:c r="G690" s="3" t="str">
        <x:v>HD Foundation Kit</x:v>
      </x:c>
      <x:c r="H690" s="3" t="n">
        <x:v>1</x:v>
      </x:c>
      <x:c r="I690" s="7" t="n">
        <x:v>1431.51</x:v>
      </x:c>
      <x:c r="J690" s="9" t="n">
        <x:v>0.05</x:v>
      </x:c>
      <x:c r="K690" s="7" t="n">
        <x:v>1359.93</x:v>
      </x:c>
      <x:c r="L690" s="7" t="n">
        <x:v>640.71</x:v>
      </x:c>
      <x:c r="M690" s="3" t="str">
        <x:v>UPI</x:v>
      </x:c>
      <x:c r="N690" s="3"/>
      <x:c r="O690" s="3"/>
      <x:c r="P690" s="3"/>
      <x:c r="Q690" s="3"/>
    </x:row>
    <x:row r="691" ht="21" customHeight="1">
      <x:c r="A691" s="3" t="str">
        <x:v>ORD-100029</x:v>
      </x:c>
      <x:c r="B691" s="5" t="n">
        <x:v>45493</x:v>
      </x:c>
      <x:c r="C691" s="3" t="str">
        <x:v>CUST-00072</x:v>
      </x:c>
      <x:c r="D691" s="3" t="str">
        <x:v>East</x:v>
      </x:c>
      <x:c r="E691" s="3" t="str">
        <x:v>Fashion</x:v>
      </x:c>
      <x:c r="F691" s="3" t="str">
        <x:v>Women</x:v>
      </x:c>
      <x:c r="G691" s="3" t="str">
        <x:v>Floral Summer Dress</x:v>
      </x:c>
      <x:c r="H691" s="3" t="n">
        <x:v>2</x:v>
      </x:c>
      <x:c r="I691" s="7" t="n">
        <x:v>1875.56</x:v>
      </x:c>
      <x:c r="J691" s="9" t="n">
        <x:v>0</x:v>
      </x:c>
      <x:c r="K691" s="7" t="n">
        <x:v>3751.12</x:v>
      </x:c>
      <x:c r="L691" s="7" t="n">
        <x:v>1587.01</x:v>
      </x:c>
      <x:c r="M691" s="3" t="str">
        <x:v>Debit Card</x:v>
      </x:c>
      <x:c r="N691" s="3"/>
      <x:c r="O691" s="3"/>
      <x:c r="P691" s="3"/>
      <x:c r="Q691" s="3"/>
    </x:row>
    <x:row r="692" ht="21" customHeight="1">
      <x:c r="A692" s="3" t="str">
        <x:v>ORD-100931</x:v>
      </x:c>
      <x:c r="B692" s="5" t="n">
        <x:v>45493</x:v>
      </x:c>
      <x:c r="C692" s="3" t="str">
        <x:v>CUST-00471</x:v>
      </x:c>
      <x:c r="D692" s="3" t="str">
        <x:v>East</x:v>
      </x:c>
      <x:c r="E692" s="3" t="str">
        <x:v>Sports</x:v>
      </x:c>
      <x:c r="F692" s="3" t="str">
        <x:v>Fitness</x:v>
      </x:c>
      <x:c r="G692" s="3" t="str">
        <x:v>ProYoga Mat</x:v>
      </x:c>
      <x:c r="H692" s="3" t="n">
        <x:v>1</x:v>
      </x:c>
      <x:c r="I692" s="7" t="n">
        <x:v>1263.19</x:v>
      </x:c>
      <x:c r="J692" s="9" t="n">
        <x:v>0.05</x:v>
      </x:c>
      <x:c r="K692" s="7" t="n">
        <x:v>1200.03</x:v>
      </x:c>
      <x:c r="L692" s="7" t="n">
        <x:v>365.73</x:v>
      </x:c>
      <x:c r="M692" s="3" t="str">
        <x:v>Debit Card</x:v>
      </x:c>
      <x:c r="N692" s="3"/>
      <x:c r="O692" s="3"/>
      <x:c r="P692" s="3"/>
      <x:c r="Q692" s="3"/>
    </x:row>
    <x:row r="693" ht="21" customHeight="1">
      <x:c r="A693" s="3" t="str">
        <x:v>ORD-101675</x:v>
      </x:c>
      <x:c r="B693" s="5" t="n">
        <x:v>45493</x:v>
      </x:c>
      <x:c r="C693" s="3" t="str">
        <x:v>CUST-00399</x:v>
      </x:c>
      <x:c r="D693" s="3" t="str">
        <x:v>South</x:v>
      </x:c>
      <x:c r="E693" s="3" t="str">
        <x:v>Sports</x:v>
      </x:c>
      <x:c r="F693" s="3" t="str">
        <x:v>Outdoor</x:v>
      </x:c>
      <x:c r="G693" s="3" t="str">
        <x:v>AllWeather Tent 4P</x:v>
      </x:c>
      <x:c r="H693" s="3" t="n">
        <x:v>3</x:v>
      </x:c>
      <x:c r="I693" s="7" t="n">
        <x:v>11994.45</x:v>
      </x:c>
      <x:c r="J693" s="9" t="n">
        <x:v>0</x:v>
      </x:c>
      <x:c r="K693" s="7" t="n">
        <x:v>35983.35</x:v>
      </x:c>
      <x:c r="L693" s="7" t="n">
        <x:v>12864.84</x:v>
      </x:c>
      <x:c r="M693" s="3" t="str">
        <x:v>Debit Card</x:v>
      </x:c>
      <x:c r="N693" s="3"/>
      <x:c r="O693" s="3"/>
      <x:c r="P693" s="3"/>
      <x:c r="Q693" s="3"/>
    </x:row>
    <x:row r="694" ht="21" customHeight="1">
      <x:c r="A694" s="3" t="str">
        <x:v>ORD-101744</x:v>
      </x:c>
      <x:c r="B694" s="5" t="n">
        <x:v>45493</x:v>
      </x:c>
      <x:c r="C694" s="3" t="str">
        <x:v>CUST-00065</x:v>
      </x:c>
      <x:c r="D694" s="3" t="str">
        <x:v>West</x:v>
      </x:c>
      <x:c r="E694" s="3" t="str">
        <x:v>Electronics</x:v>
      </x:c>
      <x:c r="F694" s="3" t="str">
        <x:v>Laptop</x:v>
      </x:c>
      <x:c r="G694" s="3" t="str">
        <x:v>ThinkPro 14</x:v>
      </x:c>
      <x:c r="H694" s="3" t="n">
        <x:v>1</x:v>
      </x:c>
      <x:c r="I694" s="7" t="n">
        <x:v>53097.48</x:v>
      </x:c>
      <x:c r="J694" s="9" t="n">
        <x:v>0.2</x:v>
      </x:c>
      <x:c r="K694" s="7" t="n">
        <x:v>42477.98</x:v>
      </x:c>
      <x:c r="L694" s="7" t="n">
        <x:v>-2390.32</x:v>
      </x:c>
      <x:c r="M694" s="3" t="str">
        <x:v>UPI</x:v>
      </x:c>
      <x:c r="N694" s="3"/>
      <x:c r="O694" s="3"/>
      <x:c r="P694" s="3"/>
      <x:c r="Q694" s="3"/>
    </x:row>
    <x:row r="695" ht="21" customHeight="1">
      <x:c r="A695" s="3" t="str">
        <x:v>ORD-101841</x:v>
      </x:c>
      <x:c r="B695" s="5" t="n">
        <x:v>45493</x:v>
      </x:c>
      <x:c r="C695" s="3" t="str">
        <x:v>CUST-00305</x:v>
      </x:c>
      <x:c r="D695" s="3" t="str">
        <x:v>North</x:v>
      </x:c>
      <x:c r="E695" s="3" t="str">
        <x:v>Sports</x:v>
      </x:c>
      <x:c r="F695" s="3" t="str">
        <x:v>Fitness</x:v>
      </x:c>
      <x:c r="G695" s="3" t="str">
        <x:v>ProYoga Mat</x:v>
      </x:c>
      <x:c r="H695" s="3" t="n">
        <x:v>1</x:v>
      </x:c>
      <x:c r="I695" s="7" t="n">
        <x:v>1261.07</x:v>
      </x:c>
      <x:c r="J695" s="9" t="n">
        <x:v>0</x:v>
      </x:c>
      <x:c r="K695" s="7" t="n">
        <x:v>1261.07</x:v>
      </x:c>
      <x:c r="L695" s="7" t="n">
        <x:v>442.06</x:v>
      </x:c>
      <x:c r="M695" s="3" t="str">
        <x:v>UPI</x:v>
      </x:c>
      <x:c r="N695" s="3"/>
      <x:c r="O695" s="3"/>
      <x:c r="P695" s="3"/>
      <x:c r="Q695" s="3"/>
    </x:row>
    <x:row r="696" ht="21" customHeight="1">
      <x:c r="A696" s="3" t="str">
        <x:v>ORD-100056</x:v>
      </x:c>
      <x:c r="B696" s="5" t="n">
        <x:v>45494</x:v>
      </x:c>
      <x:c r="C696" s="3" t="str">
        <x:v>CUST-00558</x:v>
      </x:c>
      <x:c r="D696" s="3" t="str">
        <x:v>North</x:v>
      </x:c>
      <x:c r="E696" s="3" t="str">
        <x:v>Home &amp; Kitchen</x:v>
      </x:c>
      <x:c r="F696" s="3" t="str">
        <x:v>Furniture</x:v>
      </x:c>
      <x:c r="G696" s="3" t="str">
        <x:v>Oakwood Study Desk</x:v>
      </x:c>
      <x:c r="H696" s="3" t="n">
        <x:v>1</x:v>
      </x:c>
      <x:c r="I696" s="7" t="n">
        <x:v>13466.45</x:v>
      </x:c>
      <x:c r="J696" s="9" t="n">
        <x:v>0</x:v>
      </x:c>
      <x:c r="K696" s="7" t="n">
        <x:v>13466.45</x:v>
      </x:c>
      <x:c r="L696" s="7" t="n">
        <x:v>3981.95</x:v>
      </x:c>
      <x:c r="M696" s="3" t="str">
        <x:v>UPI</x:v>
      </x:c>
      <x:c r="N696" s="3"/>
      <x:c r="O696" s="3"/>
      <x:c r="P696" s="3"/>
      <x:c r="Q696" s="3"/>
    </x:row>
    <x:row r="697" ht="21" customHeight="1">
      <x:c r="A697" s="3" t="str">
        <x:v>ORD-101823</x:v>
      </x:c>
      <x:c r="B697" s="5" t="n">
        <x:v>45494</x:v>
      </x:c>
      <x:c r="C697" s="3" t="str">
        <x:v>CUST-00074</x:v>
      </x:c>
      <x:c r="D697" s="3" t="str">
        <x:v>South</x:v>
      </x:c>
      <x:c r="E697" s="3" t="str">
        <x:v>Home &amp; Kitchen</x:v>
      </x:c>
      <x:c r="F697" s="3" t="str">
        <x:v>Decor</x:v>
      </x:c>
      <x:c r="G697" s="3" t="str">
        <x:v>Ceramic Vase Set</x:v>
      </x:c>
      <x:c r="H697" s="3" t="n">
        <x:v>1</x:v>
      </x:c>
      <x:c r="I697" s="7" t="n">
        <x:v>1549.64</x:v>
      </x:c>
      <x:c r="J697" s="9" t="n">
        <x:v>0.1</x:v>
      </x:c>
      <x:c r="K697" s="7" t="n">
        <x:v>1394.68</x:v>
      </x:c>
      <x:c r="L697" s="7" t="n">
        <x:v>260</x:v>
      </x:c>
      <x:c r="M697" s="3" t="str">
        <x:v>Credit Card</x:v>
      </x:c>
      <x:c r="N697" s="3"/>
      <x:c r="O697" s="3"/>
      <x:c r="P697" s="3"/>
      <x:c r="Q697" s="3"/>
    </x:row>
    <x:row r="698" ht="21" customHeight="1">
      <x:c r="A698" s="3" t="str">
        <x:v>ORD-100694</x:v>
      </x:c>
      <x:c r="B698" s="5" t="n">
        <x:v>45495</x:v>
      </x:c>
      <x:c r="C698" s="3" t="str">
        <x:v>CUST-00292</x:v>
      </x:c>
      <x:c r="D698" s="3" t="str">
        <x:v>East</x:v>
      </x:c>
      <x:c r="E698" s="3" t="str">
        <x:v>Beauty</x:v>
      </x:c>
      <x:c r="F698" s="3" t="str">
        <x:v>Makeup</x:v>
      </x:c>
      <x:c r="G698" s="3" t="str">
        <x:v>Matte Lipstick Set</x:v>
      </x:c>
      <x:c r="H698" s="3" t="n">
        <x:v>5</x:v>
      </x:c>
      <x:c r="I698" s="7" t="n">
        <x:v>992.94</x:v>
      </x:c>
      <x:c r="J698" s="9" t="n">
        <x:v>0.1</x:v>
      </x:c>
      <x:c r="K698" s="7" t="n">
        <x:v>4468.23</x:v>
      </x:c>
      <x:c r="L698" s="7" t="n">
        <x:v>1814.95</x:v>
      </x:c>
      <x:c r="M698" s="3" t="str">
        <x:v>UPI</x:v>
      </x:c>
      <x:c r="N698" s="3"/>
      <x:c r="O698" s="3"/>
      <x:c r="P698" s="3"/>
      <x:c r="Q698" s="3"/>
    </x:row>
    <x:row r="699" ht="21" customHeight="1">
      <x:c r="A699" s="3" t="str">
        <x:v>ORD-100884</x:v>
      </x:c>
      <x:c r="B699" s="5" t="n">
        <x:v>45495</x:v>
      </x:c>
      <x:c r="C699" s="3" t="str">
        <x:v>CUST-00420</x:v>
      </x:c>
      <x:c r="D699" s="3" t="str">
        <x:v>North</x:v>
      </x:c>
      <x:c r="E699" s="3" t="str">
        <x:v>Sports</x:v>
      </x:c>
      <x:c r="F699" s="3" t="str">
        <x:v>Fitness</x:v>
      </x:c>
      <x:c r="G699" s="3" t="str">
        <x:v>ProYoga Mat</x:v>
      </x:c>
      <x:c r="H699" s="3" t="n">
        <x:v>1</x:v>
      </x:c>
      <x:c r="I699" s="7" t="n">
        <x:v>1253.21</x:v>
      </x:c>
      <x:c r="J699" s="9" t="n">
        <x:v>0.15</x:v>
      </x:c>
      <x:c r="K699" s="7" t="n">
        <x:v>1065.23</x:v>
      </x:c>
      <x:c r="L699" s="7" t="n">
        <x:v>201.15</x:v>
      </x:c>
      <x:c r="M699" s="3" t="str">
        <x:v>UPI</x:v>
      </x:c>
      <x:c r="N699" s="3"/>
      <x:c r="O699" s="3"/>
      <x:c r="P699" s="3"/>
      <x:c r="Q699" s="3"/>
    </x:row>
    <x:row r="700" ht="21" customHeight="1">
      <x:c r="A700" s="3" t="str">
        <x:v>ORD-101470</x:v>
      </x:c>
      <x:c r="B700" s="5" t="n">
        <x:v>45495</x:v>
      </x:c>
      <x:c r="C700" s="3" t="str">
        <x:v>CUST-00533</x:v>
      </x:c>
      <x:c r="D700" s="3" t="str">
        <x:v>East</x:v>
      </x:c>
      <x:c r="E700" s="3" t="str">
        <x:v>Beauty</x:v>
      </x:c>
      <x:c r="F700" s="3" t="str">
        <x:v>Makeup</x:v>
      </x:c>
      <x:c r="G700" s="3" t="str">
        <x:v>HD Foundation Kit</x:v>
      </x:c>
      <x:c r="H700" s="3" t="n">
        <x:v>1</x:v>
      </x:c>
      <x:c r="I700" s="7" t="n">
        <x:v>1536.72</x:v>
      </x:c>
      <x:c r="J700" s="9" t="n">
        <x:v>0</x:v>
      </x:c>
      <x:c r="K700" s="7" t="n">
        <x:v>1536.72</x:v>
      </x:c>
      <x:c r="L700" s="7" t="n">
        <x:v>873.45</x:v>
      </x:c>
      <x:c r="M700" s="3" t="str">
        <x:v>Debit Card</x:v>
      </x:c>
      <x:c r="N700" s="3"/>
      <x:c r="O700" s="3"/>
      <x:c r="P700" s="3"/>
      <x:c r="Q700" s="3"/>
    </x:row>
    <x:row r="701" ht="21" customHeight="1">
      <x:c r="A701" s="3" t="str">
        <x:v>ORD-100740</x:v>
      </x:c>
      <x:c r="B701" s="5" t="n">
        <x:v>45496</x:v>
      </x:c>
      <x:c r="C701" s="3" t="str">
        <x:v>CUST-00067</x:v>
      </x:c>
      <x:c r="D701" s="3" t="str">
        <x:v>North</x:v>
      </x:c>
      <x:c r="E701" s="3" t="str">
        <x:v>Electronics</x:v>
      </x:c>
      <x:c r="F701" s="3" t="str">
        <x:v>Laptop</x:v>
      </x:c>
      <x:c r="G701" s="3" t="str">
        <x:v>AirBook Slim</x:v>
      </x:c>
      <x:c r="H701" s="3" t="n">
        <x:v>1</x:v>
      </x:c>
      <x:c r="I701" s="7" t="n">
        <x:v>81513.46</x:v>
      </x:c>
      <x:c r="J701" s="9" t="n">
        <x:v>0.1</x:v>
      </x:c>
      <x:c r="K701" s="7" t="n">
        <x:v>73362.11</x:v>
      </x:c>
      <x:c r="L701" s="7" t="n">
        <x:v>2474.47</x:v>
      </x:c>
      <x:c r="M701" s="3" t="str">
        <x:v>UPI</x:v>
      </x:c>
      <x:c r="N701" s="3"/>
      <x:c r="O701" s="3"/>
      <x:c r="P701" s="3"/>
      <x:c r="Q701" s="3"/>
    </x:row>
    <x:row r="702" ht="21" customHeight="1">
      <x:c r="A702" s="3" t="str">
        <x:v>ORD-101064</x:v>
      </x:c>
      <x:c r="B702" s="5" t="n">
        <x:v>45496</x:v>
      </x:c>
      <x:c r="C702" s="3" t="str">
        <x:v>CUST-00214</x:v>
      </x:c>
      <x:c r="D702" s="3" t="str">
        <x:v>South</x:v>
      </x:c>
      <x:c r="E702" s="3" t="str">
        <x:v>Sports</x:v>
      </x:c>
      <x:c r="F702" s="3" t="str">
        <x:v>Outdoor</x:v>
      </x:c>
      <x:c r="G702" s="3" t="str">
        <x:v>TrailHike Backpack 60L</x:v>
      </x:c>
      <x:c r="H702" s="3" t="n">
        <x:v>1</x:v>
      </x:c>
      <x:c r="I702" s="7" t="n">
        <x:v>3332.28</x:v>
      </x:c>
      <x:c r="J702" s="9" t="n">
        <x:v>0</x:v>
      </x:c>
      <x:c r="K702" s="7" t="n">
        <x:v>3332.28</x:v>
      </x:c>
      <x:c r="L702" s="7" t="n">
        <x:v>1323.51</x:v>
      </x:c>
      <x:c r="M702" s="3" t="str">
        <x:v>UPI</x:v>
      </x:c>
      <x:c r="N702" s="3"/>
      <x:c r="O702" s="3"/>
      <x:c r="P702" s="3"/>
      <x:c r="Q702" s="3"/>
    </x:row>
    <x:row r="703" ht="21" customHeight="1">
      <x:c r="A703" s="3" t="str">
        <x:v>ORD-101372</x:v>
      </x:c>
      <x:c r="B703" s="5" t="n">
        <x:v>45496</x:v>
      </x:c>
      <x:c r="C703" s="3" t="str">
        <x:v>CUST-00474</x:v>
      </x:c>
      <x:c r="D703" s="3" t="str">
        <x:v>North</x:v>
      </x:c>
      <x:c r="E703" s="3" t="str">
        <x:v>Electronics</x:v>
      </x:c>
      <x:c r="F703" s="3" t="str">
        <x:v>Audio</x:v>
      </x:c>
      <x:c r="G703" s="3" t="str">
        <x:v>SoundPods Pro</x:v>
      </x:c>
      <x:c r="H703" s="3" t="n">
        <x:v>2</x:v>
      </x:c>
      <x:c r="I703" s="7" t="n">
        <x:v>5157.44</x:v>
      </x:c>
      <x:c r="J703" s="9" t="n">
        <x:v>0</x:v>
      </x:c>
      <x:c r="K703" s="7" t="n">
        <x:v>10314.88</x:v>
      </x:c>
      <x:c r="L703" s="7" t="n">
        <x:v>2099.24</x:v>
      </x:c>
      <x:c r="M703" s="3" t="str">
        <x:v>Credit Card</x:v>
      </x:c>
      <x:c r="N703" s="3"/>
      <x:c r="O703" s="3"/>
      <x:c r="P703" s="3"/>
      <x:c r="Q703" s="3"/>
    </x:row>
    <x:row r="704" ht="21" customHeight="1">
      <x:c r="A704" s="3" t="str">
        <x:v>ORD-101768</x:v>
      </x:c>
      <x:c r="B704" s="5" t="n">
        <x:v>45496</x:v>
      </x:c>
      <x:c r="C704" s="3" t="str">
        <x:v>CUST-00262</x:v>
      </x:c>
      <x:c r="D704" s="3" t="str">
        <x:v>South</x:v>
      </x:c>
      <x:c r="E704" s="3" t="str">
        <x:v>Fashion</x:v>
      </x:c>
      <x:c r="F704" s="3" t="str">
        <x:v>Women</x:v>
      </x:c>
      <x:c r="G704" s="3" t="str">
        <x:v>Knit Winter Sweater</x:v>
      </x:c>
      <x:c r="H704" s="3" t="n">
        <x:v>1</x:v>
      </x:c>
      <x:c r="I704" s="7" t="n">
        <x:v>2302.91</x:v>
      </x:c>
      <x:c r="J704" s="9" t="n">
        <x:v>0.1</x:v>
      </x:c>
      <x:c r="K704" s="7" t="n">
        <x:v>2072.62</x:v>
      </x:c>
      <x:c r="L704" s="7" t="n">
        <x:v>597.35</x:v>
      </x:c>
      <x:c r="M704" s="3" t="str">
        <x:v>UPI</x:v>
      </x:c>
      <x:c r="N704" s="3"/>
      <x:c r="O704" s="3"/>
      <x:c r="P704" s="3"/>
      <x:c r="Q704" s="3"/>
    </x:row>
    <x:row r="705" ht="21" customHeight="1">
      <x:c r="A705" s="3" t="str">
        <x:v>ORD-100186</x:v>
      </x:c>
      <x:c r="B705" s="5" t="n">
        <x:v>45497</x:v>
      </x:c>
      <x:c r="C705" s="3" t="str">
        <x:v>CUST-00182</x:v>
      </x:c>
      <x:c r="D705" s="3" t="str">
        <x:v>South</x:v>
      </x:c>
      <x:c r="E705" s="3" t="str">
        <x:v>Home &amp; Kitchen</x:v>
      </x:c>
      <x:c r="F705" s="3" t="str">
        <x:v>Decor</x:v>
      </x:c>
      <x:c r="G705" s="3" t="str">
        <x:v>LED Wall Lamp</x:v>
      </x:c>
      <x:c r="H705" s="3" t="n">
        <x:v>1</x:v>
      </x:c>
      <x:c r="I705" s="7" t="n">
        <x:v>1014.09</x:v>
      </x:c>
      <x:c r="J705" s="9" t="n">
        <x:v>0.2</x:v>
      </x:c>
      <x:c r="K705" s="7" t="n">
        <x:v>811.27</x:v>
      </x:c>
      <x:c r="L705" s="7" t="n">
        <x:v>87.25</x:v>
      </x:c>
      <x:c r="M705" s="3" t="str">
        <x:v>Credit Card</x:v>
      </x:c>
      <x:c r="N705" s="3"/>
      <x:c r="O705" s="3"/>
      <x:c r="P705" s="3"/>
      <x:c r="Q705" s="3"/>
    </x:row>
    <x:row r="706" ht="21" customHeight="1">
      <x:c r="A706" s="3" t="str">
        <x:v>ORD-100333</x:v>
      </x:c>
      <x:c r="B706" s="5" t="n">
        <x:v>45497</x:v>
      </x:c>
      <x:c r="C706" s="3" t="str">
        <x:v>CUST-00071</x:v>
      </x:c>
      <x:c r="D706" s="3" t="str">
        <x:v>East</x:v>
      </x:c>
      <x:c r="E706" s="3" t="str">
        <x:v>Fashion</x:v>
      </x:c>
      <x:c r="F706" s="3" t="str">
        <x:v>Footwear</x:v>
      </x:c>
      <x:c r="G706" s="3" t="str">
        <x:v>RunFlex Sneakers</x:v>
      </x:c>
      <x:c r="H706" s="3" t="n">
        <x:v>5</x:v>
      </x:c>
      <x:c r="I706" s="7" t="n">
        <x:v>2931.8</x:v>
      </x:c>
      <x:c r="J706" s="9" t="n">
        <x:v>0</x:v>
      </x:c>
      <x:c r="K706" s="7" t="n">
        <x:v>14659</x:v>
      </x:c>
      <x:c r="L706" s="7" t="n">
        <x:v>6038.84</x:v>
      </x:c>
      <x:c r="M706" s="3" t="str">
        <x:v>UPI</x:v>
      </x:c>
      <x:c r="N706" s="3"/>
      <x:c r="O706" s="3"/>
      <x:c r="P706" s="3"/>
      <x:c r="Q706" s="3"/>
    </x:row>
    <x:row r="707" ht="21" customHeight="1">
      <x:c r="A707" s="3" t="str">
        <x:v>ORD-101303</x:v>
      </x:c>
      <x:c r="B707" s="5" t="n">
        <x:v>45497</x:v>
      </x:c>
      <x:c r="C707" s="3" t="str">
        <x:v>CUST-00161</x:v>
      </x:c>
      <x:c r="D707" s="3" t="str">
        <x:v>North</x:v>
      </x:c>
      <x:c r="E707" s="3" t="str">
        <x:v>Beauty</x:v>
      </x:c>
      <x:c r="F707" s="3" t="str">
        <x:v>Makeup</x:v>
      </x:c>
      <x:c r="G707" s="3" t="str">
        <x:v>HD Foundation Kit</x:v>
      </x:c>
      <x:c r="H707" s="3" t="n">
        <x:v>1</x:v>
      </x:c>
      <x:c r="I707" s="7" t="n">
        <x:v>1462.09</x:v>
      </x:c>
      <x:c r="J707" s="9" t="n">
        <x:v>0.05</x:v>
      </x:c>
      <x:c r="K707" s="7" t="n">
        <x:v>1388.99</x:v>
      </x:c>
      <x:c r="L707" s="7" t="n">
        <x:v>631.82</x:v>
      </x:c>
      <x:c r="M707" s="3" t="str">
        <x:v>UPI</x:v>
      </x:c>
      <x:c r="N707" s="3"/>
      <x:c r="O707" s="3"/>
      <x:c r="P707" s="3"/>
      <x:c r="Q707" s="3"/>
    </x:row>
    <x:row r="708" ht="21" customHeight="1">
      <x:c r="A708" s="3" t="str">
        <x:v>ORD-100277</x:v>
      </x:c>
      <x:c r="B708" s="5" t="n">
        <x:v>45498</x:v>
      </x:c>
      <x:c r="C708" s="3" t="str">
        <x:v>CUST-00420</x:v>
      </x:c>
      <x:c r="D708" s="3" t="str">
        <x:v>East</x:v>
      </x:c>
      <x:c r="E708" s="3" t="str">
        <x:v>Sports</x:v>
      </x:c>
      <x:c r="F708" s="3" t="str">
        <x:v>Fitness</x:v>
      </x:c>
      <x:c r="G708" s="3" t="str">
        <x:v>ProYoga Mat</x:v>
      </x:c>
      <x:c r="H708" s="3" t="n">
        <x:v>1</x:v>
      </x:c>
      <x:c r="I708" s="7" t="n">
        <x:v>1298.71</x:v>
      </x:c>
      <x:c r="J708" s="9" t="n">
        <x:v>0.15</x:v>
      </x:c>
      <x:c r="K708" s="7" t="n">
        <x:v>1103.9</x:v>
      </x:c>
      <x:c r="L708" s="7" t="n">
        <x:v>238.69</x:v>
      </x:c>
      <x:c r="M708" s="3" t="str">
        <x:v>Debit Card</x:v>
      </x:c>
      <x:c r="N708" s="3"/>
      <x:c r="O708" s="3"/>
      <x:c r="P708" s="3"/>
      <x:c r="Q708" s="3"/>
    </x:row>
    <x:row r="709" ht="21" customHeight="1">
      <x:c r="A709" s="3" t="str">
        <x:v>ORD-100625</x:v>
      </x:c>
      <x:c r="B709" s="5" t="n">
        <x:v>45498</x:v>
      </x:c>
      <x:c r="C709" s="3" t="str">
        <x:v>CUST-00147</x:v>
      </x:c>
      <x:c r="D709" s="3" t="str">
        <x:v>East</x:v>
      </x:c>
      <x:c r="E709" s="3" t="str">
        <x:v>Home &amp; Kitchen</x:v>
      </x:c>
      <x:c r="F709" s="3" t="str">
        <x:v>Decor</x:v>
      </x:c>
      <x:c r="G709" s="3" t="str">
        <x:v>LED Wall Lamp</x:v>
      </x:c>
      <x:c r="H709" s="3" t="n">
        <x:v>1</x:v>
      </x:c>
      <x:c r="I709" s="7" t="n">
        <x:v>980.05</x:v>
      </x:c>
      <x:c r="J709" s="9" t="n">
        <x:v>0.1</x:v>
      </x:c>
      <x:c r="K709" s="7" t="n">
        <x:v>882.04</x:v>
      </x:c>
      <x:c r="L709" s="7" t="n">
        <x:v>168.68</x:v>
      </x:c>
      <x:c r="M709" s="3" t="str">
        <x:v>Credit Card</x:v>
      </x:c>
      <x:c r="N709" s="3"/>
      <x:c r="O709" s="3"/>
      <x:c r="P709" s="3"/>
      <x:c r="Q709" s="3"/>
    </x:row>
    <x:row r="710" ht="21" customHeight="1">
      <x:c r="A710" s="3" t="str">
        <x:v>ORD-101608</x:v>
      </x:c>
      <x:c r="B710" s="5" t="n">
        <x:v>45498</x:v>
      </x:c>
      <x:c r="C710" s="3" t="str">
        <x:v>CUST-00458</x:v>
      </x:c>
      <x:c r="D710" s="3" t="str">
        <x:v>North</x:v>
      </x:c>
      <x:c r="E710" s="3" t="str">
        <x:v>Sports</x:v>
      </x:c>
      <x:c r="F710" s="3" t="str">
        <x:v>Fitness</x:v>
      </x:c>
      <x:c r="G710" s="3" t="str">
        <x:v>ProYoga Mat</x:v>
      </x:c>
      <x:c r="H710" s="3" t="n">
        <x:v>2</x:v>
      </x:c>
      <x:c r="I710" s="7" t="n">
        <x:v>1299.68</x:v>
      </x:c>
      <x:c r="J710" s="9" t="n">
        <x:v>0.1</x:v>
      </x:c>
      <x:c r="K710" s="7" t="n">
        <x:v>2339.42</x:v>
      </x:c>
      <x:c r="L710" s="7" t="n">
        <x:v>536.26</x:v>
      </x:c>
      <x:c r="M710" s="3" t="str">
        <x:v>UPI</x:v>
      </x:c>
      <x:c r="N710" s="3"/>
      <x:c r="O710" s="3"/>
      <x:c r="P710" s="3"/>
      <x:c r="Q710" s="3"/>
    </x:row>
    <x:row r="711" ht="21" customHeight="1">
      <x:c r="A711" s="3" t="str">
        <x:v>ORD-100297</x:v>
      </x:c>
      <x:c r="B711" s="5" t="n">
        <x:v>45499</x:v>
      </x:c>
      <x:c r="C711" s="3" t="str">
        <x:v>CUST-00454</x:v>
      </x:c>
      <x:c r="D711" s="3" t="str">
        <x:v>North</x:v>
      </x:c>
      <x:c r="E711" s="3" t="str">
        <x:v>Electronics</x:v>
      </x:c>
      <x:c r="F711" s="3" t="str">
        <x:v>Laptop</x:v>
      </x:c>
      <x:c r="G711" s="3" t="str">
        <x:v>AirBook Slim</x:v>
      </x:c>
      <x:c r="H711" s="3" t="n">
        <x:v>1</x:v>
      </x:c>
      <x:c r="I711" s="7" t="n">
        <x:v>80461.66</x:v>
      </x:c>
      <x:c r="J711" s="9" t="n">
        <x:v>0.15</x:v>
      </x:c>
      <x:c r="K711" s="7" t="n">
        <x:v>68392.41</x:v>
      </x:c>
      <x:c r="L711" s="7" t="n">
        <x:v>3061.7</x:v>
      </x:c>
      <x:c r="M711" s="3" t="str">
        <x:v>Debit Card</x:v>
      </x:c>
      <x:c r="N711" s="3"/>
      <x:c r="O711" s="3"/>
      <x:c r="P711" s="3"/>
      <x:c r="Q711" s="3"/>
    </x:row>
    <x:row r="712" ht="21" customHeight="1">
      <x:c r="A712" s="3" t="str">
        <x:v>ORD-100465</x:v>
      </x:c>
      <x:c r="B712" s="5" t="n">
        <x:v>45499</x:v>
      </x:c>
      <x:c r="C712" s="3" t="str">
        <x:v>CUST-00033</x:v>
      </x:c>
      <x:c r="D712" s="3" t="str">
        <x:v>South</x:v>
      </x:c>
      <x:c r="E712" s="3" t="str">
        <x:v>Electronics</x:v>
      </x:c>
      <x:c r="F712" s="3" t="str">
        <x:v>Laptop</x:v>
      </x:c>
      <x:c r="G712" s="3" t="str">
        <x:v>ThinkPro 14</x:v>
      </x:c>
      <x:c r="H712" s="3" t="n">
        <x:v>1</x:v>
      </x:c>
      <x:c r="I712" s="7" t="n">
        <x:v>53228.37</x:v>
      </x:c>
      <x:c r="J712" s="9" t="n">
        <x:v>0.1</x:v>
      </x:c>
      <x:c r="K712" s="7" t="n">
        <x:v>47905.53</x:v>
      </x:c>
      <x:c r="L712" s="7" t="n">
        <x:v>2629</x:v>
      </x:c>
      <x:c r="M712" s="3" t="str">
        <x:v>UPI</x:v>
      </x:c>
      <x:c r="N712" s="3"/>
      <x:c r="O712" s="3"/>
      <x:c r="P712" s="3"/>
      <x:c r="Q712" s="3"/>
    </x:row>
    <x:row r="713" ht="21" customHeight="1">
      <x:c r="A713" s="3" t="str">
        <x:v>ORD-100873</x:v>
      </x:c>
      <x:c r="B713" s="5" t="n">
        <x:v>45499</x:v>
      </x:c>
      <x:c r="C713" s="3" t="str">
        <x:v>CUST-00157</x:v>
      </x:c>
      <x:c r="D713" s="3" t="str">
        <x:v>North</x:v>
      </x:c>
      <x:c r="E713" s="3" t="str">
        <x:v>Home &amp; Kitchen</x:v>
      </x:c>
      <x:c r="F713" s="3" t="str">
        <x:v>Decor</x:v>
      </x:c>
      <x:c r="G713" s="3" t="str">
        <x:v>LED Wall Lamp</x:v>
      </x:c>
      <x:c r="H713" s="3" t="n">
        <x:v>2</x:v>
      </x:c>
      <x:c r="I713" s="7" t="n">
        <x:v>1011.44</x:v>
      </x:c>
      <x:c r="J713" s="9" t="n">
        <x:v>0.05</x:v>
      </x:c>
      <x:c r="K713" s="7" t="n">
        <x:v>1921.74</x:v>
      </x:c>
      <x:c r="L713" s="7" t="n">
        <x:v>508.8</x:v>
      </x:c>
      <x:c r="M713" s="3" t="str">
        <x:v>Credit Card</x:v>
      </x:c>
      <x:c r="N713" s="3"/>
      <x:c r="O713" s="3"/>
      <x:c r="P713" s="3"/>
      <x:c r="Q713" s="3"/>
    </x:row>
    <x:row r="714" ht="21" customHeight="1">
      <x:c r="A714" s="3" t="str">
        <x:v>ORD-101790</x:v>
      </x:c>
      <x:c r="B714" s="5" t="n">
        <x:v>45499</x:v>
      </x:c>
      <x:c r="C714" s="3" t="str">
        <x:v>CUST-00080</x:v>
      </x:c>
      <x:c r="D714" s="3" t="str">
        <x:v>South</x:v>
      </x:c>
      <x:c r="E714" s="3" t="str">
        <x:v>Home &amp; Kitchen</x:v>
      </x:c>
      <x:c r="F714" s="3" t="str">
        <x:v>Decor</x:v>
      </x:c>
      <x:c r="G714" s="3" t="str">
        <x:v>LED Wall Lamp</x:v>
      </x:c>
      <x:c r="H714" s="3" t="n">
        <x:v>2</x:v>
      </x:c>
      <x:c r="I714" s="7" t="n">
        <x:v>956.1</x:v>
      </x:c>
      <x:c r="J714" s="9" t="n">
        <x:v>0.15</x:v>
      </x:c>
      <x:c r="K714" s="7" t="n">
        <x:v>1625.37</x:v>
      </x:c>
      <x:c r="L714" s="7" t="n">
        <x:v>293.84</x:v>
      </x:c>
      <x:c r="M714" s="3" t="str">
        <x:v>UPI</x:v>
      </x:c>
      <x:c r="N714" s="3"/>
      <x:c r="O714" s="3"/>
      <x:c r="P714" s="3"/>
      <x:c r="Q714" s="3"/>
    </x:row>
    <x:row r="715" ht="21" customHeight="1">
      <x:c r="A715" s="3" t="str">
        <x:v>ORD-101918</x:v>
      </x:c>
      <x:c r="B715" s="5" t="n">
        <x:v>45499</x:v>
      </x:c>
      <x:c r="C715" s="3" t="str">
        <x:v>CUST-00528</x:v>
      </x:c>
      <x:c r="D715" s="3" t="str">
        <x:v>North</x:v>
      </x:c>
      <x:c r="E715" s="3" t="str">
        <x:v>Home &amp; Kitchen</x:v>
      </x:c>
      <x:c r="F715" s="3" t="str">
        <x:v>Appliances</x:v>
      </x:c>
      <x:c r="G715" s="3" t="str">
        <x:v>ColdBrew Coffee Maker</x:v>
      </x:c>
      <x:c r="H715" s="3" t="n">
        <x:v>4</x:v>
      </x:c>
      <x:c r="I715" s="7" t="n">
        <x:v>6489.17</x:v>
      </x:c>
      <x:c r="J715" s="9" t="n">
        <x:v>0.05</x:v>
      </x:c>
      <x:c r="K715" s="7" t="n">
        <x:v>24658.85</x:v>
      </x:c>
      <x:c r="L715" s="7" t="n">
        <x:v>7447.48</x:v>
      </x:c>
      <x:c r="M715" s="3" t="str">
        <x:v>Net Banking</x:v>
      </x:c>
      <x:c r="N715" s="3"/>
      <x:c r="O715" s="3"/>
      <x:c r="P715" s="3"/>
      <x:c r="Q715" s="3"/>
    </x:row>
    <x:row r="716" ht="21" customHeight="1">
      <x:c r="A716" s="3" t="str">
        <x:v>ORD-100143</x:v>
      </x:c>
      <x:c r="B716" s="5" t="n">
        <x:v>45500</x:v>
      </x:c>
      <x:c r="C716" s="3" t="str">
        <x:v>CUST-00483</x:v>
      </x:c>
      <x:c r="D716" s="3" t="str">
        <x:v>South</x:v>
      </x:c>
      <x:c r="E716" s="3" t="str">
        <x:v>Fashion</x:v>
      </x:c>
      <x:c r="F716" s="3" t="str">
        <x:v>Footwear</x:v>
      </x:c>
      <x:c r="G716" s="3" t="str">
        <x:v>RunFlex Sneakers</x:v>
      </x:c>
      <x:c r="H716" s="3" t="n">
        <x:v>1</x:v>
      </x:c>
      <x:c r="I716" s="7" t="n">
        <x:v>2882.01</x:v>
      </x:c>
      <x:c r="J716" s="9" t="n">
        <x:v>0.25</x:v>
      </x:c>
      <x:c r="K716" s="7" t="n">
        <x:v>2161.51</x:v>
      </x:c>
      <x:c r="L716" s="7" t="n">
        <x:v>203.21</x:v>
      </x:c>
      <x:c r="M716" s="3" t="str">
        <x:v>UPI</x:v>
      </x:c>
      <x:c r="N716" s="3"/>
      <x:c r="O716" s="3"/>
      <x:c r="P716" s="3"/>
      <x:c r="Q716" s="3"/>
    </x:row>
    <x:row r="717" ht="21" customHeight="1">
      <x:c r="A717" s="3" t="str">
        <x:v>ORD-100754</x:v>
      </x:c>
      <x:c r="B717" s="5" t="n">
        <x:v>45500</x:v>
      </x:c>
      <x:c r="C717" s="3" t="str">
        <x:v>CUST-00027</x:v>
      </x:c>
      <x:c r="D717" s="3" t="str">
        <x:v>South</x:v>
      </x:c>
      <x:c r="E717" s="3" t="str">
        <x:v>Fashion</x:v>
      </x:c>
      <x:c r="F717" s="3" t="str">
        <x:v>Women</x:v>
      </x:c>
      <x:c r="G717" s="3" t="str">
        <x:v>Knit Winter Sweater</x:v>
      </x:c>
      <x:c r="H717" s="3" t="n">
        <x:v>1</x:v>
      </x:c>
      <x:c r="I717" s="7" t="n">
        <x:v>2110.95</x:v>
      </x:c>
      <x:c r="J717" s="9" t="n">
        <x:v>0.05</x:v>
      </x:c>
      <x:c r="K717" s="7" t="n">
        <x:v>2005.4</x:v>
      </x:c>
      <x:c r="L717" s="7" t="n">
        <x:v>775.28</x:v>
      </x:c>
      <x:c r="M717" s="3" t="str">
        <x:v>Credit Card</x:v>
      </x:c>
      <x:c r="N717" s="3"/>
      <x:c r="O717" s="3"/>
      <x:c r="P717" s="3"/>
      <x:c r="Q717" s="3"/>
    </x:row>
    <x:row r="718" ht="21" customHeight="1">
      <x:c r="A718" s="3" t="str">
        <x:v>ORD-101217</x:v>
      </x:c>
      <x:c r="B718" s="5" t="n">
        <x:v>45500</x:v>
      </x:c>
      <x:c r="C718" s="3" t="str">
        <x:v>CUST-00408</x:v>
      </x:c>
      <x:c r="D718" s="3" t="str">
        <x:v>West</x:v>
      </x:c>
      <x:c r="E718" s="3" t="str">
        <x:v>Electronics</x:v>
      </x:c>
      <x:c r="F718" s="3" t="str">
        <x:v>Audio</x:v>
      </x:c>
      <x:c r="G718" s="3" t="str">
        <x:v>SoundPods Pro</x:v>
      </x:c>
      <x:c r="H718" s="3" t="n">
        <x:v>1</x:v>
      </x:c>
      <x:c r="I718" s="7" t="n">
        <x:v>5218.38</x:v>
      </x:c>
      <x:c r="J718" s="9" t="n">
        <x:v>0.2</x:v>
      </x:c>
      <x:c r="K718" s="7" t="n">
        <x:v>4174.7</x:v>
      </x:c>
      <x:c r="L718" s="7" t="n">
        <x:v>-60.5</x:v>
      </x:c>
      <x:c r="M718" s="3" t="str">
        <x:v>UPI</x:v>
      </x:c>
      <x:c r="N718" s="3"/>
      <x:c r="O718" s="3"/>
      <x:c r="P718" s="3"/>
      <x:c r="Q718" s="3"/>
    </x:row>
    <x:row r="719" ht="21" customHeight="1">
      <x:c r="A719" s="3" t="str">
        <x:v>ORD-101520</x:v>
      </x:c>
      <x:c r="B719" s="5" t="n">
        <x:v>45500</x:v>
      </x:c>
      <x:c r="C719" s="3" t="str">
        <x:v>CUST-00126</x:v>
      </x:c>
      <x:c r="D719" s="3" t="str">
        <x:v>North</x:v>
      </x:c>
      <x:c r="E719" s="3" t="str">
        <x:v>Electronics</x:v>
      </x:c>
      <x:c r="F719" s="3" t="str">
        <x:v>Audio</x:v>
      </x:c>
      <x:c r="G719" s="3" t="str">
        <x:v>SoundPods Pro</x:v>
      </x:c>
      <x:c r="H719" s="3" t="n">
        <x:v>1</x:v>
      </x:c>
      <x:c r="I719" s="7" t="n">
        <x:v>5188.06</x:v>
      </x:c>
      <x:c r="J719" s="9" t="n">
        <x:v>0</x:v>
      </x:c>
      <x:c r="K719" s="7" t="n">
        <x:v>5188.06</x:v>
      </x:c>
      <x:c r="L719" s="7" t="n">
        <x:v>1059.88</x:v>
      </x:c>
      <x:c r="M719" s="3" t="str">
        <x:v>Credit Card</x:v>
      </x:c>
      <x:c r="N719" s="3"/>
      <x:c r="O719" s="3"/>
      <x:c r="P719" s="3"/>
      <x:c r="Q719" s="3"/>
    </x:row>
    <x:row r="720" ht="21" customHeight="1">
      <x:c r="A720" s="3" t="str">
        <x:v>ORD-100639</x:v>
      </x:c>
      <x:c r="B720" s="5" t="n">
        <x:v>45501</x:v>
      </x:c>
      <x:c r="C720" s="3" t="str">
        <x:v>CUST-00244</x:v>
      </x:c>
      <x:c r="D720" s="3" t="str">
        <x:v>North</x:v>
      </x:c>
      <x:c r="E720" s="3" t="str">
        <x:v>Home &amp; Kitchen</x:v>
      </x:c>
      <x:c r="F720" s="3" t="str">
        <x:v>Furniture</x:v>
      </x:c>
      <x:c r="G720" s="3" t="str">
        <x:v>ErgoComfort Chair</x:v>
      </x:c>
      <x:c r="H720" s="3" t="n">
        <x:v>2</x:v>
      </x:c>
      <x:c r="I720" s="7" t="n">
        <x:v>8602.97</x:v>
      </x:c>
      <x:c r="J720" s="9" t="n">
        <x:v>0.1</x:v>
      </x:c>
      <x:c r="K720" s="7" t="n">
        <x:v>15485.35</x:v>
      </x:c>
      <x:c r="L720" s="7" t="n">
        <x:v>3173.91</x:v>
      </x:c>
      <x:c r="M720" s="3" t="str">
        <x:v>UPI</x:v>
      </x:c>
      <x:c r="N720" s="3"/>
      <x:c r="O720" s="3"/>
      <x:c r="P720" s="3"/>
      <x:c r="Q720" s="3"/>
    </x:row>
    <x:row r="721" ht="21" customHeight="1">
      <x:c r="A721" s="3" t="str">
        <x:v>ORD-100815</x:v>
      </x:c>
      <x:c r="B721" s="5" t="n">
        <x:v>45501</x:v>
      </x:c>
      <x:c r="C721" s="3" t="str">
        <x:v>CUST-00338</x:v>
      </x:c>
      <x:c r="D721" s="3" t="str">
        <x:v>West</x:v>
      </x:c>
      <x:c r="E721" s="3" t="str">
        <x:v>Beauty</x:v>
      </x:c>
      <x:c r="F721" s="3" t="str">
        <x:v>Makeup</x:v>
      </x:c>
      <x:c r="G721" s="3" t="str">
        <x:v>HD Foundation Kit</x:v>
      </x:c>
      <x:c r="H721" s="3" t="n">
        <x:v>2</x:v>
      </x:c>
      <x:c r="I721" s="7" t="n">
        <x:v>1487.22</x:v>
      </x:c>
      <x:c r="J721" s="9" t="n">
        <x:v>0</x:v>
      </x:c>
      <x:c r="K721" s="7" t="n">
        <x:v>2974.44</x:v>
      </x:c>
      <x:c r="L721" s="7" t="n">
        <x:v>1564.68</x:v>
      </x:c>
      <x:c r="M721" s="3" t="str">
        <x:v>UPI</x:v>
      </x:c>
      <x:c r="N721" s="3"/>
      <x:c r="O721" s="3"/>
      <x:c r="P721" s="3"/>
      <x:c r="Q721" s="3"/>
    </x:row>
    <x:row r="722" ht="21" customHeight="1">
      <x:c r="A722" s="3" t="str">
        <x:v>ORD-101106</x:v>
      </x:c>
      <x:c r="B722" s="5" t="n">
        <x:v>45501</x:v>
      </x:c>
      <x:c r="C722" s="3" t="str">
        <x:v>CUST-00581</x:v>
      </x:c>
      <x:c r="D722" s="3" t="str">
        <x:v>West</x:v>
      </x:c>
      <x:c r="E722" s="3" t="str">
        <x:v>Electronics</x:v>
      </x:c>
      <x:c r="F722" s="3" t="str">
        <x:v>Mobile</x:v>
      </x:c>
      <x:c r="G722" s="3" t="str">
        <x:v>Galaxy Nova X5</x:v>
      </x:c>
      <x:c r="H722" s="3" t="n">
        <x:v>1</x:v>
      </x:c>
      <x:c r="I722" s="7" t="n">
        <x:v>24420.06</x:v>
      </x:c>
      <x:c r="J722" s="9" t="n">
        <x:v>0.1</x:v>
      </x:c>
      <x:c r="K722" s="7" t="n">
        <x:v>21978.05</x:v>
      </x:c>
      <x:c r="L722" s="7" t="n">
        <x:v>1927.69</x:v>
      </x:c>
      <x:c r="M722" s="3" t="str">
        <x:v>Credit Card</x:v>
      </x:c>
      <x:c r="N722" s="3"/>
      <x:c r="O722" s="3"/>
      <x:c r="P722" s="3"/>
      <x:c r="Q722" s="3"/>
    </x:row>
    <x:row r="723" ht="21" customHeight="1">
      <x:c r="A723" s="3" t="str">
        <x:v>ORD-101125</x:v>
      </x:c>
      <x:c r="B723" s="5" t="n">
        <x:v>45501</x:v>
      </x:c>
      <x:c r="C723" s="3" t="str">
        <x:v>CUST-00426</x:v>
      </x:c>
      <x:c r="D723" s="3" t="str">
        <x:v>South</x:v>
      </x:c>
      <x:c r="E723" s="3" t="str">
        <x:v>Sports</x:v>
      </x:c>
      <x:c r="F723" s="3" t="str">
        <x:v>Fitness</x:v>
      </x:c>
      <x:c r="G723" s="3" t="str">
        <x:v>ProYoga Mat</x:v>
      </x:c>
      <x:c r="H723" s="3" t="n">
        <x:v>1</x:v>
      </x:c>
      <x:c r="I723" s="7" t="n">
        <x:v>1291.08</x:v>
      </x:c>
      <x:c r="J723" s="9" t="n">
        <x:v>0</x:v>
      </x:c>
      <x:c r="K723" s="7" t="n">
        <x:v>1291.08</x:v>
      </x:c>
      <x:c r="L723" s="7" t="n">
        <x:v>489.24</x:v>
      </x:c>
      <x:c r="M723" s="3" t="str">
        <x:v>Credit Card</x:v>
      </x:c>
      <x:c r="N723" s="3"/>
      <x:c r="O723" s="3"/>
      <x:c r="P723" s="3"/>
      <x:c r="Q723" s="3"/>
    </x:row>
    <x:row r="724" ht="21" customHeight="1">
      <x:c r="A724" s="3" t="str">
        <x:v>ORD-100082</x:v>
      </x:c>
      <x:c r="B724" s="5" t="n">
        <x:v>45502</x:v>
      </x:c>
      <x:c r="C724" s="3" t="str">
        <x:v>CUST-00568</x:v>
      </x:c>
      <x:c r="D724" s="3" t="str">
        <x:v>North</x:v>
      </x:c>
      <x:c r="E724" s="3" t="str">
        <x:v>Fashion</x:v>
      </x:c>
      <x:c r="F724" s="3" t="str">
        <x:v>Men</x:v>
      </x:c>
      <x:c r="G724" s="3" t="str">
        <x:v>Oxford Casual Shirt</x:v>
      </x:c>
      <x:c r="H724" s="3" t="n">
        <x:v>1</x:v>
      </x:c>
      <x:c r="I724" s="7" t="n">
        <x:v>1317.12</x:v>
      </x:c>
      <x:c r="J724" s="9" t="n">
        <x:v>0</x:v>
      </x:c>
      <x:c r="K724" s="7" t="n">
        <x:v>1317.12</x:v>
      </x:c>
      <x:c r="L724" s="7" t="n">
        <x:v>602.83</x:v>
      </x:c>
      <x:c r="M724" s="3" t="str">
        <x:v>UPI</x:v>
      </x:c>
      <x:c r="N724" s="3"/>
      <x:c r="O724" s="3"/>
      <x:c r="P724" s="3"/>
      <x:c r="Q724" s="3"/>
    </x:row>
    <x:row r="725" ht="21" customHeight="1">
      <x:c r="A725" s="3" t="str">
        <x:v>ORD-100480</x:v>
      </x:c>
      <x:c r="B725" s="5" t="n">
        <x:v>45502</x:v>
      </x:c>
      <x:c r="C725" s="3" t="str">
        <x:v>CUST-00036</x:v>
      </x:c>
      <x:c r="D725" s="3" t="str">
        <x:v>South</x:v>
      </x:c>
      <x:c r="E725" s="3" t="str">
        <x:v>Fashion</x:v>
      </x:c>
      <x:c r="F725" s="3" t="str">
        <x:v>Men</x:v>
      </x:c>
      <x:c r="G725" s="3" t="str">
        <x:v>SlimFit Denim Jeans</x:v>
      </x:c>
      <x:c r="H725" s="3" t="n">
        <x:v>1</x:v>
      </x:c>
      <x:c r="I725" s="7" t="n">
        <x:v>2097.71</x:v>
      </x:c>
      <x:c r="J725" s="9" t="n">
        <x:v>0</x:v>
      </x:c>
      <x:c r="K725" s="7" t="n">
        <x:v>2097.71</x:v>
      </x:c>
      <x:c r="L725" s="7" t="n">
        <x:v>893.54</x:v>
      </x:c>
      <x:c r="M725" s="3" t="str">
        <x:v>UPI</x:v>
      </x:c>
      <x:c r="N725" s="3"/>
      <x:c r="O725" s="3"/>
      <x:c r="P725" s="3"/>
      <x:c r="Q725" s="3"/>
    </x:row>
    <x:row r="726" ht="21" customHeight="1">
      <x:c r="A726" s="3" t="str">
        <x:v>ORD-101102</x:v>
      </x:c>
      <x:c r="B726" s="5" t="n">
        <x:v>45502</x:v>
      </x:c>
      <x:c r="C726" s="3" t="str">
        <x:v>CUST-00346</x:v>
      </x:c>
      <x:c r="D726" s="3" t="str">
        <x:v>West</x:v>
      </x:c>
      <x:c r="E726" s="3" t="str">
        <x:v>Beauty</x:v>
      </x:c>
      <x:c r="F726" s="3" t="str">
        <x:v>Makeup</x:v>
      </x:c>
      <x:c r="G726" s="3" t="str">
        <x:v>Matte Lipstick Set</x:v>
      </x:c>
      <x:c r="H726" s="3" t="n">
        <x:v>3</x:v>
      </x:c>
      <x:c r="I726" s="7" t="n">
        <x:v>966.37</x:v>
      </x:c>
      <x:c r="J726" s="9" t="n">
        <x:v>0.1</x:v>
      </x:c>
      <x:c r="K726" s="7" t="n">
        <x:v>2609.2</x:v>
      </x:c>
      <x:c r="L726" s="7" t="n">
        <x:v>1181.88</x:v>
      </x:c>
      <x:c r="M726" s="3" t="str">
        <x:v>Credit Card</x:v>
      </x:c>
      <x:c r="N726" s="3"/>
      <x:c r="O726" s="3"/>
      <x:c r="P726" s="3"/>
      <x:c r="Q726" s="3"/>
    </x:row>
    <x:row r="727" ht="21" customHeight="1">
      <x:c r="A727" s="3" t="str">
        <x:v>ORD-101192</x:v>
      </x:c>
      <x:c r="B727" s="5" t="n">
        <x:v>45502</x:v>
      </x:c>
      <x:c r="C727" s="3" t="str">
        <x:v>CUST-00226</x:v>
      </x:c>
      <x:c r="D727" s="3" t="str">
        <x:v>South</x:v>
      </x:c>
      <x:c r="E727" s="3" t="str">
        <x:v>Electronics</x:v>
      </x:c>
      <x:c r="F727" s="3" t="str">
        <x:v>Laptop</x:v>
      </x:c>
      <x:c r="G727" s="3" t="str">
        <x:v>ThinkPro 14</x:v>
      </x:c>
      <x:c r="H727" s="3" t="n">
        <x:v>1</x:v>
      </x:c>
      <x:c r="I727" s="7" t="n">
        <x:v>52998.03</x:v>
      </x:c>
      <x:c r="J727" s="9" t="n">
        <x:v>0.05</x:v>
      </x:c>
      <x:c r="K727" s="7" t="n">
        <x:v>50348.13</x:v>
      </x:c>
      <x:c r="L727" s="7" t="n">
        <x:v>4871.93</x:v>
      </x:c>
      <x:c r="M727" s="3" t="str">
        <x:v>Net Banking</x:v>
      </x:c>
      <x:c r="N727" s="3"/>
      <x:c r="O727" s="3"/>
      <x:c r="P727" s="3"/>
      <x:c r="Q727" s="3"/>
    </x:row>
    <x:row r="728" ht="21" customHeight="1">
      <x:c r="A728" s="3" t="str">
        <x:v>ORD-100317</x:v>
      </x:c>
      <x:c r="B728" s="5" t="n">
        <x:v>45503</x:v>
      </x:c>
      <x:c r="C728" s="3" t="str">
        <x:v>CUST-00370</x:v>
      </x:c>
      <x:c r="D728" s="3" t="str">
        <x:v>North</x:v>
      </x:c>
      <x:c r="E728" s="3" t="str">
        <x:v>Fashion</x:v>
      </x:c>
      <x:c r="F728" s="3" t="str">
        <x:v>Footwear</x:v>
      </x:c>
      <x:c r="G728" s="3" t="str">
        <x:v>UrbanLoafers</x:v>
      </x:c>
      <x:c r="H728" s="3" t="n">
        <x:v>4</x:v>
      </x:c>
      <x:c r="I728" s="7" t="n">
        <x:v>3590.49</x:v>
      </x:c>
      <x:c r="J728" s="9" t="n">
        <x:v>0</x:v>
      </x:c>
      <x:c r="K728" s="7" t="n">
        <x:v>14361.96</x:v>
      </x:c>
      <x:c r="L728" s="7" t="n">
        <x:v>5723.82</x:v>
      </x:c>
      <x:c r="M728" s="3" t="str">
        <x:v>UPI</x:v>
      </x:c>
      <x:c r="N728" s="3"/>
      <x:c r="O728" s="3"/>
      <x:c r="P728" s="3"/>
      <x:c r="Q728" s="3"/>
    </x:row>
    <x:row r="729" ht="21" customHeight="1">
      <x:c r="A729" s="3" t="str">
        <x:v>ORD-100624</x:v>
      </x:c>
      <x:c r="B729" s="5" t="n">
        <x:v>45503</x:v>
      </x:c>
      <x:c r="C729" s="3" t="str">
        <x:v>CUST-00211</x:v>
      </x:c>
      <x:c r="D729" s="3" t="str">
        <x:v>East</x:v>
      </x:c>
      <x:c r="E729" s="3" t="str">
        <x:v>Fashion</x:v>
      </x:c>
      <x:c r="F729" s="3" t="str">
        <x:v>Women</x:v>
      </x:c>
      <x:c r="G729" s="3" t="str">
        <x:v>Knit Winter Sweater</x:v>
      </x:c>
      <x:c r="H729" s="3" t="n">
        <x:v>1</x:v>
      </x:c>
      <x:c r="I729" s="7" t="n">
        <x:v>2117.45</x:v>
      </x:c>
      <x:c r="J729" s="9" t="n">
        <x:v>0.4</x:v>
      </x:c>
      <x:c r="K729" s="7" t="n">
        <x:v>1270.47</x:v>
      </x:c>
      <x:c r="L729" s="7" t="n">
        <x:v>-59.11</x:v>
      </x:c>
      <x:c r="M729" s="3" t="str">
        <x:v>UPI</x:v>
      </x:c>
      <x:c r="N729" s="3"/>
      <x:c r="O729" s="3"/>
      <x:c r="P729" s="3"/>
      <x:c r="Q729" s="3"/>
    </x:row>
    <x:row r="730" ht="21" customHeight="1">
      <x:c r="A730" s="3" t="str">
        <x:v>ORD-101629</x:v>
      </x:c>
      <x:c r="B730" s="5" t="n">
        <x:v>45503</x:v>
      </x:c>
      <x:c r="C730" s="3" t="str">
        <x:v>CUST-00070</x:v>
      </x:c>
      <x:c r="D730" s="3" t="str">
        <x:v>South</x:v>
      </x:c>
      <x:c r="E730" s="3" t="str">
        <x:v>Sports</x:v>
      </x:c>
      <x:c r="F730" s="3" t="str">
        <x:v>Fitness</x:v>
      </x:c>
      <x:c r="G730" s="3" t="str">
        <x:v>Adjustable Dumbbell 24kg</x:v>
      </x:c>
      <x:c r="H730" s="3" t="n">
        <x:v>5</x:v>
      </x:c>
      <x:c r="I730" s="7" t="n">
        <x:v>9927.62</x:v>
      </x:c>
      <x:c r="J730" s="9" t="n">
        <x:v>0.05</x:v>
      </x:c>
      <x:c r="K730" s="7" t="n">
        <x:v>47156.19</x:v>
      </x:c>
      <x:c r="L730" s="7" t="n">
        <x:v>13835.09</x:v>
      </x:c>
      <x:c r="M730" s="3" t="str">
        <x:v>Net Banking</x:v>
      </x:c>
      <x:c r="N730" s="3"/>
      <x:c r="O730" s="3"/>
      <x:c r="P730" s="3"/>
      <x:c r="Q730" s="3"/>
    </x:row>
    <x:row r="731" ht="21" customHeight="1">
      <x:c r="A731" s="3" t="str">
        <x:v>ORD-100145</x:v>
      </x:c>
      <x:c r="B731" s="5" t="n">
        <x:v>45504</x:v>
      </x:c>
      <x:c r="C731" s="3" t="str">
        <x:v>CUST-00501</x:v>
      </x:c>
      <x:c r="D731" s="3" t="str">
        <x:v>West</x:v>
      </x:c>
      <x:c r="E731" s="3" t="str">
        <x:v>Beauty</x:v>
      </x:c>
      <x:c r="F731" s="3" t="str">
        <x:v>Makeup</x:v>
      </x:c>
      <x:c r="G731" s="3" t="str">
        <x:v>Matte Lipstick Set</x:v>
      </x:c>
      <x:c r="H731" s="3" t="n">
        <x:v>4</x:v>
      </x:c>
      <x:c r="I731" s="7" t="n">
        <x:v>978.87</x:v>
      </x:c>
      <x:c r="J731" s="9" t="n">
        <x:v>0</x:v>
      </x:c>
      <x:c r="K731" s="7" t="n">
        <x:v>3915.48</x:v>
      </x:c>
      <x:c r="L731" s="7" t="n">
        <x:v>2291.8</x:v>
      </x:c>
      <x:c r="M731" s="3" t="str">
        <x:v>Debit Card</x:v>
      </x:c>
      <x:c r="N731" s="3"/>
      <x:c r="O731" s="3"/>
      <x:c r="P731" s="3"/>
      <x:c r="Q731" s="3"/>
    </x:row>
    <x:row r="732" ht="21" customHeight="1">
      <x:c r="A732" s="3" t="str">
        <x:v>ORD-100757</x:v>
      </x:c>
      <x:c r="B732" s="5" t="n">
        <x:v>45504</x:v>
      </x:c>
      <x:c r="C732" s="3" t="str">
        <x:v>CUST-00503</x:v>
      </x:c>
      <x:c r="D732" s="3" t="str">
        <x:v>North</x:v>
      </x:c>
      <x:c r="E732" s="3" t="str">
        <x:v>Electronics</x:v>
      </x:c>
      <x:c r="F732" s="3" t="str">
        <x:v>Mobile</x:v>
      </x:c>
      <x:c r="G732" s="3" t="str">
        <x:v>Pixel Aura 12</x:v>
      </x:c>
      <x:c r="H732" s="3" t="n">
        <x:v>4</x:v>
      </x:c>
      <x:c r="I732" s="7" t="n">
        <x:v>31817.09</x:v>
      </x:c>
      <x:c r="J732" s="9" t="n">
        <x:v>0</x:v>
      </x:c>
      <x:c r="K732" s="7" t="n">
        <x:v>127268.36</x:v>
      </x:c>
      <x:c r="L732" s="7" t="n">
        <x:v>20485.06</x:v>
      </x:c>
      <x:c r="M732" s="3" t="str">
        <x:v>UPI</x:v>
      </x:c>
      <x:c r="N732" s="3"/>
      <x:c r="O732" s="3"/>
      <x:c r="P732" s="3"/>
      <x:c r="Q732" s="3"/>
    </x:row>
    <x:row r="733" ht="21" customHeight="1">
      <x:c r="A733" s="3" t="str">
        <x:v>ORD-101805</x:v>
      </x:c>
      <x:c r="B733" s="5" t="n">
        <x:v>45504</x:v>
      </x:c>
      <x:c r="C733" s="3" t="str">
        <x:v>CUST-00394</x:v>
      </x:c>
      <x:c r="D733" s="3" t="str">
        <x:v>East</x:v>
      </x:c>
      <x:c r="E733" s="3" t="str">
        <x:v>Electronics</x:v>
      </x:c>
      <x:c r="F733" s="3" t="str">
        <x:v>Laptop</x:v>
      </x:c>
      <x:c r="G733" s="3" t="str">
        <x:v>AirBook Slim</x:v>
      </x:c>
      <x:c r="H733" s="3" t="n">
        <x:v>1</x:v>
      </x:c>
      <x:c r="I733" s="7" t="n">
        <x:v>80886.02</x:v>
      </x:c>
      <x:c r="J733" s="9" t="n">
        <x:v>0.05</x:v>
      </x:c>
      <x:c r="K733" s="7" t="n">
        <x:v>76841.72</x:v>
      </x:c>
      <x:c r="L733" s="7" t="n">
        <x:v>9643.91</x:v>
      </x:c>
      <x:c r="M733" s="3" t="str">
        <x:v>Debit Card</x:v>
      </x:c>
      <x:c r="N733" s="3"/>
      <x:c r="O733" s="3"/>
      <x:c r="P733" s="3"/>
      <x:c r="Q733" s="3"/>
    </x:row>
    <x:row r="734" ht="21" customHeight="1">
      <x:c r="A734" s="3" t="str">
        <x:v>ORD-101893</x:v>
      </x:c>
      <x:c r="B734" s="5" t="n">
        <x:v>45504</x:v>
      </x:c>
      <x:c r="C734" s="3" t="str">
        <x:v>CUST-00448</x:v>
      </x:c>
      <x:c r="D734" s="3" t="str">
        <x:v>North</x:v>
      </x:c>
      <x:c r="E734" s="3" t="str">
        <x:v>Sports</x:v>
      </x:c>
      <x:c r="F734" s="3" t="str">
        <x:v>Outdoor</x:v>
      </x:c>
      <x:c r="G734" s="3" t="str">
        <x:v>TrailHike Backpack 60L</x:v>
      </x:c>
      <x:c r="H734" s="3" t="n">
        <x:v>2</x:v>
      </x:c>
      <x:c r="I734" s="7" t="n">
        <x:v>3641.71</x:v>
      </x:c>
      <x:c r="J734" s="9" t="n">
        <x:v>0.1</x:v>
      </x:c>
      <x:c r="K734" s="7" t="n">
        <x:v>6555.08</x:v>
      </x:c>
      <x:c r="L734" s="7" t="n">
        <x:v>1552.77</x:v>
      </x:c>
      <x:c r="M734" s="3" t="str">
        <x:v>Credit Card</x:v>
      </x:c>
      <x:c r="N734" s="3"/>
      <x:c r="O734" s="3"/>
      <x:c r="P734" s="3"/>
      <x:c r="Q734" s="3"/>
    </x:row>
    <x:row r="735" ht="21" customHeight="1">
      <x:c r="A735" s="3" t="str">
        <x:v>ORD-100461</x:v>
      </x:c>
      <x:c r="B735" s="5" t="n">
        <x:v>45505</x:v>
      </x:c>
      <x:c r="C735" s="3" t="str">
        <x:v>CUST-00199</x:v>
      </x:c>
      <x:c r="D735" s="3" t="str">
        <x:v>South</x:v>
      </x:c>
      <x:c r="E735" s="3" t="str">
        <x:v>Fashion</x:v>
      </x:c>
      <x:c r="F735" s="3" t="str">
        <x:v>Men</x:v>
      </x:c>
      <x:c r="G735" s="3" t="str">
        <x:v>SlimFit Denim Jeans</x:v>
      </x:c>
      <x:c r="H735" s="3" t="n">
        <x:v>2</x:v>
      </x:c>
      <x:c r="I735" s="7" t="n">
        <x:v>2096.31</x:v>
      </x:c>
      <x:c r="J735" s="9" t="n">
        <x:v>0.2</x:v>
      </x:c>
      <x:c r="K735" s="7" t="n">
        <x:v>3354.1</x:v>
      </x:c>
      <x:c r="L735" s="7" t="n">
        <x:v>639.3</x:v>
      </x:c>
      <x:c r="M735" s="3" t="str">
        <x:v>Credit Card</x:v>
      </x:c>
      <x:c r="N735" s="3"/>
      <x:c r="O735" s="3"/>
      <x:c r="P735" s="3"/>
      <x:c r="Q735" s="3"/>
    </x:row>
    <x:row r="736" ht="21" customHeight="1">
      <x:c r="A736" s="3" t="str">
        <x:v>ORD-100543</x:v>
      </x:c>
      <x:c r="B736" s="5" t="n">
        <x:v>45505</x:v>
      </x:c>
      <x:c r="C736" s="3" t="str">
        <x:v>CUST-00413</x:v>
      </x:c>
      <x:c r="D736" s="3" t="str">
        <x:v>South</x:v>
      </x:c>
      <x:c r="E736" s="3" t="str">
        <x:v>Electronics</x:v>
      </x:c>
      <x:c r="F736" s="3" t="str">
        <x:v>Audio</x:v>
      </x:c>
      <x:c r="G736" s="3" t="str">
        <x:v>BassBoom Speaker</x:v>
      </x:c>
      <x:c r="H736" s="3" t="n">
        <x:v>1</x:v>
      </x:c>
      <x:c r="I736" s="7" t="n">
        <x:v>8765.1</x:v>
      </x:c>
      <x:c r="J736" s="9" t="n">
        <x:v>0</x:v>
      </x:c>
      <x:c r="K736" s="7" t="n">
        <x:v>8765.1</x:v>
      </x:c>
      <x:c r="L736" s="7" t="n">
        <x:v>1767.66</x:v>
      </x:c>
      <x:c r="M736" s="3" t="str">
        <x:v>UPI</x:v>
      </x:c>
      <x:c r="N736" s="3"/>
      <x:c r="O736" s="3"/>
      <x:c r="P736" s="3"/>
      <x:c r="Q736" s="3"/>
    </x:row>
    <x:row r="737" ht="21" customHeight="1">
      <x:c r="A737" s="3" t="str">
        <x:v>ORD-101575</x:v>
      </x:c>
      <x:c r="B737" s="5" t="n">
        <x:v>45505</x:v>
      </x:c>
      <x:c r="C737" s="3" t="str">
        <x:v>CUST-00431</x:v>
      </x:c>
      <x:c r="D737" s="3" t="str">
        <x:v>East</x:v>
      </x:c>
      <x:c r="E737" s="3" t="str">
        <x:v>Beauty</x:v>
      </x:c>
      <x:c r="F737" s="3" t="str">
        <x:v>Makeup</x:v>
      </x:c>
      <x:c r="G737" s="3" t="str">
        <x:v>Matte Lipstick Set</x:v>
      </x:c>
      <x:c r="H737" s="3" t="n">
        <x:v>1</x:v>
      </x:c>
      <x:c r="I737" s="7" t="n">
        <x:v>1042.61</x:v>
      </x:c>
      <x:c r="J737" s="9" t="n">
        <x:v>0.15</x:v>
      </x:c>
      <x:c r="K737" s="7" t="n">
        <x:v>886.22</x:v>
      </x:c>
      <x:c r="L737" s="7" t="n">
        <x:v>350.88</x:v>
      </x:c>
      <x:c r="M737" s="3" t="str">
        <x:v>UPI</x:v>
      </x:c>
      <x:c r="N737" s="3"/>
      <x:c r="O737" s="3"/>
      <x:c r="P737" s="3"/>
      <x:c r="Q737" s="3"/>
    </x:row>
    <x:row r="738" ht="21" customHeight="1">
      <x:c r="A738" s="3" t="str">
        <x:v>ORD-101929</x:v>
      </x:c>
      <x:c r="B738" s="5" t="n">
        <x:v>45505</x:v>
      </x:c>
      <x:c r="C738" s="3" t="str">
        <x:v>CUST-00480</x:v>
      </x:c>
      <x:c r="D738" s="3" t="str">
        <x:v>North</x:v>
      </x:c>
      <x:c r="E738" s="3" t="str">
        <x:v>Electronics</x:v>
      </x:c>
      <x:c r="F738" s="3" t="str">
        <x:v>Mobile</x:v>
      </x:c>
      <x:c r="G738" s="3" t="str">
        <x:v>Pixel Aura 12</x:v>
      </x:c>
      <x:c r="H738" s="3" t="n">
        <x:v>2</x:v>
      </x:c>
      <x:c r="I738" s="7" t="n">
        <x:v>32731.9</x:v>
      </x:c>
      <x:c r="J738" s="9" t="n">
        <x:v>0.25</x:v>
      </x:c>
      <x:c r="K738" s="7" t="n">
        <x:v>49097.85</x:v>
      </x:c>
      <x:c r="L738" s="7" t="n">
        <x:v>-7121.23</x:v>
      </x:c>
      <x:c r="M738" s="3" t="str">
        <x:v>UPI</x:v>
      </x:c>
      <x:c r="N738" s="3"/>
      <x:c r="O738" s="3"/>
      <x:c r="P738" s="3"/>
      <x:c r="Q738" s="3"/>
    </x:row>
    <x:row r="739" ht="21" customHeight="1">
      <x:c r="A739" s="3" t="str">
        <x:v>ORD-100407</x:v>
      </x:c>
      <x:c r="B739" s="5" t="n">
        <x:v>45506</x:v>
      </x:c>
      <x:c r="C739" s="3" t="str">
        <x:v>CUST-00112</x:v>
      </x:c>
      <x:c r="D739" s="3" t="str">
        <x:v>South</x:v>
      </x:c>
      <x:c r="E739" s="3" t="str">
        <x:v>Electronics</x:v>
      </x:c>
      <x:c r="F739" s="3" t="str">
        <x:v>Laptop</x:v>
      </x:c>
      <x:c r="G739" s="3" t="str">
        <x:v>ThinkPro 14</x:v>
      </x:c>
      <x:c r="H739" s="3" t="n">
        <x:v>1</x:v>
      </x:c>
      <x:c r="I739" s="7" t="n">
        <x:v>56069.39</x:v>
      </x:c>
      <x:c r="J739" s="9" t="n">
        <x:v>0</x:v>
      </x:c>
      <x:c r="K739" s="7" t="n">
        <x:v>56069.39</x:v>
      </x:c>
      <x:c r="L739" s="7" t="n">
        <x:v>9080.63</x:v>
      </x:c>
      <x:c r="M739" s="3" t="str">
        <x:v>Credit Card</x:v>
      </x:c>
      <x:c r="N739" s="3"/>
      <x:c r="O739" s="3"/>
      <x:c r="P739" s="3"/>
      <x:c r="Q739" s="3"/>
    </x:row>
    <x:row r="740" ht="21" customHeight="1">
      <x:c r="A740" s="3" t="str">
        <x:v>ORD-100551</x:v>
      </x:c>
      <x:c r="B740" s="5" t="n">
        <x:v>45506</x:v>
      </x:c>
      <x:c r="C740" s="3" t="str">
        <x:v>CUST-00149</x:v>
      </x:c>
      <x:c r="D740" s="3" t="str">
        <x:v>West</x:v>
      </x:c>
      <x:c r="E740" s="3" t="str">
        <x:v>Sports</x:v>
      </x:c>
      <x:c r="F740" s="3" t="str">
        <x:v>Outdoor</x:v>
      </x:c>
      <x:c r="G740" s="3" t="str">
        <x:v>TrailHike Backpack 60L</x:v>
      </x:c>
      <x:c r="H740" s="3" t="n">
        <x:v>1</x:v>
      </x:c>
      <x:c r="I740" s="7" t="n">
        <x:v>3363.21</x:v>
      </x:c>
      <x:c r="J740" s="9" t="n">
        <x:v>0</x:v>
      </x:c>
      <x:c r="K740" s="7" t="n">
        <x:v>3363.21</x:v>
      </x:c>
      <x:c r="L740" s="7" t="n">
        <x:v>1147.77</x:v>
      </x:c>
      <x:c r="M740" s="3" t="str">
        <x:v>Net Banking</x:v>
      </x:c>
      <x:c r="N740" s="3"/>
      <x:c r="O740" s="3"/>
      <x:c r="P740" s="3"/>
      <x:c r="Q740" s="3"/>
    </x:row>
    <x:row r="741" ht="21" customHeight="1">
      <x:c r="A741" s="3" t="str">
        <x:v>ORD-101082</x:v>
      </x:c>
      <x:c r="B741" s="5" t="n">
        <x:v>45506</x:v>
      </x:c>
      <x:c r="C741" s="3" t="str">
        <x:v>CUST-00099</x:v>
      </x:c>
      <x:c r="D741" s="3" t="str">
        <x:v>East</x:v>
      </x:c>
      <x:c r="E741" s="3" t="str">
        <x:v>Electronics</x:v>
      </x:c>
      <x:c r="F741" s="3" t="str">
        <x:v>Audio</x:v>
      </x:c>
      <x:c r="G741" s="3" t="str">
        <x:v>SoundPods Pro</x:v>
      </x:c>
      <x:c r="H741" s="3" t="n">
        <x:v>1</x:v>
      </x:c>
      <x:c r="I741" s="7" t="n">
        <x:v>5096.45</x:v>
      </x:c>
      <x:c r="J741" s="9" t="n">
        <x:v>0.25</x:v>
      </x:c>
      <x:c r="K741" s="7" t="n">
        <x:v>3822.34</x:v>
      </x:c>
      <x:c r="L741" s="7" t="n">
        <x:v>-470.05</x:v>
      </x:c>
      <x:c r="M741" s="3" t="str">
        <x:v>UPI</x:v>
      </x:c>
      <x:c r="N741" s="3"/>
      <x:c r="O741" s="3"/>
      <x:c r="P741" s="3"/>
      <x:c r="Q741" s="3"/>
    </x:row>
    <x:row r="742" ht="21" customHeight="1">
      <x:c r="A742" s="3" t="str">
        <x:v>ORD-101486</x:v>
      </x:c>
      <x:c r="B742" s="5" t="n">
        <x:v>45506</x:v>
      </x:c>
      <x:c r="C742" s="3" t="str">
        <x:v>CUST-00325</x:v>
      </x:c>
      <x:c r="D742" s="3" t="str">
        <x:v>North</x:v>
      </x:c>
      <x:c r="E742" s="3" t="str">
        <x:v>Beauty</x:v>
      </x:c>
      <x:c r="F742" s="3" t="str">
        <x:v>Makeup</x:v>
      </x:c>
      <x:c r="G742" s="3" t="str">
        <x:v>Matte Lipstick Set</x:v>
      </x:c>
      <x:c r="H742" s="3" t="n">
        <x:v>3</x:v>
      </x:c>
      <x:c r="I742" s="7" t="n">
        <x:v>974.76</x:v>
      </x:c>
      <x:c r="J742" s="9" t="n">
        <x:v>0.05</x:v>
      </x:c>
      <x:c r="K742" s="7" t="n">
        <x:v>2778.07</x:v>
      </x:c>
      <x:c r="L742" s="7" t="n">
        <x:v>1413.09</x:v>
      </x:c>
      <x:c r="M742" s="3" t="str">
        <x:v>Credit Card</x:v>
      </x:c>
      <x:c r="N742" s="3"/>
      <x:c r="O742" s="3"/>
      <x:c r="P742" s="3"/>
      <x:c r="Q742" s="3"/>
    </x:row>
    <x:row r="743" ht="21" customHeight="1">
      <x:c r="A743" s="3" t="str">
        <x:v>ORD-101602</x:v>
      </x:c>
      <x:c r="B743" s="5" t="n">
        <x:v>45506</x:v>
      </x:c>
      <x:c r="C743" s="3" t="str">
        <x:v>CUST-00315</x:v>
      </x:c>
      <x:c r="D743" s="3" t="str">
        <x:v>North</x:v>
      </x:c>
      <x:c r="E743" s="3" t="str">
        <x:v>Electronics</x:v>
      </x:c>
      <x:c r="F743" s="3" t="str">
        <x:v>Audio</x:v>
      </x:c>
      <x:c r="G743" s="3" t="str">
        <x:v>BassBoom Speaker</x:v>
      </x:c>
      <x:c r="H743" s="3" t="n">
        <x:v>1</x:v>
      </x:c>
      <x:c r="I743" s="7" t="n">
        <x:v>8820.22</x:v>
      </x:c>
      <x:c r="J743" s="9" t="n">
        <x:v>0.05</x:v>
      </x:c>
      <x:c r="K743" s="7" t="n">
        <x:v>8379.21</x:v>
      </x:c>
      <x:c r="L743" s="7" t="n">
        <x:v>788.87</x:v>
      </x:c>
      <x:c r="M743" s="3" t="str">
        <x:v>Net Banking</x:v>
      </x:c>
      <x:c r="N743" s="3"/>
      <x:c r="O743" s="3"/>
      <x:c r="P743" s="3"/>
      <x:c r="Q743" s="3"/>
    </x:row>
    <x:row r="744" ht="21" customHeight="1">
      <x:c r="A744" s="3" t="str">
        <x:v>ORD-100587</x:v>
      </x:c>
      <x:c r="B744" s="5" t="n">
        <x:v>45507</x:v>
      </x:c>
      <x:c r="C744" s="3" t="str">
        <x:v>CUST-00326</x:v>
      </x:c>
      <x:c r="D744" s="3" t="str">
        <x:v>East</x:v>
      </x:c>
      <x:c r="E744" s="3" t="str">
        <x:v>Beauty</x:v>
      </x:c>
      <x:c r="F744" s="3" t="str">
        <x:v>Makeup</x:v>
      </x:c>
      <x:c r="G744" s="3" t="str">
        <x:v>Matte Lipstick Set</x:v>
      </x:c>
      <x:c r="H744" s="3" t="n">
        <x:v>1</x:v>
      </x:c>
      <x:c r="I744" s="7" t="n">
        <x:v>956.04</x:v>
      </x:c>
      <x:c r="J744" s="9" t="n">
        <x:v>0.1</x:v>
      </x:c>
      <x:c r="K744" s="7" t="n">
        <x:v>860.44</x:v>
      </x:c>
      <x:c r="L744" s="7" t="n">
        <x:v>346.05</x:v>
      </x:c>
      <x:c r="M744" s="3" t="str">
        <x:v>Debit Card</x:v>
      </x:c>
      <x:c r="N744" s="3"/>
      <x:c r="O744" s="3"/>
      <x:c r="P744" s="3"/>
      <x:c r="Q744" s="3"/>
    </x:row>
    <x:row r="745" ht="21" customHeight="1">
      <x:c r="A745" s="3" t="str">
        <x:v>ORD-100709</x:v>
      </x:c>
      <x:c r="B745" s="5" t="n">
        <x:v>45507</x:v>
      </x:c>
      <x:c r="C745" s="3" t="str">
        <x:v>CUST-00002</x:v>
      </x:c>
      <x:c r="D745" s="3" t="str">
        <x:v>South</x:v>
      </x:c>
      <x:c r="E745" s="3" t="str">
        <x:v>Home &amp; Kitchen</x:v>
      </x:c>
      <x:c r="F745" s="3" t="str">
        <x:v>Decor</x:v>
      </x:c>
      <x:c r="G745" s="3" t="str">
        <x:v>Ceramic Vase Set</x:v>
      </x:c>
      <x:c r="H745" s="3" t="n">
        <x:v>1</x:v>
      </x:c>
      <x:c r="I745" s="7" t="n">
        <x:v>1441.9</x:v>
      </x:c>
      <x:c r="J745" s="9" t="n">
        <x:v>0</x:v>
      </x:c>
      <x:c r="K745" s="7" t="n">
        <x:v>1441.9</x:v>
      </x:c>
      <x:c r="L745" s="7" t="n">
        <x:v>443.98</x:v>
      </x:c>
      <x:c r="M745" s="3" t="str">
        <x:v>UPI</x:v>
      </x:c>
      <x:c r="N745" s="3"/>
      <x:c r="O745" s="3"/>
      <x:c r="P745" s="3"/>
      <x:c r="Q745" s="3"/>
    </x:row>
    <x:row r="746" ht="21" customHeight="1">
      <x:c r="A746" s="3" t="str">
        <x:v>ORD-101131</x:v>
      </x:c>
      <x:c r="B746" s="5" t="n">
        <x:v>45507</x:v>
      </x:c>
      <x:c r="C746" s="3" t="str">
        <x:v>CUST-00068</x:v>
      </x:c>
      <x:c r="D746" s="3" t="str">
        <x:v>West</x:v>
      </x:c>
      <x:c r="E746" s="3" t="str">
        <x:v>Electronics</x:v>
      </x:c>
      <x:c r="F746" s="3" t="str">
        <x:v>Laptop</x:v>
      </x:c>
      <x:c r="G746" s="3" t="str">
        <x:v>ThinkPro 14</x:v>
      </x:c>
      <x:c r="H746" s="3" t="n">
        <x:v>4</x:v>
      </x:c>
      <x:c r="I746" s="7" t="n">
        <x:v>55380.11</x:v>
      </x:c>
      <x:c r="J746" s="9" t="n">
        <x:v>0</x:v>
      </x:c>
      <x:c r="K746" s="7" t="n">
        <x:v>221520.44</x:v>
      </x:c>
      <x:c r="L746" s="7" t="n">
        <x:v>38413.22</x:v>
      </x:c>
      <x:c r="M746" s="3" t="str">
        <x:v>UPI</x:v>
      </x:c>
      <x:c r="N746" s="3"/>
      <x:c r="O746" s="3"/>
      <x:c r="P746" s="3"/>
      <x:c r="Q746" s="3"/>
    </x:row>
    <x:row r="747" ht="21" customHeight="1">
      <x:c r="A747" s="3" t="str">
        <x:v>ORD-100549</x:v>
      </x:c>
      <x:c r="B747" s="5" t="n">
        <x:v>45508</x:v>
      </x:c>
      <x:c r="C747" s="3" t="str">
        <x:v>CUST-00266</x:v>
      </x:c>
      <x:c r="D747" s="3" t="str">
        <x:v>West</x:v>
      </x:c>
      <x:c r="E747" s="3" t="str">
        <x:v>Home &amp; Kitchen</x:v>
      </x:c>
      <x:c r="F747" s="3" t="str">
        <x:v>Decor</x:v>
      </x:c>
      <x:c r="G747" s="3" t="str">
        <x:v>LED Wall Lamp</x:v>
      </x:c>
      <x:c r="H747" s="3" t="n">
        <x:v>2</x:v>
      </x:c>
      <x:c r="I747" s="7" t="n">
        <x:v>1029.75</x:v>
      </x:c>
      <x:c r="J747" s="9" t="n">
        <x:v>0.05</x:v>
      </x:c>
      <x:c r="K747" s="7" t="n">
        <x:v>1956.52</x:v>
      </x:c>
      <x:c r="L747" s="7" t="n">
        <x:v>508.32</x:v>
      </x:c>
      <x:c r="M747" s="3" t="str">
        <x:v>Debit Card</x:v>
      </x:c>
      <x:c r="N747" s="3"/>
      <x:c r="O747" s="3"/>
      <x:c r="P747" s="3"/>
      <x:c r="Q747" s="3"/>
    </x:row>
    <x:row r="748" ht="21" customHeight="1">
      <x:c r="A748" s="3" t="str">
        <x:v>ORD-101813</x:v>
      </x:c>
      <x:c r="B748" s="5" t="n">
        <x:v>45508</x:v>
      </x:c>
      <x:c r="C748" s="3" t="str">
        <x:v>CUST-00359</x:v>
      </x:c>
      <x:c r="D748" s="3" t="str">
        <x:v>South</x:v>
      </x:c>
      <x:c r="E748" s="3" t="str">
        <x:v>Electronics</x:v>
      </x:c>
      <x:c r="F748" s="3" t="str">
        <x:v>Laptop</x:v>
      </x:c>
      <x:c r="G748" s="3" t="str">
        <x:v>AirBook Slim</x:v>
      </x:c>
      <x:c r="H748" s="3" t="n">
        <x:v>2</x:v>
      </x:c>
      <x:c r="I748" s="7" t="n">
        <x:v>80070.74</x:v>
      </x:c>
      <x:c r="J748" s="9" t="n">
        <x:v>0.05</x:v>
      </x:c>
      <x:c r="K748" s="7" t="n">
        <x:v>152134.41</x:v>
      </x:c>
      <x:c r="L748" s="7" t="n">
        <x:v>15911.17</x:v>
      </x:c>
      <x:c r="M748" s="3" t="str">
        <x:v>UPI</x:v>
      </x:c>
      <x:c r="N748" s="3"/>
      <x:c r="O748" s="3"/>
      <x:c r="P748" s="3"/>
      <x:c r="Q748" s="3"/>
    </x:row>
    <x:row r="749" ht="21" customHeight="1">
      <x:c r="A749" s="3" t="str">
        <x:v>ORD-100778</x:v>
      </x:c>
      <x:c r="B749" s="5" t="n">
        <x:v>45509</x:v>
      </x:c>
      <x:c r="C749" s="3" t="str">
        <x:v>CUST-00515</x:v>
      </x:c>
      <x:c r="D749" s="3" t="str">
        <x:v>South</x:v>
      </x:c>
      <x:c r="E749" s="3" t="str">
        <x:v>Fashion</x:v>
      </x:c>
      <x:c r="F749" s="3" t="str">
        <x:v>Women</x:v>
      </x:c>
      <x:c r="G749" s="3" t="str">
        <x:v>Floral Summer Dress</x:v>
      </x:c>
      <x:c r="H749" s="3" t="n">
        <x:v>1</x:v>
      </x:c>
      <x:c r="I749" s="7" t="n">
        <x:v>1772.37</x:v>
      </x:c>
      <x:c r="J749" s="9" t="n">
        <x:v>0.1</x:v>
      </x:c>
      <x:c r="K749" s="7" t="n">
        <x:v>1595.13</x:v>
      </x:c>
      <x:c r="L749" s="7" t="n">
        <x:v>437.81</x:v>
      </x:c>
      <x:c r="M749" s="3" t="str">
        <x:v>UPI</x:v>
      </x:c>
      <x:c r="N749" s="3"/>
      <x:c r="O749" s="3"/>
      <x:c r="P749" s="3"/>
      <x:c r="Q749" s="3"/>
    </x:row>
    <x:row r="750" ht="21" customHeight="1">
      <x:c r="A750" s="3" t="str">
        <x:v>ORD-101065</x:v>
      </x:c>
      <x:c r="B750" s="5" t="n">
        <x:v>45509</x:v>
      </x:c>
      <x:c r="C750" s="3" t="str">
        <x:v>CUST-00008</x:v>
      </x:c>
      <x:c r="D750" s="3" t="str">
        <x:v>West</x:v>
      </x:c>
      <x:c r="E750" s="3" t="str">
        <x:v>Fashion</x:v>
      </x:c>
      <x:c r="F750" s="3" t="str">
        <x:v>Footwear</x:v>
      </x:c>
      <x:c r="G750" s="3" t="str">
        <x:v>UrbanLoafers</x:v>
      </x:c>
      <x:c r="H750" s="3" t="n">
        <x:v>1</x:v>
      </x:c>
      <x:c r="I750" s="7" t="n">
        <x:v>3527.55</x:v>
      </x:c>
      <x:c r="J750" s="9" t="n">
        <x:v>0.15</x:v>
      </x:c>
      <x:c r="K750" s="7" t="n">
        <x:v>2998.42</x:v>
      </x:c>
      <x:c r="L750" s="7" t="n">
        <x:v>710.47</x:v>
      </x:c>
      <x:c r="M750" s="3" t="str">
        <x:v>UPI</x:v>
      </x:c>
      <x:c r="N750" s="3"/>
      <x:c r="O750" s="3"/>
      <x:c r="P750" s="3"/>
      <x:c r="Q750" s="3"/>
    </x:row>
    <x:row r="751" ht="21" customHeight="1">
      <x:c r="A751" s="3" t="str">
        <x:v>ORD-101353</x:v>
      </x:c>
      <x:c r="B751" s="5" t="n">
        <x:v>45509</x:v>
      </x:c>
      <x:c r="C751" s="3" t="str">
        <x:v>CUST-00125</x:v>
      </x:c>
      <x:c r="D751" s="3" t="str">
        <x:v>North</x:v>
      </x:c>
      <x:c r="E751" s="3" t="str">
        <x:v>Fashion</x:v>
      </x:c>
      <x:c r="F751" s="3" t="str">
        <x:v>Footwear</x:v>
      </x:c>
      <x:c r="G751" s="3" t="str">
        <x:v>RunFlex Sneakers</x:v>
      </x:c>
      <x:c r="H751" s="3" t="n">
        <x:v>1</x:v>
      </x:c>
      <x:c r="I751" s="7" t="n">
        <x:v>3042.81</x:v>
      </x:c>
      <x:c r="J751" s="9" t="n">
        <x:v>0</x:v>
      </x:c>
      <x:c r="K751" s="7" t="n">
        <x:v>3042.81</x:v>
      </x:c>
      <x:c r="L751" s="7" t="n">
        <x:v>1290.08</x:v>
      </x:c>
      <x:c r="M751" s="3" t="str">
        <x:v>Net Banking</x:v>
      </x:c>
      <x:c r="N751" s="3"/>
      <x:c r="O751" s="3"/>
      <x:c r="P751" s="3"/>
      <x:c r="Q751" s="3"/>
    </x:row>
    <x:row r="752" ht="21" customHeight="1">
      <x:c r="A752" s="3" t="str">
        <x:v>ORD-101776</x:v>
      </x:c>
      <x:c r="B752" s="5" t="n">
        <x:v>45509</x:v>
      </x:c>
      <x:c r="C752" s="3" t="str">
        <x:v>CUST-00422</x:v>
      </x:c>
      <x:c r="D752" s="3" t="str">
        <x:v>West</x:v>
      </x:c>
      <x:c r="E752" s="3" t="str">
        <x:v>Electronics</x:v>
      </x:c>
      <x:c r="F752" s="3" t="str">
        <x:v>Laptop</x:v>
      </x:c>
      <x:c r="G752" s="3" t="str">
        <x:v>ThinkPro 14</x:v>
      </x:c>
      <x:c r="H752" s="3" t="n">
        <x:v>4</x:v>
      </x:c>
      <x:c r="I752" s="7" t="n">
        <x:v>52499.75</x:v>
      </x:c>
      <x:c r="J752" s="9" t="n">
        <x:v>0.05</x:v>
      </x:c>
      <x:c r="K752" s="7" t="n">
        <x:v>199499.05</x:v>
      </x:c>
      <x:c r="L752" s="7" t="n">
        <x:v>26389.11</x:v>
      </x:c>
      <x:c r="M752" s="3" t="str">
        <x:v>UPI</x:v>
      </x:c>
      <x:c r="N752" s="3"/>
      <x:c r="O752" s="3"/>
      <x:c r="P752" s="3"/>
      <x:c r="Q752" s="3"/>
    </x:row>
    <x:row r="753" ht="21" customHeight="1">
      <x:c r="A753" s="3" t="str">
        <x:v>ORD-101094</x:v>
      </x:c>
      <x:c r="B753" s="5" t="n">
        <x:v>45510</x:v>
      </x:c>
      <x:c r="C753" s="3" t="str">
        <x:v>CUST-00487</x:v>
      </x:c>
      <x:c r="D753" s="3" t="str">
        <x:v>West</x:v>
      </x:c>
      <x:c r="E753" s="3" t="str">
        <x:v>Beauty</x:v>
      </x:c>
      <x:c r="F753" s="3" t="str">
        <x:v>Skincare</x:v>
      </x:c>
      <x:c r="G753" s="3" t="str">
        <x:v>Vitamin C Serum</x:v>
      </x:c>
      <x:c r="H753" s="3" t="n">
        <x:v>1</x:v>
      </x:c>
      <x:c r="I753" s="7" t="n">
        <x:v>901.74</x:v>
      </x:c>
      <x:c r="J753" s="9" t="n">
        <x:v>0</x:v>
      </x:c>
      <x:c r="K753" s="7" t="n">
        <x:v>901.74</x:v>
      </x:c>
      <x:c r="L753" s="7" t="n">
        <x:v>481.77</x:v>
      </x:c>
      <x:c r="M753" s="3" t="str">
        <x:v>UPI</x:v>
      </x:c>
      <x:c r="N753" s="3"/>
      <x:c r="O753" s="3"/>
      <x:c r="P753" s="3"/>
      <x:c r="Q753" s="3"/>
    </x:row>
    <x:row r="754" ht="21" customHeight="1">
      <x:c r="A754" s="3" t="str">
        <x:v>ORD-101212</x:v>
      </x:c>
      <x:c r="B754" s="5" t="n">
        <x:v>45510</x:v>
      </x:c>
      <x:c r="C754" s="3" t="str">
        <x:v>CUST-00355</x:v>
      </x:c>
      <x:c r="D754" s="3" t="str">
        <x:v>East</x:v>
      </x:c>
      <x:c r="E754" s="3" t="str">
        <x:v>Beauty</x:v>
      </x:c>
      <x:c r="F754" s="3" t="str">
        <x:v>Skincare</x:v>
      </x:c>
      <x:c r="G754" s="3" t="str">
        <x:v>Vitamin C Serum</x:v>
      </x:c>
      <x:c r="H754" s="3" t="n">
        <x:v>2</x:v>
      </x:c>
      <x:c r="I754" s="7" t="n">
        <x:v>911.3</x:v>
      </x:c>
      <x:c r="J754" s="9" t="n">
        <x:v>0.05</x:v>
      </x:c>
      <x:c r="K754" s="7" t="n">
        <x:v>1731.47</x:v>
      </x:c>
      <x:c r="L754" s="7" t="n">
        <x:v>852.38</x:v>
      </x:c>
      <x:c r="M754" s="3" t="str">
        <x:v>Debit Card</x:v>
      </x:c>
      <x:c r="N754" s="3"/>
      <x:c r="O754" s="3"/>
      <x:c r="P754" s="3"/>
      <x:c r="Q754" s="3"/>
    </x:row>
    <x:row r="755" ht="21" customHeight="1">
      <x:c r="A755" s="3" t="str">
        <x:v>ORD-101786</x:v>
      </x:c>
      <x:c r="B755" s="5" t="n">
        <x:v>45510</x:v>
      </x:c>
      <x:c r="C755" s="3" t="str">
        <x:v>CUST-00089</x:v>
      </x:c>
      <x:c r="D755" s="3" t="str">
        <x:v>South</x:v>
      </x:c>
      <x:c r="E755" s="3" t="str">
        <x:v>Sports</x:v>
      </x:c>
      <x:c r="F755" s="3" t="str">
        <x:v>Outdoor</x:v>
      </x:c>
      <x:c r="G755" s="3" t="str">
        <x:v>TrailHike Backpack 60L</x:v>
      </x:c>
      <x:c r="H755" s="3" t="n">
        <x:v>1</x:v>
      </x:c>
      <x:c r="I755" s="7" t="n">
        <x:v>3391.4</x:v>
      </x:c>
      <x:c r="J755" s="9" t="n">
        <x:v>0.4</x:v>
      </x:c>
      <x:c r="K755" s="7" t="n">
        <x:v>2034.84</x:v>
      </x:c>
      <x:c r="L755" s="7" t="n">
        <x:v>-243.78</x:v>
      </x:c>
      <x:c r="M755" s="3" t="str">
        <x:v>Debit Card</x:v>
      </x:c>
      <x:c r="N755" s="3"/>
      <x:c r="O755" s="3"/>
      <x:c r="P755" s="3"/>
      <x:c r="Q755" s="3"/>
    </x:row>
    <x:row r="756" ht="21" customHeight="1">
      <x:c r="A756" s="3" t="str">
        <x:v>ORD-100037</x:v>
      </x:c>
      <x:c r="B756" s="5" t="n">
        <x:v>45511</x:v>
      </x:c>
      <x:c r="C756" s="3" t="str">
        <x:v>CUST-00418</x:v>
      </x:c>
      <x:c r="D756" s="3" t="str">
        <x:v>North</x:v>
      </x:c>
      <x:c r="E756" s="3" t="str">
        <x:v>Home &amp; Kitchen</x:v>
      </x:c>
      <x:c r="F756" s="3" t="str">
        <x:v>Decor</x:v>
      </x:c>
      <x:c r="G756" s="3" t="str">
        <x:v>Ceramic Vase Set</x:v>
      </x:c>
      <x:c r="H756" s="3" t="n">
        <x:v>2</x:v>
      </x:c>
      <x:c r="I756" s="7" t="n">
        <x:v>1474.39</x:v>
      </x:c>
      <x:c r="J756" s="9" t="n">
        <x:v>0</x:v>
      </x:c>
      <x:c r="K756" s="7" t="n">
        <x:v>2948.78</x:v>
      </x:c>
      <x:c r="L756" s="7" t="n">
        <x:v>1065.81</x:v>
      </x:c>
      <x:c r="M756" s="3" t="str">
        <x:v>UPI</x:v>
      </x:c>
      <x:c r="N756" s="3"/>
      <x:c r="O756" s="3"/>
      <x:c r="P756" s="3"/>
      <x:c r="Q756" s="3"/>
    </x:row>
    <x:row r="757" ht="21" customHeight="1">
      <x:c r="A757" s="3" t="str">
        <x:v>ORD-100195</x:v>
      </x:c>
      <x:c r="B757" s="5" t="n">
        <x:v>45511</x:v>
      </x:c>
      <x:c r="C757" s="3" t="str">
        <x:v>CUST-00065</x:v>
      </x:c>
      <x:c r="D757" s="3" t="str">
        <x:v>South</x:v>
      </x:c>
      <x:c r="E757" s="3" t="str">
        <x:v>Fashion</x:v>
      </x:c>
      <x:c r="F757" s="3" t="str">
        <x:v>Men</x:v>
      </x:c>
      <x:c r="G757" s="3" t="str">
        <x:v>Oxford Casual Shirt</x:v>
      </x:c>
      <x:c r="H757" s="3" t="n">
        <x:v>1</x:v>
      </x:c>
      <x:c r="I757" s="7" t="n">
        <x:v>1348.76</x:v>
      </x:c>
      <x:c r="J757" s="9" t="n">
        <x:v>0.15</x:v>
      </x:c>
      <x:c r="K757" s="7" t="n">
        <x:v>1146.45</x:v>
      </x:c>
      <x:c r="L757" s="7" t="n">
        <x:v>279.12</x:v>
      </x:c>
      <x:c r="M757" s="3" t="str">
        <x:v>UPI</x:v>
      </x:c>
      <x:c r="N757" s="3"/>
      <x:c r="O757" s="3"/>
      <x:c r="P757" s="3"/>
      <x:c r="Q757" s="3"/>
    </x:row>
    <x:row r="758" ht="21" customHeight="1">
      <x:c r="A758" s="3" t="str">
        <x:v>ORD-100851</x:v>
      </x:c>
      <x:c r="B758" s="5" t="n">
        <x:v>45511</x:v>
      </x:c>
      <x:c r="C758" s="3" t="str">
        <x:v>CUST-00069</x:v>
      </x:c>
      <x:c r="D758" s="3" t="str">
        <x:v>North</x:v>
      </x:c>
      <x:c r="E758" s="3" t="str">
        <x:v>Fashion</x:v>
      </x:c>
      <x:c r="F758" s="3" t="str">
        <x:v>Footwear</x:v>
      </x:c>
      <x:c r="G758" s="3" t="str">
        <x:v>RunFlex Sneakers</x:v>
      </x:c>
      <x:c r="H758" s="3" t="n">
        <x:v>1</x:v>
      </x:c>
      <x:c r="I758" s="7" t="n">
        <x:v>3093.13</x:v>
      </x:c>
      <x:c r="J758" s="9" t="n">
        <x:v>0</x:v>
      </x:c>
      <x:c r="K758" s="7" t="n">
        <x:v>3093.13</x:v>
      </x:c>
      <x:c r="L758" s="7" t="n">
        <x:v>1356.91</x:v>
      </x:c>
      <x:c r="M758" s="3" t="str">
        <x:v>UPI</x:v>
      </x:c>
      <x:c r="N758" s="3"/>
      <x:c r="O758" s="3"/>
      <x:c r="P758" s="3"/>
      <x:c r="Q758" s="3"/>
    </x:row>
    <x:row r="759" ht="21" customHeight="1">
      <x:c r="A759" s="3" t="str">
        <x:v>ORD-100967</x:v>
      </x:c>
      <x:c r="B759" s="5" t="n">
        <x:v>45511</x:v>
      </x:c>
      <x:c r="C759" s="3" t="str">
        <x:v>CUST-00270</x:v>
      </x:c>
      <x:c r="D759" s="3" t="str">
        <x:v>East</x:v>
      </x:c>
      <x:c r="E759" s="3" t="str">
        <x:v>Electronics</x:v>
      </x:c>
      <x:c r="F759" s="3" t="str">
        <x:v>Audio</x:v>
      </x:c>
      <x:c r="G759" s="3" t="str">
        <x:v>BassBoom Speaker</x:v>
      </x:c>
      <x:c r="H759" s="3" t="n">
        <x:v>1</x:v>
      </x:c>
      <x:c r="I759" s="7" t="n">
        <x:v>9114.83</x:v>
      </x:c>
      <x:c r="J759" s="9" t="n">
        <x:v>0.05</x:v>
      </x:c>
      <x:c r="K759" s="7" t="n">
        <x:v>8659.09</x:v>
      </x:c>
      <x:c r="L759" s="7" t="n">
        <x:v>1280.33</x:v>
      </x:c>
      <x:c r="M759" s="3" t="str">
        <x:v>Credit Card</x:v>
      </x:c>
      <x:c r="N759" s="3"/>
      <x:c r="O759" s="3"/>
      <x:c r="P759" s="3"/>
      <x:c r="Q759" s="3"/>
    </x:row>
    <x:row r="760" ht="21" customHeight="1">
      <x:c r="A760" s="3" t="str">
        <x:v>ORD-101288</x:v>
      </x:c>
      <x:c r="B760" s="5" t="n">
        <x:v>45511</x:v>
      </x:c>
      <x:c r="C760" s="3" t="str">
        <x:v>CUST-00586</x:v>
      </x:c>
      <x:c r="D760" s="3" t="str">
        <x:v>North</x:v>
      </x:c>
      <x:c r="E760" s="3" t="str">
        <x:v>Sports</x:v>
      </x:c>
      <x:c r="F760" s="3" t="str">
        <x:v>Fitness</x:v>
      </x:c>
      <x:c r="G760" s="3" t="str">
        <x:v>Adjustable Dumbbell 24kg</x:v>
      </x:c>
      <x:c r="H760" s="3" t="n">
        <x:v>2</x:v>
      </x:c>
      <x:c r="I760" s="7" t="n">
        <x:v>10258.93</x:v>
      </x:c>
      <x:c r="J760" s="9" t="n">
        <x:v>0.25</x:v>
      </x:c>
      <x:c r="K760" s="7" t="n">
        <x:v>15388.4</x:v>
      </x:c>
      <x:c r="L760" s="7" t="n">
        <x:v>1955.75</x:v>
      </x:c>
      <x:c r="M760" s="3" t="str">
        <x:v>Credit Card</x:v>
      </x:c>
      <x:c r="N760" s="3"/>
      <x:c r="O760" s="3"/>
      <x:c r="P760" s="3"/>
      <x:c r="Q760" s="3"/>
    </x:row>
    <x:row r="761" ht="21" customHeight="1">
      <x:c r="A761" s="3" t="str">
        <x:v>ORD-101561</x:v>
      </x:c>
      <x:c r="B761" s="5" t="n">
        <x:v>45511</x:v>
      </x:c>
      <x:c r="C761" s="3" t="str">
        <x:v>CUST-00487</x:v>
      </x:c>
      <x:c r="D761" s="3" t="str">
        <x:v>North</x:v>
      </x:c>
      <x:c r="E761" s="3" t="str">
        <x:v>Fashion</x:v>
      </x:c>
      <x:c r="F761" s="3" t="str">
        <x:v>Women</x:v>
      </x:c>
      <x:c r="G761" s="3" t="str">
        <x:v>Floral Summer Dress</x:v>
      </x:c>
      <x:c r="H761" s="3" t="n">
        <x:v>2</x:v>
      </x:c>
      <x:c r="I761" s="7" t="n">
        <x:v>1871.17</x:v>
      </x:c>
      <x:c r="J761" s="9" t="n">
        <x:v>0.15</x:v>
      </x:c>
      <x:c r="K761" s="7" t="n">
        <x:v>3180.99</x:v>
      </x:c>
      <x:c r="L761" s="7" t="n">
        <x:v>789.14</x:v>
      </x:c>
      <x:c r="M761" s="3" t="str">
        <x:v>Credit Card</x:v>
      </x:c>
      <x:c r="N761" s="3"/>
      <x:c r="O761" s="3"/>
      <x:c r="P761" s="3"/>
      <x:c r="Q761" s="3"/>
    </x:row>
    <x:row r="762" ht="21" customHeight="1">
      <x:c r="A762" s="3" t="str">
        <x:v>ORD-101829</x:v>
      </x:c>
      <x:c r="B762" s="5" t="n">
        <x:v>45511</x:v>
      </x:c>
      <x:c r="C762" s="3" t="str">
        <x:v>CUST-00261</x:v>
      </x:c>
      <x:c r="D762" s="3" t="str">
        <x:v>West</x:v>
      </x:c>
      <x:c r="E762" s="3" t="str">
        <x:v>Fashion</x:v>
      </x:c>
      <x:c r="F762" s="3" t="str">
        <x:v>Footwear</x:v>
      </x:c>
      <x:c r="G762" s="3" t="str">
        <x:v>RunFlex Sneakers</x:v>
      </x:c>
      <x:c r="H762" s="3" t="n">
        <x:v>1</x:v>
      </x:c>
      <x:c r="I762" s="7" t="n">
        <x:v>2958.1</x:v>
      </x:c>
      <x:c r="J762" s="9" t="n">
        <x:v>0.1</x:v>
      </x:c>
      <x:c r="K762" s="7" t="n">
        <x:v>2662.29</x:v>
      </x:c>
      <x:c r="L762" s="7" t="n">
        <x:v>815.62</x:v>
      </x:c>
      <x:c r="M762" s="3" t="str">
        <x:v>UPI</x:v>
      </x:c>
      <x:c r="N762" s="3"/>
      <x:c r="O762" s="3"/>
      <x:c r="P762" s="3"/>
      <x:c r="Q762" s="3"/>
    </x:row>
    <x:row r="763" ht="21" customHeight="1">
      <x:c r="A763" s="3" t="str">
        <x:v>ORD-100764</x:v>
      </x:c>
      <x:c r="B763" s="5" t="n">
        <x:v>45512</x:v>
      </x:c>
      <x:c r="C763" s="3" t="str">
        <x:v>CUST-00381</x:v>
      </x:c>
      <x:c r="D763" s="3" t="str">
        <x:v>North</x:v>
      </x:c>
      <x:c r="E763" s="3" t="str">
        <x:v>Home &amp; Kitchen</x:v>
      </x:c>
      <x:c r="F763" s="3" t="str">
        <x:v>Appliances</x:v>
      </x:c>
      <x:c r="G763" s="3" t="str">
        <x:v>ColdBrew Coffee Maker</x:v>
      </x:c>
      <x:c r="H763" s="3" t="n">
        <x:v>1</x:v>
      </x:c>
      <x:c r="I763" s="7" t="n">
        <x:v>6699.85</x:v>
      </x:c>
      <x:c r="J763" s="9" t="n">
        <x:v>0</x:v>
      </x:c>
      <x:c r="K763" s="7" t="n">
        <x:v>6699.85</x:v>
      </x:c>
      <x:c r="L763" s="7" t="n">
        <x:v>2173.1</x:v>
      </x:c>
      <x:c r="M763" s="3" t="str">
        <x:v>UPI</x:v>
      </x:c>
      <x:c r="N763" s="3"/>
      <x:c r="O763" s="3"/>
      <x:c r="P763" s="3"/>
      <x:c r="Q763" s="3"/>
    </x:row>
    <x:row r="764" ht="21" customHeight="1">
      <x:c r="A764" s="3" t="str">
        <x:v>ORD-100995</x:v>
      </x:c>
      <x:c r="B764" s="5" t="n">
        <x:v>45512</x:v>
      </x:c>
      <x:c r="C764" s="3" t="str">
        <x:v>CUST-00318</x:v>
      </x:c>
      <x:c r="D764" s="3" t="str">
        <x:v>South</x:v>
      </x:c>
      <x:c r="E764" s="3" t="str">
        <x:v>Electronics</x:v>
      </x:c>
      <x:c r="F764" s="3" t="str">
        <x:v>Audio</x:v>
      </x:c>
      <x:c r="G764" s="3" t="str">
        <x:v>BassBoom Speaker</x:v>
      </x:c>
      <x:c r="H764" s="3" t="n">
        <x:v>2</x:v>
      </x:c>
      <x:c r="I764" s="7" t="n">
        <x:v>9203.96</x:v>
      </x:c>
      <x:c r="J764" s="9" t="n">
        <x:v>0.25</x:v>
      </x:c>
      <x:c r="K764" s="7" t="n">
        <x:v>13805.94</x:v>
      </x:c>
      <x:c r="L764" s="7" t="n">
        <x:v>-1248.21</x:v>
      </x:c>
      <x:c r="M764" s="3" t="str">
        <x:v>Debit Card</x:v>
      </x:c>
      <x:c r="N764" s="3"/>
      <x:c r="O764" s="3"/>
      <x:c r="P764" s="3"/>
      <x:c r="Q764" s="3"/>
    </x:row>
    <x:row r="765" ht="21" customHeight="1">
      <x:c r="A765" s="3" t="str">
        <x:v>ORD-101214</x:v>
      </x:c>
      <x:c r="B765" s="5" t="n">
        <x:v>45512</x:v>
      </x:c>
      <x:c r="C765" s="3" t="str">
        <x:v>CUST-00518</x:v>
      </x:c>
      <x:c r="D765" s="3" t="str">
        <x:v>North</x:v>
      </x:c>
      <x:c r="E765" s="3" t="str">
        <x:v>Beauty</x:v>
      </x:c>
      <x:c r="F765" s="3" t="str">
        <x:v>Makeup</x:v>
      </x:c>
      <x:c r="G765" s="3" t="str">
        <x:v>HD Foundation Kit</x:v>
      </x:c>
      <x:c r="H765" s="3" t="n">
        <x:v>3</x:v>
      </x:c>
      <x:c r="I765" s="7" t="n">
        <x:v>1537.45</x:v>
      </x:c>
      <x:c r="J765" s="9" t="n">
        <x:v>0.1</x:v>
      </x:c>
      <x:c r="K765" s="7" t="n">
        <x:v>4151.12</x:v>
      </x:c>
      <x:c r="L765" s="7" t="n">
        <x:v>1774.95</x:v>
      </x:c>
      <x:c r="M765" s="3" t="str">
        <x:v>Debit Card</x:v>
      </x:c>
      <x:c r="N765" s="3"/>
      <x:c r="O765" s="3"/>
      <x:c r="P765" s="3"/>
      <x:c r="Q765" s="3"/>
    </x:row>
    <x:row r="766" ht="21" customHeight="1">
      <x:c r="A766" s="3" t="str">
        <x:v>ORD-101564</x:v>
      </x:c>
      <x:c r="B766" s="5" t="n">
        <x:v>45512</x:v>
      </x:c>
      <x:c r="C766" s="3" t="str">
        <x:v>CUST-00381</x:v>
      </x:c>
      <x:c r="D766" s="3" t="str">
        <x:v>West</x:v>
      </x:c>
      <x:c r="E766" s="3" t="str">
        <x:v>Electronics</x:v>
      </x:c>
      <x:c r="F766" s="3" t="str">
        <x:v>Laptop</x:v>
      </x:c>
      <x:c r="G766" s="3" t="str">
        <x:v>AirBook Slim</x:v>
      </x:c>
      <x:c r="H766" s="3" t="n">
        <x:v>1</x:v>
      </x:c>
      <x:c r="I766" s="7" t="n">
        <x:v>80501.1</x:v>
      </x:c>
      <x:c r="J766" s="9" t="n">
        <x:v>0</x:v>
      </x:c>
      <x:c r="K766" s="7" t="n">
        <x:v>80501.1</x:v>
      </x:c>
      <x:c r="L766" s="7" t="n">
        <x:v>15710.38</x:v>
      </x:c>
      <x:c r="M766" s="3" t="str">
        <x:v>UPI</x:v>
      </x:c>
      <x:c r="N766" s="3"/>
      <x:c r="O766" s="3"/>
      <x:c r="P766" s="3"/>
      <x:c r="Q766" s="3"/>
    </x:row>
    <x:row r="767" ht="21" customHeight="1">
      <x:c r="A767" s="3" t="str">
        <x:v>ORD-101843</x:v>
      </x:c>
      <x:c r="B767" s="5" t="n">
        <x:v>45512</x:v>
      </x:c>
      <x:c r="C767" s="3" t="str">
        <x:v>CUST-00587</x:v>
      </x:c>
      <x:c r="D767" s="3" t="str">
        <x:v>East</x:v>
      </x:c>
      <x:c r="E767" s="3" t="str">
        <x:v>Fashion</x:v>
      </x:c>
      <x:c r="F767" s="3" t="str">
        <x:v>Men</x:v>
      </x:c>
      <x:c r="G767" s="3" t="str">
        <x:v>SlimFit Denim Jeans</x:v>
      </x:c>
      <x:c r="H767" s="3" t="n">
        <x:v>1</x:v>
      </x:c>
      <x:c r="I767" s="7" t="n">
        <x:v>2016.01</x:v>
      </x:c>
      <x:c r="J767" s="9" t="n">
        <x:v>0.15</x:v>
      </x:c>
      <x:c r="K767" s="7" t="n">
        <x:v>1713.61</x:v>
      </x:c>
      <x:c r="L767" s="7" t="n">
        <x:v>466.14</x:v>
      </x:c>
      <x:c r="M767" s="3" t="str">
        <x:v>UPI</x:v>
      </x:c>
      <x:c r="N767" s="3"/>
      <x:c r="O767" s="3"/>
      <x:c r="P767" s="3"/>
      <x:c r="Q767" s="3"/>
    </x:row>
    <x:row r="768" ht="21" customHeight="1">
      <x:c r="A768" s="3" t="str">
        <x:v>ORD-101971</x:v>
      </x:c>
      <x:c r="B768" s="5" t="n">
        <x:v>45512</x:v>
      </x:c>
      <x:c r="C768" s="3" t="str">
        <x:v>CUST-00235</x:v>
      </x:c>
      <x:c r="D768" s="3" t="str">
        <x:v>West</x:v>
      </x:c>
      <x:c r="E768" s="3" t="str">
        <x:v>Beauty</x:v>
      </x:c>
      <x:c r="F768" s="3" t="str">
        <x:v>Skincare</x:v>
      </x:c>
      <x:c r="G768" s="3" t="str">
        <x:v>Vitamin C Serum</x:v>
      </x:c>
      <x:c r="H768" s="3" t="n">
        <x:v>4</x:v>
      </x:c>
      <x:c r="I768" s="7" t="n">
        <x:v>891.7</x:v>
      </x:c>
      <x:c r="J768" s="9" t="n">
        <x:v>0.15</x:v>
      </x:c>
      <x:c r="K768" s="7" t="n">
        <x:v>3031.78</x:v>
      </x:c>
      <x:c r="L768" s="7" t="n">
        <x:v>1078.42</x:v>
      </x:c>
      <x:c r="M768" s="3" t="str">
        <x:v>Cash on Delivery</x:v>
      </x:c>
      <x:c r="N768" s="3"/>
      <x:c r="O768" s="3"/>
      <x:c r="P768" s="3"/>
      <x:c r="Q768" s="3"/>
    </x:row>
    <x:row r="769" ht="21" customHeight="1">
      <x:c r="A769" s="3" t="str">
        <x:v>ORD-100322</x:v>
      </x:c>
      <x:c r="B769" s="5" t="n">
        <x:v>45513</x:v>
      </x:c>
      <x:c r="C769" s="3" t="str">
        <x:v>CUST-00483</x:v>
      </x:c>
      <x:c r="D769" s="3" t="str">
        <x:v>North</x:v>
      </x:c>
      <x:c r="E769" s="3" t="str">
        <x:v>Beauty</x:v>
      </x:c>
      <x:c r="F769" s="3" t="str">
        <x:v>Skincare</x:v>
      </x:c>
      <x:c r="G769" s="3" t="str">
        <x:v>Vitamin C Serum</x:v>
      </x:c>
      <x:c r="H769" s="3" t="n">
        <x:v>2</x:v>
      </x:c>
      <x:c r="I769" s="7" t="n">
        <x:v>905.5</x:v>
      </x:c>
      <x:c r="J769" s="9" t="n">
        <x:v>0</x:v>
      </x:c>
      <x:c r="K769" s="7" t="n">
        <x:v>1811</x:v>
      </x:c>
      <x:c r="L769" s="7" t="n">
        <x:v>931.71</x:v>
      </x:c>
      <x:c r="M769" s="3" t="str">
        <x:v>UPI</x:v>
      </x:c>
      <x:c r="N769" s="3"/>
      <x:c r="O769" s="3"/>
      <x:c r="P769" s="3"/>
      <x:c r="Q769" s="3"/>
    </x:row>
    <x:row r="770" ht="21" customHeight="1">
      <x:c r="A770" s="3" t="str">
        <x:v>ORD-101402</x:v>
      </x:c>
      <x:c r="B770" s="5" t="n">
        <x:v>45513</x:v>
      </x:c>
      <x:c r="C770" s="3" t="str">
        <x:v>CUST-00385</x:v>
      </x:c>
      <x:c r="D770" s="3" t="str">
        <x:v>East</x:v>
      </x:c>
      <x:c r="E770" s="3" t="str">
        <x:v>Sports</x:v>
      </x:c>
      <x:c r="F770" s="3" t="str">
        <x:v>Fitness</x:v>
      </x:c>
      <x:c r="G770" s="3" t="str">
        <x:v>ProYoga Mat</x:v>
      </x:c>
      <x:c r="H770" s="3" t="n">
        <x:v>2</x:v>
      </x:c>
      <x:c r="I770" s="7" t="n">
        <x:v>1353.19</x:v>
      </x:c>
      <x:c r="J770" s="9" t="n">
        <x:v>0.15</x:v>
      </x:c>
      <x:c r="K770" s="7" t="n">
        <x:v>2300.42</x:v>
      </x:c>
      <x:c r="L770" s="7" t="n">
        <x:v>473.43</x:v>
      </x:c>
      <x:c r="M770" s="3" t="str">
        <x:v>Credit Card</x:v>
      </x:c>
      <x:c r="N770" s="3"/>
      <x:c r="O770" s="3"/>
      <x:c r="P770" s="3"/>
      <x:c r="Q770" s="3"/>
    </x:row>
    <x:row r="771" ht="21" customHeight="1">
      <x:c r="A771" s="3" t="str">
        <x:v>ORD-101956</x:v>
      </x:c>
      <x:c r="B771" s="5" t="n">
        <x:v>45513</x:v>
      </x:c>
      <x:c r="C771" s="3" t="str">
        <x:v>CUST-00402</x:v>
      </x:c>
      <x:c r="D771" s="3" t="str">
        <x:v>East</x:v>
      </x:c>
      <x:c r="E771" s="3" t="str">
        <x:v>Fashion</x:v>
      </x:c>
      <x:c r="F771" s="3" t="str">
        <x:v>Footwear</x:v>
      </x:c>
      <x:c r="G771" s="3" t="str">
        <x:v>UrbanLoafers</x:v>
      </x:c>
      <x:c r="H771" s="3" t="n">
        <x:v>1</x:v>
      </x:c>
      <x:c r="I771" s="7" t="n">
        <x:v>3520.54</x:v>
      </x:c>
      <x:c r="J771" s="9" t="n">
        <x:v>0.15</x:v>
      </x:c>
      <x:c r="K771" s="7" t="n">
        <x:v>2992.46</x:v>
      </x:c>
      <x:c r="L771" s="7" t="n">
        <x:v>825.89</x:v>
      </x:c>
      <x:c r="M771" s="3" t="str">
        <x:v>Net Banking</x:v>
      </x:c>
      <x:c r="N771" s="3"/>
      <x:c r="O771" s="3"/>
      <x:c r="P771" s="3"/>
      <x:c r="Q771" s="3"/>
    </x:row>
    <x:row r="772" ht="21" customHeight="1">
      <x:c r="A772" s="3" t="str">
        <x:v>ORD-101988</x:v>
      </x:c>
      <x:c r="B772" s="5" t="n">
        <x:v>45513</x:v>
      </x:c>
      <x:c r="C772" s="3" t="str">
        <x:v>CUST-00542</x:v>
      </x:c>
      <x:c r="D772" s="3" t="str">
        <x:v>East</x:v>
      </x:c>
      <x:c r="E772" s="3" t="str">
        <x:v>Fashion</x:v>
      </x:c>
      <x:c r="F772" s="3" t="str">
        <x:v>Women</x:v>
      </x:c>
      <x:c r="G772" s="3" t="str">
        <x:v>Knit Winter Sweater</x:v>
      </x:c>
      <x:c r="H772" s="3" t="n">
        <x:v>3</x:v>
      </x:c>
      <x:c r="I772" s="7" t="n">
        <x:v>2232.91</x:v>
      </x:c>
      <x:c r="J772" s="9" t="n">
        <x:v>0</x:v>
      </x:c>
      <x:c r="K772" s="7" t="n">
        <x:v>6698.73</x:v>
      </x:c>
      <x:c r="L772" s="7" t="n">
        <x:v>2831.22</x:v>
      </x:c>
      <x:c r="M772" s="3" t="str">
        <x:v>UPI</x:v>
      </x:c>
      <x:c r="N772" s="3"/>
      <x:c r="O772" s="3"/>
      <x:c r="P772" s="3"/>
      <x:c r="Q772" s="3"/>
    </x:row>
    <x:row r="773" ht="21" customHeight="1">
      <x:c r="A773" s="3" t="str">
        <x:v>ORD-100212</x:v>
      </x:c>
      <x:c r="B773" s="5" t="n">
        <x:v>45514</x:v>
      </x:c>
      <x:c r="C773" s="3" t="str">
        <x:v>CUST-00103</x:v>
      </x:c>
      <x:c r="D773" s="3" t="str">
        <x:v>South</x:v>
      </x:c>
      <x:c r="E773" s="3" t="str">
        <x:v>Electronics</x:v>
      </x:c>
      <x:c r="F773" s="3" t="str">
        <x:v>Audio</x:v>
      </x:c>
      <x:c r="G773" s="3" t="str">
        <x:v>SoundPods Pro</x:v>
      </x:c>
      <x:c r="H773" s="3" t="n">
        <x:v>1</x:v>
      </x:c>
      <x:c r="I773" s="7" t="n">
        <x:v>5063.03</x:v>
      </x:c>
      <x:c r="J773" s="9" t="n">
        <x:v>0.15</x:v>
      </x:c>
      <x:c r="K773" s="7" t="n">
        <x:v>4303.58</x:v>
      </x:c>
      <x:c r="L773" s="7" t="n">
        <x:v>-87.75</x:v>
      </x:c>
      <x:c r="M773" s="3" t="str">
        <x:v>Credit Card</x:v>
      </x:c>
      <x:c r="N773" s="3"/>
      <x:c r="O773" s="3"/>
      <x:c r="P773" s="3"/>
      <x:c r="Q773" s="3"/>
    </x:row>
    <x:row r="774" ht="21" customHeight="1">
      <x:c r="A774" s="3" t="str">
        <x:v>ORD-100636</x:v>
      </x:c>
      <x:c r="B774" s="5" t="n">
        <x:v>45515</x:v>
      </x:c>
      <x:c r="C774" s="3" t="str">
        <x:v>CUST-00512</x:v>
      </x:c>
      <x:c r="D774" s="3" t="str">
        <x:v>East</x:v>
      </x:c>
      <x:c r="E774" s="3" t="str">
        <x:v>Home &amp; Kitchen</x:v>
      </x:c>
      <x:c r="F774" s="3" t="str">
        <x:v>Furniture</x:v>
      </x:c>
      <x:c r="G774" s="3" t="str">
        <x:v>ErgoComfort Chair</x:v>
      </x:c>
      <x:c r="H774" s="3" t="n">
        <x:v>1</x:v>
      </x:c>
      <x:c r="I774" s="7" t="n">
        <x:v>9141.15</x:v>
      </x:c>
      <x:c r="J774" s="9" t="n">
        <x:v>0</x:v>
      </x:c>
      <x:c r="K774" s="7" t="n">
        <x:v>9141.15</x:v>
      </x:c>
      <x:c r="L774" s="7" t="n">
        <x:v>2854.57</x:v>
      </x:c>
      <x:c r="M774" s="3" t="str">
        <x:v>UPI</x:v>
      </x:c>
      <x:c r="N774" s="3"/>
      <x:c r="O774" s="3"/>
      <x:c r="P774" s="3"/>
      <x:c r="Q774" s="3"/>
    </x:row>
    <x:row r="775" ht="21" customHeight="1">
      <x:c r="A775" s="3" t="str">
        <x:v>ORD-100829</x:v>
      </x:c>
      <x:c r="B775" s="5" t="n">
        <x:v>45515</x:v>
      </x:c>
      <x:c r="C775" s="3" t="str">
        <x:v>CUST-00594</x:v>
      </x:c>
      <x:c r="D775" s="3" t="str">
        <x:v>South</x:v>
      </x:c>
      <x:c r="E775" s="3" t="str">
        <x:v>Home &amp; Kitchen</x:v>
      </x:c>
      <x:c r="F775" s="3" t="str">
        <x:v>Decor</x:v>
      </x:c>
      <x:c r="G775" s="3" t="str">
        <x:v>Ceramic Vase Set</x:v>
      </x:c>
      <x:c r="H775" s="3" t="n">
        <x:v>1</x:v>
      </x:c>
      <x:c r="I775" s="7" t="n">
        <x:v>1425.38</x:v>
      </x:c>
      <x:c r="J775" s="9" t="n">
        <x:v>0</x:v>
      </x:c>
      <x:c r="K775" s="7" t="n">
        <x:v>1425.38</x:v>
      </x:c>
      <x:c r="L775" s="7" t="n">
        <x:v>417.58</x:v>
      </x:c>
      <x:c r="M775" s="3" t="str">
        <x:v>Credit Card</x:v>
      </x:c>
      <x:c r="N775" s="3"/>
      <x:c r="O775" s="3"/>
      <x:c r="P775" s="3"/>
      <x:c r="Q775" s="3"/>
    </x:row>
    <x:row r="776" ht="21" customHeight="1">
      <x:c r="A776" s="3" t="str">
        <x:v>ORD-101181</x:v>
      </x:c>
      <x:c r="B776" s="5" t="n">
        <x:v>45515</x:v>
      </x:c>
      <x:c r="C776" s="3" t="str">
        <x:v>CUST-00038</x:v>
      </x:c>
      <x:c r="D776" s="3" t="str">
        <x:v>East</x:v>
      </x:c>
      <x:c r="E776" s="3" t="str">
        <x:v>Fashion</x:v>
      </x:c>
      <x:c r="F776" s="3" t="str">
        <x:v>Women</x:v>
      </x:c>
      <x:c r="G776" s="3" t="str">
        <x:v>Floral Summer Dress</x:v>
      </x:c>
      <x:c r="H776" s="3" t="n">
        <x:v>1</x:v>
      </x:c>
      <x:c r="I776" s="7" t="n">
        <x:v>1888.22</x:v>
      </x:c>
      <x:c r="J776" s="9" t="n">
        <x:v>0.05</x:v>
      </x:c>
      <x:c r="K776" s="7" t="n">
        <x:v>1793.81</x:v>
      </x:c>
      <x:c r="L776" s="7" t="n">
        <x:v>588.92</x:v>
      </x:c>
      <x:c r="M776" s="3" t="str">
        <x:v>Cash on Delivery</x:v>
      </x:c>
      <x:c r="N776" s="3"/>
      <x:c r="O776" s="3"/>
      <x:c r="P776" s="3"/>
      <x:c r="Q776" s="3"/>
    </x:row>
    <x:row r="777" ht="21" customHeight="1">
      <x:c r="A777" s="3" t="str">
        <x:v>ORD-101218</x:v>
      </x:c>
      <x:c r="B777" s="5" t="n">
        <x:v>45515</x:v>
      </x:c>
      <x:c r="C777" s="3" t="str">
        <x:v>CUST-00349</x:v>
      </x:c>
      <x:c r="D777" s="3" t="str">
        <x:v>North</x:v>
      </x:c>
      <x:c r="E777" s="3" t="str">
        <x:v>Beauty</x:v>
      </x:c>
      <x:c r="F777" s="3" t="str">
        <x:v>Skincare</x:v>
      </x:c>
      <x:c r="G777" s="3" t="str">
        <x:v>Vitamin C Serum</x:v>
      </x:c>
      <x:c r="H777" s="3" t="n">
        <x:v>1</x:v>
      </x:c>
      <x:c r="I777" s="7" t="n">
        <x:v>860.58</x:v>
      </x:c>
      <x:c r="J777" s="9" t="n">
        <x:v>0.1</x:v>
      </x:c>
      <x:c r="K777" s="7" t="n">
        <x:v>774.52</x:v>
      </x:c>
      <x:c r="L777" s="7" t="n">
        <x:v>364.2</x:v>
      </x:c>
      <x:c r="M777" s="3" t="str">
        <x:v>Cash on Delivery</x:v>
      </x:c>
      <x:c r="N777" s="3"/>
      <x:c r="O777" s="3"/>
      <x:c r="P777" s="3"/>
      <x:c r="Q777" s="3"/>
    </x:row>
    <x:row r="778" ht="21" customHeight="1">
      <x:c r="A778" s="3" t="str">
        <x:v>ORD-101390</x:v>
      </x:c>
      <x:c r="B778" s="5" t="n">
        <x:v>45515</x:v>
      </x:c>
      <x:c r="C778" s="3" t="str">
        <x:v>CUST-00584</x:v>
      </x:c>
      <x:c r="D778" s="3" t="str">
        <x:v>North</x:v>
      </x:c>
      <x:c r="E778" s="3" t="str">
        <x:v>Sports</x:v>
      </x:c>
      <x:c r="F778" s="3" t="str">
        <x:v>Outdoor</x:v>
      </x:c>
      <x:c r="G778" s="3" t="str">
        <x:v>AllWeather Tent 4P</x:v>
      </x:c>
      <x:c r="H778" s="3" t="n">
        <x:v>1</x:v>
      </x:c>
      <x:c r="I778" s="7" t="n">
        <x:v>11688.99</x:v>
      </x:c>
      <x:c r="J778" s="9" t="n">
        <x:v>0.1</x:v>
      </x:c>
      <x:c r="K778" s="7" t="n">
        <x:v>10520.09</x:v>
      </x:c>
      <x:c r="L778" s="7" t="n">
        <x:v>2770.13</x:v>
      </x:c>
      <x:c r="M778" s="3" t="str">
        <x:v>Credit Card</x:v>
      </x:c>
      <x:c r="N778" s="3"/>
      <x:c r="O778" s="3"/>
      <x:c r="P778" s="3"/>
      <x:c r="Q778" s="3"/>
    </x:row>
    <x:row r="779" ht="21" customHeight="1">
      <x:c r="A779" s="3" t="str">
        <x:v>ORD-100853</x:v>
      </x:c>
      <x:c r="B779" s="5" t="n">
        <x:v>45516</x:v>
      </x:c>
      <x:c r="C779" s="3" t="str">
        <x:v>CUST-00295</x:v>
      </x:c>
      <x:c r="D779" s="3" t="str">
        <x:v>South</x:v>
      </x:c>
      <x:c r="E779" s="3" t="str">
        <x:v>Home &amp; Kitchen</x:v>
      </x:c>
      <x:c r="F779" s="3" t="str">
        <x:v>Furniture</x:v>
      </x:c>
      <x:c r="G779" s="3" t="str">
        <x:v>ErgoComfort Chair</x:v>
      </x:c>
      <x:c r="H779" s="3" t="n">
        <x:v>2</x:v>
      </x:c>
      <x:c r="I779" s="7" t="n">
        <x:v>9116.01</x:v>
      </x:c>
      <x:c r="J779" s="9" t="n">
        <x:v>0.05</x:v>
      </x:c>
      <x:c r="K779" s="7" t="n">
        <x:v>17320.42</x:v>
      </x:c>
      <x:c r="L779" s="7" t="n">
        <x:v>4855.39</x:v>
      </x:c>
      <x:c r="M779" s="3" t="str">
        <x:v>UPI</x:v>
      </x:c>
      <x:c r="N779" s="3"/>
      <x:c r="O779" s="3"/>
      <x:c r="P779" s="3"/>
      <x:c r="Q779" s="3"/>
    </x:row>
    <x:row r="780" ht="21" customHeight="1">
      <x:c r="A780" s="3" t="str">
        <x:v>ORD-100989</x:v>
      </x:c>
      <x:c r="B780" s="5" t="n">
        <x:v>45516</x:v>
      </x:c>
      <x:c r="C780" s="3" t="str">
        <x:v>CUST-00232</x:v>
      </x:c>
      <x:c r="D780" s="3" t="str">
        <x:v>North</x:v>
      </x:c>
      <x:c r="E780" s="3" t="str">
        <x:v>Home &amp; Kitchen</x:v>
      </x:c>
      <x:c r="F780" s="3" t="str">
        <x:v>Furniture</x:v>
      </x:c>
      <x:c r="G780" s="3" t="str">
        <x:v>ErgoComfort Chair</x:v>
      </x:c>
      <x:c r="H780" s="3" t="n">
        <x:v>3</x:v>
      </x:c>
      <x:c r="I780" s="7" t="n">
        <x:v>8688.55</x:v>
      </x:c>
      <x:c r="J780" s="9" t="n">
        <x:v>0</x:v>
      </x:c>
      <x:c r="K780" s="7" t="n">
        <x:v>26065.65</x:v>
      </x:c>
      <x:c r="L780" s="7" t="n">
        <x:v>9629.02</x:v>
      </x:c>
      <x:c r="M780" s="3" t="str">
        <x:v>UPI</x:v>
      </x:c>
      <x:c r="N780" s="3"/>
      <x:c r="O780" s="3"/>
      <x:c r="P780" s="3"/>
      <x:c r="Q780" s="3"/>
    </x:row>
    <x:row r="781" ht="21" customHeight="1">
      <x:c r="A781" s="3" t="str">
        <x:v>ORD-100711</x:v>
      </x:c>
      <x:c r="B781" s="5" t="n">
        <x:v>45517</x:v>
      </x:c>
      <x:c r="C781" s="3" t="str">
        <x:v>CUST-00209</x:v>
      </x:c>
      <x:c r="D781" s="3" t="str">
        <x:v>East</x:v>
      </x:c>
      <x:c r="E781" s="3" t="str">
        <x:v>Electronics</x:v>
      </x:c>
      <x:c r="F781" s="3" t="str">
        <x:v>Laptop</x:v>
      </x:c>
      <x:c r="G781" s="3" t="str">
        <x:v>ThinkPro 14</x:v>
      </x:c>
      <x:c r="H781" s="3" t="n">
        <x:v>2</x:v>
      </x:c>
      <x:c r="I781" s="7" t="n">
        <x:v>53656.95</x:v>
      </x:c>
      <x:c r="J781" s="9" t="n">
        <x:v>0</x:v>
      </x:c>
      <x:c r="K781" s="7" t="n">
        <x:v>107313.9</x:v>
      </x:c>
      <x:c r="L781" s="7" t="n">
        <x:v>15158.2</x:v>
      </x:c>
      <x:c r="M781" s="3" t="str">
        <x:v>Net Banking</x:v>
      </x:c>
      <x:c r="N781" s="3"/>
      <x:c r="O781" s="3"/>
      <x:c r="P781" s="3"/>
      <x:c r="Q781" s="3"/>
    </x:row>
    <x:row r="782" ht="21" customHeight="1">
      <x:c r="A782" s="3" t="str">
        <x:v>ORD-101226</x:v>
      </x:c>
      <x:c r="B782" s="5" t="n">
        <x:v>45517</x:v>
      </x:c>
      <x:c r="C782" s="3" t="str">
        <x:v>CUST-00371</x:v>
      </x:c>
      <x:c r="D782" s="3" t="str">
        <x:v>West</x:v>
      </x:c>
      <x:c r="E782" s="3" t="str">
        <x:v>Sports</x:v>
      </x:c>
      <x:c r="F782" s="3" t="str">
        <x:v>Outdoor</x:v>
      </x:c>
      <x:c r="G782" s="3" t="str">
        <x:v>TrailHike Backpack 60L</x:v>
      </x:c>
      <x:c r="H782" s="3" t="n">
        <x:v>2</x:v>
      </x:c>
      <x:c r="I782" s="7" t="n">
        <x:v>3399.6</x:v>
      </x:c>
      <x:c r="J782" s="9" t="n">
        <x:v>0</x:v>
      </x:c>
      <x:c r="K782" s="7" t="n">
        <x:v>6799.2</x:v>
      </x:c>
      <x:c r="L782" s="7" t="n">
        <x:v>2617.23</x:v>
      </x:c>
      <x:c r="M782" s="3" t="str">
        <x:v>UPI</x:v>
      </x:c>
      <x:c r="N782" s="3"/>
      <x:c r="O782" s="3"/>
      <x:c r="P782" s="3"/>
      <x:c r="Q782" s="3"/>
    </x:row>
    <x:row r="783" ht="21" customHeight="1">
      <x:c r="A783" s="3" t="str">
        <x:v>ORD-101482</x:v>
      </x:c>
      <x:c r="B783" s="5" t="n">
        <x:v>45517</x:v>
      </x:c>
      <x:c r="C783" s="3" t="str">
        <x:v>CUST-00187</x:v>
      </x:c>
      <x:c r="D783" s="3" t="str">
        <x:v>South</x:v>
      </x:c>
      <x:c r="E783" s="3" t="str">
        <x:v>Beauty</x:v>
      </x:c>
      <x:c r="F783" s="3" t="str">
        <x:v>Makeup</x:v>
      </x:c>
      <x:c r="G783" s="3" t="str">
        <x:v>Matte Lipstick Set</x:v>
      </x:c>
      <x:c r="H783" s="3" t="n">
        <x:v>1</x:v>
      </x:c>
      <x:c r="I783" s="7" t="n">
        <x:v>963.25</x:v>
      </x:c>
      <x:c r="J783" s="9" t="n">
        <x:v>0</x:v>
      </x:c>
      <x:c r="K783" s="7" t="n">
        <x:v>963.25</x:v>
      </x:c>
      <x:c r="L783" s="7" t="n">
        <x:v>529.19</x:v>
      </x:c>
      <x:c r="M783" s="3" t="str">
        <x:v>UPI</x:v>
      </x:c>
      <x:c r="N783" s="3"/>
      <x:c r="O783" s="3"/>
      <x:c r="P783" s="3"/>
      <x:c r="Q783" s="3"/>
    </x:row>
    <x:row r="784" ht="21" customHeight="1">
      <x:c r="A784" s="3" t="str">
        <x:v>ORD-101678</x:v>
      </x:c>
      <x:c r="B784" s="5" t="n">
        <x:v>45517</x:v>
      </x:c>
      <x:c r="C784" s="3" t="str">
        <x:v>CUST-00080</x:v>
      </x:c>
      <x:c r="D784" s="3" t="str">
        <x:v>East</x:v>
      </x:c>
      <x:c r="E784" s="3" t="str">
        <x:v>Home &amp; Kitchen</x:v>
      </x:c>
      <x:c r="F784" s="3" t="str">
        <x:v>Decor</x:v>
      </x:c>
      <x:c r="G784" s="3" t="str">
        <x:v>LED Wall Lamp</x:v>
      </x:c>
      <x:c r="H784" s="3" t="n">
        <x:v>1</x:v>
      </x:c>
      <x:c r="I784" s="7" t="n">
        <x:v>976.87</x:v>
      </x:c>
      <x:c r="J784" s="9" t="n">
        <x:v>0.05</x:v>
      </x:c>
      <x:c r="K784" s="7" t="n">
        <x:v>928.03</x:v>
      </x:c>
      <x:c r="L784" s="7" t="n">
        <x:v>239.62</x:v>
      </x:c>
      <x:c r="M784" s="3" t="str">
        <x:v>UPI</x:v>
      </x:c>
      <x:c r="N784" s="3"/>
      <x:c r="O784" s="3"/>
      <x:c r="P784" s="3"/>
      <x:c r="Q784" s="3"/>
    </x:row>
    <x:row r="785" ht="21" customHeight="1">
      <x:c r="A785" s="3" t="str">
        <x:v>ORD-101939</x:v>
      </x:c>
      <x:c r="B785" s="5" t="n">
        <x:v>45517</x:v>
      </x:c>
      <x:c r="C785" s="3" t="str">
        <x:v>CUST-00091</x:v>
      </x:c>
      <x:c r="D785" s="3" t="str">
        <x:v>West</x:v>
      </x:c>
      <x:c r="E785" s="3" t="str">
        <x:v>Beauty</x:v>
      </x:c>
      <x:c r="F785" s="3" t="str">
        <x:v>Makeup</x:v>
      </x:c>
      <x:c r="G785" s="3" t="str">
        <x:v>HD Foundation Kit</x:v>
      </x:c>
      <x:c r="H785" s="3" t="n">
        <x:v>4</x:v>
      </x:c>
      <x:c r="I785" s="7" t="n">
        <x:v>1539.34</x:v>
      </x:c>
      <x:c r="J785" s="9" t="n">
        <x:v>0.4</x:v>
      </x:c>
      <x:c r="K785" s="7" t="n">
        <x:v>3694.42</x:v>
      </x:c>
      <x:c r="L785" s="7" t="n">
        <x:v>435</x:v>
      </x:c>
      <x:c r="M785" s="3" t="str">
        <x:v>Net Banking</x:v>
      </x:c>
      <x:c r="N785" s="3"/>
      <x:c r="O785" s="3"/>
      <x:c r="P785" s="3"/>
      <x:c r="Q785" s="3"/>
    </x:row>
    <x:row r="786" ht="21" customHeight="1">
      <x:c r="A786" s="3" t="str">
        <x:v>ORD-101996</x:v>
      </x:c>
      <x:c r="B786" s="5" t="n">
        <x:v>45517</x:v>
      </x:c>
      <x:c r="C786" s="3" t="str">
        <x:v>CUST-00234</x:v>
      </x:c>
      <x:c r="D786" s="3" t="str">
        <x:v>North</x:v>
      </x:c>
      <x:c r="E786" s="3" t="str">
        <x:v>Beauty</x:v>
      </x:c>
      <x:c r="F786" s="3" t="str">
        <x:v>Makeup</x:v>
      </x:c>
      <x:c r="G786" s="3" t="str">
        <x:v>HD Foundation Kit</x:v>
      </x:c>
      <x:c r="H786" s="3" t="n">
        <x:v>4</x:v>
      </x:c>
      <x:c r="I786" s="7" t="n">
        <x:v>1506.68</x:v>
      </x:c>
      <x:c r="J786" s="9" t="n">
        <x:v>0</x:v>
      </x:c>
      <x:c r="K786" s="7" t="n">
        <x:v>6026.72</x:v>
      </x:c>
      <x:c r="L786" s="7" t="n">
        <x:v>3449.41</x:v>
      </x:c>
      <x:c r="M786" s="3" t="str">
        <x:v>UPI</x:v>
      </x:c>
      <x:c r="N786" s="3"/>
      <x:c r="O786" s="3"/>
      <x:c r="P786" s="3"/>
      <x:c r="Q786" s="3"/>
    </x:row>
    <x:row r="787" ht="21" customHeight="1">
      <x:c r="A787" s="3" t="str">
        <x:v>ORD-101393</x:v>
      </x:c>
      <x:c r="B787" s="5" t="n">
        <x:v>45518</x:v>
      </x:c>
      <x:c r="C787" s="3" t="str">
        <x:v>CUST-00098</x:v>
      </x:c>
      <x:c r="D787" s="3" t="str">
        <x:v>East</x:v>
      </x:c>
      <x:c r="E787" s="3" t="str">
        <x:v>Beauty</x:v>
      </x:c>
      <x:c r="F787" s="3" t="str">
        <x:v>Makeup</x:v>
      </x:c>
      <x:c r="G787" s="3" t="str">
        <x:v>Matte Lipstick Set</x:v>
      </x:c>
      <x:c r="H787" s="3" t="n">
        <x:v>2</x:v>
      </x:c>
      <x:c r="I787" s="7" t="n">
        <x:v>1015.13</x:v>
      </x:c>
      <x:c r="J787" s="9" t="n">
        <x:v>0.1</x:v>
      </x:c>
      <x:c r="K787" s="7" t="n">
        <x:v>1827.23</x:v>
      </x:c>
      <x:c r="L787" s="7" t="n">
        <x:v>805.47</x:v>
      </x:c>
      <x:c r="M787" s="3" t="str">
        <x:v>UPI</x:v>
      </x:c>
      <x:c r="N787" s="3"/>
      <x:c r="O787" s="3"/>
      <x:c r="P787" s="3"/>
      <x:c r="Q787" s="3"/>
    </x:row>
    <x:row r="788" ht="21" customHeight="1">
      <x:c r="A788" s="3" t="str">
        <x:v>ORD-101456</x:v>
      </x:c>
      <x:c r="B788" s="5" t="n">
        <x:v>45518</x:v>
      </x:c>
      <x:c r="C788" s="3" t="str">
        <x:v>CUST-00264</x:v>
      </x:c>
      <x:c r="D788" s="3" t="str">
        <x:v>West</x:v>
      </x:c>
      <x:c r="E788" s="3" t="str">
        <x:v>Home &amp; Kitchen</x:v>
      </x:c>
      <x:c r="F788" s="3" t="str">
        <x:v>Decor</x:v>
      </x:c>
      <x:c r="G788" s="3" t="str">
        <x:v>LED Wall Lamp</x:v>
      </x:c>
      <x:c r="H788" s="3" t="n">
        <x:v>1</x:v>
      </x:c>
      <x:c r="I788" s="7" t="n">
        <x:v>1024.35</x:v>
      </x:c>
      <x:c r="J788" s="9" t="n">
        <x:v>0.3</x:v>
      </x:c>
      <x:c r="K788" s="7" t="n">
        <x:v>717.04</x:v>
      </x:c>
      <x:c r="L788" s="7" t="n">
        <x:v>10.74</x:v>
      </x:c>
      <x:c r="M788" s="3" t="str">
        <x:v>UPI</x:v>
      </x:c>
      <x:c r="N788" s="3"/>
      <x:c r="O788" s="3"/>
      <x:c r="P788" s="3"/>
      <x:c r="Q788" s="3"/>
    </x:row>
    <x:row r="789" ht="21" customHeight="1">
      <x:c r="A789" s="3" t="str">
        <x:v>ORD-100231</x:v>
      </x:c>
      <x:c r="B789" s="5" t="n">
        <x:v>45519</x:v>
      </x:c>
      <x:c r="C789" s="3" t="str">
        <x:v>CUST-00411</x:v>
      </x:c>
      <x:c r="D789" s="3" t="str">
        <x:v>East</x:v>
      </x:c>
      <x:c r="E789" s="3" t="str">
        <x:v>Electronics</x:v>
      </x:c>
      <x:c r="F789" s="3" t="str">
        <x:v>Laptop</x:v>
      </x:c>
      <x:c r="G789" s="3" t="str">
        <x:v>AirBook Slim</x:v>
      </x:c>
      <x:c r="H789" s="3" t="n">
        <x:v>2</x:v>
      </x:c>
      <x:c r="I789" s="7" t="n">
        <x:v>75797.37</x:v>
      </x:c>
      <x:c r="J789" s="9" t="n">
        <x:v>0.1</x:v>
      </x:c>
      <x:c r="K789" s="7" t="n">
        <x:v>136435.27</x:v>
      </x:c>
      <x:c r="L789" s="7" t="n">
        <x:v>4523.18</x:v>
      </x:c>
      <x:c r="M789" s="3" t="str">
        <x:v>UPI</x:v>
      </x:c>
      <x:c r="N789" s="3"/>
      <x:c r="O789" s="3"/>
      <x:c r="P789" s="3"/>
      <x:c r="Q789" s="3"/>
    </x:row>
    <x:row r="790" ht="21" customHeight="1">
      <x:c r="A790" s="3" t="str">
        <x:v>ORD-100641</x:v>
      </x:c>
      <x:c r="B790" s="5" t="n">
        <x:v>45519</x:v>
      </x:c>
      <x:c r="C790" s="3" t="str">
        <x:v>CUST-00391</x:v>
      </x:c>
      <x:c r="D790" s="3" t="str">
        <x:v>West</x:v>
      </x:c>
      <x:c r="E790" s="3" t="str">
        <x:v>Home &amp; Kitchen</x:v>
      </x:c>
      <x:c r="F790" s="3" t="str">
        <x:v>Decor</x:v>
      </x:c>
      <x:c r="G790" s="3" t="str">
        <x:v>Ceramic Vase Set</x:v>
      </x:c>
      <x:c r="H790" s="3" t="n">
        <x:v>1</x:v>
      </x:c>
      <x:c r="I790" s="7" t="n">
        <x:v>1561.61</x:v>
      </x:c>
      <x:c r="J790" s="9" t="n">
        <x:v>0</x:v>
      </x:c>
      <x:c r="K790" s="7" t="n">
        <x:v>1561.61</x:v>
      </x:c>
      <x:c r="L790" s="7" t="n">
        <x:v>576.34</x:v>
      </x:c>
      <x:c r="M790" s="3" t="str">
        <x:v>Credit Card</x:v>
      </x:c>
      <x:c r="N790" s="3"/>
      <x:c r="O790" s="3"/>
      <x:c r="P790" s="3"/>
      <x:c r="Q790" s="3"/>
    </x:row>
    <x:row r="791" ht="21" customHeight="1">
      <x:c r="A791" s="3" t="str">
        <x:v>ORD-100665</x:v>
      </x:c>
      <x:c r="B791" s="5" t="n">
        <x:v>45519</x:v>
      </x:c>
      <x:c r="C791" s="3" t="str">
        <x:v>CUST-00010</x:v>
      </x:c>
      <x:c r="D791" s="3" t="str">
        <x:v>South</x:v>
      </x:c>
      <x:c r="E791" s="3" t="str">
        <x:v>Fashion</x:v>
      </x:c>
      <x:c r="F791" s="3" t="str">
        <x:v>Women</x:v>
      </x:c>
      <x:c r="G791" s="3" t="str">
        <x:v>Knit Winter Sweater</x:v>
      </x:c>
      <x:c r="H791" s="3" t="n">
        <x:v>1</x:v>
      </x:c>
      <x:c r="I791" s="7" t="n">
        <x:v>2238.43</x:v>
      </x:c>
      <x:c r="J791" s="9" t="n">
        <x:v>0.05</x:v>
      </x:c>
      <x:c r="K791" s="7" t="n">
        <x:v>2126.51</x:v>
      </x:c>
      <x:c r="L791" s="7" t="n">
        <x:v>821.31</x:v>
      </x:c>
      <x:c r="M791" s="3" t="str">
        <x:v>Credit Card</x:v>
      </x:c>
      <x:c r="N791" s="3"/>
      <x:c r="O791" s="3"/>
      <x:c r="P791" s="3"/>
      <x:c r="Q791" s="3"/>
    </x:row>
    <x:row r="792" ht="21" customHeight="1">
      <x:c r="A792" s="3" t="str">
        <x:v>ORD-101269</x:v>
      </x:c>
      <x:c r="B792" s="5" t="n">
        <x:v>45519</x:v>
      </x:c>
      <x:c r="C792" s="3" t="str">
        <x:v>CUST-00452</x:v>
      </x:c>
      <x:c r="D792" s="3" t="str">
        <x:v>West</x:v>
      </x:c>
      <x:c r="E792" s="3" t="str">
        <x:v>Home &amp; Kitchen</x:v>
      </x:c>
      <x:c r="F792" s="3" t="str">
        <x:v>Decor</x:v>
      </x:c>
      <x:c r="G792" s="3" t="str">
        <x:v>LED Wall Lamp</x:v>
      </x:c>
      <x:c r="H792" s="3" t="n">
        <x:v>1</x:v>
      </x:c>
      <x:c r="I792" s="7" t="n">
        <x:v>1020.65</x:v>
      </x:c>
      <x:c r="J792" s="9" t="n">
        <x:v>0.1</x:v>
      </x:c>
      <x:c r="K792" s="7" t="n">
        <x:v>918.59</x:v>
      </x:c>
      <x:c r="L792" s="7" t="n">
        <x:v>171.34</x:v>
      </x:c>
      <x:c r="M792" s="3" t="str">
        <x:v>Credit Card</x:v>
      </x:c>
      <x:c r="N792" s="3"/>
      <x:c r="O792" s="3"/>
      <x:c r="P792" s="3"/>
      <x:c r="Q792" s="3"/>
    </x:row>
    <x:row r="793" ht="21" customHeight="1">
      <x:c r="A793" s="3" t="str">
        <x:v>ORD-101590</x:v>
      </x:c>
      <x:c r="B793" s="5" t="n">
        <x:v>45519</x:v>
      </x:c>
      <x:c r="C793" s="3" t="str">
        <x:v>CUST-00296</x:v>
      </x:c>
      <x:c r="D793" s="3" t="str">
        <x:v>West</x:v>
      </x:c>
      <x:c r="E793" s="3" t="str">
        <x:v>Sports</x:v>
      </x:c>
      <x:c r="F793" s="3" t="str">
        <x:v>Outdoor</x:v>
      </x:c>
      <x:c r="G793" s="3" t="str">
        <x:v>AllWeather Tent 4P</x:v>
      </x:c>
      <x:c r="H793" s="3" t="n">
        <x:v>1</x:v>
      </x:c>
      <x:c r="I793" s="7" t="n">
        <x:v>11469.32</x:v>
      </x:c>
      <x:c r="J793" s="9" t="n">
        <x:v>0</x:v>
      </x:c>
      <x:c r="K793" s="7" t="n">
        <x:v>11469.32</x:v>
      </x:c>
      <x:c r="L793" s="7" t="n">
        <x:v>4026.14</x:v>
      </x:c>
      <x:c r="M793" s="3" t="str">
        <x:v>Debit Card</x:v>
      </x:c>
      <x:c r="N793" s="3"/>
      <x:c r="O793" s="3"/>
      <x:c r="P793" s="3"/>
      <x:c r="Q793" s="3"/>
    </x:row>
    <x:row r="794" ht="21" customHeight="1">
      <x:c r="A794" s="3" t="str">
        <x:v>ORD-101642</x:v>
      </x:c>
      <x:c r="B794" s="5" t="n">
        <x:v>45519</x:v>
      </x:c>
      <x:c r="C794" s="3" t="str">
        <x:v>CUST-00049</x:v>
      </x:c>
      <x:c r="D794" s="3" t="str">
        <x:v>West</x:v>
      </x:c>
      <x:c r="E794" s="3" t="str">
        <x:v>Beauty</x:v>
      </x:c>
      <x:c r="F794" s="3" t="str">
        <x:v>Skincare</x:v>
      </x:c>
      <x:c r="G794" s="3" t="str">
        <x:v>Vitamin C Serum</x:v>
      </x:c>
      <x:c r="H794" s="3" t="n">
        <x:v>1</x:v>
      </x:c>
      <x:c r="I794" s="7" t="n">
        <x:v>922.2</x:v>
      </x:c>
      <x:c r="J794" s="9" t="n">
        <x:v>0</x:v>
      </x:c>
      <x:c r="K794" s="7" t="n">
        <x:v>922.2</x:v>
      </x:c>
      <x:c r="L794" s="7" t="n">
        <x:v>483.62</x:v>
      </x:c>
      <x:c r="M794" s="3" t="str">
        <x:v>UPI</x:v>
      </x:c>
      <x:c r="N794" s="3"/>
      <x:c r="O794" s="3"/>
      <x:c r="P794" s="3"/>
      <x:c r="Q794" s="3"/>
    </x:row>
    <x:row r="795" ht="21" customHeight="1">
      <x:c r="A795" s="3" t="str">
        <x:v>ORD-101667</x:v>
      </x:c>
      <x:c r="B795" s="5" t="n">
        <x:v>45519</x:v>
      </x:c>
      <x:c r="C795" s="3" t="str">
        <x:v>CUST-00006</x:v>
      </x:c>
      <x:c r="D795" s="3" t="str">
        <x:v>North</x:v>
      </x:c>
      <x:c r="E795" s="3" t="str">
        <x:v>Beauty</x:v>
      </x:c>
      <x:c r="F795" s="3" t="str">
        <x:v>Skincare</x:v>
      </x:c>
      <x:c r="G795" s="3" t="str">
        <x:v>Vitamin C Serum</x:v>
      </x:c>
      <x:c r="H795" s="3" t="n">
        <x:v>1</x:v>
      </x:c>
      <x:c r="I795" s="7" t="n">
        <x:v>909.71</x:v>
      </x:c>
      <x:c r="J795" s="9" t="n">
        <x:v>0</x:v>
      </x:c>
      <x:c r="K795" s="7" t="n">
        <x:v>909.71</x:v>
      </x:c>
      <x:c r="L795" s="7" t="n">
        <x:v>473.74</x:v>
      </x:c>
      <x:c r="M795" s="3" t="str">
        <x:v>Credit Card</x:v>
      </x:c>
      <x:c r="N795" s="3"/>
      <x:c r="O795" s="3"/>
      <x:c r="P795" s="3"/>
      <x:c r="Q795" s="3"/>
    </x:row>
    <x:row r="796" ht="21" customHeight="1">
      <x:c r="A796" s="3" t="str">
        <x:v>ORD-101861</x:v>
      </x:c>
      <x:c r="B796" s="5" t="n">
        <x:v>45519</x:v>
      </x:c>
      <x:c r="C796" s="3" t="str">
        <x:v>CUST-00388</x:v>
      </x:c>
      <x:c r="D796" s="3" t="str">
        <x:v>East</x:v>
      </x:c>
      <x:c r="E796" s="3" t="str">
        <x:v>Home &amp; Kitchen</x:v>
      </x:c>
      <x:c r="F796" s="3" t="str">
        <x:v>Decor</x:v>
      </x:c>
      <x:c r="G796" s="3" t="str">
        <x:v>Ceramic Vase Set</x:v>
      </x:c>
      <x:c r="H796" s="3" t="n">
        <x:v>1</x:v>
      </x:c>
      <x:c r="I796" s="7" t="n">
        <x:v>1436.49</x:v>
      </x:c>
      <x:c r="J796" s="9" t="n">
        <x:v>0.1</x:v>
      </x:c>
      <x:c r="K796" s="7" t="n">
        <x:v>1292.84</x:v>
      </x:c>
      <x:c r="L796" s="7" t="n">
        <x:v>315.09</x:v>
      </x:c>
      <x:c r="M796" s="3" t="str">
        <x:v>UPI</x:v>
      </x:c>
      <x:c r="N796" s="3"/>
      <x:c r="O796" s="3"/>
      <x:c r="P796" s="3"/>
      <x:c r="Q796" s="3"/>
    </x:row>
    <x:row r="797" ht="21" customHeight="1">
      <x:c r="A797" s="3" t="str">
        <x:v>ORD-101919</x:v>
      </x:c>
      <x:c r="B797" s="5" t="n">
        <x:v>45519</x:v>
      </x:c>
      <x:c r="C797" s="3" t="str">
        <x:v>CUST-00072</x:v>
      </x:c>
      <x:c r="D797" s="3" t="str">
        <x:v>East</x:v>
      </x:c>
      <x:c r="E797" s="3" t="str">
        <x:v>Home &amp; Kitchen</x:v>
      </x:c>
      <x:c r="F797" s="3" t="str">
        <x:v>Furniture</x:v>
      </x:c>
      <x:c r="G797" s="3" t="str">
        <x:v>Oakwood Study Desk</x:v>
      </x:c>
      <x:c r="H797" s="3" t="n">
        <x:v>4</x:v>
      </x:c>
      <x:c r="I797" s="7" t="n">
        <x:v>12971.69</x:v>
      </x:c>
      <x:c r="J797" s="9" t="n">
        <x:v>0.05</x:v>
      </x:c>
      <x:c r="K797" s="7" t="n">
        <x:v>49292.42</x:v>
      </x:c>
      <x:c r="L797" s="7" t="n">
        <x:v>12975.73</x:v>
      </x:c>
      <x:c r="M797" s="3" t="str">
        <x:v>Debit Card</x:v>
      </x:c>
      <x:c r="N797" s="3"/>
      <x:c r="O797" s="3"/>
      <x:c r="P797" s="3"/>
      <x:c r="Q797" s="3"/>
    </x:row>
    <x:row r="798" ht="21" customHeight="1">
      <x:c r="A798" s="3" t="str">
        <x:v>ORD-100285</x:v>
      </x:c>
      <x:c r="B798" s="5" t="n">
        <x:v>45520</x:v>
      </x:c>
      <x:c r="C798" s="3" t="str">
        <x:v>CUST-00388</x:v>
      </x:c>
      <x:c r="D798" s="3" t="str">
        <x:v>West</x:v>
      </x:c>
      <x:c r="E798" s="3" t="str">
        <x:v>Beauty</x:v>
      </x:c>
      <x:c r="F798" s="3" t="str">
        <x:v>Makeup</x:v>
      </x:c>
      <x:c r="G798" s="3" t="str">
        <x:v>HD Foundation Kit</x:v>
      </x:c>
      <x:c r="H798" s="3" t="n">
        <x:v>3</x:v>
      </x:c>
      <x:c r="I798" s="7" t="n">
        <x:v>1497.75</x:v>
      </x:c>
      <x:c r="J798" s="9" t="n">
        <x:v>0</x:v>
      </x:c>
      <x:c r="K798" s="7" t="n">
        <x:v>4493.25</x:v>
      </x:c>
      <x:c r="L798" s="7" t="n">
        <x:v>2378.15</x:v>
      </x:c>
      <x:c r="M798" s="3" t="str">
        <x:v>UPI</x:v>
      </x:c>
      <x:c r="N798" s="3"/>
      <x:c r="O798" s="3"/>
      <x:c r="P798" s="3"/>
      <x:c r="Q798" s="3"/>
    </x:row>
    <x:row r="799" ht="21" customHeight="1">
      <x:c r="A799" s="3" t="str">
        <x:v>ORD-100663</x:v>
      </x:c>
      <x:c r="B799" s="5" t="n">
        <x:v>45520</x:v>
      </x:c>
      <x:c r="C799" s="3" t="str">
        <x:v>CUST-00298</x:v>
      </x:c>
      <x:c r="D799" s="3" t="str">
        <x:v>South</x:v>
      </x:c>
      <x:c r="E799" s="3" t="str">
        <x:v>Fashion</x:v>
      </x:c>
      <x:c r="F799" s="3" t="str">
        <x:v>Footwear</x:v>
      </x:c>
      <x:c r="G799" s="3" t="str">
        <x:v>RunFlex Sneakers</x:v>
      </x:c>
      <x:c r="H799" s="3" t="n">
        <x:v>2</x:v>
      </x:c>
      <x:c r="I799" s="7" t="n">
        <x:v>3064.21</x:v>
      </x:c>
      <x:c r="J799" s="9" t="n">
        <x:v>0.05</x:v>
      </x:c>
      <x:c r="K799" s="7" t="n">
        <x:v>5822</x:v>
      </x:c>
      <x:c r="L799" s="7" t="n">
        <x:v>2220.4</x:v>
      </x:c>
      <x:c r="M799" s="3" t="str">
        <x:v>Credit Card</x:v>
      </x:c>
      <x:c r="N799" s="3"/>
      <x:c r="O799" s="3"/>
      <x:c r="P799" s="3"/>
      <x:c r="Q799" s="3"/>
    </x:row>
    <x:row r="800" ht="21" customHeight="1">
      <x:c r="A800" s="3" t="str">
        <x:v>ORD-101524</x:v>
      </x:c>
      <x:c r="B800" s="5" t="n">
        <x:v>45520</x:v>
      </x:c>
      <x:c r="C800" s="3" t="str">
        <x:v>CUST-00335</x:v>
      </x:c>
      <x:c r="D800" s="3" t="str">
        <x:v>East</x:v>
      </x:c>
      <x:c r="E800" s="3" t="str">
        <x:v>Sports</x:v>
      </x:c>
      <x:c r="F800" s="3" t="str">
        <x:v>Fitness</x:v>
      </x:c>
      <x:c r="G800" s="3" t="str">
        <x:v>Adjustable Dumbbell 24kg</x:v>
      </x:c>
      <x:c r="H800" s="3" t="n">
        <x:v>1</x:v>
      </x:c>
      <x:c r="I800" s="7" t="n">
        <x:v>9887.81</x:v>
      </x:c>
      <x:c r="J800" s="9" t="n">
        <x:v>0.05</x:v>
      </x:c>
      <x:c r="K800" s="7" t="n">
        <x:v>9393.42</x:v>
      </x:c>
      <x:c r="L800" s="7" t="n">
        <x:v>3060.33</x:v>
      </x:c>
      <x:c r="M800" s="3" t="str">
        <x:v>UPI</x:v>
      </x:c>
      <x:c r="N800" s="3"/>
      <x:c r="O800" s="3"/>
      <x:c r="P800" s="3"/>
      <x:c r="Q800" s="3"/>
    </x:row>
    <x:row r="801" ht="21" customHeight="1">
      <x:c r="A801" s="3" t="str">
        <x:v>ORD-101703</x:v>
      </x:c>
      <x:c r="B801" s="5" t="n">
        <x:v>45520</x:v>
      </x:c>
      <x:c r="C801" s="3" t="str">
        <x:v>CUST-00255</x:v>
      </x:c>
      <x:c r="D801" s="3" t="str">
        <x:v>North</x:v>
      </x:c>
      <x:c r="E801" s="3" t="str">
        <x:v>Fashion</x:v>
      </x:c>
      <x:c r="F801" s="3" t="str">
        <x:v>Women</x:v>
      </x:c>
      <x:c r="G801" s="3" t="str">
        <x:v>Floral Summer Dress</x:v>
      </x:c>
      <x:c r="H801" s="3" t="n">
        <x:v>2</x:v>
      </x:c>
      <x:c r="I801" s="7" t="n">
        <x:v>1782.42</x:v>
      </x:c>
      <x:c r="J801" s="9" t="n">
        <x:v>0.05</x:v>
      </x:c>
      <x:c r="K801" s="7" t="n">
        <x:v>3386.6</x:v>
      </x:c>
      <x:c r="L801" s="7" t="n">
        <x:v>1097.21</x:v>
      </x:c>
      <x:c r="M801" s="3" t="str">
        <x:v>Net Banking</x:v>
      </x:c>
      <x:c r="N801" s="3"/>
      <x:c r="O801" s="3"/>
      <x:c r="P801" s="3"/>
      <x:c r="Q801" s="3"/>
    </x:row>
    <x:row r="802" ht="21" customHeight="1">
      <x:c r="A802" s="3" t="str">
        <x:v>ORD-100222</x:v>
      </x:c>
      <x:c r="B802" s="5" t="n">
        <x:v>45521</x:v>
      </x:c>
      <x:c r="C802" s="3" t="str">
        <x:v>CUST-00427</x:v>
      </x:c>
      <x:c r="D802" s="3" t="str">
        <x:v>East</x:v>
      </x:c>
      <x:c r="E802" s="3" t="str">
        <x:v>Home &amp; Kitchen</x:v>
      </x:c>
      <x:c r="F802" s="3" t="str">
        <x:v>Decor</x:v>
      </x:c>
      <x:c r="G802" s="3" t="str">
        <x:v>Ceramic Vase Set</x:v>
      </x:c>
      <x:c r="H802" s="3" t="n">
        <x:v>1</x:v>
      </x:c>
      <x:c r="I802" s="7" t="n">
        <x:v>1429.35</x:v>
      </x:c>
      <x:c r="J802" s="9" t="n">
        <x:v>0.3</x:v>
      </x:c>
      <x:c r="K802" s="7" t="n">
        <x:v>1000.54</x:v>
      </x:c>
      <x:c r="L802" s="7" t="n">
        <x:v>9.25</x:v>
      </x:c>
      <x:c r="M802" s="3" t="str">
        <x:v>Credit Card</x:v>
      </x:c>
      <x:c r="N802" s="3"/>
      <x:c r="O802" s="3"/>
      <x:c r="P802" s="3"/>
      <x:c r="Q802" s="3"/>
    </x:row>
    <x:row r="803" ht="21" customHeight="1">
      <x:c r="A803" s="3" t="str">
        <x:v>ORD-100529</x:v>
      </x:c>
      <x:c r="B803" s="5" t="n">
        <x:v>45521</x:v>
      </x:c>
      <x:c r="C803" s="3" t="str">
        <x:v>CUST-00024</x:v>
      </x:c>
      <x:c r="D803" s="3" t="str">
        <x:v>West</x:v>
      </x:c>
      <x:c r="E803" s="3" t="str">
        <x:v>Home &amp; Kitchen</x:v>
      </x:c>
      <x:c r="F803" s="3" t="str">
        <x:v>Furniture</x:v>
      </x:c>
      <x:c r="G803" s="3" t="str">
        <x:v>ErgoComfort Chair</x:v>
      </x:c>
      <x:c r="H803" s="3" t="n">
        <x:v>3</x:v>
      </x:c>
      <x:c r="I803" s="7" t="n">
        <x:v>8922.06</x:v>
      </x:c>
      <x:c r="J803" s="9" t="n">
        <x:v>0</x:v>
      </x:c>
      <x:c r="K803" s="7" t="n">
        <x:v>26766.18</x:v>
      </x:c>
      <x:c r="L803" s="7" t="n">
        <x:v>8151.67</x:v>
      </x:c>
      <x:c r="M803" s="3" t="str">
        <x:v>Cash on Delivery</x:v>
      </x:c>
      <x:c r="N803" s="3"/>
      <x:c r="O803" s="3"/>
      <x:c r="P803" s="3"/>
      <x:c r="Q803" s="3"/>
    </x:row>
    <x:row r="804" ht="21" customHeight="1">
      <x:c r="A804" s="3" t="str">
        <x:v>ORD-100595</x:v>
      </x:c>
      <x:c r="B804" s="5" t="n">
        <x:v>45521</x:v>
      </x:c>
      <x:c r="C804" s="3" t="str">
        <x:v>CUST-00431</x:v>
      </x:c>
      <x:c r="D804" s="3" t="str">
        <x:v>South</x:v>
      </x:c>
      <x:c r="E804" s="3" t="str">
        <x:v>Electronics</x:v>
      </x:c>
      <x:c r="F804" s="3" t="str">
        <x:v>Laptop</x:v>
      </x:c>
      <x:c r="G804" s="3" t="str">
        <x:v>AirBook Slim</x:v>
      </x:c>
      <x:c r="H804" s="3" t="n">
        <x:v>3</x:v>
      </x:c>
      <x:c r="I804" s="7" t="n">
        <x:v>76010.61</x:v>
      </x:c>
      <x:c r="J804" s="9" t="n">
        <x:v>0.05</x:v>
      </x:c>
      <x:c r="K804" s="7" t="n">
        <x:v>216630.24</x:v>
      </x:c>
      <x:c r="L804" s="7" t="n">
        <x:v>26854.27</x:v>
      </x:c>
      <x:c r="M804" s="3" t="str">
        <x:v>Credit Card</x:v>
      </x:c>
      <x:c r="N804" s="3"/>
      <x:c r="O804" s="3"/>
      <x:c r="P804" s="3"/>
      <x:c r="Q804" s="3"/>
    </x:row>
    <x:row r="805" ht="21" customHeight="1">
      <x:c r="A805" s="3" t="str">
        <x:v>ORD-100717</x:v>
      </x:c>
      <x:c r="B805" s="5" t="n">
        <x:v>45521</x:v>
      </x:c>
      <x:c r="C805" s="3" t="str">
        <x:v>CUST-00438</x:v>
      </x:c>
      <x:c r="D805" s="3" t="str">
        <x:v>West</x:v>
      </x:c>
      <x:c r="E805" s="3" t="str">
        <x:v>Beauty</x:v>
      </x:c>
      <x:c r="F805" s="3" t="str">
        <x:v>Skincare</x:v>
      </x:c>
      <x:c r="G805" s="3" t="str">
        <x:v>Vitamin C Serum</x:v>
      </x:c>
      <x:c r="H805" s="3" t="n">
        <x:v>3</x:v>
      </x:c>
      <x:c r="I805" s="7" t="n">
        <x:v>880.73</x:v>
      </x:c>
      <x:c r="J805" s="9" t="n">
        <x:v>0</x:v>
      </x:c>
      <x:c r="K805" s="7" t="n">
        <x:v>2642.19</x:v>
      </x:c>
      <x:c r="L805" s="7" t="n">
        <x:v>1455.64</x:v>
      </x:c>
      <x:c r="M805" s="3" t="str">
        <x:v>UPI</x:v>
      </x:c>
      <x:c r="N805" s="3"/>
      <x:c r="O805" s="3"/>
      <x:c r="P805" s="3"/>
      <x:c r="Q805" s="3"/>
    </x:row>
    <x:row r="806" ht="21" customHeight="1">
      <x:c r="A806" s="3" t="str">
        <x:v>ORD-100835</x:v>
      </x:c>
      <x:c r="B806" s="5" t="n">
        <x:v>45521</x:v>
      </x:c>
      <x:c r="C806" s="3" t="str">
        <x:v>CUST-00589</x:v>
      </x:c>
      <x:c r="D806" s="3" t="str">
        <x:v>East</x:v>
      </x:c>
      <x:c r="E806" s="3" t="str">
        <x:v>Beauty</x:v>
      </x:c>
      <x:c r="F806" s="3" t="str">
        <x:v>Makeup</x:v>
      </x:c>
      <x:c r="G806" s="3" t="str">
        <x:v>Matte Lipstick Set</x:v>
      </x:c>
      <x:c r="H806" s="3" t="n">
        <x:v>1</x:v>
      </x:c>
      <x:c r="I806" s="7" t="n">
        <x:v>1014.69</x:v>
      </x:c>
      <x:c r="J806" s="9" t="n">
        <x:v>0.1</x:v>
      </x:c>
      <x:c r="K806" s="7" t="n">
        <x:v>913.22</x:v>
      </x:c>
      <x:c r="L806" s="7" t="n">
        <x:v>371.69</x:v>
      </x:c>
      <x:c r="M806" s="3" t="str">
        <x:v>Credit Card</x:v>
      </x:c>
      <x:c r="N806" s="3"/>
      <x:c r="O806" s="3"/>
      <x:c r="P806" s="3"/>
      <x:c r="Q806" s="3"/>
    </x:row>
    <x:row r="807" ht="21" customHeight="1">
      <x:c r="A807" s="3" t="str">
        <x:v>ORD-101307</x:v>
      </x:c>
      <x:c r="B807" s="5" t="n">
        <x:v>45521</x:v>
      </x:c>
      <x:c r="C807" s="3" t="str">
        <x:v>CUST-00204</x:v>
      </x:c>
      <x:c r="D807" s="3" t="str">
        <x:v>North</x:v>
      </x:c>
      <x:c r="E807" s="3" t="str">
        <x:v>Fashion</x:v>
      </x:c>
      <x:c r="F807" s="3" t="str">
        <x:v>Footwear</x:v>
      </x:c>
      <x:c r="G807" s="3" t="str">
        <x:v>RunFlex Sneakers</x:v>
      </x:c>
      <x:c r="H807" s="3" t="n">
        <x:v>1</x:v>
      </x:c>
      <x:c r="I807" s="7" t="n">
        <x:v>2925.68</x:v>
      </x:c>
      <x:c r="J807" s="9" t="n">
        <x:v>0</x:v>
      </x:c>
      <x:c r="K807" s="7" t="n">
        <x:v>2925.68</x:v>
      </x:c>
      <x:c r="L807" s="7" t="n">
        <x:v>1254.26</x:v>
      </x:c>
      <x:c r="M807" s="3" t="str">
        <x:v>Credit Card</x:v>
      </x:c>
      <x:c r="N807" s="3"/>
      <x:c r="O807" s="3"/>
      <x:c r="P807" s="3"/>
      <x:c r="Q807" s="3"/>
    </x:row>
    <x:row r="808" ht="21" customHeight="1">
      <x:c r="A808" s="3" t="str">
        <x:v>ORD-101837</x:v>
      </x:c>
      <x:c r="B808" s="5" t="n">
        <x:v>45521</x:v>
      </x:c>
      <x:c r="C808" s="3" t="str">
        <x:v>CUST-00218</x:v>
      </x:c>
      <x:c r="D808" s="3" t="str">
        <x:v>North</x:v>
      </x:c>
      <x:c r="E808" s="3" t="str">
        <x:v>Sports</x:v>
      </x:c>
      <x:c r="F808" s="3" t="str">
        <x:v>Fitness</x:v>
      </x:c>
      <x:c r="G808" s="3" t="str">
        <x:v>ProYoga Mat</x:v>
      </x:c>
      <x:c r="H808" s="3" t="n">
        <x:v>2</x:v>
      </x:c>
      <x:c r="I808" s="7" t="n">
        <x:v>1324.7</x:v>
      </x:c>
      <x:c r="J808" s="9" t="n">
        <x:v>0.2</x:v>
      </x:c>
      <x:c r="K808" s="7" t="n">
        <x:v>2119.52</x:v>
      </x:c>
      <x:c r="L808" s="7" t="n">
        <x:v>304.08</x:v>
      </x:c>
      <x:c r="M808" s="3" t="str">
        <x:v>Credit Card</x:v>
      </x:c>
      <x:c r="N808" s="3"/>
      <x:c r="O808" s="3"/>
      <x:c r="P808" s="3"/>
      <x:c r="Q808" s="3"/>
    </x:row>
    <x:row r="809" ht="21" customHeight="1">
      <x:c r="A809" s="3" t="str">
        <x:v>ORD-100473</x:v>
      </x:c>
      <x:c r="B809" s="5" t="n">
        <x:v>45522</x:v>
      </x:c>
      <x:c r="C809" s="3" t="str">
        <x:v>CUST-00274</x:v>
      </x:c>
      <x:c r="D809" s="3" t="str">
        <x:v>West</x:v>
      </x:c>
      <x:c r="E809" s="3" t="str">
        <x:v>Fashion</x:v>
      </x:c>
      <x:c r="F809" s="3" t="str">
        <x:v>Women</x:v>
      </x:c>
      <x:c r="G809" s="3" t="str">
        <x:v>Floral Summer Dress</x:v>
      </x:c>
      <x:c r="H809" s="3" t="n">
        <x:v>1</x:v>
      </x:c>
      <x:c r="I809" s="7" t="n">
        <x:v>1841.7</x:v>
      </x:c>
      <x:c r="J809" s="9" t="n">
        <x:v>0.1</x:v>
      </x:c>
      <x:c r="K809" s="7" t="n">
        <x:v>1657.53</x:v>
      </x:c>
      <x:c r="L809" s="7" t="n">
        <x:v>539</x:v>
      </x:c>
      <x:c r="M809" s="3" t="str">
        <x:v>Debit Card</x:v>
      </x:c>
      <x:c r="N809" s="3"/>
      <x:c r="O809" s="3"/>
      <x:c r="P809" s="3"/>
      <x:c r="Q809" s="3"/>
    </x:row>
    <x:row r="810" ht="21" customHeight="1">
      <x:c r="A810" s="3" t="str">
        <x:v>ORD-101434</x:v>
      </x:c>
      <x:c r="B810" s="5" t="n">
        <x:v>45522</x:v>
      </x:c>
      <x:c r="C810" s="3" t="str">
        <x:v>CUST-00434</x:v>
      </x:c>
      <x:c r="D810" s="3" t="str">
        <x:v>West</x:v>
      </x:c>
      <x:c r="E810" s="3" t="str">
        <x:v>Sports</x:v>
      </x:c>
      <x:c r="F810" s="3" t="str">
        <x:v>Fitness</x:v>
      </x:c>
      <x:c r="G810" s="3" t="str">
        <x:v>ProYoga Mat</x:v>
      </x:c>
      <x:c r="H810" s="3" t="n">
        <x:v>4</x:v>
      </x:c>
      <x:c r="I810" s="7" t="n">
        <x:v>1256.69</x:v>
      </x:c>
      <x:c r="J810" s="9" t="n">
        <x:v>0.1</x:v>
      </x:c>
      <x:c r="K810" s="7" t="n">
        <x:v>4524.08</x:v>
      </x:c>
      <x:c r="L810" s="7" t="n">
        <x:v>1121.91</x:v>
      </x:c>
      <x:c r="M810" s="3" t="str">
        <x:v>Credit Card</x:v>
      </x:c>
      <x:c r="N810" s="3"/>
      <x:c r="O810" s="3"/>
      <x:c r="P810" s="3"/>
      <x:c r="Q810" s="3"/>
    </x:row>
    <x:row r="811" ht="21" customHeight="1">
      <x:c r="A811" s="3" t="str">
        <x:v>ORD-101676</x:v>
      </x:c>
      <x:c r="B811" s="5" t="n">
        <x:v>45522</x:v>
      </x:c>
      <x:c r="C811" s="3" t="str">
        <x:v>CUST-00141</x:v>
      </x:c>
      <x:c r="D811" s="3" t="str">
        <x:v>East</x:v>
      </x:c>
      <x:c r="E811" s="3" t="str">
        <x:v>Beauty</x:v>
      </x:c>
      <x:c r="F811" s="3" t="str">
        <x:v>Makeup</x:v>
      </x:c>
      <x:c r="G811" s="3" t="str">
        <x:v>HD Foundation Kit</x:v>
      </x:c>
      <x:c r="H811" s="3" t="n">
        <x:v>2</x:v>
      </x:c>
      <x:c r="I811" s="7" t="n">
        <x:v>1448.86</x:v>
      </x:c>
      <x:c r="J811" s="9" t="n">
        <x:v>0.4</x:v>
      </x:c>
      <x:c r="K811" s="7" t="n">
        <x:v>1738.63</x:v>
      </x:c>
      <x:c r="L811" s="7" t="n">
        <x:v>208.52</x:v>
      </x:c>
      <x:c r="M811" s="3" t="str">
        <x:v>UPI</x:v>
      </x:c>
      <x:c r="N811" s="3"/>
      <x:c r="O811" s="3"/>
      <x:c r="P811" s="3"/>
      <x:c r="Q811" s="3"/>
    </x:row>
    <x:row r="812" ht="21" customHeight="1">
      <x:c r="A812" s="3" t="str">
        <x:v>ORD-100514</x:v>
      </x:c>
      <x:c r="B812" s="5" t="n">
        <x:v>45523</x:v>
      </x:c>
      <x:c r="C812" s="3" t="str">
        <x:v>CUST-00095</x:v>
      </x:c>
      <x:c r="D812" s="3" t="str">
        <x:v>West</x:v>
      </x:c>
      <x:c r="E812" s="3" t="str">
        <x:v>Fashion</x:v>
      </x:c>
      <x:c r="F812" s="3" t="str">
        <x:v>Women</x:v>
      </x:c>
      <x:c r="G812" s="3" t="str">
        <x:v>Floral Summer Dress</x:v>
      </x:c>
      <x:c r="H812" s="3" t="n">
        <x:v>3</x:v>
      </x:c>
      <x:c r="I812" s="7" t="n">
        <x:v>1760.75</x:v>
      </x:c>
      <x:c r="J812" s="9" t="n">
        <x:v>0.1</x:v>
      </x:c>
      <x:c r="K812" s="7" t="n">
        <x:v>4754.03</x:v>
      </x:c>
      <x:c r="L812" s="7" t="n">
        <x:v>1277.9</x:v>
      </x:c>
      <x:c r="M812" s="3" t="str">
        <x:v>UPI</x:v>
      </x:c>
      <x:c r="N812" s="3"/>
      <x:c r="O812" s="3"/>
      <x:c r="P812" s="3"/>
      <x:c r="Q812" s="3"/>
    </x:row>
    <x:row r="813" ht="21" customHeight="1">
      <x:c r="A813" s="3" t="str">
        <x:v>ORD-101185</x:v>
      </x:c>
      <x:c r="B813" s="5" t="n">
        <x:v>45523</x:v>
      </x:c>
      <x:c r="C813" s="3" t="str">
        <x:v>CUST-00033</x:v>
      </x:c>
      <x:c r="D813" s="3" t="str">
        <x:v>South</x:v>
      </x:c>
      <x:c r="E813" s="3" t="str">
        <x:v>Fashion</x:v>
      </x:c>
      <x:c r="F813" s="3" t="str">
        <x:v>Footwear</x:v>
      </x:c>
      <x:c r="G813" s="3" t="str">
        <x:v>RunFlex Sneakers</x:v>
      </x:c>
      <x:c r="H813" s="3" t="n">
        <x:v>2</x:v>
      </x:c>
      <x:c r="I813" s="7" t="n">
        <x:v>2911.75</x:v>
      </x:c>
      <x:c r="J813" s="9" t="n">
        <x:v>0</x:v>
      </x:c>
      <x:c r="K813" s="7" t="n">
        <x:v>5823.5</x:v>
      </x:c>
      <x:c r="L813" s="7" t="n">
        <x:v>2274.72</x:v>
      </x:c>
      <x:c r="M813" s="3" t="str">
        <x:v>Credit Card</x:v>
      </x:c>
      <x:c r="N813" s="3"/>
      <x:c r="O813" s="3"/>
      <x:c r="P813" s="3"/>
      <x:c r="Q813" s="3"/>
    </x:row>
    <x:row r="814" ht="21" customHeight="1">
      <x:c r="A814" s="3" t="str">
        <x:v>ORD-101209</x:v>
      </x:c>
      <x:c r="B814" s="5" t="n">
        <x:v>45523</x:v>
      </x:c>
      <x:c r="C814" s="3" t="str">
        <x:v>CUST-00417</x:v>
      </x:c>
      <x:c r="D814" s="3" t="str">
        <x:v>North</x:v>
      </x:c>
      <x:c r="E814" s="3" t="str">
        <x:v>Beauty</x:v>
      </x:c>
      <x:c r="F814" s="3" t="str">
        <x:v>Skincare</x:v>
      </x:c>
      <x:c r="G814" s="3" t="str">
        <x:v>Vitamin C Serum</x:v>
      </x:c>
      <x:c r="H814" s="3" t="n">
        <x:v>1</x:v>
      </x:c>
      <x:c r="I814" s="7" t="n">
        <x:v>915.07</x:v>
      </x:c>
      <x:c r="J814" s="9" t="n">
        <x:v>0</x:v>
      </x:c>
      <x:c r="K814" s="7" t="n">
        <x:v>915.07</x:v>
      </x:c>
      <x:c r="L814" s="7" t="n">
        <x:v>502.75</x:v>
      </x:c>
      <x:c r="M814" s="3" t="str">
        <x:v>Credit Card</x:v>
      </x:c>
      <x:c r="N814" s="3"/>
      <x:c r="O814" s="3"/>
      <x:c r="P814" s="3"/>
      <x:c r="Q814" s="3"/>
    </x:row>
    <x:row r="815" ht="21" customHeight="1">
      <x:c r="A815" s="3" t="str">
        <x:v>ORD-101732</x:v>
      </x:c>
      <x:c r="B815" s="5" t="n">
        <x:v>45523</x:v>
      </x:c>
      <x:c r="C815" s="3" t="str">
        <x:v>CUST-00482</x:v>
      </x:c>
      <x:c r="D815" s="3" t="str">
        <x:v>North</x:v>
      </x:c>
      <x:c r="E815" s="3" t="str">
        <x:v>Electronics</x:v>
      </x:c>
      <x:c r="F815" s="3" t="str">
        <x:v>Audio</x:v>
      </x:c>
      <x:c r="G815" s="3" t="str">
        <x:v>BassBoom Speaker</x:v>
      </x:c>
      <x:c r="H815" s="3" t="n">
        <x:v>1</x:v>
      </x:c>
      <x:c r="I815" s="7" t="n">
        <x:v>9267.82</x:v>
      </x:c>
      <x:c r="J815" s="9" t="n">
        <x:v>0.4</x:v>
      </x:c>
      <x:c r="K815" s="7" t="n">
        <x:v>5560.69</x:v>
      </x:c>
      <x:c r="L815" s="7" t="n">
        <x:v>-1480.37</x:v>
      </x:c>
      <x:c r="M815" s="3" t="str">
        <x:v>UPI</x:v>
      </x:c>
      <x:c r="N815" s="3"/>
      <x:c r="O815" s="3"/>
      <x:c r="P815" s="3"/>
      <x:c r="Q815" s="3"/>
    </x:row>
    <x:row r="816" ht="21" customHeight="1">
      <x:c r="A816" s="3" t="str">
        <x:v>ORD-100830</x:v>
      </x:c>
      <x:c r="B816" s="5" t="n">
        <x:v>45524</x:v>
      </x:c>
      <x:c r="C816" s="3" t="str">
        <x:v>CUST-00151</x:v>
      </x:c>
      <x:c r="D816" s="3" t="str">
        <x:v>North</x:v>
      </x:c>
      <x:c r="E816" s="3" t="str">
        <x:v>Electronics</x:v>
      </x:c>
      <x:c r="F816" s="3" t="str">
        <x:v>Laptop</x:v>
      </x:c>
      <x:c r="G816" s="3" t="str">
        <x:v>AirBook Slim</x:v>
      </x:c>
      <x:c r="H816" s="3" t="n">
        <x:v>4</x:v>
      </x:c>
      <x:c r="I816" s="7" t="n">
        <x:v>77087.28</x:v>
      </x:c>
      <x:c r="J816" s="9" t="n">
        <x:v>0.05</x:v>
      </x:c>
      <x:c r="K816" s="7" t="n">
        <x:v>292931.66</x:v>
      </x:c>
      <x:c r="L816" s="7" t="n">
        <x:v>42603.65</x:v>
      </x:c>
      <x:c r="M816" s="3" t="str">
        <x:v>Credit Card</x:v>
      </x:c>
      <x:c r="N816" s="3"/>
      <x:c r="O816" s="3"/>
      <x:c r="P816" s="3"/>
      <x:c r="Q816" s="3"/>
    </x:row>
    <x:row r="817" ht="21" customHeight="1">
      <x:c r="A817" s="3" t="str">
        <x:v>ORD-101501</x:v>
      </x:c>
      <x:c r="B817" s="5" t="n">
        <x:v>45524</x:v>
      </x:c>
      <x:c r="C817" s="3" t="str">
        <x:v>CUST-00570</x:v>
      </x:c>
      <x:c r="D817" s="3" t="str">
        <x:v>East</x:v>
      </x:c>
      <x:c r="E817" s="3" t="str">
        <x:v>Beauty</x:v>
      </x:c>
      <x:c r="F817" s="3" t="str">
        <x:v>Skincare</x:v>
      </x:c>
      <x:c r="G817" s="3" t="str">
        <x:v>Vitamin C Serum</x:v>
      </x:c>
      <x:c r="H817" s="3" t="n">
        <x:v>1</x:v>
      </x:c>
      <x:c r="I817" s="7" t="n">
        <x:v>892.9</x:v>
      </x:c>
      <x:c r="J817" s="9" t="n">
        <x:v>0.1</x:v>
      </x:c>
      <x:c r="K817" s="7" t="n">
        <x:v>803.61</x:v>
      </x:c>
      <x:c r="L817" s="7" t="n">
        <x:v>370.31</x:v>
      </x:c>
      <x:c r="M817" s="3" t="str">
        <x:v>Cash on Delivery</x:v>
      </x:c>
      <x:c r="N817" s="3"/>
      <x:c r="O817" s="3"/>
      <x:c r="P817" s="3"/>
      <x:c r="Q817" s="3"/>
    </x:row>
    <x:row r="818" ht="21" customHeight="1">
      <x:c r="A818" s="3" t="str">
        <x:v>ORD-101677</x:v>
      </x:c>
      <x:c r="B818" s="5" t="n">
        <x:v>45524</x:v>
      </x:c>
      <x:c r="C818" s="3" t="str">
        <x:v>CUST-00346</x:v>
      </x:c>
      <x:c r="D818" s="3" t="str">
        <x:v>North</x:v>
      </x:c>
      <x:c r="E818" s="3" t="str">
        <x:v>Sports</x:v>
      </x:c>
      <x:c r="F818" s="3" t="str">
        <x:v>Fitness</x:v>
      </x:c>
      <x:c r="G818" s="3" t="str">
        <x:v>Adjustable Dumbbell 24kg</x:v>
      </x:c>
      <x:c r="H818" s="3" t="n">
        <x:v>2</x:v>
      </x:c>
      <x:c r="I818" s="7" t="n">
        <x:v>10014.72</x:v>
      </x:c>
      <x:c r="J818" s="9" t="n">
        <x:v>0</x:v>
      </x:c>
      <x:c r="K818" s="7" t="n">
        <x:v>20029.44</x:v>
      </x:c>
      <x:c r="L818" s="7" t="n">
        <x:v>7986.05</x:v>
      </x:c>
      <x:c r="M818" s="3" t="str">
        <x:v>Credit Card</x:v>
      </x:c>
      <x:c r="N818" s="3"/>
      <x:c r="O818" s="3"/>
      <x:c r="P818" s="3"/>
      <x:c r="Q818" s="3"/>
    </x:row>
    <x:row r="819" ht="21" customHeight="1">
      <x:c r="A819" s="3" t="str">
        <x:v>ORD-101782</x:v>
      </x:c>
      <x:c r="B819" s="5" t="n">
        <x:v>45524</x:v>
      </x:c>
      <x:c r="C819" s="3" t="str">
        <x:v>CUST-00451</x:v>
      </x:c>
      <x:c r="D819" s="3" t="str">
        <x:v>West</x:v>
      </x:c>
      <x:c r="E819" s="3" t="str">
        <x:v>Beauty</x:v>
      </x:c>
      <x:c r="F819" s="3" t="str">
        <x:v>Skincare</x:v>
      </x:c>
      <x:c r="G819" s="3" t="str">
        <x:v>HydraBoost Moisturizer</x:v>
      </x:c>
      <x:c r="H819" s="3" t="n">
        <x:v>1</x:v>
      </x:c>
      <x:c r="I819" s="7" t="n">
        <x:v>1243.48</x:v>
      </x:c>
      <x:c r="J819" s="9" t="n">
        <x:v>0.1</x:v>
      </x:c>
      <x:c r="K819" s="7" t="n">
        <x:v>1119.13</x:v>
      </x:c>
      <x:c r="L819" s="7" t="n">
        <x:v>484.01</x:v>
      </x:c>
      <x:c r="M819" s="3" t="str">
        <x:v>UPI</x:v>
      </x:c>
      <x:c r="N819" s="3"/>
      <x:c r="O819" s="3"/>
      <x:c r="P819" s="3"/>
      <x:c r="Q819" s="3"/>
    </x:row>
    <x:row r="820" ht="21" customHeight="1">
      <x:c r="A820" s="3" t="str">
        <x:v>ORD-101804</x:v>
      </x:c>
      <x:c r="B820" s="5" t="n">
        <x:v>45524</x:v>
      </x:c>
      <x:c r="C820" s="3" t="str">
        <x:v>CUST-00308</x:v>
      </x:c>
      <x:c r="D820" s="3" t="str">
        <x:v>East</x:v>
      </x:c>
      <x:c r="E820" s="3" t="str">
        <x:v>Beauty</x:v>
      </x:c>
      <x:c r="F820" s="3" t="str">
        <x:v>Skincare</x:v>
      </x:c>
      <x:c r="G820" s="3" t="str">
        <x:v>Vitamin C Serum</x:v>
      </x:c>
      <x:c r="H820" s="3" t="n">
        <x:v>1</x:v>
      </x:c>
      <x:c r="I820" s="7" t="n">
        <x:v>883.85</x:v>
      </x:c>
      <x:c r="J820" s="9" t="n">
        <x:v>0.2</x:v>
      </x:c>
      <x:c r="K820" s="7" t="n">
        <x:v>707.08</x:v>
      </x:c>
      <x:c r="L820" s="7" t="n">
        <x:v>218.82</x:v>
      </x:c>
      <x:c r="M820" s="3" t="str">
        <x:v>UPI</x:v>
      </x:c>
      <x:c r="N820" s="3"/>
      <x:c r="O820" s="3"/>
      <x:c r="P820" s="3"/>
      <x:c r="Q820" s="3"/>
    </x:row>
    <x:row r="821" ht="21" customHeight="1">
      <x:c r="A821" s="3" t="str">
        <x:v>ORD-101886</x:v>
      </x:c>
      <x:c r="B821" s="5" t="n">
        <x:v>45524</x:v>
      </x:c>
      <x:c r="C821" s="3" t="str">
        <x:v>CUST-00353</x:v>
      </x:c>
      <x:c r="D821" s="3" t="str">
        <x:v>East</x:v>
      </x:c>
      <x:c r="E821" s="3" t="str">
        <x:v>Beauty</x:v>
      </x:c>
      <x:c r="F821" s="3" t="str">
        <x:v>Makeup</x:v>
      </x:c>
      <x:c r="G821" s="3" t="str">
        <x:v>HD Foundation Kit</x:v>
      </x:c>
      <x:c r="H821" s="3" t="n">
        <x:v>5</x:v>
      </x:c>
      <x:c r="I821" s="7" t="n">
        <x:v>1533.04</x:v>
      </x:c>
      <x:c r="J821" s="9" t="n">
        <x:v>0.05</x:v>
      </x:c>
      <x:c r="K821" s="7" t="n">
        <x:v>7281.94</x:v>
      </x:c>
      <x:c r="L821" s="7" t="n">
        <x:v>3632.59</x:v>
      </x:c>
      <x:c r="M821" s="3" t="str">
        <x:v>Net Banking</x:v>
      </x:c>
      <x:c r="N821" s="3"/>
      <x:c r="O821" s="3"/>
      <x:c r="P821" s="3"/>
      <x:c r="Q821" s="3"/>
    </x:row>
    <x:row r="822" ht="21" customHeight="1">
      <x:c r="A822" s="3" t="str">
        <x:v>ORD-100831</x:v>
      </x:c>
      <x:c r="B822" s="5" t="n">
        <x:v>45525</x:v>
      </x:c>
      <x:c r="C822" s="3" t="str">
        <x:v>CUST-00266</x:v>
      </x:c>
      <x:c r="D822" s="3" t="str">
        <x:v>East</x:v>
      </x:c>
      <x:c r="E822" s="3" t="str">
        <x:v>Beauty</x:v>
      </x:c>
      <x:c r="F822" s="3" t="str">
        <x:v>Skincare</x:v>
      </x:c>
      <x:c r="G822" s="3" t="str">
        <x:v>Vitamin C Serum</x:v>
      </x:c>
      <x:c r="H822" s="3" t="n">
        <x:v>1</x:v>
      </x:c>
      <x:c r="I822" s="7" t="n">
        <x:v>915.58</x:v>
      </x:c>
      <x:c r="J822" s="9" t="n">
        <x:v>0</x:v>
      </x:c>
      <x:c r="K822" s="7" t="n">
        <x:v>915.58</x:v>
      </x:c>
      <x:c r="L822" s="7" t="n">
        <x:v>529.98</x:v>
      </x:c>
      <x:c r="M822" s="3" t="str">
        <x:v>UPI</x:v>
      </x:c>
      <x:c r="N822" s="3"/>
      <x:c r="O822" s="3"/>
      <x:c r="P822" s="3"/>
      <x:c r="Q822" s="3"/>
    </x:row>
    <x:row r="823" ht="21" customHeight="1">
      <x:c r="A823" s="3" t="str">
        <x:v>ORD-101865</x:v>
      </x:c>
      <x:c r="B823" s="5" t="n">
        <x:v>45525</x:v>
      </x:c>
      <x:c r="C823" s="3" t="str">
        <x:v>CUST-00105</x:v>
      </x:c>
      <x:c r="D823" s="3" t="str">
        <x:v>South</x:v>
      </x:c>
      <x:c r="E823" s="3" t="str">
        <x:v>Beauty</x:v>
      </x:c>
      <x:c r="F823" s="3" t="str">
        <x:v>Makeup</x:v>
      </x:c>
      <x:c r="G823" s="3" t="str">
        <x:v>Matte Lipstick Set</x:v>
      </x:c>
      <x:c r="H823" s="3" t="n">
        <x:v>1</x:v>
      </x:c>
      <x:c r="I823" s="7" t="n">
        <x:v>1021.61</x:v>
      </x:c>
      <x:c r="J823" s="9" t="n">
        <x:v>0</x:v>
      </x:c>
      <x:c r="K823" s="7" t="n">
        <x:v>1021.61</x:v>
      </x:c>
      <x:c r="L823" s="7" t="n">
        <x:v>566.32</x:v>
      </x:c>
      <x:c r="M823" s="3" t="str">
        <x:v>Debit Card</x:v>
      </x:c>
      <x:c r="N823" s="3"/>
      <x:c r="O823" s="3"/>
      <x:c r="P823" s="3"/>
      <x:c r="Q823" s="3"/>
    </x:row>
    <x:row r="824" ht="21" customHeight="1">
      <x:c r="A824" s="3" t="str">
        <x:v>ORD-100699</x:v>
      </x:c>
      <x:c r="B824" s="5" t="n">
        <x:v>45526</x:v>
      </x:c>
      <x:c r="C824" s="3" t="str">
        <x:v>CUST-00411</x:v>
      </x:c>
      <x:c r="D824" s="3" t="str">
        <x:v>East</x:v>
      </x:c>
      <x:c r="E824" s="3" t="str">
        <x:v>Fashion</x:v>
      </x:c>
      <x:c r="F824" s="3" t="str">
        <x:v>Women</x:v>
      </x:c>
      <x:c r="G824" s="3" t="str">
        <x:v>Floral Summer Dress</x:v>
      </x:c>
      <x:c r="H824" s="3" t="n">
        <x:v>2</x:v>
      </x:c>
      <x:c r="I824" s="7" t="n">
        <x:v>1741.65</x:v>
      </x:c>
      <x:c r="J824" s="9" t="n">
        <x:v>0.05</x:v>
      </x:c>
      <x:c r="K824" s="7" t="n">
        <x:v>3309.14</x:v>
      </x:c>
      <x:c r="L824" s="7" t="n">
        <x:v>1329.96</x:v>
      </x:c>
      <x:c r="M824" s="3" t="str">
        <x:v>Credit Card</x:v>
      </x:c>
      <x:c r="N824" s="3"/>
      <x:c r="O824" s="3"/>
      <x:c r="P824" s="3"/>
      <x:c r="Q824" s="3"/>
    </x:row>
    <x:row r="825" ht="21" customHeight="1">
      <x:c r="A825" s="3" t="str">
        <x:v>ORD-100858</x:v>
      </x:c>
      <x:c r="B825" s="5" t="n">
        <x:v>45526</x:v>
      </x:c>
      <x:c r="C825" s="3" t="str">
        <x:v>CUST-00166</x:v>
      </x:c>
      <x:c r="D825" s="3" t="str">
        <x:v>North</x:v>
      </x:c>
      <x:c r="E825" s="3" t="str">
        <x:v>Home &amp; Kitchen</x:v>
      </x:c>
      <x:c r="F825" s="3" t="str">
        <x:v>Appliances</x:v>
      </x:c>
      <x:c r="G825" s="3" t="str">
        <x:v>AirFryer Deluxe</x:v>
      </x:c>
      <x:c r="H825" s="3" t="n">
        <x:v>2</x:v>
      </x:c>
      <x:c r="I825" s="7" t="n">
        <x:v>7888.69</x:v>
      </x:c>
      <x:c r="J825" s="9" t="n">
        <x:v>0.05</x:v>
      </x:c>
      <x:c r="K825" s="7" t="n">
        <x:v>14988.51</x:v>
      </x:c>
      <x:c r="L825" s="7" t="n">
        <x:v>3722.77</x:v>
      </x:c>
      <x:c r="M825" s="3" t="str">
        <x:v>Credit Card</x:v>
      </x:c>
      <x:c r="N825" s="3"/>
      <x:c r="O825" s="3"/>
      <x:c r="P825" s="3"/>
      <x:c r="Q825" s="3"/>
    </x:row>
    <x:row r="826" ht="21" customHeight="1">
      <x:c r="A826" s="3" t="str">
        <x:v>ORD-101301</x:v>
      </x:c>
      <x:c r="B826" s="5" t="n">
        <x:v>45526</x:v>
      </x:c>
      <x:c r="C826" s="3" t="str">
        <x:v>CUST-00049</x:v>
      </x:c>
      <x:c r="D826" s="3" t="str">
        <x:v>North</x:v>
      </x:c>
      <x:c r="E826" s="3" t="str">
        <x:v>Electronics</x:v>
      </x:c>
      <x:c r="F826" s="3" t="str">
        <x:v>Laptop</x:v>
      </x:c>
      <x:c r="G826" s="3" t="str">
        <x:v>ThinkPro 14</x:v>
      </x:c>
      <x:c r="H826" s="3" t="n">
        <x:v>1</x:v>
      </x:c>
      <x:c r="I826" s="7" t="n">
        <x:v>52482.52</x:v>
      </x:c>
      <x:c r="J826" s="9" t="n">
        <x:v>0</x:v>
      </x:c>
      <x:c r="K826" s="7" t="n">
        <x:v>52482.52</x:v>
      </x:c>
      <x:c r="L826" s="7" t="n">
        <x:v>9249.36</x:v>
      </x:c>
      <x:c r="M826" s="3" t="str">
        <x:v>Credit Card</x:v>
      </x:c>
      <x:c r="N826" s="3"/>
      <x:c r="O826" s="3"/>
      <x:c r="P826" s="3"/>
      <x:c r="Q826" s="3"/>
    </x:row>
    <x:row r="827" ht="21" customHeight="1">
      <x:c r="A827" s="3" t="str">
        <x:v>ORD-101821</x:v>
      </x:c>
      <x:c r="B827" s="5" t="n">
        <x:v>45526</x:v>
      </x:c>
      <x:c r="C827" s="3" t="str">
        <x:v>CUST-00548</x:v>
      </x:c>
      <x:c r="D827" s="3" t="str">
        <x:v>North</x:v>
      </x:c>
      <x:c r="E827" s="3" t="str">
        <x:v>Electronics</x:v>
      </x:c>
      <x:c r="F827" s="3" t="str">
        <x:v>Audio</x:v>
      </x:c>
      <x:c r="G827" s="3" t="str">
        <x:v>BassBoom Speaker</x:v>
      </x:c>
      <x:c r="H827" s="3" t="n">
        <x:v>5</x:v>
      </x:c>
      <x:c r="I827" s="7" t="n">
        <x:v>8734.55</x:v>
      </x:c>
      <x:c r="J827" s="9" t="n">
        <x:v>0</x:v>
      </x:c>
      <x:c r="K827" s="7" t="n">
        <x:v>43672.75</x:v>
      </x:c>
      <x:c r="L827" s="7" t="n">
        <x:v>6408.74</x:v>
      </x:c>
      <x:c r="M827" s="3" t="str">
        <x:v>UPI</x:v>
      </x:c>
      <x:c r="N827" s="3"/>
      <x:c r="O827" s="3"/>
      <x:c r="P827" s="3"/>
      <x:c r="Q827" s="3"/>
    </x:row>
    <x:row r="828" ht="21" customHeight="1">
      <x:c r="A828" s="3" t="str">
        <x:v>ORD-100838</x:v>
      </x:c>
      <x:c r="B828" s="5" t="n">
        <x:v>45527</x:v>
      </x:c>
      <x:c r="C828" s="3" t="str">
        <x:v>CUST-00129</x:v>
      </x:c>
      <x:c r="D828" s="3" t="str">
        <x:v>North</x:v>
      </x:c>
      <x:c r="E828" s="3" t="str">
        <x:v>Home &amp; Kitchen</x:v>
      </x:c>
      <x:c r="F828" s="3" t="str">
        <x:v>Furniture</x:v>
      </x:c>
      <x:c r="G828" s="3" t="str">
        <x:v>ErgoComfort Chair</x:v>
      </x:c>
      <x:c r="H828" s="3" t="n">
        <x:v>2</x:v>
      </x:c>
      <x:c r="I828" s="7" t="n">
        <x:v>8875.08</x:v>
      </x:c>
      <x:c r="J828" s="9" t="n">
        <x:v>0</x:v>
      </x:c>
      <x:c r="K828" s="7" t="n">
        <x:v>17750.16</x:v>
      </x:c>
      <x:c r="L828" s="7" t="n">
        <x:v>5835.05</x:v>
      </x:c>
      <x:c r="M828" s="3" t="str">
        <x:v>Debit Card</x:v>
      </x:c>
      <x:c r="N828" s="3"/>
      <x:c r="O828" s="3"/>
      <x:c r="P828" s="3"/>
      <x:c r="Q828" s="3"/>
    </x:row>
    <x:row r="829" ht="21" customHeight="1">
      <x:c r="A829" s="3" t="str">
        <x:v>ORD-101068</x:v>
      </x:c>
      <x:c r="B829" s="5" t="n">
        <x:v>45527</x:v>
      </x:c>
      <x:c r="C829" s="3" t="str">
        <x:v>CUST-00259</x:v>
      </x:c>
      <x:c r="D829" s="3" t="str">
        <x:v>South</x:v>
      </x:c>
      <x:c r="E829" s="3" t="str">
        <x:v>Fashion</x:v>
      </x:c>
      <x:c r="F829" s="3" t="str">
        <x:v>Men</x:v>
      </x:c>
      <x:c r="G829" s="3" t="str">
        <x:v>Oxford Casual Shirt</x:v>
      </x:c>
      <x:c r="H829" s="3" t="n">
        <x:v>3</x:v>
      </x:c>
      <x:c r="I829" s="7" t="n">
        <x:v>1349.23</x:v>
      </x:c>
      <x:c r="J829" s="9" t="n">
        <x:v>0.1</x:v>
      </x:c>
      <x:c r="K829" s="7" t="n">
        <x:v>3642.92</x:v>
      </x:c>
      <x:c r="L829" s="7" t="n">
        <x:v>1203.73</x:v>
      </x:c>
      <x:c r="M829" s="3" t="str">
        <x:v>UPI</x:v>
      </x:c>
      <x:c r="N829" s="3"/>
      <x:c r="O829" s="3"/>
      <x:c r="P829" s="3"/>
      <x:c r="Q829" s="3"/>
    </x:row>
    <x:row r="830" ht="21" customHeight="1">
      <x:c r="A830" s="3" t="str">
        <x:v>ORD-101248</x:v>
      </x:c>
      <x:c r="B830" s="5" t="n">
        <x:v>45527</x:v>
      </x:c>
      <x:c r="C830" s="3" t="str">
        <x:v>CUST-00556</x:v>
      </x:c>
      <x:c r="D830" s="3" t="str">
        <x:v>West</x:v>
      </x:c>
      <x:c r="E830" s="3" t="str">
        <x:v>Sports</x:v>
      </x:c>
      <x:c r="F830" s="3" t="str">
        <x:v>Fitness</x:v>
      </x:c>
      <x:c r="G830" s="3" t="str">
        <x:v>Adjustable Dumbbell 24kg</x:v>
      </x:c>
      <x:c r="H830" s="3" t="n">
        <x:v>1</x:v>
      </x:c>
      <x:c r="I830" s="7" t="n">
        <x:v>10040.85</x:v>
      </x:c>
      <x:c r="J830" s="9" t="n">
        <x:v>0.1</x:v>
      </x:c>
      <x:c r="K830" s="7" t="n">
        <x:v>9036.77</x:v>
      </x:c>
      <x:c r="L830" s="7" t="n">
        <x:v>2599.59</x:v>
      </x:c>
      <x:c r="M830" s="3" t="str">
        <x:v>Cash on Delivery</x:v>
      </x:c>
      <x:c r="N830" s="3"/>
      <x:c r="O830" s="3"/>
      <x:c r="P830" s="3"/>
      <x:c r="Q830" s="3"/>
    </x:row>
    <x:row r="831" ht="21" customHeight="1">
      <x:c r="A831" s="3" t="str">
        <x:v>ORD-100505</x:v>
      </x:c>
      <x:c r="B831" s="5" t="n">
        <x:v>45528</x:v>
      </x:c>
      <x:c r="C831" s="3" t="str">
        <x:v>CUST-00138</x:v>
      </x:c>
      <x:c r="D831" s="3" t="str">
        <x:v>North</x:v>
      </x:c>
      <x:c r="E831" s="3" t="str">
        <x:v>Home &amp; Kitchen</x:v>
      </x:c>
      <x:c r="F831" s="3" t="str">
        <x:v>Decor</x:v>
      </x:c>
      <x:c r="G831" s="3" t="str">
        <x:v>LED Wall Lamp</x:v>
      </x:c>
      <x:c r="H831" s="3" t="n">
        <x:v>5</x:v>
      </x:c>
      <x:c r="I831" s="7" t="n">
        <x:v>963.77</x:v>
      </x:c>
      <x:c r="J831" s="9" t="n">
        <x:v>0.05</x:v>
      </x:c>
      <x:c r="K831" s="7" t="n">
        <x:v>4577.91</x:v>
      </x:c>
      <x:c r="L831" s="7" t="n">
        <x:v>1230.87</x:v>
      </x:c>
      <x:c r="M831" s="3" t="str">
        <x:v>Credit Card</x:v>
      </x:c>
      <x:c r="N831" s="3"/>
      <x:c r="O831" s="3"/>
      <x:c r="P831" s="3"/>
      <x:c r="Q831" s="3"/>
    </x:row>
    <x:row r="832" ht="21" customHeight="1">
      <x:c r="A832" s="3" t="str">
        <x:v>ORD-101294</x:v>
      </x:c>
      <x:c r="B832" s="5" t="n">
        <x:v>45528</x:v>
      </x:c>
      <x:c r="C832" s="3" t="str">
        <x:v>CUST-00285</x:v>
      </x:c>
      <x:c r="D832" s="3" t="str">
        <x:v>South</x:v>
      </x:c>
      <x:c r="E832" s="3" t="str">
        <x:v>Home &amp; Kitchen</x:v>
      </x:c>
      <x:c r="F832" s="3" t="str">
        <x:v>Furniture</x:v>
      </x:c>
      <x:c r="G832" s="3" t="str">
        <x:v>Oakwood Study Desk</x:v>
      </x:c>
      <x:c r="H832" s="3" t="n">
        <x:v>1</x:v>
      </x:c>
      <x:c r="I832" s="7" t="n">
        <x:v>13558.2</x:v>
      </x:c>
      <x:c r="J832" s="9" t="n">
        <x:v>0.4</x:v>
      </x:c>
      <x:c r="K832" s="7" t="n">
        <x:v>8134.92</x:v>
      </x:c>
      <x:c r="L832" s="7" t="n">
        <x:v>-1108</x:v>
      </x:c>
      <x:c r="M832" s="3" t="str">
        <x:v>UPI</x:v>
      </x:c>
      <x:c r="N832" s="3"/>
      <x:c r="O832" s="3"/>
      <x:c r="P832" s="3"/>
      <x:c r="Q832" s="3"/>
    </x:row>
    <x:row r="833" ht="21" customHeight="1">
      <x:c r="A833" s="3" t="str">
        <x:v>ORD-101579</x:v>
      </x:c>
      <x:c r="B833" s="5" t="n">
        <x:v>45528</x:v>
      </x:c>
      <x:c r="C833" s="3" t="str">
        <x:v>CUST-00571</x:v>
      </x:c>
      <x:c r="D833" s="3" t="str">
        <x:v>South</x:v>
      </x:c>
      <x:c r="E833" s="3" t="str">
        <x:v>Fashion</x:v>
      </x:c>
      <x:c r="F833" s="3" t="str">
        <x:v>Women</x:v>
      </x:c>
      <x:c r="G833" s="3" t="str">
        <x:v>Knit Winter Sweater</x:v>
      </x:c>
      <x:c r="H833" s="3" t="n">
        <x:v>5</x:v>
      </x:c>
      <x:c r="I833" s="7" t="n">
        <x:v>2199.04</x:v>
      </x:c>
      <x:c r="J833" s="9" t="n">
        <x:v>0.25</x:v>
      </x:c>
      <x:c r="K833" s="7" t="n">
        <x:v>8246.4</x:v>
      </x:c>
      <x:c r="L833" s="7" t="n">
        <x:v>940.41</x:v>
      </x:c>
      <x:c r="M833" s="3" t="str">
        <x:v>UPI</x:v>
      </x:c>
      <x:c r="N833" s="3"/>
      <x:c r="O833" s="3"/>
      <x:c r="P833" s="3"/>
      <x:c r="Q833" s="3"/>
    </x:row>
    <x:row r="834" ht="21" customHeight="1">
      <x:c r="A834" s="3" t="str">
        <x:v>ORD-101707</x:v>
      </x:c>
      <x:c r="B834" s="5" t="n">
        <x:v>45528</x:v>
      </x:c>
      <x:c r="C834" s="3" t="str">
        <x:v>CUST-00391</x:v>
      </x:c>
      <x:c r="D834" s="3" t="str">
        <x:v>South</x:v>
      </x:c>
      <x:c r="E834" s="3" t="str">
        <x:v>Home &amp; Kitchen</x:v>
      </x:c>
      <x:c r="F834" s="3" t="str">
        <x:v>Appliances</x:v>
      </x:c>
      <x:c r="G834" s="3" t="str">
        <x:v>ColdBrew Coffee Maker</x:v>
      </x:c>
      <x:c r="H834" s="3" t="n">
        <x:v>5</x:v>
      </x:c>
      <x:c r="I834" s="7" t="n">
        <x:v>6414.15</x:v>
      </x:c>
      <x:c r="J834" s="9" t="n">
        <x:v>0</x:v>
      </x:c>
      <x:c r="K834" s="7" t="n">
        <x:v>32070.75</x:v>
      </x:c>
      <x:c r="L834" s="7" t="n">
        <x:v>11709.85</x:v>
      </x:c>
      <x:c r="M834" s="3" t="str">
        <x:v>UPI</x:v>
      </x:c>
      <x:c r="N834" s="3"/>
      <x:c r="O834" s="3"/>
      <x:c r="P834" s="3"/>
      <x:c r="Q834" s="3"/>
    </x:row>
    <x:row r="835" ht="21" customHeight="1">
      <x:c r="A835" s="3" t="str">
        <x:v>ORD-101795</x:v>
      </x:c>
      <x:c r="B835" s="5" t="n">
        <x:v>45528</x:v>
      </x:c>
      <x:c r="C835" s="3" t="str">
        <x:v>CUST-00524</x:v>
      </x:c>
      <x:c r="D835" s="3" t="str">
        <x:v>East</x:v>
      </x:c>
      <x:c r="E835" s="3" t="str">
        <x:v>Sports</x:v>
      </x:c>
      <x:c r="F835" s="3" t="str">
        <x:v>Fitness</x:v>
      </x:c>
      <x:c r="G835" s="3" t="str">
        <x:v>ProYoga Mat</x:v>
      </x:c>
      <x:c r="H835" s="3" t="n">
        <x:v>1</x:v>
      </x:c>
      <x:c r="I835" s="7" t="n">
        <x:v>1262.56</x:v>
      </x:c>
      <x:c r="J835" s="9" t="n">
        <x:v>0.1</x:v>
      </x:c>
      <x:c r="K835" s="7" t="n">
        <x:v>1136.3</x:v>
      </x:c>
      <x:c r="L835" s="7" t="n">
        <x:v>326.51</x:v>
      </x:c>
      <x:c r="M835" s="3" t="str">
        <x:v>UPI</x:v>
      </x:c>
      <x:c r="N835" s="3"/>
      <x:c r="O835" s="3"/>
      <x:c r="P835" s="3"/>
      <x:c r="Q835" s="3"/>
    </x:row>
    <x:row r="836" ht="21" customHeight="1">
      <x:c r="A836" s="3" t="str">
        <x:v>ORD-101936</x:v>
      </x:c>
      <x:c r="B836" s="5" t="n">
        <x:v>45528</x:v>
      </x:c>
      <x:c r="C836" s="3" t="str">
        <x:v>CUST-00286</x:v>
      </x:c>
      <x:c r="D836" s="3" t="str">
        <x:v>North</x:v>
      </x:c>
      <x:c r="E836" s="3" t="str">
        <x:v>Beauty</x:v>
      </x:c>
      <x:c r="F836" s="3" t="str">
        <x:v>Skincare</x:v>
      </x:c>
      <x:c r="G836" s="3" t="str">
        <x:v>Vitamin C Serum</x:v>
      </x:c>
      <x:c r="H836" s="3" t="n">
        <x:v>3</x:v>
      </x:c>
      <x:c r="I836" s="7" t="n">
        <x:v>928.12</x:v>
      </x:c>
      <x:c r="J836" s="9" t="n">
        <x:v>0.05</x:v>
      </x:c>
      <x:c r="K836" s="7" t="n">
        <x:v>2645.14</x:v>
      </x:c>
      <x:c r="L836" s="7" t="n">
        <x:v>1401.59</x:v>
      </x:c>
      <x:c r="M836" s="3" t="str">
        <x:v>Credit Card</x:v>
      </x:c>
      <x:c r="N836" s="3"/>
      <x:c r="O836" s="3"/>
      <x:c r="P836" s="3"/>
      <x:c r="Q836" s="3"/>
    </x:row>
    <x:row r="837" ht="21" customHeight="1">
      <x:c r="A837" s="3" t="str">
        <x:v>ORD-100071</x:v>
      </x:c>
      <x:c r="B837" s="5" t="n">
        <x:v>45529</x:v>
      </x:c>
      <x:c r="C837" s="3" t="str">
        <x:v>CUST-00261</x:v>
      </x:c>
      <x:c r="D837" s="3" t="str">
        <x:v>South</x:v>
      </x:c>
      <x:c r="E837" s="3" t="str">
        <x:v>Beauty</x:v>
      </x:c>
      <x:c r="F837" s="3" t="str">
        <x:v>Skincare</x:v>
      </x:c>
      <x:c r="G837" s="3" t="str">
        <x:v>Vitamin C Serum</x:v>
      </x:c>
      <x:c r="H837" s="3" t="n">
        <x:v>1</x:v>
      </x:c>
      <x:c r="I837" s="7" t="n">
        <x:v>888.44</x:v>
      </x:c>
      <x:c r="J837" s="9" t="n">
        <x:v>0.1</x:v>
      </x:c>
      <x:c r="K837" s="7" t="n">
        <x:v>799.6</x:v>
      </x:c>
      <x:c r="L837" s="7" t="n">
        <x:v>359.54</x:v>
      </x:c>
      <x:c r="M837" s="3" t="str">
        <x:v>Credit Card</x:v>
      </x:c>
      <x:c r="N837" s="3"/>
      <x:c r="O837" s="3"/>
      <x:c r="P837" s="3"/>
      <x:c r="Q837" s="3"/>
    </x:row>
    <x:row r="838" ht="21" customHeight="1">
      <x:c r="A838" s="3" t="str">
        <x:v>ORD-100358</x:v>
      </x:c>
      <x:c r="B838" s="5" t="n">
        <x:v>45530</x:v>
      </x:c>
      <x:c r="C838" s="3" t="str">
        <x:v>CUST-00016</x:v>
      </x:c>
      <x:c r="D838" s="3" t="str">
        <x:v>North</x:v>
      </x:c>
      <x:c r="E838" s="3" t="str">
        <x:v>Fashion</x:v>
      </x:c>
      <x:c r="F838" s="3" t="str">
        <x:v>Women</x:v>
      </x:c>
      <x:c r="G838" s="3" t="str">
        <x:v>Floral Summer Dress</x:v>
      </x:c>
      <x:c r="H838" s="3" t="n">
        <x:v>1</x:v>
      </x:c>
      <x:c r="I838" s="7" t="n">
        <x:v>1713.03</x:v>
      </x:c>
      <x:c r="J838" s="9" t="n">
        <x:v>0.3</x:v>
      </x:c>
      <x:c r="K838" s="7" t="n">
        <x:v>1199.12</x:v>
      </x:c>
      <x:c r="L838" s="7" t="n">
        <x:v>135.24</x:v>
      </x:c>
      <x:c r="M838" s="3" t="str">
        <x:v>UPI</x:v>
      </x:c>
      <x:c r="N838" s="3"/>
      <x:c r="O838" s="3"/>
      <x:c r="P838" s="3"/>
      <x:c r="Q838" s="3"/>
    </x:row>
    <x:row r="839" ht="21" customHeight="1">
      <x:c r="A839" s="3" t="str">
        <x:v>ORD-100765</x:v>
      </x:c>
      <x:c r="B839" s="5" t="n">
        <x:v>45530</x:v>
      </x:c>
      <x:c r="C839" s="3" t="str">
        <x:v>CUST-00395</x:v>
      </x:c>
      <x:c r="D839" s="3" t="str">
        <x:v>South</x:v>
      </x:c>
      <x:c r="E839" s="3" t="str">
        <x:v>Fashion</x:v>
      </x:c>
      <x:c r="F839" s="3" t="str">
        <x:v>Women</x:v>
      </x:c>
      <x:c r="G839" s="3" t="str">
        <x:v>Floral Summer Dress</x:v>
      </x:c>
      <x:c r="H839" s="3" t="n">
        <x:v>1</x:v>
      </x:c>
      <x:c r="I839" s="7" t="n">
        <x:v>1838</x:v>
      </x:c>
      <x:c r="J839" s="9" t="n">
        <x:v>0.1</x:v>
      </x:c>
      <x:c r="K839" s="7" t="n">
        <x:v>1654.2</x:v>
      </x:c>
      <x:c r="L839" s="7" t="n">
        <x:v>466.65</x:v>
      </x:c>
      <x:c r="M839" s="3" t="str">
        <x:v>UPI</x:v>
      </x:c>
      <x:c r="N839" s="3"/>
      <x:c r="O839" s="3"/>
      <x:c r="P839" s="3"/>
      <x:c r="Q839" s="3"/>
    </x:row>
    <x:row r="840" ht="21" customHeight="1">
      <x:c r="A840" s="3" t="str">
        <x:v>ORD-101636</x:v>
      </x:c>
      <x:c r="B840" s="5" t="n">
        <x:v>45530</x:v>
      </x:c>
      <x:c r="C840" s="3" t="str">
        <x:v>CUST-00180</x:v>
      </x:c>
      <x:c r="D840" s="3" t="str">
        <x:v>South</x:v>
      </x:c>
      <x:c r="E840" s="3" t="str">
        <x:v>Electronics</x:v>
      </x:c>
      <x:c r="F840" s="3" t="str">
        <x:v>Laptop</x:v>
      </x:c>
      <x:c r="G840" s="3" t="str">
        <x:v>ThinkPro 14</x:v>
      </x:c>
      <x:c r="H840" s="3" t="n">
        <x:v>2</x:v>
      </x:c>
      <x:c r="I840" s="7" t="n">
        <x:v>52876.15</x:v>
      </x:c>
      <x:c r="J840" s="9" t="n">
        <x:v>0.1</x:v>
      </x:c>
      <x:c r="K840" s="7" t="n">
        <x:v>95177.07</x:v>
      </x:c>
      <x:c r="L840" s="7" t="n">
        <x:v>4421.58</x:v>
      </x:c>
      <x:c r="M840" s="3" t="str">
        <x:v>Credit Card</x:v>
      </x:c>
      <x:c r="N840" s="3"/>
      <x:c r="O840" s="3"/>
      <x:c r="P840" s="3"/>
      <x:c r="Q840" s="3"/>
    </x:row>
    <x:row r="841" ht="21" customHeight="1">
      <x:c r="A841" s="3" t="str">
        <x:v>ORD-101690</x:v>
      </x:c>
      <x:c r="B841" s="5" t="n">
        <x:v>45530</x:v>
      </x:c>
      <x:c r="C841" s="3" t="str">
        <x:v>CUST-00469</x:v>
      </x:c>
      <x:c r="D841" s="3" t="str">
        <x:v>North</x:v>
      </x:c>
      <x:c r="E841" s="3" t="str">
        <x:v>Beauty</x:v>
      </x:c>
      <x:c r="F841" s="3" t="str">
        <x:v>Skincare</x:v>
      </x:c>
      <x:c r="G841" s="3" t="str">
        <x:v>Vitamin C Serum</x:v>
      </x:c>
      <x:c r="H841" s="3" t="n">
        <x:v>2</x:v>
      </x:c>
      <x:c r="I841" s="7" t="n">
        <x:v>902.28</x:v>
      </x:c>
      <x:c r="J841" s="9" t="n">
        <x:v>0.1</x:v>
      </x:c>
      <x:c r="K841" s="7" t="n">
        <x:v>1624.1</x:v>
      </x:c>
      <x:c r="L841" s="7" t="n">
        <x:v>662.27</x:v>
      </x:c>
      <x:c r="M841" s="3" t="str">
        <x:v>UPI</x:v>
      </x:c>
      <x:c r="N841" s="3"/>
      <x:c r="O841" s="3"/>
      <x:c r="P841" s="3"/>
      <x:c r="Q841" s="3"/>
    </x:row>
    <x:row r="842" ht="21" customHeight="1">
      <x:c r="A842" s="3" t="str">
        <x:v>ORD-100209</x:v>
      </x:c>
      <x:c r="B842" s="5" t="n">
        <x:v>45531</x:v>
      </x:c>
      <x:c r="C842" s="3" t="str">
        <x:v>CUST-00094</x:v>
      </x:c>
      <x:c r="D842" s="3" t="str">
        <x:v>South</x:v>
      </x:c>
      <x:c r="E842" s="3" t="str">
        <x:v>Electronics</x:v>
      </x:c>
      <x:c r="F842" s="3" t="str">
        <x:v>Audio</x:v>
      </x:c>
      <x:c r="G842" s="3" t="str">
        <x:v>BassBoom Speaker</x:v>
      </x:c>
      <x:c r="H842" s="3" t="n">
        <x:v>1</x:v>
      </x:c>
      <x:c r="I842" s="7" t="n">
        <x:v>9362.38</x:v>
      </x:c>
      <x:c r="J842" s="9" t="n">
        <x:v>0.05</x:v>
      </x:c>
      <x:c r="K842" s="7" t="n">
        <x:v>8894.26</x:v>
      </x:c>
      <x:c r="L842" s="7" t="n">
        <x:v>851.55</x:v>
      </x:c>
      <x:c r="M842" s="3" t="str">
        <x:v>UPI</x:v>
      </x:c>
      <x:c r="N842" s="3"/>
      <x:c r="O842" s="3"/>
      <x:c r="P842" s="3"/>
      <x:c r="Q842" s="3"/>
    </x:row>
    <x:row r="843" ht="21" customHeight="1">
      <x:c r="A843" s="3" t="str">
        <x:v>ORD-100569</x:v>
      </x:c>
      <x:c r="B843" s="5" t="n">
        <x:v>45531</x:v>
      </x:c>
      <x:c r="C843" s="3" t="str">
        <x:v>CUST-00292</x:v>
      </x:c>
      <x:c r="D843" s="3" t="str">
        <x:v>East</x:v>
      </x:c>
      <x:c r="E843" s="3" t="str">
        <x:v>Sports</x:v>
      </x:c>
      <x:c r="F843" s="3" t="str">
        <x:v>Outdoor</x:v>
      </x:c>
      <x:c r="G843" s="3" t="str">
        <x:v>TrailHike Backpack 60L</x:v>
      </x:c>
      <x:c r="H843" s="3" t="n">
        <x:v>3</x:v>
      </x:c>
      <x:c r="I843" s="7" t="n">
        <x:v>3521.95</x:v>
      </x:c>
      <x:c r="J843" s="9" t="n">
        <x:v>0.4</x:v>
      </x:c>
      <x:c r="K843" s="7" t="n">
        <x:v>6339.51</x:v>
      </x:c>
      <x:c r="L843" s="7" t="n">
        <x:v>-307.17</x:v>
      </x:c>
      <x:c r="M843" s="3" t="str">
        <x:v>Credit Card</x:v>
      </x:c>
      <x:c r="N843" s="3"/>
      <x:c r="O843" s="3"/>
      <x:c r="P843" s="3"/>
      <x:c r="Q843" s="3"/>
    </x:row>
    <x:row r="844" ht="21" customHeight="1">
      <x:c r="A844" s="3" t="str">
        <x:v>ORD-101803</x:v>
      </x:c>
      <x:c r="B844" s="5" t="n">
        <x:v>45531</x:v>
      </x:c>
      <x:c r="C844" s="3" t="str">
        <x:v>CUST-00403</x:v>
      </x:c>
      <x:c r="D844" s="3" t="str">
        <x:v>East</x:v>
      </x:c>
      <x:c r="E844" s="3" t="str">
        <x:v>Electronics</x:v>
      </x:c>
      <x:c r="F844" s="3" t="str">
        <x:v>Laptop</x:v>
      </x:c>
      <x:c r="G844" s="3" t="str">
        <x:v>AirBook Slim</x:v>
      </x:c>
      <x:c r="H844" s="3" t="n">
        <x:v>1</x:v>
      </x:c>
      <x:c r="I844" s="7" t="n">
        <x:v>76314.35</x:v>
      </x:c>
      <x:c r="J844" s="9" t="n">
        <x:v>0.15</x:v>
      </x:c>
      <x:c r="K844" s="7" t="n">
        <x:v>64867.2</x:v>
      </x:c>
      <x:c r="L844" s="7" t="n">
        <x:v>2614.21</x:v>
      </x:c>
      <x:c r="M844" s="3" t="str">
        <x:v>Credit Card</x:v>
      </x:c>
      <x:c r="N844" s="3"/>
      <x:c r="O844" s="3"/>
      <x:c r="P844" s="3"/>
      <x:c r="Q844" s="3"/>
    </x:row>
    <x:row r="845" ht="21" customHeight="1">
      <x:c r="A845" s="3" t="str">
        <x:v>ORD-100311</x:v>
      </x:c>
      <x:c r="B845" s="5" t="n">
        <x:v>45532</x:v>
      </x:c>
      <x:c r="C845" s="3" t="str">
        <x:v>CUST-00072</x:v>
      </x:c>
      <x:c r="D845" s="3" t="str">
        <x:v>South</x:v>
      </x:c>
      <x:c r="E845" s="3" t="str">
        <x:v>Home &amp; Kitchen</x:v>
      </x:c>
      <x:c r="F845" s="3" t="str">
        <x:v>Appliances</x:v>
      </x:c>
      <x:c r="G845" s="3" t="str">
        <x:v>AirFryer Deluxe</x:v>
      </x:c>
      <x:c r="H845" s="3" t="n">
        <x:v>1</x:v>
      </x:c>
      <x:c r="I845" s="7" t="n">
        <x:v>8063.47</x:v>
      </x:c>
      <x:c r="J845" s="9" t="n">
        <x:v>0</x:v>
      </x:c>
      <x:c r="K845" s="7" t="n">
        <x:v>8063.47</x:v>
      </x:c>
      <x:c r="L845" s="7" t="n">
        <x:v>2952.22</x:v>
      </x:c>
      <x:c r="M845" s="3" t="str">
        <x:v>Credit Card</x:v>
      </x:c>
      <x:c r="N845" s="3"/>
      <x:c r="O845" s="3"/>
      <x:c r="P845" s="3"/>
      <x:c r="Q845" s="3"/>
    </x:row>
    <x:row r="846" ht="21" customHeight="1">
      <x:c r="A846" s="3" t="str">
        <x:v>ORD-100991</x:v>
      </x:c>
      <x:c r="B846" s="5" t="n">
        <x:v>45532</x:v>
      </x:c>
      <x:c r="C846" s="3" t="str">
        <x:v>CUST-00366</x:v>
      </x:c>
      <x:c r="D846" s="3" t="str">
        <x:v>North</x:v>
      </x:c>
      <x:c r="E846" s="3" t="str">
        <x:v>Beauty</x:v>
      </x:c>
      <x:c r="F846" s="3" t="str">
        <x:v>Makeup</x:v>
      </x:c>
      <x:c r="G846" s="3" t="str">
        <x:v>HD Foundation Kit</x:v>
      </x:c>
      <x:c r="H846" s="3" t="n">
        <x:v>2</x:v>
      </x:c>
      <x:c r="I846" s="7" t="n">
        <x:v>1571.24</x:v>
      </x:c>
      <x:c r="J846" s="9" t="n">
        <x:v>0.15</x:v>
      </x:c>
      <x:c r="K846" s="7" t="n">
        <x:v>2671.11</x:v>
      </x:c>
      <x:c r="L846" s="7" t="n">
        <x:v>1073.18</x:v>
      </x:c>
      <x:c r="M846" s="3" t="str">
        <x:v>UPI</x:v>
      </x:c>
      <x:c r="N846" s="3"/>
      <x:c r="O846" s="3"/>
      <x:c r="P846" s="3"/>
      <x:c r="Q846" s="3"/>
    </x:row>
    <x:row r="847" ht="21" customHeight="1">
      <x:c r="A847" s="3" t="str">
        <x:v>ORD-101061</x:v>
      </x:c>
      <x:c r="B847" s="5" t="n">
        <x:v>45532</x:v>
      </x:c>
      <x:c r="C847" s="3" t="str">
        <x:v>CUST-00369</x:v>
      </x:c>
      <x:c r="D847" s="3" t="str">
        <x:v>North</x:v>
      </x:c>
      <x:c r="E847" s="3" t="str">
        <x:v>Electronics</x:v>
      </x:c>
      <x:c r="F847" s="3" t="str">
        <x:v>Audio</x:v>
      </x:c>
      <x:c r="G847" s="3" t="str">
        <x:v>SoundPods Pro</x:v>
      </x:c>
      <x:c r="H847" s="3" t="n">
        <x:v>2</x:v>
      </x:c>
      <x:c r="I847" s="7" t="n">
        <x:v>4997.34</x:v>
      </x:c>
      <x:c r="J847" s="9" t="n">
        <x:v>0.15</x:v>
      </x:c>
      <x:c r="K847" s="7" t="n">
        <x:v>8495.48</x:v>
      </x:c>
      <x:c r="L847" s="7" t="n">
        <x:v>353.89</x:v>
      </x:c>
      <x:c r="M847" s="3" t="str">
        <x:v>UPI</x:v>
      </x:c>
      <x:c r="N847" s="3"/>
      <x:c r="O847" s="3"/>
      <x:c r="P847" s="3"/>
      <x:c r="Q847" s="3"/>
    </x:row>
    <x:row r="848" ht="21" customHeight="1">
      <x:c r="A848" s="3" t="str">
        <x:v>ORD-101433</x:v>
      </x:c>
      <x:c r="B848" s="5" t="n">
        <x:v>45532</x:v>
      </x:c>
      <x:c r="C848" s="3" t="str">
        <x:v>CUST-00155</x:v>
      </x:c>
      <x:c r="D848" s="3" t="str">
        <x:v>East</x:v>
      </x:c>
      <x:c r="E848" s="3" t="str">
        <x:v>Fashion</x:v>
      </x:c>
      <x:c r="F848" s="3" t="str">
        <x:v>Women</x:v>
      </x:c>
      <x:c r="G848" s="3" t="str">
        <x:v>Floral Summer Dress</x:v>
      </x:c>
      <x:c r="H848" s="3" t="n">
        <x:v>2</x:v>
      </x:c>
      <x:c r="I848" s="7" t="n">
        <x:v>1772.42</x:v>
      </x:c>
      <x:c r="J848" s="9" t="n">
        <x:v>0.3</x:v>
      </x:c>
      <x:c r="K848" s="7" t="n">
        <x:v>2481.39</x:v>
      </x:c>
      <x:c r="L848" s="7" t="n">
        <x:v>264.17</x:v>
      </x:c>
      <x:c r="M848" s="3" t="str">
        <x:v>UPI</x:v>
      </x:c>
      <x:c r="N848" s="3"/>
      <x:c r="O848" s="3"/>
      <x:c r="P848" s="3"/>
      <x:c r="Q848" s="3"/>
    </x:row>
    <x:row r="849" ht="21" customHeight="1">
      <x:c r="A849" s="3" t="str">
        <x:v>ORD-101935</x:v>
      </x:c>
      <x:c r="B849" s="5" t="n">
        <x:v>45532</x:v>
      </x:c>
      <x:c r="C849" s="3" t="str">
        <x:v>CUST-00455</x:v>
      </x:c>
      <x:c r="D849" s="3" t="str">
        <x:v>South</x:v>
      </x:c>
      <x:c r="E849" s="3" t="str">
        <x:v>Sports</x:v>
      </x:c>
      <x:c r="F849" s="3" t="str">
        <x:v>Fitness</x:v>
      </x:c>
      <x:c r="G849" s="3" t="str">
        <x:v>ProYoga Mat</x:v>
      </x:c>
      <x:c r="H849" s="3" t="n">
        <x:v>1</x:v>
      </x:c>
      <x:c r="I849" s="7" t="n">
        <x:v>1327.89</x:v>
      </x:c>
      <x:c r="J849" s="9" t="n">
        <x:v>0</x:v>
      </x:c>
      <x:c r="K849" s="7" t="n">
        <x:v>1327.89</x:v>
      </x:c>
      <x:c r="L849" s="7" t="n">
        <x:v>514.09</x:v>
      </x:c>
      <x:c r="M849" s="3" t="str">
        <x:v>Credit Card</x:v>
      </x:c>
      <x:c r="N849" s="3"/>
      <x:c r="O849" s="3"/>
      <x:c r="P849" s="3"/>
      <x:c r="Q849" s="3"/>
    </x:row>
    <x:row r="850" ht="21" customHeight="1">
      <x:c r="A850" s="3" t="str">
        <x:v>ORD-100362</x:v>
      </x:c>
      <x:c r="B850" s="5" t="n">
        <x:v>45533</x:v>
      </x:c>
      <x:c r="C850" s="3" t="str">
        <x:v>CUST-00333</x:v>
      </x:c>
      <x:c r="D850" s="3" t="str">
        <x:v>East</x:v>
      </x:c>
      <x:c r="E850" s="3" t="str">
        <x:v>Beauty</x:v>
      </x:c>
      <x:c r="F850" s="3" t="str">
        <x:v>Skincare</x:v>
      </x:c>
      <x:c r="G850" s="3" t="str">
        <x:v>HydraBoost Moisturizer</x:v>
      </x:c>
      <x:c r="H850" s="3" t="n">
        <x:v>1</x:v>
      </x:c>
      <x:c r="I850" s="7" t="n">
        <x:v>1182.27</x:v>
      </x:c>
      <x:c r="J850" s="9" t="n">
        <x:v>0</x:v>
      </x:c>
      <x:c r="K850" s="7" t="n">
        <x:v>1182.27</x:v>
      </x:c>
      <x:c r="L850" s="7" t="n">
        <x:v>607.88</x:v>
      </x:c>
      <x:c r="M850" s="3" t="str">
        <x:v>Cash on Delivery</x:v>
      </x:c>
      <x:c r="N850" s="3"/>
      <x:c r="O850" s="3"/>
      <x:c r="P850" s="3"/>
      <x:c r="Q850" s="3"/>
    </x:row>
    <x:row r="851" ht="21" customHeight="1">
      <x:c r="A851" s="3" t="str">
        <x:v>ORD-100525</x:v>
      </x:c>
      <x:c r="B851" s="5" t="n">
        <x:v>45533</x:v>
      </x:c>
      <x:c r="C851" s="3" t="str">
        <x:v>CUST-00165</x:v>
      </x:c>
      <x:c r="D851" s="3" t="str">
        <x:v>West</x:v>
      </x:c>
      <x:c r="E851" s="3" t="str">
        <x:v>Electronics</x:v>
      </x:c>
      <x:c r="F851" s="3" t="str">
        <x:v>Audio</x:v>
      </x:c>
      <x:c r="G851" s="3" t="str">
        <x:v>SoundPods Pro</x:v>
      </x:c>
      <x:c r="H851" s="3" t="n">
        <x:v>3</x:v>
      </x:c>
      <x:c r="I851" s="7" t="n">
        <x:v>5203.85</x:v>
      </x:c>
      <x:c r="J851" s="9" t="n">
        <x:v>0.05</x:v>
      </x:c>
      <x:c r="K851" s="7" t="n">
        <x:v>14830.97</x:v>
      </x:c>
      <x:c r="L851" s="7" t="n">
        <x:v>1689.81</x:v>
      </x:c>
      <x:c r="M851" s="3" t="str">
        <x:v>UPI</x:v>
      </x:c>
      <x:c r="N851" s="3"/>
      <x:c r="O851" s="3"/>
      <x:c r="P851" s="3"/>
      <x:c r="Q851" s="3"/>
    </x:row>
    <x:row r="852" ht="21" customHeight="1">
      <x:c r="A852" s="3" t="str">
        <x:v>ORD-101260</x:v>
      </x:c>
      <x:c r="B852" s="5" t="n">
        <x:v>45533</x:v>
      </x:c>
      <x:c r="C852" s="3" t="str">
        <x:v>CUST-00039</x:v>
      </x:c>
      <x:c r="D852" s="3" t="str">
        <x:v>West</x:v>
      </x:c>
      <x:c r="E852" s="3" t="str">
        <x:v>Beauty</x:v>
      </x:c>
      <x:c r="F852" s="3" t="str">
        <x:v>Skincare</x:v>
      </x:c>
      <x:c r="G852" s="3" t="str">
        <x:v>Vitamin C Serum</x:v>
      </x:c>
      <x:c r="H852" s="3" t="n">
        <x:v>4</x:v>
      </x:c>
      <x:c r="I852" s="7" t="n">
        <x:v>868.87</x:v>
      </x:c>
      <x:c r="J852" s="9" t="n">
        <x:v>0.1</x:v>
      </x:c>
      <x:c r="K852" s="7" t="n">
        <x:v>3127.93</x:v>
      </x:c>
      <x:c r="L852" s="7" t="n">
        <x:v>1285.37</x:v>
      </x:c>
      <x:c r="M852" s="3" t="str">
        <x:v>UPI</x:v>
      </x:c>
      <x:c r="N852" s="3"/>
      <x:c r="O852" s="3"/>
      <x:c r="P852" s="3"/>
      <x:c r="Q852" s="3"/>
    </x:row>
    <x:row r="853" ht="21" customHeight="1">
      <x:c r="A853" s="3" t="str">
        <x:v>ORD-101276</x:v>
      </x:c>
      <x:c r="B853" s="5" t="n">
        <x:v>45533</x:v>
      </x:c>
      <x:c r="C853" s="3" t="str">
        <x:v>CUST-00148</x:v>
      </x:c>
      <x:c r="D853" s="3" t="str">
        <x:v>East</x:v>
      </x:c>
      <x:c r="E853" s="3" t="str">
        <x:v>Fashion</x:v>
      </x:c>
      <x:c r="F853" s="3" t="str">
        <x:v>Footwear</x:v>
      </x:c>
      <x:c r="G853" s="3" t="str">
        <x:v>RunFlex Sneakers</x:v>
      </x:c>
      <x:c r="H853" s="3" t="n">
        <x:v>2</x:v>
      </x:c>
      <x:c r="I853" s="7" t="n">
        <x:v>3135.56</x:v>
      </x:c>
      <x:c r="J853" s="9" t="n">
        <x:v>0.2</x:v>
      </x:c>
      <x:c r="K853" s="7" t="n">
        <x:v>5016.9</x:v>
      </x:c>
      <x:c r="L853" s="7" t="n">
        <x:v>1046.65</x:v>
      </x:c>
      <x:c r="M853" s="3" t="str">
        <x:v>Credit Card</x:v>
      </x:c>
      <x:c r="N853" s="3"/>
      <x:c r="O853" s="3"/>
      <x:c r="P853" s="3"/>
      <x:c r="Q853" s="3"/>
    </x:row>
    <x:row r="854" ht="21" customHeight="1">
      <x:c r="A854" s="3" t="str">
        <x:v>ORD-101523</x:v>
      </x:c>
      <x:c r="B854" s="5" t="n">
        <x:v>45533</x:v>
      </x:c>
      <x:c r="C854" s="3" t="str">
        <x:v>CUST-00302</x:v>
      </x:c>
      <x:c r="D854" s="3" t="str">
        <x:v>North</x:v>
      </x:c>
      <x:c r="E854" s="3" t="str">
        <x:v>Sports</x:v>
      </x:c>
      <x:c r="F854" s="3" t="str">
        <x:v>Fitness</x:v>
      </x:c>
      <x:c r="G854" s="3" t="str">
        <x:v>Adjustable Dumbbell 24kg</x:v>
      </x:c>
      <x:c r="H854" s="3" t="n">
        <x:v>4</x:v>
      </x:c>
      <x:c r="I854" s="7" t="n">
        <x:v>9683.27</x:v>
      </x:c>
      <x:c r="J854" s="9" t="n">
        <x:v>0.15</x:v>
      </x:c>
      <x:c r="K854" s="7" t="n">
        <x:v>32923.12</x:v>
      </x:c>
      <x:c r="L854" s="7" t="n">
        <x:v>7766.85</x:v>
      </x:c>
      <x:c r="M854" s="3" t="str">
        <x:v>UPI</x:v>
      </x:c>
      <x:c r="N854" s="3"/>
      <x:c r="O854" s="3"/>
      <x:c r="P854" s="3"/>
      <x:c r="Q854" s="3"/>
    </x:row>
    <x:row r="855" ht="21" customHeight="1">
      <x:c r="A855" s="3" t="str">
        <x:v>ORD-100202</x:v>
      </x:c>
      <x:c r="B855" s="5" t="n">
        <x:v>45534</x:v>
      </x:c>
      <x:c r="C855" s="3" t="str">
        <x:v>CUST-00360</x:v>
      </x:c>
      <x:c r="D855" s="3" t="str">
        <x:v>West</x:v>
      </x:c>
      <x:c r="E855" s="3" t="str">
        <x:v>Electronics</x:v>
      </x:c>
      <x:c r="F855" s="3" t="str">
        <x:v>Audio</x:v>
      </x:c>
      <x:c r="G855" s="3" t="str">
        <x:v>SoundPods Pro</x:v>
      </x:c>
      <x:c r="H855" s="3" t="n">
        <x:v>1</x:v>
      </x:c>
      <x:c r="I855" s="7" t="n">
        <x:v>4973.87</x:v>
      </x:c>
      <x:c r="J855" s="9" t="n">
        <x:v>0.4</x:v>
      </x:c>
      <x:c r="K855" s="7" t="n">
        <x:v>2984.32</x:v>
      </x:c>
      <x:c r="L855" s="7" t="n">
        <x:v>-871.76</x:v>
      </x:c>
      <x:c r="M855" s="3" t="str">
        <x:v>Credit Card</x:v>
      </x:c>
      <x:c r="N855" s="3"/>
      <x:c r="O855" s="3"/>
      <x:c r="P855" s="3"/>
      <x:c r="Q855" s="3"/>
    </x:row>
    <x:row r="856" ht="21" customHeight="1">
      <x:c r="A856" s="3" t="str">
        <x:v>ORD-101182</x:v>
      </x:c>
      <x:c r="B856" s="5" t="n">
        <x:v>45534</x:v>
      </x:c>
      <x:c r="C856" s="3" t="str">
        <x:v>CUST-00096</x:v>
      </x:c>
      <x:c r="D856" s="3" t="str">
        <x:v>North</x:v>
      </x:c>
      <x:c r="E856" s="3" t="str">
        <x:v>Home &amp; Kitchen</x:v>
      </x:c>
      <x:c r="F856" s="3" t="str">
        <x:v>Furniture</x:v>
      </x:c>
      <x:c r="G856" s="3" t="str">
        <x:v>ErgoComfort Chair</x:v>
      </x:c>
      <x:c r="H856" s="3" t="n">
        <x:v>1</x:v>
      </x:c>
      <x:c r="I856" s="7" t="n">
        <x:v>9078.75</x:v>
      </x:c>
      <x:c r="J856" s="9" t="n">
        <x:v>0</x:v>
      </x:c>
      <x:c r="K856" s="7" t="n">
        <x:v>9078.75</x:v>
      </x:c>
      <x:c r="L856" s="7" t="n">
        <x:v>2959.55</x:v>
      </x:c>
      <x:c r="M856" s="3" t="str">
        <x:v>UPI</x:v>
      </x:c>
      <x:c r="N856" s="3"/>
      <x:c r="O856" s="3"/>
      <x:c r="P856" s="3"/>
      <x:c r="Q856" s="3"/>
    </x:row>
    <x:row r="857" ht="21" customHeight="1">
      <x:c r="A857" s="3" t="str">
        <x:v>ORD-100440</x:v>
      </x:c>
      <x:c r="B857" s="5" t="n">
        <x:v>45535</x:v>
      </x:c>
      <x:c r="C857" s="3" t="str">
        <x:v>CUST-00172</x:v>
      </x:c>
      <x:c r="D857" s="3" t="str">
        <x:v>West</x:v>
      </x:c>
      <x:c r="E857" s="3" t="str">
        <x:v>Sports</x:v>
      </x:c>
      <x:c r="F857" s="3" t="str">
        <x:v>Outdoor</x:v>
      </x:c>
      <x:c r="G857" s="3" t="str">
        <x:v>TrailHike Backpack 60L</x:v>
      </x:c>
      <x:c r="H857" s="3" t="n">
        <x:v>1</x:v>
      </x:c>
      <x:c r="I857" s="7" t="n">
        <x:v>3493.72</x:v>
      </x:c>
      <x:c r="J857" s="9" t="n">
        <x:v>0.15</x:v>
      </x:c>
      <x:c r="K857" s="7" t="n">
        <x:v>2969.66</x:v>
      </x:c>
      <x:c r="L857" s="7" t="n">
        <x:v>687.33</x:v>
      </x:c>
      <x:c r="M857" s="3" t="str">
        <x:v>UPI</x:v>
      </x:c>
      <x:c r="N857" s="3"/>
      <x:c r="O857" s="3"/>
      <x:c r="P857" s="3"/>
      <x:c r="Q857" s="3"/>
    </x:row>
    <x:row r="858" ht="21" customHeight="1">
      <x:c r="A858" s="3" t="str">
        <x:v>ORD-100521</x:v>
      </x:c>
      <x:c r="B858" s="5" t="n">
        <x:v>45535</x:v>
      </x:c>
      <x:c r="C858" s="3" t="str">
        <x:v>CUST-00321</x:v>
      </x:c>
      <x:c r="D858" s="3" t="str">
        <x:v>North</x:v>
      </x:c>
      <x:c r="E858" s="3" t="str">
        <x:v>Fashion</x:v>
      </x:c>
      <x:c r="F858" s="3" t="str">
        <x:v>Men</x:v>
      </x:c>
      <x:c r="G858" s="3" t="str">
        <x:v>SlimFit Denim Jeans</x:v>
      </x:c>
      <x:c r="H858" s="3" t="n">
        <x:v>1</x:v>
      </x:c>
      <x:c r="I858" s="7" t="n">
        <x:v>2088.89</x:v>
      </x:c>
      <x:c r="J858" s="9" t="n">
        <x:v>0.2</x:v>
      </x:c>
      <x:c r="K858" s="7" t="n">
        <x:v>1671.11</x:v>
      </x:c>
      <x:c r="L858" s="7" t="n">
        <x:v>375.21</x:v>
      </x:c>
      <x:c r="M858" s="3" t="str">
        <x:v>Net Banking</x:v>
      </x:c>
      <x:c r="N858" s="3"/>
      <x:c r="O858" s="3"/>
      <x:c r="P858" s="3"/>
      <x:c r="Q858" s="3"/>
    </x:row>
    <x:row r="859" ht="21" customHeight="1">
      <x:c r="A859" s="3" t="str">
        <x:v>ORD-100966</x:v>
      </x:c>
      <x:c r="B859" s="5" t="n">
        <x:v>45535</x:v>
      </x:c>
      <x:c r="C859" s="3" t="str">
        <x:v>CUST-00331</x:v>
      </x:c>
      <x:c r="D859" s="3" t="str">
        <x:v>West</x:v>
      </x:c>
      <x:c r="E859" s="3" t="str">
        <x:v>Fashion</x:v>
      </x:c>
      <x:c r="F859" s="3" t="str">
        <x:v>Footwear</x:v>
      </x:c>
      <x:c r="G859" s="3" t="str">
        <x:v>RunFlex Sneakers</x:v>
      </x:c>
      <x:c r="H859" s="3" t="n">
        <x:v>2</x:v>
      </x:c>
      <x:c r="I859" s="7" t="n">
        <x:v>3038.55</x:v>
      </x:c>
      <x:c r="J859" s="9" t="n">
        <x:v>0.15</x:v>
      </x:c>
      <x:c r="K859" s="7" t="n">
        <x:v>5165.53</x:v>
      </x:c>
      <x:c r="L859" s="7" t="n">
        <x:v>1400.04</x:v>
      </x:c>
      <x:c r="M859" s="3" t="str">
        <x:v>UPI</x:v>
      </x:c>
      <x:c r="N859" s="3"/>
      <x:c r="O859" s="3"/>
      <x:c r="P859" s="3"/>
      <x:c r="Q859" s="3"/>
    </x:row>
    <x:row r="860" ht="21" customHeight="1">
      <x:c r="A860" s="3" t="str">
        <x:v>ORD-100042</x:v>
      </x:c>
      <x:c r="B860" s="5" t="n">
        <x:v>45536</x:v>
      </x:c>
      <x:c r="C860" s="3" t="str">
        <x:v>CUST-00118</x:v>
      </x:c>
      <x:c r="D860" s="3" t="str">
        <x:v>West</x:v>
      </x:c>
      <x:c r="E860" s="3" t="str">
        <x:v>Electronics</x:v>
      </x:c>
      <x:c r="F860" s="3" t="str">
        <x:v>Laptop</x:v>
      </x:c>
      <x:c r="G860" s="3" t="str">
        <x:v>ThinkPro 14</x:v>
      </x:c>
      <x:c r="H860" s="3" t="n">
        <x:v>2</x:v>
      </x:c>
      <x:c r="I860" s="7" t="n">
        <x:v>55833.64</x:v>
      </x:c>
      <x:c r="J860" s="9" t="n">
        <x:v>0.15</x:v>
      </x:c>
      <x:c r="K860" s="7" t="n">
        <x:v>94917.19</x:v>
      </x:c>
      <x:c r="L860" s="7" t="n">
        <x:v>2642.37</x:v>
      </x:c>
      <x:c r="M860" s="3" t="str">
        <x:v>UPI</x:v>
      </x:c>
      <x:c r="N860" s="3"/>
      <x:c r="O860" s="3"/>
      <x:c r="P860" s="3"/>
      <x:c r="Q860" s="3"/>
    </x:row>
    <x:row r="861" ht="21" customHeight="1">
      <x:c r="A861" s="3" t="str">
        <x:v>ORD-100367</x:v>
      </x:c>
      <x:c r="B861" s="5" t="n">
        <x:v>45536</x:v>
      </x:c>
      <x:c r="C861" s="3" t="str">
        <x:v>CUST-00065</x:v>
      </x:c>
      <x:c r="D861" s="3" t="str">
        <x:v>East</x:v>
      </x:c>
      <x:c r="E861" s="3" t="str">
        <x:v>Sports</x:v>
      </x:c>
      <x:c r="F861" s="3" t="str">
        <x:v>Outdoor</x:v>
      </x:c>
      <x:c r="G861" s="3" t="str">
        <x:v>AllWeather Tent 4P</x:v>
      </x:c>
      <x:c r="H861" s="3" t="n">
        <x:v>1</x:v>
      </x:c>
      <x:c r="I861" s="7" t="n">
        <x:v>12330.07</x:v>
      </x:c>
      <x:c r="J861" s="9" t="n">
        <x:v>0.05</x:v>
      </x:c>
      <x:c r="K861" s="7" t="n">
        <x:v>11713.57</x:v>
      </x:c>
      <x:c r="L861" s="7" t="n">
        <x:v>3783.21</x:v>
      </x:c>
      <x:c r="M861" s="3" t="str">
        <x:v>Net Banking</x:v>
      </x:c>
      <x:c r="N861" s="3"/>
      <x:c r="O861" s="3"/>
      <x:c r="P861" s="3"/>
      <x:c r="Q861" s="3"/>
    </x:row>
    <x:row r="862" ht="21" customHeight="1">
      <x:c r="A862" s="3" t="str">
        <x:v>ORD-100518</x:v>
      </x:c>
      <x:c r="B862" s="5" t="n">
        <x:v>45536</x:v>
      </x:c>
      <x:c r="C862" s="3" t="str">
        <x:v>CUST-00197</x:v>
      </x:c>
      <x:c r="D862" s="3" t="str">
        <x:v>East</x:v>
      </x:c>
      <x:c r="E862" s="3" t="str">
        <x:v>Home &amp; Kitchen</x:v>
      </x:c>
      <x:c r="F862" s="3" t="str">
        <x:v>Furniture</x:v>
      </x:c>
      <x:c r="G862" s="3" t="str">
        <x:v>Oakwood Study Desk</x:v>
      </x:c>
      <x:c r="H862" s="3" t="n">
        <x:v>3</x:v>
      </x:c>
      <x:c r="I862" s="7" t="n">
        <x:v>12722.18</x:v>
      </x:c>
      <x:c r="J862" s="9" t="n">
        <x:v>0</x:v>
      </x:c>
      <x:c r="K862" s="7" t="n">
        <x:v>38166.54</x:v>
      </x:c>
      <x:c r="L862" s="7" t="n">
        <x:v>11558.61</x:v>
      </x:c>
      <x:c r="M862" s="3" t="str">
        <x:v>UPI</x:v>
      </x:c>
      <x:c r="N862" s="3"/>
      <x:c r="O862" s="3"/>
      <x:c r="P862" s="3"/>
      <x:c r="Q862" s="3"/>
    </x:row>
    <x:row r="863" ht="21" customHeight="1">
      <x:c r="A863" s="3" t="str">
        <x:v>ORD-100981</x:v>
      </x:c>
      <x:c r="B863" s="5" t="n">
        <x:v>45536</x:v>
      </x:c>
      <x:c r="C863" s="3" t="str">
        <x:v>CUST-00432</x:v>
      </x:c>
      <x:c r="D863" s="3" t="str">
        <x:v>East</x:v>
      </x:c>
      <x:c r="E863" s="3" t="str">
        <x:v>Sports</x:v>
      </x:c>
      <x:c r="F863" s="3" t="str">
        <x:v>Outdoor</x:v>
      </x:c>
      <x:c r="G863" s="3" t="str">
        <x:v>TrailHike Backpack 60L</x:v>
      </x:c>
      <x:c r="H863" s="3" t="n">
        <x:v>2</x:v>
      </x:c>
      <x:c r="I863" s="7" t="n">
        <x:v>3601.73</x:v>
      </x:c>
      <x:c r="J863" s="9" t="n">
        <x:v>0.1</x:v>
      </x:c>
      <x:c r="K863" s="7" t="n">
        <x:v>6483.11</x:v>
      </x:c>
      <x:c r="L863" s="7" t="n">
        <x:v>1953.53</x:v>
      </x:c>
      <x:c r="M863" s="3" t="str">
        <x:v>UPI</x:v>
      </x:c>
      <x:c r="N863" s="3"/>
      <x:c r="O863" s="3"/>
      <x:c r="P863" s="3"/>
      <x:c r="Q863" s="3"/>
    </x:row>
    <x:row r="864" ht="21" customHeight="1">
      <x:c r="A864" s="3" t="str">
        <x:v>ORD-101953</x:v>
      </x:c>
      <x:c r="B864" s="5" t="n">
        <x:v>45536</x:v>
      </x:c>
      <x:c r="C864" s="3" t="str">
        <x:v>CUST-00296</x:v>
      </x:c>
      <x:c r="D864" s="3" t="str">
        <x:v>West</x:v>
      </x:c>
      <x:c r="E864" s="3" t="str">
        <x:v>Fashion</x:v>
      </x:c>
      <x:c r="F864" s="3" t="str">
        <x:v>Women</x:v>
      </x:c>
      <x:c r="G864" s="3" t="str">
        <x:v>Floral Summer Dress</x:v>
      </x:c>
      <x:c r="H864" s="3" t="n">
        <x:v>4</x:v>
      </x:c>
      <x:c r="I864" s="7" t="n">
        <x:v>1785.23</x:v>
      </x:c>
      <x:c r="J864" s="9" t="n">
        <x:v>0.1</x:v>
      </x:c>
      <x:c r="K864" s="7" t="n">
        <x:v>6426.83</x:v>
      </x:c>
      <x:c r="L864" s="7" t="n">
        <x:v>1836.56</x:v>
      </x:c>
      <x:c r="M864" s="3" t="str">
        <x:v>Credit Card</x:v>
      </x:c>
      <x:c r="N864" s="3"/>
      <x:c r="O864" s="3"/>
      <x:c r="P864" s="3"/>
      <x:c r="Q864" s="3"/>
    </x:row>
    <x:row r="865" ht="21" customHeight="1">
      <x:c r="A865" s="3" t="str">
        <x:v>ORD-100010</x:v>
      </x:c>
      <x:c r="B865" s="5" t="n">
        <x:v>45537</x:v>
      </x:c>
      <x:c r="C865" s="3" t="str">
        <x:v>CUST-00581</x:v>
      </x:c>
      <x:c r="D865" s="3" t="str">
        <x:v>West</x:v>
      </x:c>
      <x:c r="E865" s="3" t="str">
        <x:v>Home &amp; Kitchen</x:v>
      </x:c>
      <x:c r="F865" s="3" t="str">
        <x:v>Furniture</x:v>
      </x:c>
      <x:c r="G865" s="3" t="str">
        <x:v>Oakwood Study Desk</x:v>
      </x:c>
      <x:c r="H865" s="3" t="n">
        <x:v>2</x:v>
      </x:c>
      <x:c r="I865" s="7" t="n">
        <x:v>12494.47</x:v>
      </x:c>
      <x:c r="J865" s="9" t="n">
        <x:v>0.05</x:v>
      </x:c>
      <x:c r="K865" s="7" t="n">
        <x:v>23739.49</x:v>
      </x:c>
      <x:c r="L865" s="7" t="n">
        <x:v>6208.79</x:v>
      </x:c>
      <x:c r="M865" s="3" t="str">
        <x:v>Debit Card</x:v>
      </x:c>
      <x:c r="N865" s="3"/>
      <x:c r="O865" s="3"/>
      <x:c r="P865" s="3"/>
      <x:c r="Q865" s="3"/>
    </x:row>
    <x:row r="866" ht="21" customHeight="1">
      <x:c r="A866" s="3" t="str">
        <x:v>ORD-100356</x:v>
      </x:c>
      <x:c r="B866" s="5" t="n">
        <x:v>45537</x:v>
      </x:c>
      <x:c r="C866" s="3" t="str">
        <x:v>CUST-00279</x:v>
      </x:c>
      <x:c r="D866" s="3" t="str">
        <x:v>North</x:v>
      </x:c>
      <x:c r="E866" s="3" t="str">
        <x:v>Sports</x:v>
      </x:c>
      <x:c r="F866" s="3" t="str">
        <x:v>Outdoor</x:v>
      </x:c>
      <x:c r="G866" s="3" t="str">
        <x:v>AllWeather Tent 4P</x:v>
      </x:c>
      <x:c r="H866" s="3" t="n">
        <x:v>1</x:v>
      </x:c>
      <x:c r="I866" s="7" t="n">
        <x:v>12174.17</x:v>
      </x:c>
      <x:c r="J866" s="9" t="n">
        <x:v>0.15</x:v>
      </x:c>
      <x:c r="K866" s="7" t="n">
        <x:v>10348.04</x:v>
      </x:c>
      <x:c r="L866" s="7" t="n">
        <x:v>2419.1</x:v>
      </x:c>
      <x:c r="M866" s="3" t="str">
        <x:v>UPI</x:v>
      </x:c>
      <x:c r="N866" s="3"/>
      <x:c r="O866" s="3"/>
      <x:c r="P866" s="3"/>
      <x:c r="Q866" s="3"/>
    </x:row>
    <x:row r="867" ht="21" customHeight="1">
      <x:c r="A867" s="3" t="str">
        <x:v>ORD-100777</x:v>
      </x:c>
      <x:c r="B867" s="5" t="n">
        <x:v>45538</x:v>
      </x:c>
      <x:c r="C867" s="3" t="str">
        <x:v>CUST-00472</x:v>
      </x:c>
      <x:c r="D867" s="3" t="str">
        <x:v>North</x:v>
      </x:c>
      <x:c r="E867" s="3" t="str">
        <x:v>Fashion</x:v>
      </x:c>
      <x:c r="F867" s="3" t="str">
        <x:v>Men</x:v>
      </x:c>
      <x:c r="G867" s="3" t="str">
        <x:v>Oxford Casual Shirt</x:v>
      </x:c>
      <x:c r="H867" s="3" t="n">
        <x:v>1</x:v>
      </x:c>
      <x:c r="I867" s="7" t="n">
        <x:v>1357.65</x:v>
      </x:c>
      <x:c r="J867" s="9" t="n">
        <x:v>0.1</x:v>
      </x:c>
      <x:c r="K867" s="7" t="n">
        <x:v>1221.89</x:v>
      </x:c>
      <x:c r="L867" s="7" t="n">
        <x:v>380.23</x:v>
      </x:c>
      <x:c r="M867" s="3" t="str">
        <x:v>Credit Card</x:v>
      </x:c>
      <x:c r="N867" s="3"/>
      <x:c r="O867" s="3"/>
      <x:c r="P867" s="3"/>
      <x:c r="Q867" s="3"/>
    </x:row>
    <x:row r="868" ht="21" customHeight="1">
      <x:c r="A868" s="3" t="str">
        <x:v>ORD-100837</x:v>
      </x:c>
      <x:c r="B868" s="5" t="n">
        <x:v>45538</x:v>
      </x:c>
      <x:c r="C868" s="3" t="str">
        <x:v>CUST-00420</x:v>
      </x:c>
      <x:c r="D868" s="3" t="str">
        <x:v>East</x:v>
      </x:c>
      <x:c r="E868" s="3" t="str">
        <x:v>Home &amp; Kitchen</x:v>
      </x:c>
      <x:c r="F868" s="3" t="str">
        <x:v>Furniture</x:v>
      </x:c>
      <x:c r="G868" s="3" t="str">
        <x:v>ErgoComfort Chair</x:v>
      </x:c>
      <x:c r="H868" s="3" t="n">
        <x:v>1</x:v>
      </x:c>
      <x:c r="I868" s="7" t="n">
        <x:v>8874.78</x:v>
      </x:c>
      <x:c r="J868" s="9" t="n">
        <x:v>0.15</x:v>
      </x:c>
      <x:c r="K868" s="7" t="n">
        <x:v>7543.56</x:v>
      </x:c>
      <x:c r="L868" s="7" t="n">
        <x:v>1161.45</x:v>
      </x:c>
      <x:c r="M868" s="3" t="str">
        <x:v>UPI</x:v>
      </x:c>
      <x:c r="N868" s="3"/>
      <x:c r="O868" s="3"/>
      <x:c r="P868" s="3"/>
      <x:c r="Q868" s="3"/>
    </x:row>
    <x:row r="869" ht="21" customHeight="1">
      <x:c r="A869" s="3" t="str">
        <x:v>ORD-100876</x:v>
      </x:c>
      <x:c r="B869" s="5" t="n">
        <x:v>45538</x:v>
      </x:c>
      <x:c r="C869" s="3" t="str">
        <x:v>CUST-00387</x:v>
      </x:c>
      <x:c r="D869" s="3" t="str">
        <x:v>South</x:v>
      </x:c>
      <x:c r="E869" s="3" t="str">
        <x:v>Home &amp; Kitchen</x:v>
      </x:c>
      <x:c r="F869" s="3" t="str">
        <x:v>Furniture</x:v>
      </x:c>
      <x:c r="G869" s="3" t="str">
        <x:v>Oakwood Study Desk</x:v>
      </x:c>
      <x:c r="H869" s="3" t="n">
        <x:v>1</x:v>
      </x:c>
      <x:c r="I869" s="7" t="n">
        <x:v>12902.03</x:v>
      </x:c>
      <x:c r="J869" s="9" t="n">
        <x:v>0.15</x:v>
      </x:c>
      <x:c r="K869" s="7" t="n">
        <x:v>10966.73</x:v>
      </x:c>
      <x:c r="L869" s="7" t="n">
        <x:v>1702.42</x:v>
      </x:c>
      <x:c r="M869" s="3" t="str">
        <x:v>Debit Card</x:v>
      </x:c>
      <x:c r="N869" s="3"/>
      <x:c r="O869" s="3"/>
      <x:c r="P869" s="3"/>
      <x:c r="Q869" s="3"/>
    </x:row>
    <x:row r="870" ht="21" customHeight="1">
      <x:c r="A870" s="3" t="str">
        <x:v>ORD-101397</x:v>
      </x:c>
      <x:c r="B870" s="5" t="n">
        <x:v>45538</x:v>
      </x:c>
      <x:c r="C870" s="3" t="str">
        <x:v>CUST-00184</x:v>
      </x:c>
      <x:c r="D870" s="3" t="str">
        <x:v>North</x:v>
      </x:c>
      <x:c r="E870" s="3" t="str">
        <x:v>Fashion</x:v>
      </x:c>
      <x:c r="F870" s="3" t="str">
        <x:v>Men</x:v>
      </x:c>
      <x:c r="G870" s="3" t="str">
        <x:v>SlimFit Denim Jeans</x:v>
      </x:c>
      <x:c r="H870" s="3" t="n">
        <x:v>2</x:v>
      </x:c>
      <x:c r="I870" s="7" t="n">
        <x:v>1983.71</x:v>
      </x:c>
      <x:c r="J870" s="9" t="n">
        <x:v>0.1</x:v>
      </x:c>
      <x:c r="K870" s="7" t="n">
        <x:v>3570.68</x:v>
      </x:c>
      <x:c r="L870" s="7" t="n">
        <x:v>994.07</x:v>
      </x:c>
      <x:c r="M870" s="3" t="str">
        <x:v>Cash on Delivery</x:v>
      </x:c>
      <x:c r="N870" s="3"/>
      <x:c r="O870" s="3"/>
      <x:c r="P870" s="3"/>
      <x:c r="Q870" s="3"/>
    </x:row>
    <x:row r="871" ht="21" customHeight="1">
      <x:c r="A871" s="3" t="str">
        <x:v>ORD-101731</x:v>
      </x:c>
      <x:c r="B871" s="5" t="n">
        <x:v>45538</x:v>
      </x:c>
      <x:c r="C871" s="3" t="str">
        <x:v>CUST-00123</x:v>
      </x:c>
      <x:c r="D871" s="3" t="str">
        <x:v>South</x:v>
      </x:c>
      <x:c r="E871" s="3" t="str">
        <x:v>Sports</x:v>
      </x:c>
      <x:c r="F871" s="3" t="str">
        <x:v>Outdoor</x:v>
      </x:c>
      <x:c r="G871" s="3" t="str">
        <x:v>TrailHike Backpack 60L</x:v>
      </x:c>
      <x:c r="H871" s="3" t="n">
        <x:v>1</x:v>
      </x:c>
      <x:c r="I871" s="7" t="n">
        <x:v>3517.74</x:v>
      </x:c>
      <x:c r="J871" s="9" t="n">
        <x:v>0.1</x:v>
      </x:c>
      <x:c r="K871" s="7" t="n">
        <x:v>3165.97</x:v>
      </x:c>
      <x:c r="L871" s="7" t="n">
        <x:v>854.4</x:v>
      </x:c>
      <x:c r="M871" s="3" t="str">
        <x:v>Debit Card</x:v>
      </x:c>
      <x:c r="N871" s="3"/>
      <x:c r="O871" s="3"/>
      <x:c r="P871" s="3"/>
      <x:c r="Q871" s="3"/>
    </x:row>
    <x:row r="872" ht="21" customHeight="1">
      <x:c r="A872" s="3" t="str">
        <x:v>ORD-100115</x:v>
      </x:c>
      <x:c r="B872" s="5" t="n">
        <x:v>45539</x:v>
      </x:c>
      <x:c r="C872" s="3" t="str">
        <x:v>CUST-00299</x:v>
      </x:c>
      <x:c r="D872" s="3" t="str">
        <x:v>North</x:v>
      </x:c>
      <x:c r="E872" s="3" t="str">
        <x:v>Fashion</x:v>
      </x:c>
      <x:c r="F872" s="3" t="str">
        <x:v>Women</x:v>
      </x:c>
      <x:c r="G872" s="3" t="str">
        <x:v>Floral Summer Dress</x:v>
      </x:c>
      <x:c r="H872" s="3" t="n">
        <x:v>1</x:v>
      </x:c>
      <x:c r="I872" s="7" t="n">
        <x:v>1851.87</x:v>
      </x:c>
      <x:c r="J872" s="9" t="n">
        <x:v>0.05</x:v>
      </x:c>
      <x:c r="K872" s="7" t="n">
        <x:v>1759.28</x:v>
      </x:c>
      <x:c r="L872" s="7" t="n">
        <x:v>631.7</x:v>
      </x:c>
      <x:c r="M872" s="3" t="str">
        <x:v>Net Banking</x:v>
      </x:c>
      <x:c r="N872" s="3"/>
      <x:c r="O872" s="3"/>
      <x:c r="P872" s="3"/>
      <x:c r="Q872" s="3"/>
    </x:row>
    <x:row r="873" ht="21" customHeight="1">
      <x:c r="A873" s="3" t="str">
        <x:v>ORD-101015</x:v>
      </x:c>
      <x:c r="B873" s="5" t="n">
        <x:v>45539</x:v>
      </x:c>
      <x:c r="C873" s="3" t="str">
        <x:v>CUST-00380</x:v>
      </x:c>
      <x:c r="D873" s="3" t="str">
        <x:v>East</x:v>
      </x:c>
      <x:c r="E873" s="3" t="str">
        <x:v>Electronics</x:v>
      </x:c>
      <x:c r="F873" s="3" t="str">
        <x:v>Laptop</x:v>
      </x:c>
      <x:c r="G873" s="3" t="str">
        <x:v>AirBook Slim</x:v>
      </x:c>
      <x:c r="H873" s="3" t="n">
        <x:v>1</x:v>
      </x:c>
      <x:c r="I873" s="7" t="n">
        <x:v>81630.42</x:v>
      </x:c>
      <x:c r="J873" s="9" t="n">
        <x:v>0</x:v>
      </x:c>
      <x:c r="K873" s="7" t="n">
        <x:v>81630.42</x:v>
      </x:c>
      <x:c r="L873" s="7" t="n">
        <x:v>12632.98</x:v>
      </x:c>
      <x:c r="M873" s="3" t="str">
        <x:v>Debit Card</x:v>
      </x:c>
      <x:c r="N873" s="3"/>
      <x:c r="O873" s="3"/>
      <x:c r="P873" s="3"/>
      <x:c r="Q873" s="3"/>
    </x:row>
    <x:row r="874" ht="21" customHeight="1">
      <x:c r="A874" s="3" t="str">
        <x:v>ORD-101377</x:v>
      </x:c>
      <x:c r="B874" s="5" t="n">
        <x:v>45539</x:v>
      </x:c>
      <x:c r="C874" s="3" t="str">
        <x:v>CUST-00156</x:v>
      </x:c>
      <x:c r="D874" s="3" t="str">
        <x:v>North</x:v>
      </x:c>
      <x:c r="E874" s="3" t="str">
        <x:v>Electronics</x:v>
      </x:c>
      <x:c r="F874" s="3" t="str">
        <x:v>Laptop</x:v>
      </x:c>
      <x:c r="G874" s="3" t="str">
        <x:v>AirBook Slim</x:v>
      </x:c>
      <x:c r="H874" s="3" t="n">
        <x:v>1</x:v>
      </x:c>
      <x:c r="I874" s="7" t="n">
        <x:v>81295.25</x:v>
      </x:c>
      <x:c r="J874" s="9" t="n">
        <x:v>0.2</x:v>
      </x:c>
      <x:c r="K874" s="7" t="n">
        <x:v>65036.2</x:v>
      </x:c>
      <x:c r="L874" s="7" t="n">
        <x:v>-3980.51</x:v>
      </x:c>
      <x:c r="M874" s="3" t="str">
        <x:v>Debit Card</x:v>
      </x:c>
      <x:c r="N874" s="3"/>
      <x:c r="O874" s="3"/>
      <x:c r="P874" s="3"/>
      <x:c r="Q874" s="3"/>
    </x:row>
    <x:row r="875" ht="21" customHeight="1">
      <x:c r="A875" s="3" t="str">
        <x:v>ORD-100774</x:v>
      </x:c>
      <x:c r="B875" s="5" t="n">
        <x:v>45540</x:v>
      </x:c>
      <x:c r="C875" s="3" t="str">
        <x:v>CUST-00211</x:v>
      </x:c>
      <x:c r="D875" s="3" t="str">
        <x:v>East</x:v>
      </x:c>
      <x:c r="E875" s="3" t="str">
        <x:v>Sports</x:v>
      </x:c>
      <x:c r="F875" s="3" t="str">
        <x:v>Outdoor</x:v>
      </x:c>
      <x:c r="G875" s="3" t="str">
        <x:v>AllWeather Tent 4P</x:v>
      </x:c>
      <x:c r="H875" s="3" t="n">
        <x:v>3</x:v>
      </x:c>
      <x:c r="I875" s="7" t="n">
        <x:v>11509.2</x:v>
      </x:c>
      <x:c r="J875" s="9" t="n">
        <x:v>0.05</x:v>
      </x:c>
      <x:c r="K875" s="7" t="n">
        <x:v>32801.22</x:v>
      </x:c>
      <x:c r="L875" s="7" t="n">
        <x:v>11276.93</x:v>
      </x:c>
      <x:c r="M875" s="3" t="str">
        <x:v>UPI</x:v>
      </x:c>
      <x:c r="N875" s="3"/>
      <x:c r="O875" s="3"/>
      <x:c r="P875" s="3"/>
      <x:c r="Q875" s="3"/>
    </x:row>
    <x:row r="876" ht="21" customHeight="1">
      <x:c r="A876" s="3" t="str">
        <x:v>ORD-101594</x:v>
      </x:c>
      <x:c r="B876" s="5" t="n">
        <x:v>45540</x:v>
      </x:c>
      <x:c r="C876" s="3" t="str">
        <x:v>CUST-00470</x:v>
      </x:c>
      <x:c r="D876" s="3" t="str">
        <x:v>North</x:v>
      </x:c>
      <x:c r="E876" s="3" t="str">
        <x:v>Electronics</x:v>
      </x:c>
      <x:c r="F876" s="3" t="str">
        <x:v>Mobile</x:v>
      </x:c>
      <x:c r="G876" s="3" t="str">
        <x:v>Galaxy Nova X5</x:v>
      </x:c>
      <x:c r="H876" s="3" t="n">
        <x:v>1</x:v>
      </x:c>
      <x:c r="I876" s="7" t="n">
        <x:v>23887.5</x:v>
      </x:c>
      <x:c r="J876" s="9" t="n">
        <x:v>0</x:v>
      </x:c>
      <x:c r="K876" s="7" t="n">
        <x:v>23887.5</x:v>
      </x:c>
      <x:c r="L876" s="7" t="n">
        <x:v>4159.24</x:v>
      </x:c>
      <x:c r="M876" s="3" t="str">
        <x:v>UPI</x:v>
      </x:c>
      <x:c r="N876" s="3"/>
      <x:c r="O876" s="3"/>
      <x:c r="P876" s="3"/>
      <x:c r="Q876" s="3"/>
    </x:row>
    <x:row r="877" ht="21" customHeight="1">
      <x:c r="A877" s="3" t="str">
        <x:v>ORD-101972</x:v>
      </x:c>
      <x:c r="B877" s="5" t="n">
        <x:v>45540</x:v>
      </x:c>
      <x:c r="C877" s="3" t="str">
        <x:v>CUST-00376</x:v>
      </x:c>
      <x:c r="D877" s="3" t="str">
        <x:v>North</x:v>
      </x:c>
      <x:c r="E877" s="3" t="str">
        <x:v>Beauty</x:v>
      </x:c>
      <x:c r="F877" s="3" t="str">
        <x:v>Skincare</x:v>
      </x:c>
      <x:c r="G877" s="3" t="str">
        <x:v>HydraBoost Moisturizer</x:v>
      </x:c>
      <x:c r="H877" s="3" t="n">
        <x:v>1</x:v>
      </x:c>
      <x:c r="I877" s="7" t="n">
        <x:v>1149.9</x:v>
      </x:c>
      <x:c r="J877" s="9" t="n">
        <x:v>0.2</x:v>
      </x:c>
      <x:c r="K877" s="7" t="n">
        <x:v>919.92</x:v>
      </x:c>
      <x:c r="L877" s="7" t="n">
        <x:v>279.05</x:v>
      </x:c>
      <x:c r="M877" s="3" t="str">
        <x:v>UPI</x:v>
      </x:c>
      <x:c r="N877" s="3"/>
      <x:c r="O877" s="3"/>
      <x:c r="P877" s="3"/>
      <x:c r="Q877" s="3"/>
    </x:row>
    <x:row r="878" ht="21" customHeight="1">
      <x:c r="A878" s="3" t="str">
        <x:v>ORD-101355</x:v>
      </x:c>
      <x:c r="B878" s="5" t="n">
        <x:v>45541</x:v>
      </x:c>
      <x:c r="C878" s="3" t="str">
        <x:v>CUST-00088</x:v>
      </x:c>
      <x:c r="D878" s="3" t="str">
        <x:v>South</x:v>
      </x:c>
      <x:c r="E878" s="3" t="str">
        <x:v>Beauty</x:v>
      </x:c>
      <x:c r="F878" s="3" t="str">
        <x:v>Makeup</x:v>
      </x:c>
      <x:c r="G878" s="3" t="str">
        <x:v>HD Foundation Kit</x:v>
      </x:c>
      <x:c r="H878" s="3" t="n">
        <x:v>1</x:v>
      </x:c>
      <x:c r="I878" s="7" t="n">
        <x:v>1546.64</x:v>
      </x:c>
      <x:c r="J878" s="9" t="n">
        <x:v>0.1</x:v>
      </x:c>
      <x:c r="K878" s="7" t="n">
        <x:v>1391.98</x:v>
      </x:c>
      <x:c r="L878" s="7" t="n">
        <x:v>570.92</x:v>
      </x:c>
      <x:c r="M878" s="3" t="str">
        <x:v>UPI</x:v>
      </x:c>
      <x:c r="N878" s="3"/>
      <x:c r="O878" s="3"/>
      <x:c r="P878" s="3"/>
      <x:c r="Q878" s="3"/>
    </x:row>
    <x:row r="879" ht="21" customHeight="1">
      <x:c r="A879" s="3" t="str">
        <x:v>ORD-100821</x:v>
      </x:c>
      <x:c r="B879" s="5" t="n">
        <x:v>45542</x:v>
      </x:c>
      <x:c r="C879" s="3" t="str">
        <x:v>CUST-00274</x:v>
      </x:c>
      <x:c r="D879" s="3" t="str">
        <x:v>North</x:v>
      </x:c>
      <x:c r="E879" s="3" t="str">
        <x:v>Home &amp; Kitchen</x:v>
      </x:c>
      <x:c r="F879" s="3" t="str">
        <x:v>Appliances</x:v>
      </x:c>
      <x:c r="G879" s="3" t="str">
        <x:v>AirFryer Deluxe</x:v>
      </x:c>
      <x:c r="H879" s="3" t="n">
        <x:v>1</x:v>
      </x:c>
      <x:c r="I879" s="7" t="n">
        <x:v>7884.58</x:v>
      </x:c>
      <x:c r="J879" s="9" t="n">
        <x:v>0.15</x:v>
      </x:c>
      <x:c r="K879" s="7" t="n">
        <x:v>6701.89</x:v>
      </x:c>
      <x:c r="L879" s="7" t="n">
        <x:v>1278.1</x:v>
      </x:c>
      <x:c r="M879" s="3" t="str">
        <x:v>Debit Card</x:v>
      </x:c>
      <x:c r="N879" s="3"/>
      <x:c r="O879" s="3"/>
      <x:c r="P879" s="3"/>
      <x:c r="Q879" s="3"/>
    </x:row>
    <x:row r="880" ht="21" customHeight="1">
      <x:c r="A880" s="3" t="str">
        <x:v>ORD-100933</x:v>
      </x:c>
      <x:c r="B880" s="5" t="n">
        <x:v>45542</x:v>
      </x:c>
      <x:c r="C880" s="3" t="str">
        <x:v>CUST-00468</x:v>
      </x:c>
      <x:c r="D880" s="3" t="str">
        <x:v>North</x:v>
      </x:c>
      <x:c r="E880" s="3" t="str">
        <x:v>Beauty</x:v>
      </x:c>
      <x:c r="F880" s="3" t="str">
        <x:v>Skincare</x:v>
      </x:c>
      <x:c r="G880" s="3" t="str">
        <x:v>Vitamin C Serum</x:v>
      </x:c>
      <x:c r="H880" s="3" t="n">
        <x:v>1</x:v>
      </x:c>
      <x:c r="I880" s="7" t="n">
        <x:v>876.05</x:v>
      </x:c>
      <x:c r="J880" s="9" t="n">
        <x:v>0.1</x:v>
      </x:c>
      <x:c r="K880" s="7" t="n">
        <x:v>788.44</x:v>
      </x:c>
      <x:c r="L880" s="7" t="n">
        <x:v>361.72</x:v>
      </x:c>
      <x:c r="M880" s="3" t="str">
        <x:v>Cash on Delivery</x:v>
      </x:c>
      <x:c r="N880" s="3"/>
      <x:c r="O880" s="3"/>
      <x:c r="P880" s="3"/>
      <x:c r="Q880" s="3"/>
    </x:row>
    <x:row r="881" ht="21" customHeight="1">
      <x:c r="A881" s="3" t="str">
        <x:v>ORD-101394</x:v>
      </x:c>
      <x:c r="B881" s="5" t="n">
        <x:v>45542</x:v>
      </x:c>
      <x:c r="C881" s="3" t="str">
        <x:v>CUST-00554</x:v>
      </x:c>
      <x:c r="D881" s="3" t="str">
        <x:v>West</x:v>
      </x:c>
      <x:c r="E881" s="3" t="str">
        <x:v>Electronics</x:v>
      </x:c>
      <x:c r="F881" s="3" t="str">
        <x:v>Mobile</x:v>
      </x:c>
      <x:c r="G881" s="3" t="str">
        <x:v>iPhone Zeta</x:v>
      </x:c>
      <x:c r="H881" s="3" t="n">
        <x:v>3</x:v>
      </x:c>
      <x:c r="I881" s="7" t="n">
        <x:v>71001.04</x:v>
      </x:c>
      <x:c r="J881" s="9" t="n">
        <x:v>0.1</x:v>
      </x:c>
      <x:c r="K881" s="7" t="n">
        <x:v>191702.81</x:v>
      </x:c>
      <x:c r="L881" s="7" t="n">
        <x:v>18477.8</x:v>
      </x:c>
      <x:c r="M881" s="3" t="str">
        <x:v>UPI</x:v>
      </x:c>
      <x:c r="N881" s="3"/>
      <x:c r="O881" s="3"/>
      <x:c r="P881" s="3"/>
      <x:c r="Q881" s="3"/>
    </x:row>
    <x:row r="882" ht="21" customHeight="1">
      <x:c r="A882" s="3" t="str">
        <x:v>ORD-101440</x:v>
      </x:c>
      <x:c r="B882" s="5" t="n">
        <x:v>45542</x:v>
      </x:c>
      <x:c r="C882" s="3" t="str">
        <x:v>CUST-00118</x:v>
      </x:c>
      <x:c r="D882" s="3" t="str">
        <x:v>West</x:v>
      </x:c>
      <x:c r="E882" s="3" t="str">
        <x:v>Fashion</x:v>
      </x:c>
      <x:c r="F882" s="3" t="str">
        <x:v>Footwear</x:v>
      </x:c>
      <x:c r="G882" s="3" t="str">
        <x:v>UrbanLoafers</x:v>
      </x:c>
      <x:c r="H882" s="3" t="n">
        <x:v>1</x:v>
      </x:c>
      <x:c r="I882" s="7" t="n">
        <x:v>3611.34</x:v>
      </x:c>
      <x:c r="J882" s="9" t="n">
        <x:v>0.05</x:v>
      </x:c>
      <x:c r="K882" s="7" t="n">
        <x:v>3430.77</x:v>
      </x:c>
      <x:c r="L882" s="7" t="n">
        <x:v>1276.02</x:v>
      </x:c>
      <x:c r="M882" s="3" t="str">
        <x:v>UPI</x:v>
      </x:c>
      <x:c r="N882" s="3"/>
      <x:c r="O882" s="3"/>
      <x:c r="P882" s="3"/>
      <x:c r="Q882" s="3"/>
    </x:row>
    <x:row r="883" ht="21" customHeight="1">
      <x:c r="A883" s="3" t="str">
        <x:v>ORD-101647</x:v>
      </x:c>
      <x:c r="B883" s="5" t="n">
        <x:v>45542</x:v>
      </x:c>
      <x:c r="C883" s="3" t="str">
        <x:v>CUST-00042</x:v>
      </x:c>
      <x:c r="D883" s="3" t="str">
        <x:v>North</x:v>
      </x:c>
      <x:c r="E883" s="3" t="str">
        <x:v>Beauty</x:v>
      </x:c>
      <x:c r="F883" s="3" t="str">
        <x:v>Skincare</x:v>
      </x:c>
      <x:c r="G883" s="3" t="str">
        <x:v>Vitamin C Serum</x:v>
      </x:c>
      <x:c r="H883" s="3" t="n">
        <x:v>1</x:v>
      </x:c>
      <x:c r="I883" s="7" t="n">
        <x:v>940.09</x:v>
      </x:c>
      <x:c r="J883" s="9" t="n">
        <x:v>0</x:v>
      </x:c>
      <x:c r="K883" s="7" t="n">
        <x:v>940.09</x:v>
      </x:c>
      <x:c r="L883" s="7" t="n">
        <x:v>498.04</x:v>
      </x:c>
      <x:c r="M883" s="3" t="str">
        <x:v>Cash on Delivery</x:v>
      </x:c>
      <x:c r="N883" s="3"/>
      <x:c r="O883" s="3"/>
      <x:c r="P883" s="3"/>
      <x:c r="Q883" s="3"/>
    </x:row>
    <x:row r="884" ht="21" customHeight="1">
      <x:c r="A884" s="3" t="str">
        <x:v>ORD-101761</x:v>
      </x:c>
      <x:c r="B884" s="5" t="n">
        <x:v>45542</x:v>
      </x:c>
      <x:c r="C884" s="3" t="str">
        <x:v>CUST-00196</x:v>
      </x:c>
      <x:c r="D884" s="3" t="str">
        <x:v>West</x:v>
      </x:c>
      <x:c r="E884" s="3" t="str">
        <x:v>Beauty</x:v>
      </x:c>
      <x:c r="F884" s="3" t="str">
        <x:v>Skincare</x:v>
      </x:c>
      <x:c r="G884" s="3" t="str">
        <x:v>HydraBoost Moisturizer</x:v>
      </x:c>
      <x:c r="H884" s="3" t="n">
        <x:v>1</x:v>
      </x:c>
      <x:c r="I884" s="7" t="n">
        <x:v>1207.29</x:v>
      </x:c>
      <x:c r="J884" s="9" t="n">
        <x:v>0</x:v>
      </x:c>
      <x:c r="K884" s="7" t="n">
        <x:v>1207.29</x:v>
      </x:c>
      <x:c r="L884" s="7" t="n">
        <x:v>615.95</x:v>
      </x:c>
      <x:c r="M884" s="3" t="str">
        <x:v>Debit Card</x:v>
      </x:c>
      <x:c r="N884" s="3"/>
      <x:c r="O884" s="3"/>
      <x:c r="P884" s="3"/>
      <x:c r="Q884" s="3"/>
    </x:row>
    <x:row r="885" ht="21" customHeight="1">
      <x:c r="A885" s="3" t="str">
        <x:v>ORD-100224</x:v>
      </x:c>
      <x:c r="B885" s="5" t="n">
        <x:v>45543</x:v>
      </x:c>
      <x:c r="C885" s="3" t="str">
        <x:v>CUST-00420</x:v>
      </x:c>
      <x:c r="D885" s="3" t="str">
        <x:v>East</x:v>
      </x:c>
      <x:c r="E885" s="3" t="str">
        <x:v>Home &amp; Kitchen</x:v>
      </x:c>
      <x:c r="F885" s="3" t="str">
        <x:v>Furniture</x:v>
      </x:c>
      <x:c r="G885" s="3" t="str">
        <x:v>ErgoComfort Chair</x:v>
      </x:c>
      <x:c r="H885" s="3" t="n">
        <x:v>1</x:v>
      </x:c>
      <x:c r="I885" s="7" t="n">
        <x:v>9056.42</x:v>
      </x:c>
      <x:c r="J885" s="9" t="n">
        <x:v>0</x:v>
      </x:c>
      <x:c r="K885" s="7" t="n">
        <x:v>9056.42</x:v>
      </x:c>
      <x:c r="L885" s="7" t="n">
        <x:v>2846.55</x:v>
      </x:c>
      <x:c r="M885" s="3" t="str">
        <x:v>Credit Card</x:v>
      </x:c>
      <x:c r="N885" s="3"/>
      <x:c r="O885" s="3"/>
      <x:c r="P885" s="3"/>
      <x:c r="Q885" s="3"/>
    </x:row>
    <x:row r="886" ht="21" customHeight="1">
      <x:c r="A886" s="3" t="str">
        <x:v>ORD-101197</x:v>
      </x:c>
      <x:c r="B886" s="5" t="n">
        <x:v>45543</x:v>
      </x:c>
      <x:c r="C886" s="3" t="str">
        <x:v>CUST-00350</x:v>
      </x:c>
      <x:c r="D886" s="3" t="str">
        <x:v>South</x:v>
      </x:c>
      <x:c r="E886" s="3" t="str">
        <x:v>Fashion</x:v>
      </x:c>
      <x:c r="F886" s="3" t="str">
        <x:v>Men</x:v>
      </x:c>
      <x:c r="G886" s="3" t="str">
        <x:v>Oxford Casual Shirt</x:v>
      </x:c>
      <x:c r="H886" s="3" t="n">
        <x:v>1</x:v>
      </x:c>
      <x:c r="I886" s="7" t="n">
        <x:v>1274.85</x:v>
      </x:c>
      <x:c r="J886" s="9" t="n">
        <x:v>0.15</x:v>
      </x:c>
      <x:c r="K886" s="7" t="n">
        <x:v>1083.62</x:v>
      </x:c>
      <x:c r="L886" s="7" t="n">
        <x:v>265.5</x:v>
      </x:c>
      <x:c r="M886" s="3" t="str">
        <x:v>Credit Card</x:v>
      </x:c>
      <x:c r="N886" s="3"/>
      <x:c r="O886" s="3"/>
      <x:c r="P886" s="3"/>
      <x:c r="Q886" s="3"/>
    </x:row>
    <x:row r="887" ht="21" customHeight="1">
      <x:c r="A887" s="3" t="str">
        <x:v>ORD-101543</x:v>
      </x:c>
      <x:c r="B887" s="5" t="n">
        <x:v>45543</x:v>
      </x:c>
      <x:c r="C887" s="3" t="str">
        <x:v>CUST-00504</x:v>
      </x:c>
      <x:c r="D887" s="3" t="str">
        <x:v>North</x:v>
      </x:c>
      <x:c r="E887" s="3" t="str">
        <x:v>Fashion</x:v>
      </x:c>
      <x:c r="F887" s="3" t="str">
        <x:v>Footwear</x:v>
      </x:c>
      <x:c r="G887" s="3" t="str">
        <x:v>RunFlex Sneakers</x:v>
      </x:c>
      <x:c r="H887" s="3" t="n">
        <x:v>1</x:v>
      </x:c>
      <x:c r="I887" s="7" t="n">
        <x:v>3074.57</x:v>
      </x:c>
      <x:c r="J887" s="9" t="n">
        <x:v>0.05</x:v>
      </x:c>
      <x:c r="K887" s="7" t="n">
        <x:v>2920.84</x:v>
      </x:c>
      <x:c r="L887" s="7" t="n">
        <x:v>1140.34</x:v>
      </x:c>
      <x:c r="M887" s="3" t="str">
        <x:v>UPI</x:v>
      </x:c>
      <x:c r="N887" s="3"/>
      <x:c r="O887" s="3"/>
      <x:c r="P887" s="3"/>
      <x:c r="Q887" s="3"/>
    </x:row>
    <x:row r="888" ht="21" customHeight="1">
      <x:c r="A888" s="3" t="str">
        <x:v>ORD-101746</x:v>
      </x:c>
      <x:c r="B888" s="5" t="n">
        <x:v>45543</x:v>
      </x:c>
      <x:c r="C888" s="3" t="str">
        <x:v>CUST-00315</x:v>
      </x:c>
      <x:c r="D888" s="3" t="str">
        <x:v>North</x:v>
      </x:c>
      <x:c r="E888" s="3" t="str">
        <x:v>Home &amp; Kitchen</x:v>
      </x:c>
      <x:c r="F888" s="3" t="str">
        <x:v>Decor</x:v>
      </x:c>
      <x:c r="G888" s="3" t="str">
        <x:v>Ceramic Vase Set</x:v>
      </x:c>
      <x:c r="H888" s="3" t="n">
        <x:v>1</x:v>
      </x:c>
      <x:c r="I888" s="7" t="n">
        <x:v>1433.32</x:v>
      </x:c>
      <x:c r="J888" s="9" t="n">
        <x:v>0.05</x:v>
      </x:c>
      <x:c r="K888" s="7" t="n">
        <x:v>1361.65</x:v>
      </x:c>
      <x:c r="L888" s="7" t="n">
        <x:v>330.63</x:v>
      </x:c>
      <x:c r="M888" s="3" t="str">
        <x:v>UPI</x:v>
      </x:c>
      <x:c r="N888" s="3"/>
      <x:c r="O888" s="3"/>
      <x:c r="P888" s="3"/>
      <x:c r="Q888" s="3"/>
    </x:row>
    <x:row r="889" ht="21" customHeight="1">
      <x:c r="A889" s="3" t="str">
        <x:v>ORD-100019</x:v>
      </x:c>
      <x:c r="B889" s="5" t="n">
        <x:v>45544</x:v>
      </x:c>
      <x:c r="C889" s="3" t="str">
        <x:v>CUST-00041</x:v>
      </x:c>
      <x:c r="D889" s="3" t="str">
        <x:v>East</x:v>
      </x:c>
      <x:c r="E889" s="3" t="str">
        <x:v>Beauty</x:v>
      </x:c>
      <x:c r="F889" s="3" t="str">
        <x:v>Skincare</x:v>
      </x:c>
      <x:c r="G889" s="3" t="str">
        <x:v>Vitamin C Serum</x:v>
      </x:c>
      <x:c r="H889" s="3" t="n">
        <x:v>5</x:v>
      </x:c>
      <x:c r="I889" s="7" t="n">
        <x:v>870.76</x:v>
      </x:c>
      <x:c r="J889" s="9" t="n">
        <x:v>0</x:v>
      </x:c>
      <x:c r="K889" s="7" t="n">
        <x:v>4353.8</x:v>
      </x:c>
      <x:c r="L889" s="7" t="n">
        <x:v>2427.69</x:v>
      </x:c>
      <x:c r="M889" s="3" t="str">
        <x:v>UPI</x:v>
      </x:c>
      <x:c r="N889" s="3"/>
      <x:c r="O889" s="3"/>
      <x:c r="P889" s="3"/>
      <x:c r="Q889" s="3"/>
    </x:row>
    <x:row r="890" ht="21" customHeight="1">
      <x:c r="A890" s="3" t="str">
        <x:v>ORD-100467</x:v>
      </x:c>
      <x:c r="B890" s="5" t="n">
        <x:v>45544</x:v>
      </x:c>
      <x:c r="C890" s="3" t="str">
        <x:v>CUST-00445</x:v>
      </x:c>
      <x:c r="D890" s="3" t="str">
        <x:v>West</x:v>
      </x:c>
      <x:c r="E890" s="3" t="str">
        <x:v>Fashion</x:v>
      </x:c>
      <x:c r="F890" s="3" t="str">
        <x:v>Men</x:v>
      </x:c>
      <x:c r="G890" s="3" t="str">
        <x:v>Oxford Casual Shirt</x:v>
      </x:c>
      <x:c r="H890" s="3" t="n">
        <x:v>3</x:v>
      </x:c>
      <x:c r="I890" s="7" t="n">
        <x:v>1363.39</x:v>
      </x:c>
      <x:c r="J890" s="9" t="n">
        <x:v>0.05</x:v>
      </x:c>
      <x:c r="K890" s="7" t="n">
        <x:v>3885.66</x:v>
      </x:c>
      <x:c r="L890" s="7" t="n">
        <x:v>1437.02</x:v>
      </x:c>
      <x:c r="M890" s="3" t="str">
        <x:v>UPI</x:v>
      </x:c>
      <x:c r="N890" s="3"/>
      <x:c r="O890" s="3"/>
      <x:c r="P890" s="3"/>
      <x:c r="Q890" s="3"/>
    </x:row>
    <x:row r="891" ht="21" customHeight="1">
      <x:c r="A891" s="3" t="str">
        <x:v>ORD-100648</x:v>
      </x:c>
      <x:c r="B891" s="5" t="n">
        <x:v>45544</x:v>
      </x:c>
      <x:c r="C891" s="3" t="str">
        <x:v>CUST-00036</x:v>
      </x:c>
      <x:c r="D891" s="3" t="str">
        <x:v>East</x:v>
      </x:c>
      <x:c r="E891" s="3" t="str">
        <x:v>Home &amp; Kitchen</x:v>
      </x:c>
      <x:c r="F891" s="3" t="str">
        <x:v>Appliances</x:v>
      </x:c>
      <x:c r="G891" s="3" t="str">
        <x:v>ColdBrew Coffee Maker</x:v>
      </x:c>
      <x:c r="H891" s="3" t="n">
        <x:v>1</x:v>
      </x:c>
      <x:c r="I891" s="7" t="n">
        <x:v>6621.5</x:v>
      </x:c>
      <x:c r="J891" s="9" t="n">
        <x:v>0.05</x:v>
      </x:c>
      <x:c r="K891" s="7" t="n">
        <x:v>6290.42</x:v>
      </x:c>
      <x:c r="L891" s="7" t="n">
        <x:v>1813</x:v>
      </x:c>
      <x:c r="M891" s="3" t="str">
        <x:v>Net Banking</x:v>
      </x:c>
      <x:c r="N891" s="3"/>
      <x:c r="O891" s="3"/>
      <x:c r="P891" s="3"/>
      <x:c r="Q891" s="3"/>
    </x:row>
    <x:row r="892" ht="21" customHeight="1">
      <x:c r="A892" s="3" t="str">
        <x:v>ORD-101649</x:v>
      </x:c>
      <x:c r="B892" s="5" t="n">
        <x:v>45544</x:v>
      </x:c>
      <x:c r="C892" s="3" t="str">
        <x:v>CUST-00168</x:v>
      </x:c>
      <x:c r="D892" s="3" t="str">
        <x:v>North</x:v>
      </x:c>
      <x:c r="E892" s="3" t="str">
        <x:v>Fashion</x:v>
      </x:c>
      <x:c r="F892" s="3" t="str">
        <x:v>Women</x:v>
      </x:c>
      <x:c r="G892" s="3" t="str">
        <x:v>Knit Winter Sweater</x:v>
      </x:c>
      <x:c r="H892" s="3" t="n">
        <x:v>2</x:v>
      </x:c>
      <x:c r="I892" s="7" t="n">
        <x:v>2131.63</x:v>
      </x:c>
      <x:c r="J892" s="9" t="n">
        <x:v>0</x:v>
      </x:c>
      <x:c r="K892" s="7" t="n">
        <x:v>4263.26</x:v>
      </x:c>
      <x:c r="L892" s="7" t="n">
        <x:v>1884.62</x:v>
      </x:c>
      <x:c r="M892" s="3" t="str">
        <x:v>UPI</x:v>
      </x:c>
      <x:c r="N892" s="3"/>
      <x:c r="O892" s="3"/>
      <x:c r="P892" s="3"/>
      <x:c r="Q892" s="3"/>
    </x:row>
    <x:row r="893" ht="21" customHeight="1">
      <x:c r="A893" s="3" t="str">
        <x:v>ORD-101711</x:v>
      </x:c>
      <x:c r="B893" s="5" t="n">
        <x:v>45544</x:v>
      </x:c>
      <x:c r="C893" s="3" t="str">
        <x:v>CUST-00205</x:v>
      </x:c>
      <x:c r="D893" s="3" t="str">
        <x:v>West</x:v>
      </x:c>
      <x:c r="E893" s="3" t="str">
        <x:v>Home &amp; Kitchen</x:v>
      </x:c>
      <x:c r="F893" s="3" t="str">
        <x:v>Decor</x:v>
      </x:c>
      <x:c r="G893" s="3" t="str">
        <x:v>Ceramic Vase Set</x:v>
      </x:c>
      <x:c r="H893" s="3" t="n">
        <x:v>1</x:v>
      </x:c>
      <x:c r="I893" s="7" t="n">
        <x:v>1502.78</x:v>
      </x:c>
      <x:c r="J893" s="9" t="n">
        <x:v>0</x:v>
      </x:c>
      <x:c r="K893" s="7" t="n">
        <x:v>1502.78</x:v>
      </x:c>
      <x:c r="L893" s="7" t="n">
        <x:v>441.68</x:v>
      </x:c>
      <x:c r="M893" s="3" t="str">
        <x:v>Debit Card</x:v>
      </x:c>
      <x:c r="N893" s="3"/>
      <x:c r="O893" s="3"/>
      <x:c r="P893" s="3"/>
      <x:c r="Q893" s="3"/>
    </x:row>
    <x:row r="894" ht="21" customHeight="1">
      <x:c r="A894" s="3" t="str">
        <x:v>ORD-100012</x:v>
      </x:c>
      <x:c r="B894" s="5" t="n">
        <x:v>45545</x:v>
      </x:c>
      <x:c r="C894" s="3" t="str">
        <x:v>CUST-00347</x:v>
      </x:c>
      <x:c r="D894" s="3" t="str">
        <x:v>West</x:v>
      </x:c>
      <x:c r="E894" s="3" t="str">
        <x:v>Fashion</x:v>
      </x:c>
      <x:c r="F894" s="3" t="str">
        <x:v>Footwear</x:v>
      </x:c>
      <x:c r="G894" s="3" t="str">
        <x:v>RunFlex Sneakers</x:v>
      </x:c>
      <x:c r="H894" s="3" t="n">
        <x:v>2</x:v>
      </x:c>
      <x:c r="I894" s="7" t="n">
        <x:v>3050.49</x:v>
      </x:c>
      <x:c r="J894" s="9" t="n">
        <x:v>0.05</x:v>
      </x:c>
      <x:c r="K894" s="7" t="n">
        <x:v>5795.93</x:v>
      </x:c>
      <x:c r="L894" s="7" t="n">
        <x:v>2042.33</x:v>
      </x:c>
      <x:c r="M894" s="3" t="str">
        <x:v>Credit Card</x:v>
      </x:c>
      <x:c r="N894" s="3"/>
      <x:c r="O894" s="3"/>
      <x:c r="P894" s="3"/>
      <x:c r="Q894" s="3"/>
    </x:row>
    <x:row r="895" ht="21" customHeight="1">
      <x:c r="A895" s="3" t="str">
        <x:v>ORD-100597</x:v>
      </x:c>
      <x:c r="B895" s="5" t="n">
        <x:v>45545</x:v>
      </x:c>
      <x:c r="C895" s="3" t="str">
        <x:v>CUST-00245</x:v>
      </x:c>
      <x:c r="D895" s="3" t="str">
        <x:v>West</x:v>
      </x:c>
      <x:c r="E895" s="3" t="str">
        <x:v>Home &amp; Kitchen</x:v>
      </x:c>
      <x:c r="F895" s="3" t="str">
        <x:v>Furniture</x:v>
      </x:c>
      <x:c r="G895" s="3" t="str">
        <x:v>Oakwood Study Desk</x:v>
      </x:c>
      <x:c r="H895" s="3" t="n">
        <x:v>1</x:v>
      </x:c>
      <x:c r="I895" s="7" t="n">
        <x:v>12380.28</x:v>
      </x:c>
      <x:c r="J895" s="9" t="n">
        <x:v>0.05</x:v>
      </x:c>
      <x:c r="K895" s="7" t="n">
        <x:v>11761.27</x:v>
      </x:c>
      <x:c r="L895" s="7" t="n">
        <x:v>3484.6</x:v>
      </x:c>
      <x:c r="M895" s="3" t="str">
        <x:v>Debit Card</x:v>
      </x:c>
      <x:c r="N895" s="3"/>
      <x:c r="O895" s="3"/>
      <x:c r="P895" s="3"/>
      <x:c r="Q895" s="3"/>
    </x:row>
    <x:row r="896" ht="21" customHeight="1">
      <x:c r="A896" s="3" t="str">
        <x:v>ORD-100698</x:v>
      </x:c>
      <x:c r="B896" s="5" t="n">
        <x:v>45545</x:v>
      </x:c>
      <x:c r="C896" s="3" t="str">
        <x:v>CUST-00440</x:v>
      </x:c>
      <x:c r="D896" s="3" t="str">
        <x:v>North</x:v>
      </x:c>
      <x:c r="E896" s="3" t="str">
        <x:v>Home &amp; Kitchen</x:v>
      </x:c>
      <x:c r="F896" s="3" t="str">
        <x:v>Decor</x:v>
      </x:c>
      <x:c r="G896" s="3" t="str">
        <x:v>Ceramic Vase Set</x:v>
      </x:c>
      <x:c r="H896" s="3" t="n">
        <x:v>2</x:v>
      </x:c>
      <x:c r="I896" s="7" t="n">
        <x:v>1446.91</x:v>
      </x:c>
      <x:c r="J896" s="9" t="n">
        <x:v>0</x:v>
      </x:c>
      <x:c r="K896" s="7" t="n">
        <x:v>2893.82</x:v>
      </x:c>
      <x:c r="L896" s="7" t="n">
        <x:v>957.56</x:v>
      </x:c>
      <x:c r="M896" s="3" t="str">
        <x:v>Debit Card</x:v>
      </x:c>
      <x:c r="N896" s="3"/>
      <x:c r="O896" s="3"/>
      <x:c r="P896" s="3"/>
      <x:c r="Q896" s="3"/>
    </x:row>
    <x:row r="897" ht="21" customHeight="1">
      <x:c r="A897" s="3" t="str">
        <x:v>ORD-100360</x:v>
      </x:c>
      <x:c r="B897" s="5" t="n">
        <x:v>45546</x:v>
      </x:c>
      <x:c r="C897" s="3" t="str">
        <x:v>CUST-00454</x:v>
      </x:c>
      <x:c r="D897" s="3" t="str">
        <x:v>North</x:v>
      </x:c>
      <x:c r="E897" s="3" t="str">
        <x:v>Electronics</x:v>
      </x:c>
      <x:c r="F897" s="3" t="str">
        <x:v>Audio</x:v>
      </x:c>
      <x:c r="G897" s="3" t="str">
        <x:v>BassBoom Speaker</x:v>
      </x:c>
      <x:c r="H897" s="3" t="n">
        <x:v>1</x:v>
      </x:c>
      <x:c r="I897" s="7" t="n">
        <x:v>8774.1</x:v>
      </x:c>
      <x:c r="J897" s="9" t="n">
        <x:v>0.2</x:v>
      </x:c>
      <x:c r="K897" s="7" t="n">
        <x:v>7019.28</x:v>
      </x:c>
      <x:c r="L897" s="7" t="n">
        <x:v>-417.46</x:v>
      </x:c>
      <x:c r="M897" s="3" t="str">
        <x:v>Cash on Delivery</x:v>
      </x:c>
      <x:c r="N897" s="3"/>
      <x:c r="O897" s="3"/>
      <x:c r="P897" s="3"/>
      <x:c r="Q897" s="3"/>
    </x:row>
    <x:row r="898" ht="21" customHeight="1">
      <x:c r="A898" s="3" t="str">
        <x:v>ORD-101135</x:v>
      </x:c>
      <x:c r="B898" s="5" t="n">
        <x:v>45546</x:v>
      </x:c>
      <x:c r="C898" s="3" t="str">
        <x:v>CUST-00157</x:v>
      </x:c>
      <x:c r="D898" s="3" t="str">
        <x:v>West</x:v>
      </x:c>
      <x:c r="E898" s="3" t="str">
        <x:v>Electronics</x:v>
      </x:c>
      <x:c r="F898" s="3" t="str">
        <x:v>Audio</x:v>
      </x:c>
      <x:c r="G898" s="3" t="str">
        <x:v>BassBoom Speaker</x:v>
      </x:c>
      <x:c r="H898" s="3" t="n">
        <x:v>3</x:v>
      </x:c>
      <x:c r="I898" s="7" t="n">
        <x:v>9290.63</x:v>
      </x:c>
      <x:c r="J898" s="9" t="n">
        <x:v>0</x:v>
      </x:c>
      <x:c r="K898" s="7" t="n">
        <x:v>27871.89</x:v>
      </x:c>
      <x:c r="L898" s="7" t="n">
        <x:v>5139.61</x:v>
      </x:c>
      <x:c r="M898" s="3" t="str">
        <x:v>UPI</x:v>
      </x:c>
      <x:c r="N898" s="3"/>
      <x:c r="O898" s="3"/>
      <x:c r="P898" s="3"/>
      <x:c r="Q898" s="3"/>
    </x:row>
    <x:row r="899" ht="21" customHeight="1">
      <x:c r="A899" s="3" t="str">
        <x:v>ORD-101170</x:v>
      </x:c>
      <x:c r="B899" s="5" t="n">
        <x:v>45546</x:v>
      </x:c>
      <x:c r="C899" s="3" t="str">
        <x:v>CUST-00042</x:v>
      </x:c>
      <x:c r="D899" s="3" t="str">
        <x:v>East</x:v>
      </x:c>
      <x:c r="E899" s="3" t="str">
        <x:v>Sports</x:v>
      </x:c>
      <x:c r="F899" s="3" t="str">
        <x:v>Outdoor</x:v>
      </x:c>
      <x:c r="G899" s="3" t="str">
        <x:v>AllWeather Tent 4P</x:v>
      </x:c>
      <x:c r="H899" s="3" t="n">
        <x:v>1</x:v>
      </x:c>
      <x:c r="I899" s="7" t="n">
        <x:v>12107.88</x:v>
      </x:c>
      <x:c r="J899" s="9" t="n">
        <x:v>0</x:v>
      </x:c>
      <x:c r="K899" s="7" t="n">
        <x:v>12107.88</x:v>
      </x:c>
      <x:c r="L899" s="7" t="n">
        <x:v>4840.04</x:v>
      </x:c>
      <x:c r="M899" s="3" t="str">
        <x:v>Credit Card</x:v>
      </x:c>
      <x:c r="N899" s="3"/>
      <x:c r="O899" s="3"/>
      <x:c r="P899" s="3"/>
      <x:c r="Q899" s="3"/>
    </x:row>
    <x:row r="900" ht="21" customHeight="1">
      <x:c r="A900" s="3" t="str">
        <x:v>ORD-101318</x:v>
      </x:c>
      <x:c r="B900" s="5" t="n">
        <x:v>45546</x:v>
      </x:c>
      <x:c r="C900" s="3" t="str">
        <x:v>CUST-00291</x:v>
      </x:c>
      <x:c r="D900" s="3" t="str">
        <x:v>South</x:v>
      </x:c>
      <x:c r="E900" s="3" t="str">
        <x:v>Fashion</x:v>
      </x:c>
      <x:c r="F900" s="3" t="str">
        <x:v>Footwear</x:v>
      </x:c>
      <x:c r="G900" s="3" t="str">
        <x:v>RunFlex Sneakers</x:v>
      </x:c>
      <x:c r="H900" s="3" t="n">
        <x:v>1</x:v>
      </x:c>
      <x:c r="I900" s="7" t="n">
        <x:v>3086.01</x:v>
      </x:c>
      <x:c r="J900" s="9" t="n">
        <x:v>0.15</x:v>
      </x:c>
      <x:c r="K900" s="7" t="n">
        <x:v>2623.11</x:v>
      </x:c>
      <x:c r="L900" s="7" t="n">
        <x:v>633.17</x:v>
      </x:c>
      <x:c r="M900" s="3" t="str">
        <x:v>UPI</x:v>
      </x:c>
      <x:c r="N900" s="3"/>
      <x:c r="O900" s="3"/>
      <x:c r="P900" s="3"/>
      <x:c r="Q900" s="3"/>
    </x:row>
    <x:row r="901" ht="21" customHeight="1">
      <x:c r="A901" s="3" t="str">
        <x:v>ORD-101323</x:v>
      </x:c>
      <x:c r="B901" s="5" t="n">
        <x:v>45546</x:v>
      </x:c>
      <x:c r="C901" s="3" t="str">
        <x:v>CUST-00168</x:v>
      </x:c>
      <x:c r="D901" s="3" t="str">
        <x:v>North</x:v>
      </x:c>
      <x:c r="E901" s="3" t="str">
        <x:v>Beauty</x:v>
      </x:c>
      <x:c r="F901" s="3" t="str">
        <x:v>Makeup</x:v>
      </x:c>
      <x:c r="G901" s="3" t="str">
        <x:v>Matte Lipstick Set</x:v>
      </x:c>
      <x:c r="H901" s="3" t="n">
        <x:v>1</x:v>
      </x:c>
      <x:c r="I901" s="7" t="n">
        <x:v>955.38</x:v>
      </x:c>
      <x:c r="J901" s="9" t="n">
        <x:v>0.1</x:v>
      </x:c>
      <x:c r="K901" s="7" t="n">
        <x:v>859.84</x:v>
      </x:c>
      <x:c r="L901" s="7" t="n">
        <x:v>360.27</x:v>
      </x:c>
      <x:c r="M901" s="3" t="str">
        <x:v>Debit Card</x:v>
      </x:c>
      <x:c r="N901" s="3"/>
      <x:c r="O901" s="3"/>
      <x:c r="P901" s="3"/>
      <x:c r="Q901" s="3"/>
    </x:row>
    <x:row r="902" ht="21" customHeight="1">
      <x:c r="A902" s="3" t="str">
        <x:v>ORD-101725</x:v>
      </x:c>
      <x:c r="B902" s="5" t="n">
        <x:v>45546</x:v>
      </x:c>
      <x:c r="C902" s="3" t="str">
        <x:v>CUST-00560</x:v>
      </x:c>
      <x:c r="D902" s="3" t="str">
        <x:v>South</x:v>
      </x:c>
      <x:c r="E902" s="3" t="str">
        <x:v>Electronics</x:v>
      </x:c>
      <x:c r="F902" s="3" t="str">
        <x:v>Audio</x:v>
      </x:c>
      <x:c r="G902" s="3" t="str">
        <x:v>SoundPods Pro</x:v>
      </x:c>
      <x:c r="H902" s="3" t="n">
        <x:v>4</x:v>
      </x:c>
      <x:c r="I902" s="7" t="n">
        <x:v>5107.39</x:v>
      </x:c>
      <x:c r="J902" s="9" t="n">
        <x:v>0.15</x:v>
      </x:c>
      <x:c r="K902" s="7" t="n">
        <x:v>17365.13</x:v>
      </x:c>
      <x:c r="L902" s="7" t="n">
        <x:v>-121.3</x:v>
      </x:c>
      <x:c r="M902" s="3" t="str">
        <x:v>Credit Card</x:v>
      </x:c>
      <x:c r="N902" s="3"/>
      <x:c r="O902" s="3"/>
      <x:c r="P902" s="3"/>
      <x:c r="Q902" s="3"/>
    </x:row>
    <x:row r="903" ht="21" customHeight="1">
      <x:c r="A903" s="3" t="str">
        <x:v>ORD-100596</x:v>
      </x:c>
      <x:c r="B903" s="5" t="n">
        <x:v>45547</x:v>
      </x:c>
      <x:c r="C903" s="3" t="str">
        <x:v>CUST-00338</x:v>
      </x:c>
      <x:c r="D903" s="3" t="str">
        <x:v>North</x:v>
      </x:c>
      <x:c r="E903" s="3" t="str">
        <x:v>Beauty</x:v>
      </x:c>
      <x:c r="F903" s="3" t="str">
        <x:v>Makeup</x:v>
      </x:c>
      <x:c r="G903" s="3" t="str">
        <x:v>HD Foundation Kit</x:v>
      </x:c>
      <x:c r="H903" s="3" t="n">
        <x:v>1</x:v>
      </x:c>
      <x:c r="I903" s="7" t="n">
        <x:v>1436.31</x:v>
      </x:c>
      <x:c r="J903" s="9" t="n">
        <x:v>0</x:v>
      </x:c>
      <x:c r="K903" s="7" t="n">
        <x:v>1436.31</x:v>
      </x:c>
      <x:c r="L903" s="7" t="n">
        <x:v>798.22</x:v>
      </x:c>
      <x:c r="M903" s="3" t="str">
        <x:v>Debit Card</x:v>
      </x:c>
      <x:c r="N903" s="3"/>
      <x:c r="O903" s="3"/>
      <x:c r="P903" s="3"/>
      <x:c r="Q903" s="3"/>
    </x:row>
    <x:row r="904" ht="21" customHeight="1">
      <x:c r="A904" s="3" t="str">
        <x:v>ORD-101053</x:v>
      </x:c>
      <x:c r="B904" s="5" t="n">
        <x:v>45547</x:v>
      </x:c>
      <x:c r="C904" s="3" t="str">
        <x:v>CUST-00482</x:v>
      </x:c>
      <x:c r="D904" s="3" t="str">
        <x:v>East</x:v>
      </x:c>
      <x:c r="E904" s="3" t="str">
        <x:v>Fashion</x:v>
      </x:c>
      <x:c r="F904" s="3" t="str">
        <x:v>Men</x:v>
      </x:c>
      <x:c r="G904" s="3" t="str">
        <x:v>Oxford Casual Shirt</x:v>
      </x:c>
      <x:c r="H904" s="3" t="n">
        <x:v>3</x:v>
      </x:c>
      <x:c r="I904" s="7" t="n">
        <x:v>1352.44</x:v>
      </x:c>
      <x:c r="J904" s="9" t="n">
        <x:v>0.1</x:v>
      </x:c>
      <x:c r="K904" s="7" t="n">
        <x:v>3651.59</x:v>
      </x:c>
      <x:c r="L904" s="7" t="n">
        <x:v>1174.53</x:v>
      </x:c>
      <x:c r="M904" s="3" t="str">
        <x:v>Debit Card</x:v>
      </x:c>
      <x:c r="N904" s="3"/>
      <x:c r="O904" s="3"/>
      <x:c r="P904" s="3"/>
      <x:c r="Q904" s="3"/>
    </x:row>
    <x:row r="905" ht="21" customHeight="1">
      <x:c r="A905" s="3" t="str">
        <x:v>ORD-100130</x:v>
      </x:c>
      <x:c r="B905" s="5" t="n">
        <x:v>45548</x:v>
      </x:c>
      <x:c r="C905" s="3" t="str">
        <x:v>CUST-00565</x:v>
      </x:c>
      <x:c r="D905" s="3" t="str">
        <x:v>West</x:v>
      </x:c>
      <x:c r="E905" s="3" t="str">
        <x:v>Electronics</x:v>
      </x:c>
      <x:c r="F905" s="3" t="str">
        <x:v>Audio</x:v>
      </x:c>
      <x:c r="G905" s="3" t="str">
        <x:v>SoundPods Pro</x:v>
      </x:c>
      <x:c r="H905" s="3" t="n">
        <x:v>1</x:v>
      </x:c>
      <x:c r="I905" s="7" t="n">
        <x:v>5216.33</x:v>
      </x:c>
      <x:c r="J905" s="9" t="n">
        <x:v>0</x:v>
      </x:c>
      <x:c r="K905" s="7" t="n">
        <x:v>5216.33</x:v>
      </x:c>
      <x:c r="L905" s="7" t="n">
        <x:v>824.38</x:v>
      </x:c>
      <x:c r="M905" s="3" t="str">
        <x:v>Credit Card</x:v>
      </x:c>
      <x:c r="N905" s="3"/>
      <x:c r="O905" s="3"/>
      <x:c r="P905" s="3"/>
      <x:c r="Q905" s="3"/>
    </x:row>
    <x:row r="906" ht="21" customHeight="1">
      <x:c r="A906" s="3" t="str">
        <x:v>ORD-100335</x:v>
      </x:c>
      <x:c r="B906" s="5" t="n">
        <x:v>45548</x:v>
      </x:c>
      <x:c r="C906" s="3" t="str">
        <x:v>CUST-00387</x:v>
      </x:c>
      <x:c r="D906" s="3" t="str">
        <x:v>South</x:v>
      </x:c>
      <x:c r="E906" s="3" t="str">
        <x:v>Beauty</x:v>
      </x:c>
      <x:c r="F906" s="3" t="str">
        <x:v>Skincare</x:v>
      </x:c>
      <x:c r="G906" s="3" t="str">
        <x:v>HydraBoost Moisturizer</x:v>
      </x:c>
      <x:c r="H906" s="3" t="n">
        <x:v>1</x:v>
      </x:c>
      <x:c r="I906" s="7" t="n">
        <x:v>1206.03</x:v>
      </x:c>
      <x:c r="J906" s="9" t="n">
        <x:v>0.05</x:v>
      </x:c>
      <x:c r="K906" s="7" t="n">
        <x:v>1145.73</x:v>
      </x:c>
      <x:c r="L906" s="7" t="n">
        <x:v>564.56</x:v>
      </x:c>
      <x:c r="M906" s="3" t="str">
        <x:v>UPI</x:v>
      </x:c>
      <x:c r="N906" s="3"/>
      <x:c r="O906" s="3"/>
      <x:c r="P906" s="3"/>
      <x:c r="Q906" s="3"/>
    </x:row>
    <x:row r="907" ht="21" customHeight="1">
      <x:c r="A907" s="3" t="str">
        <x:v>ORD-100345</x:v>
      </x:c>
      <x:c r="B907" s="5" t="n">
        <x:v>45548</x:v>
      </x:c>
      <x:c r="C907" s="3" t="str">
        <x:v>CUST-00582</x:v>
      </x:c>
      <x:c r="D907" s="3" t="str">
        <x:v>South</x:v>
      </x:c>
      <x:c r="E907" s="3" t="str">
        <x:v>Fashion</x:v>
      </x:c>
      <x:c r="F907" s="3" t="str">
        <x:v>Women</x:v>
      </x:c>
      <x:c r="G907" s="3" t="str">
        <x:v>Knit Winter Sweater</x:v>
      </x:c>
      <x:c r="H907" s="3" t="n">
        <x:v>1</x:v>
      </x:c>
      <x:c r="I907" s="7" t="n">
        <x:v>2227.73</x:v>
      </x:c>
      <x:c r="J907" s="9" t="n">
        <x:v>0.2</x:v>
      </x:c>
      <x:c r="K907" s="7" t="n">
        <x:v>1782.18</x:v>
      </x:c>
      <x:c r="L907" s="7" t="n">
        <x:v>343.46</x:v>
      </x:c>
      <x:c r="M907" s="3" t="str">
        <x:v>Credit Card</x:v>
      </x:c>
      <x:c r="N907" s="3"/>
      <x:c r="O907" s="3"/>
      <x:c r="P907" s="3"/>
      <x:c r="Q907" s="3"/>
    </x:row>
    <x:row r="908" ht="21" customHeight="1">
      <x:c r="A908" s="3" t="str">
        <x:v>ORD-101589</x:v>
      </x:c>
      <x:c r="B908" s="5" t="n">
        <x:v>45548</x:v>
      </x:c>
      <x:c r="C908" s="3" t="str">
        <x:v>CUST-00280</x:v>
      </x:c>
      <x:c r="D908" s="3" t="str">
        <x:v>South</x:v>
      </x:c>
      <x:c r="E908" s="3" t="str">
        <x:v>Electronics</x:v>
      </x:c>
      <x:c r="F908" s="3" t="str">
        <x:v>Mobile</x:v>
      </x:c>
      <x:c r="G908" s="3" t="str">
        <x:v>Pixel Aura 12</x:v>
      </x:c>
      <x:c r="H908" s="3" t="n">
        <x:v>1</x:v>
      </x:c>
      <x:c r="I908" s="7" t="n">
        <x:v>32265.54</x:v>
      </x:c>
      <x:c r="J908" s="9" t="n">
        <x:v>0.15</x:v>
      </x:c>
      <x:c r="K908" s="7" t="n">
        <x:v>27425.71</x:v>
      </x:c>
      <x:c r="L908" s="7" t="n">
        <x:v>10.68</x:v>
      </x:c>
      <x:c r="M908" s="3" t="str">
        <x:v>UPI</x:v>
      </x:c>
      <x:c r="N908" s="3"/>
      <x:c r="O908" s="3"/>
      <x:c r="P908" s="3"/>
      <x:c r="Q908" s="3"/>
    </x:row>
    <x:row r="909" ht="21" customHeight="1">
      <x:c r="A909" s="3" t="str">
        <x:v>ORD-101995</x:v>
      </x:c>
      <x:c r="B909" s="5" t="n">
        <x:v>45548</x:v>
      </x:c>
      <x:c r="C909" s="3" t="str">
        <x:v>CUST-00387</x:v>
      </x:c>
      <x:c r="D909" s="3" t="str">
        <x:v>North</x:v>
      </x:c>
      <x:c r="E909" s="3" t="str">
        <x:v>Fashion</x:v>
      </x:c>
      <x:c r="F909" s="3" t="str">
        <x:v>Men</x:v>
      </x:c>
      <x:c r="G909" s="3" t="str">
        <x:v>Oxford Casual Shirt</x:v>
      </x:c>
      <x:c r="H909" s="3" t="n">
        <x:v>5</x:v>
      </x:c>
      <x:c r="I909" s="7" t="n">
        <x:v>1260.97</x:v>
      </x:c>
      <x:c r="J909" s="9" t="n">
        <x:v>0.15</x:v>
      </x:c>
      <x:c r="K909" s="7" t="n">
        <x:v>5359.12</x:v>
      </x:c>
      <x:c r="L909" s="7" t="n">
        <x:v>1507.77</x:v>
      </x:c>
      <x:c r="M909" s="3" t="str">
        <x:v>UPI</x:v>
      </x:c>
      <x:c r="N909" s="3"/>
      <x:c r="O909" s="3"/>
      <x:c r="P909" s="3"/>
      <x:c r="Q909" s="3"/>
    </x:row>
    <x:row r="910" ht="21" customHeight="1">
      <x:c r="A910" s="3" t="str">
        <x:v>ORD-100813</x:v>
      </x:c>
      <x:c r="B910" s="5" t="n">
        <x:v>45549</x:v>
      </x:c>
      <x:c r="C910" s="3" t="str">
        <x:v>CUST-00367</x:v>
      </x:c>
      <x:c r="D910" s="3" t="str">
        <x:v>North</x:v>
      </x:c>
      <x:c r="E910" s="3" t="str">
        <x:v>Beauty</x:v>
      </x:c>
      <x:c r="F910" s="3" t="str">
        <x:v>Makeup</x:v>
      </x:c>
      <x:c r="G910" s="3" t="str">
        <x:v>Matte Lipstick Set</x:v>
      </x:c>
      <x:c r="H910" s="3" t="n">
        <x:v>1</x:v>
      </x:c>
      <x:c r="I910" s="7" t="n">
        <x:v>1009.14</x:v>
      </x:c>
      <x:c r="J910" s="9" t="n">
        <x:v>0</x:v>
      </x:c>
      <x:c r="K910" s="7" t="n">
        <x:v>1009.14</x:v>
      </x:c>
      <x:c r="L910" s="7" t="n">
        <x:v>541.38</x:v>
      </x:c>
      <x:c r="M910" s="3" t="str">
        <x:v>Cash on Delivery</x:v>
      </x:c>
      <x:c r="N910" s="3"/>
      <x:c r="O910" s="3"/>
      <x:c r="P910" s="3"/>
      <x:c r="Q910" s="3"/>
    </x:row>
    <x:row r="911" ht="21" customHeight="1">
      <x:c r="A911" s="3" t="str">
        <x:v>ORD-101122</x:v>
      </x:c>
      <x:c r="B911" s="5" t="n">
        <x:v>45549</x:v>
      </x:c>
      <x:c r="C911" s="3" t="str">
        <x:v>CUST-00418</x:v>
      </x:c>
      <x:c r="D911" s="3" t="str">
        <x:v>East</x:v>
      </x:c>
      <x:c r="E911" s="3" t="str">
        <x:v>Sports</x:v>
      </x:c>
      <x:c r="F911" s="3" t="str">
        <x:v>Outdoor</x:v>
      </x:c>
      <x:c r="G911" s="3" t="str">
        <x:v>AllWeather Tent 4P</x:v>
      </x:c>
      <x:c r="H911" s="3" t="n">
        <x:v>5</x:v>
      </x:c>
      <x:c r="I911" s="7" t="n">
        <x:v>11823.74</x:v>
      </x:c>
      <x:c r="J911" s="9" t="n">
        <x:v>0.25</x:v>
      </x:c>
      <x:c r="K911" s="7" t="n">
        <x:v>44339.02</x:v>
      </x:c>
      <x:c r="L911" s="7" t="n">
        <x:v>4475.64</x:v>
      </x:c>
      <x:c r="M911" s="3" t="str">
        <x:v>Debit Card</x:v>
      </x:c>
      <x:c r="N911" s="3"/>
      <x:c r="O911" s="3"/>
      <x:c r="P911" s="3"/>
      <x:c r="Q911" s="3"/>
    </x:row>
    <x:row r="912" ht="21" customHeight="1">
      <x:c r="A912" s="3" t="str">
        <x:v>ORD-101203</x:v>
      </x:c>
      <x:c r="B912" s="5" t="n">
        <x:v>45549</x:v>
      </x:c>
      <x:c r="C912" s="3" t="str">
        <x:v>CUST-00042</x:v>
      </x:c>
      <x:c r="D912" s="3" t="str">
        <x:v>South</x:v>
      </x:c>
      <x:c r="E912" s="3" t="str">
        <x:v>Electronics</x:v>
      </x:c>
      <x:c r="F912" s="3" t="str">
        <x:v>Mobile</x:v>
      </x:c>
      <x:c r="G912" s="3" t="str">
        <x:v>Pixel Aura 12</x:v>
      </x:c>
      <x:c r="H912" s="3" t="n">
        <x:v>2</x:v>
      </x:c>
      <x:c r="I912" s="7" t="n">
        <x:v>33732.4</x:v>
      </x:c>
      <x:c r="J912" s="9" t="n">
        <x:v>0</x:v>
      </x:c>
      <x:c r="K912" s="7" t="n">
        <x:v>67464.8</x:v>
      </x:c>
      <x:c r="L912" s="7" t="n">
        <x:v>14005.91</x:v>
      </x:c>
      <x:c r="M912" s="3" t="str">
        <x:v>UPI</x:v>
      </x:c>
      <x:c r="N912" s="3"/>
      <x:c r="O912" s="3"/>
      <x:c r="P912" s="3"/>
      <x:c r="Q912" s="3"/>
    </x:row>
    <x:row r="913" ht="21" customHeight="1">
      <x:c r="A913" s="3" t="str">
        <x:v>ORD-101298</x:v>
      </x:c>
      <x:c r="B913" s="5" t="n">
        <x:v>45549</x:v>
      </x:c>
      <x:c r="C913" s="3" t="str">
        <x:v>CUST-00003</x:v>
      </x:c>
      <x:c r="D913" s="3" t="str">
        <x:v>West</x:v>
      </x:c>
      <x:c r="E913" s="3" t="str">
        <x:v>Sports</x:v>
      </x:c>
      <x:c r="F913" s="3" t="str">
        <x:v>Outdoor</x:v>
      </x:c>
      <x:c r="G913" s="3" t="str">
        <x:v>AllWeather Tent 4P</x:v>
      </x:c>
      <x:c r="H913" s="3" t="n">
        <x:v>1</x:v>
      </x:c>
      <x:c r="I913" s="7" t="n">
        <x:v>12533.88</x:v>
      </x:c>
      <x:c r="J913" s="9" t="n">
        <x:v>0.2</x:v>
      </x:c>
      <x:c r="K913" s="7" t="n">
        <x:v>10027.1</x:v>
      </x:c>
      <x:c r="L913" s="7" t="n">
        <x:v>1304.55</x:v>
      </x:c>
      <x:c r="M913" s="3" t="str">
        <x:v>UPI</x:v>
      </x:c>
      <x:c r="N913" s="3"/>
      <x:c r="O913" s="3"/>
      <x:c r="P913" s="3"/>
      <x:c r="Q913" s="3"/>
    </x:row>
    <x:row r="914" ht="21" customHeight="1">
      <x:c r="A914" s="3" t="str">
        <x:v>ORD-101337</x:v>
      </x:c>
      <x:c r="B914" s="5" t="n">
        <x:v>45549</x:v>
      </x:c>
      <x:c r="C914" s="3" t="str">
        <x:v>CUST-00530</x:v>
      </x:c>
      <x:c r="D914" s="3" t="str">
        <x:v>North</x:v>
      </x:c>
      <x:c r="E914" s="3" t="str">
        <x:v>Home &amp; Kitchen</x:v>
      </x:c>
      <x:c r="F914" s="3" t="str">
        <x:v>Appliances</x:v>
      </x:c>
      <x:c r="G914" s="3" t="str">
        <x:v>AirFryer Deluxe</x:v>
      </x:c>
      <x:c r="H914" s="3" t="n">
        <x:v>1</x:v>
      </x:c>
      <x:c r="I914" s="7" t="n">
        <x:v>7740.53</x:v>
      </x:c>
      <x:c r="J914" s="9" t="n">
        <x:v>0</x:v>
      </x:c>
      <x:c r="K914" s="7" t="n">
        <x:v>7740.53</x:v>
      </x:c>
      <x:c r="L914" s="7" t="n">
        <x:v>2683.88</x:v>
      </x:c>
      <x:c r="M914" s="3" t="str">
        <x:v>UPI</x:v>
      </x:c>
      <x:c r="N914" s="3"/>
      <x:c r="O914" s="3"/>
      <x:c r="P914" s="3"/>
      <x:c r="Q914" s="3"/>
    </x:row>
    <x:row r="915" ht="21" customHeight="1">
      <x:c r="A915" s="3" t="str">
        <x:v>ORD-101481</x:v>
      </x:c>
      <x:c r="B915" s="5" t="n">
        <x:v>45549</x:v>
      </x:c>
      <x:c r="C915" s="3" t="str">
        <x:v>CUST-00183</x:v>
      </x:c>
      <x:c r="D915" s="3" t="str">
        <x:v>East</x:v>
      </x:c>
      <x:c r="E915" s="3" t="str">
        <x:v>Sports</x:v>
      </x:c>
      <x:c r="F915" s="3" t="str">
        <x:v>Outdoor</x:v>
      </x:c>
      <x:c r="G915" s="3" t="str">
        <x:v>TrailHike Backpack 60L</x:v>
      </x:c>
      <x:c r="H915" s="3" t="n">
        <x:v>3</x:v>
      </x:c>
      <x:c r="I915" s="7" t="n">
        <x:v>3533.38</x:v>
      </x:c>
      <x:c r="J915" s="9" t="n">
        <x:v>0.25</x:v>
      </x:c>
      <x:c r="K915" s="7" t="n">
        <x:v>7950.1</x:v>
      </x:c>
      <x:c r="L915" s="7" t="n">
        <x:v>641.59</x:v>
      </x:c>
      <x:c r="M915" s="3" t="str">
        <x:v>Credit Card</x:v>
      </x:c>
      <x:c r="N915" s="3"/>
      <x:c r="O915" s="3"/>
      <x:c r="P915" s="3"/>
      <x:c r="Q915" s="3"/>
    </x:row>
    <x:row r="916" ht="21" customHeight="1">
      <x:c r="A916" s="3" t="str">
        <x:v>ORD-101654</x:v>
      </x:c>
      <x:c r="B916" s="5" t="n">
        <x:v>45549</x:v>
      </x:c>
      <x:c r="C916" s="3" t="str">
        <x:v>CUST-00146</x:v>
      </x:c>
      <x:c r="D916" s="3" t="str">
        <x:v>South</x:v>
      </x:c>
      <x:c r="E916" s="3" t="str">
        <x:v>Sports</x:v>
      </x:c>
      <x:c r="F916" s="3" t="str">
        <x:v>Fitness</x:v>
      </x:c>
      <x:c r="G916" s="3" t="str">
        <x:v>Adjustable Dumbbell 24kg</x:v>
      </x:c>
      <x:c r="H916" s="3" t="n">
        <x:v>3</x:v>
      </x:c>
      <x:c r="I916" s="7" t="n">
        <x:v>9817.52</x:v>
      </x:c>
      <x:c r="J916" s="9" t="n">
        <x:v>0</x:v>
      </x:c>
      <x:c r="K916" s="7" t="n">
        <x:v>29452.56</x:v>
      </x:c>
      <x:c r="L916" s="7" t="n">
        <x:v>11587.3</x:v>
      </x:c>
      <x:c r="M916" s="3" t="str">
        <x:v>Net Banking</x:v>
      </x:c>
      <x:c r="N916" s="3"/>
      <x:c r="O916" s="3"/>
      <x:c r="P916" s="3"/>
      <x:c r="Q916" s="3"/>
    </x:row>
    <x:row r="917" ht="21" customHeight="1">
      <x:c r="A917" s="3" t="str">
        <x:v>ORD-100809</x:v>
      </x:c>
      <x:c r="B917" s="5" t="n">
        <x:v>45550</x:v>
      </x:c>
      <x:c r="C917" s="3" t="str">
        <x:v>CUST-00293</x:v>
      </x:c>
      <x:c r="D917" s="3" t="str">
        <x:v>East</x:v>
      </x:c>
      <x:c r="E917" s="3" t="str">
        <x:v>Beauty</x:v>
      </x:c>
      <x:c r="F917" s="3" t="str">
        <x:v>Skincare</x:v>
      </x:c>
      <x:c r="G917" s="3" t="str">
        <x:v>Vitamin C Serum</x:v>
      </x:c>
      <x:c r="H917" s="3" t="n">
        <x:v>1</x:v>
      </x:c>
      <x:c r="I917" s="7" t="n">
        <x:v>888</x:v>
      </x:c>
      <x:c r="J917" s="9" t="n">
        <x:v>0.1</x:v>
      </x:c>
      <x:c r="K917" s="7" t="n">
        <x:v>799.2</x:v>
      </x:c>
      <x:c r="L917" s="7" t="n">
        <x:v>378.91</x:v>
      </x:c>
      <x:c r="M917" s="3" t="str">
        <x:v>UPI</x:v>
      </x:c>
      <x:c r="N917" s="3"/>
      <x:c r="O917" s="3"/>
      <x:c r="P917" s="3"/>
      <x:c r="Q917" s="3"/>
    </x:row>
    <x:row r="918" ht="21" customHeight="1">
      <x:c r="A918" s="3" t="str">
        <x:v>ORD-100865</x:v>
      </x:c>
      <x:c r="B918" s="5" t="n">
        <x:v>45550</x:v>
      </x:c>
      <x:c r="C918" s="3" t="str">
        <x:v>CUST-00346</x:v>
      </x:c>
      <x:c r="D918" s="3" t="str">
        <x:v>West</x:v>
      </x:c>
      <x:c r="E918" s="3" t="str">
        <x:v>Fashion</x:v>
      </x:c>
      <x:c r="F918" s="3" t="str">
        <x:v>Women</x:v>
      </x:c>
      <x:c r="G918" s="3" t="str">
        <x:v>Floral Summer Dress</x:v>
      </x:c>
      <x:c r="H918" s="3" t="n">
        <x:v>1</x:v>
      </x:c>
      <x:c r="I918" s="7" t="n">
        <x:v>1859.82</x:v>
      </x:c>
      <x:c r="J918" s="9" t="n">
        <x:v>0.05</x:v>
      </x:c>
      <x:c r="K918" s="7" t="n">
        <x:v>1766.83</x:v>
      </x:c>
      <x:c r="L918" s="7" t="n">
        <x:v>643.78</x:v>
      </x:c>
      <x:c r="M918" s="3" t="str">
        <x:v>Debit Card</x:v>
      </x:c>
      <x:c r="N918" s="3"/>
      <x:c r="O918" s="3"/>
      <x:c r="P918" s="3"/>
      <x:c r="Q918" s="3"/>
    </x:row>
    <x:row r="919" ht="21" customHeight="1">
      <x:c r="A919" s="3" t="str">
        <x:v>ORD-101515</x:v>
      </x:c>
      <x:c r="B919" s="5" t="n">
        <x:v>45550</x:v>
      </x:c>
      <x:c r="C919" s="3" t="str">
        <x:v>CUST-00107</x:v>
      </x:c>
      <x:c r="D919" s="3" t="str">
        <x:v>South</x:v>
      </x:c>
      <x:c r="E919" s="3" t="str">
        <x:v>Sports</x:v>
      </x:c>
      <x:c r="F919" s="3" t="str">
        <x:v>Fitness</x:v>
      </x:c>
      <x:c r="G919" s="3" t="str">
        <x:v>Adjustable Dumbbell 24kg</x:v>
      </x:c>
      <x:c r="H919" s="3" t="n">
        <x:v>1</x:v>
      </x:c>
      <x:c r="I919" s="7" t="n">
        <x:v>10400.69</x:v>
      </x:c>
      <x:c r="J919" s="9" t="n">
        <x:v>0.1</x:v>
      </x:c>
      <x:c r="K919" s="7" t="n">
        <x:v>9360.62</x:v>
      </x:c>
      <x:c r="L919" s="7" t="n">
        <x:v>2119.68</x:v>
      </x:c>
      <x:c r="M919" s="3" t="str">
        <x:v>UPI</x:v>
      </x:c>
      <x:c r="N919" s="3"/>
      <x:c r="O919" s="3"/>
      <x:c r="P919" s="3"/>
      <x:c r="Q919" s="3"/>
    </x:row>
    <x:row r="920" ht="21" customHeight="1">
      <x:c r="A920" s="3" t="str">
        <x:v>ORD-100880</x:v>
      </x:c>
      <x:c r="B920" s="5" t="n">
        <x:v>45551</x:v>
      </x:c>
      <x:c r="C920" s="3" t="str">
        <x:v>CUST-00059</x:v>
      </x:c>
      <x:c r="D920" s="3" t="str">
        <x:v>North</x:v>
      </x:c>
      <x:c r="E920" s="3" t="str">
        <x:v>Home &amp; Kitchen</x:v>
      </x:c>
      <x:c r="F920" s="3" t="str">
        <x:v>Appliances</x:v>
      </x:c>
      <x:c r="G920" s="3" t="str">
        <x:v>AirFryer Deluxe</x:v>
      </x:c>
      <x:c r="H920" s="3" t="n">
        <x:v>2</x:v>
      </x:c>
      <x:c r="I920" s="7" t="n">
        <x:v>7818.98</x:v>
      </x:c>
      <x:c r="J920" s="9" t="n">
        <x:v>0</x:v>
      </x:c>
      <x:c r="K920" s="7" t="n">
        <x:v>15637.96</x:v>
      </x:c>
      <x:c r="L920" s="7" t="n">
        <x:v>5133.92</x:v>
      </x:c>
      <x:c r="M920" s="3" t="str">
        <x:v>Credit Card</x:v>
      </x:c>
      <x:c r="N920" s="3"/>
      <x:c r="O920" s="3"/>
      <x:c r="P920" s="3"/>
      <x:c r="Q920" s="3"/>
    </x:row>
    <x:row r="921" ht="21" customHeight="1">
      <x:c r="A921" s="3" t="str">
        <x:v>ORD-101278</x:v>
      </x:c>
      <x:c r="B921" s="5" t="n">
        <x:v>45551</x:v>
      </x:c>
      <x:c r="C921" s="3" t="str">
        <x:v>CUST-00511</x:v>
      </x:c>
      <x:c r="D921" s="3" t="str">
        <x:v>East</x:v>
      </x:c>
      <x:c r="E921" s="3" t="str">
        <x:v>Sports</x:v>
      </x:c>
      <x:c r="F921" s="3" t="str">
        <x:v>Outdoor</x:v>
      </x:c>
      <x:c r="G921" s="3" t="str">
        <x:v>AllWeather Tent 4P</x:v>
      </x:c>
      <x:c r="H921" s="3" t="n">
        <x:v>1</x:v>
      </x:c>
      <x:c r="I921" s="7" t="n">
        <x:v>11746.83</x:v>
      </x:c>
      <x:c r="J921" s="9" t="n">
        <x:v>0.15</x:v>
      </x:c>
      <x:c r="K921" s="7" t="n">
        <x:v>9984.81</x:v>
      </x:c>
      <x:c r="L921" s="7" t="n">
        <x:v>2424.83</x:v>
      </x:c>
      <x:c r="M921" s="3" t="str">
        <x:v>UPI</x:v>
      </x:c>
      <x:c r="N921" s="3"/>
      <x:c r="O921" s="3"/>
      <x:c r="P921" s="3"/>
      <x:c r="Q921" s="3"/>
    </x:row>
    <x:row r="922" ht="21" customHeight="1">
      <x:c r="A922" s="3" t="str">
        <x:v>ORD-101351</x:v>
      </x:c>
      <x:c r="B922" s="5" t="n">
        <x:v>45551</x:v>
      </x:c>
      <x:c r="C922" s="3" t="str">
        <x:v>CUST-00038</x:v>
      </x:c>
      <x:c r="D922" s="3" t="str">
        <x:v>South</x:v>
      </x:c>
      <x:c r="E922" s="3" t="str">
        <x:v>Beauty</x:v>
      </x:c>
      <x:c r="F922" s="3" t="str">
        <x:v>Skincare</x:v>
      </x:c>
      <x:c r="G922" s="3" t="str">
        <x:v>HydraBoost Moisturizer</x:v>
      </x:c>
      <x:c r="H922" s="3" t="n">
        <x:v>5</x:v>
      </x:c>
      <x:c r="I922" s="7" t="n">
        <x:v>1208.45</x:v>
      </x:c>
      <x:c r="J922" s="9" t="n">
        <x:v>0.05</x:v>
      </x:c>
      <x:c r="K922" s="7" t="n">
        <x:v>5740.14</x:v>
      </x:c>
      <x:c r="L922" s="7" t="n">
        <x:v>2658.42</x:v>
      </x:c>
      <x:c r="M922" s="3" t="str">
        <x:v>UPI</x:v>
      </x:c>
      <x:c r="N922" s="3"/>
      <x:c r="O922" s="3"/>
      <x:c r="P922" s="3"/>
      <x:c r="Q922" s="3"/>
    </x:row>
    <x:row r="923" ht="21" customHeight="1">
      <x:c r="A923" s="3" t="str">
        <x:v>ORD-101907</x:v>
      </x:c>
      <x:c r="B923" s="5" t="n">
        <x:v>45551</x:v>
      </x:c>
      <x:c r="C923" s="3" t="str">
        <x:v>CUST-00293</x:v>
      </x:c>
      <x:c r="D923" s="3" t="str">
        <x:v>North</x:v>
      </x:c>
      <x:c r="E923" s="3" t="str">
        <x:v>Fashion</x:v>
      </x:c>
      <x:c r="F923" s="3" t="str">
        <x:v>Footwear</x:v>
      </x:c>
      <x:c r="G923" s="3" t="str">
        <x:v>UrbanLoafers</x:v>
      </x:c>
      <x:c r="H923" s="3" t="n">
        <x:v>1</x:v>
      </x:c>
      <x:c r="I923" s="7" t="n">
        <x:v>3354.07</x:v>
      </x:c>
      <x:c r="J923" s="9" t="n">
        <x:v>0.15</x:v>
      </x:c>
      <x:c r="K923" s="7" t="n">
        <x:v>2850.96</x:v>
      </x:c>
      <x:c r="L923" s="7" t="n">
        <x:v>638.75</x:v>
      </x:c>
      <x:c r="M923" s="3" t="str">
        <x:v>UPI</x:v>
      </x:c>
      <x:c r="N923" s="3"/>
      <x:c r="O923" s="3"/>
      <x:c r="P923" s="3"/>
      <x:c r="Q923" s="3"/>
    </x:row>
    <x:row r="924" ht="21" customHeight="1">
      <x:c r="A924" s="3" t="str">
        <x:v>ORD-101103</x:v>
      </x:c>
      <x:c r="B924" s="5" t="n">
        <x:v>45552</x:v>
      </x:c>
      <x:c r="C924" s="3" t="str">
        <x:v>CUST-00259</x:v>
      </x:c>
      <x:c r="D924" s="3" t="str">
        <x:v>South</x:v>
      </x:c>
      <x:c r="E924" s="3" t="str">
        <x:v>Fashion</x:v>
      </x:c>
      <x:c r="F924" s="3" t="str">
        <x:v>Footwear</x:v>
      </x:c>
      <x:c r="G924" s="3" t="str">
        <x:v>UrbanLoafers</x:v>
      </x:c>
      <x:c r="H924" s="3" t="n">
        <x:v>1</x:v>
      </x:c>
      <x:c r="I924" s="7" t="n">
        <x:v>3574.94</x:v>
      </x:c>
      <x:c r="J924" s="9" t="n">
        <x:v>0.05</x:v>
      </x:c>
      <x:c r="K924" s="7" t="n">
        <x:v>3396.19</x:v>
      </x:c>
      <x:c r="L924" s="7" t="n">
        <x:v>1348.62</x:v>
      </x:c>
      <x:c r="M924" s="3" t="str">
        <x:v>UPI</x:v>
      </x:c>
      <x:c r="N924" s="3"/>
      <x:c r="O924" s="3"/>
      <x:c r="P924" s="3"/>
      <x:c r="Q924" s="3"/>
    </x:row>
    <x:row r="925" ht="21" customHeight="1">
      <x:c r="A925" s="3" t="str">
        <x:v>ORD-100095</x:v>
      </x:c>
      <x:c r="B925" s="5" t="n">
        <x:v>45553</x:v>
      </x:c>
      <x:c r="C925" s="3" t="str">
        <x:v>CUST-00123</x:v>
      </x:c>
      <x:c r="D925" s="3" t="str">
        <x:v>West</x:v>
      </x:c>
      <x:c r="E925" s="3" t="str">
        <x:v>Beauty</x:v>
      </x:c>
      <x:c r="F925" s="3" t="str">
        <x:v>Makeup</x:v>
      </x:c>
      <x:c r="G925" s="3" t="str">
        <x:v>Matte Lipstick Set</x:v>
      </x:c>
      <x:c r="H925" s="3" t="n">
        <x:v>1</x:v>
      </x:c>
      <x:c r="I925" s="7" t="n">
        <x:v>954.52</x:v>
      </x:c>
      <x:c r="J925" s="9" t="n">
        <x:v>0.4</x:v>
      </x:c>
      <x:c r="K925" s="7" t="n">
        <x:v>572.71</x:v>
      </x:c>
      <x:c r="L925" s="7" t="n">
        <x:v>38</x:v>
      </x:c>
      <x:c r="M925" s="3" t="str">
        <x:v>Debit Card</x:v>
      </x:c>
      <x:c r="N925" s="3"/>
      <x:c r="O925" s="3"/>
      <x:c r="P925" s="3"/>
      <x:c r="Q925" s="3"/>
    </x:row>
    <x:row r="926" ht="21" customHeight="1">
      <x:c r="A926" s="3" t="str">
        <x:v>ORD-101414</x:v>
      </x:c>
      <x:c r="B926" s="5" t="n">
        <x:v>45553</x:v>
      </x:c>
      <x:c r="C926" s="3" t="str">
        <x:v>CUST-00421</x:v>
      </x:c>
      <x:c r="D926" s="3" t="str">
        <x:v>West</x:v>
      </x:c>
      <x:c r="E926" s="3" t="str">
        <x:v>Beauty</x:v>
      </x:c>
      <x:c r="F926" s="3" t="str">
        <x:v>Makeup</x:v>
      </x:c>
      <x:c r="G926" s="3" t="str">
        <x:v>Matte Lipstick Set</x:v>
      </x:c>
      <x:c r="H926" s="3" t="n">
        <x:v>1</x:v>
      </x:c>
      <x:c r="I926" s="7" t="n">
        <x:v>965.93</x:v>
      </x:c>
      <x:c r="J926" s="9" t="n">
        <x:v>0</x:v>
      </x:c>
      <x:c r="K926" s="7" t="n">
        <x:v>965.93</x:v>
      </x:c>
      <x:c r="L926" s="7" t="n">
        <x:v>503.03</x:v>
      </x:c>
      <x:c r="M926" s="3" t="str">
        <x:v>UPI</x:v>
      </x:c>
      <x:c r="N926" s="3"/>
      <x:c r="O926" s="3"/>
      <x:c r="P926" s="3"/>
      <x:c r="Q926" s="3"/>
    </x:row>
    <x:row r="927" ht="21" customHeight="1">
      <x:c r="A927" s="3" t="str">
        <x:v>ORD-101511</x:v>
      </x:c>
      <x:c r="B927" s="5" t="n">
        <x:v>45553</x:v>
      </x:c>
      <x:c r="C927" s="3" t="str">
        <x:v>CUST-00585</x:v>
      </x:c>
      <x:c r="D927" s="3" t="str">
        <x:v>South</x:v>
      </x:c>
      <x:c r="E927" s="3" t="str">
        <x:v>Electronics</x:v>
      </x:c>
      <x:c r="F927" s="3" t="str">
        <x:v>Laptop</x:v>
      </x:c>
      <x:c r="G927" s="3" t="str">
        <x:v>AirBook Slim</x:v>
      </x:c>
      <x:c r="H927" s="3" t="n">
        <x:v>1</x:v>
      </x:c>
      <x:c r="I927" s="7" t="n">
        <x:v>79419.64</x:v>
      </x:c>
      <x:c r="J927" s="9" t="n">
        <x:v>0.1</x:v>
      </x:c>
      <x:c r="K927" s="7" t="n">
        <x:v>71477.68</x:v>
      </x:c>
      <x:c r="L927" s="7" t="n">
        <x:v>5190.93</x:v>
      </x:c>
      <x:c r="M927" s="3" t="str">
        <x:v>Credit Card</x:v>
      </x:c>
      <x:c r="N927" s="3"/>
      <x:c r="O927" s="3"/>
      <x:c r="P927" s="3"/>
      <x:c r="Q927" s="3"/>
    </x:row>
    <x:row r="928" ht="21" customHeight="1">
      <x:c r="A928" s="3" t="str">
        <x:v>ORD-100533</x:v>
      </x:c>
      <x:c r="B928" s="5" t="n">
        <x:v>45554</x:v>
      </x:c>
      <x:c r="C928" s="3" t="str">
        <x:v>CUST-00571</x:v>
      </x:c>
      <x:c r="D928" s="3" t="str">
        <x:v>North</x:v>
      </x:c>
      <x:c r="E928" s="3" t="str">
        <x:v>Fashion</x:v>
      </x:c>
      <x:c r="F928" s="3" t="str">
        <x:v>Footwear</x:v>
      </x:c>
      <x:c r="G928" s="3" t="str">
        <x:v>UrbanLoafers</x:v>
      </x:c>
      <x:c r="H928" s="3" t="n">
        <x:v>4</x:v>
      </x:c>
      <x:c r="I928" s="7" t="n">
        <x:v>3563.48</x:v>
      </x:c>
      <x:c r="J928" s="9" t="n">
        <x:v>0.05</x:v>
      </x:c>
      <x:c r="K928" s="7" t="n">
        <x:v>13541.22</x:v>
      </x:c>
      <x:c r="L928" s="7" t="n">
        <x:v>4863.37</x:v>
      </x:c>
      <x:c r="M928" s="3" t="str">
        <x:v>UPI</x:v>
      </x:c>
      <x:c r="N928" s="3"/>
      <x:c r="O928" s="3"/>
      <x:c r="P928" s="3"/>
      <x:c r="Q928" s="3"/>
    </x:row>
    <x:row r="929" ht="21" customHeight="1">
      <x:c r="A929" s="3" t="str">
        <x:v>ORD-101828</x:v>
      </x:c>
      <x:c r="B929" s="5" t="n">
        <x:v>45554</x:v>
      </x:c>
      <x:c r="C929" s="3" t="str">
        <x:v>CUST-00215</x:v>
      </x:c>
      <x:c r="D929" s="3" t="str">
        <x:v>East</x:v>
      </x:c>
      <x:c r="E929" s="3" t="str">
        <x:v>Electronics</x:v>
      </x:c>
      <x:c r="F929" s="3" t="str">
        <x:v>Laptop</x:v>
      </x:c>
      <x:c r="G929" s="3" t="str">
        <x:v>AirBook Slim</x:v>
      </x:c>
      <x:c r="H929" s="3" t="n">
        <x:v>1</x:v>
      </x:c>
      <x:c r="I929" s="7" t="n">
        <x:v>82639.91</x:v>
      </x:c>
      <x:c r="J929" s="9" t="n">
        <x:v>0</x:v>
      </x:c>
      <x:c r="K929" s="7" t="n">
        <x:v>82639.91</x:v>
      </x:c>
      <x:c r="L929" s="7" t="n">
        <x:v>16456.32</x:v>
      </x:c>
      <x:c r="M929" s="3" t="str">
        <x:v>Net Banking</x:v>
      </x:c>
      <x:c r="N929" s="3"/>
      <x:c r="O929" s="3"/>
      <x:c r="P929" s="3"/>
      <x:c r="Q929" s="3"/>
    </x:row>
    <x:row r="930" ht="21" customHeight="1">
      <x:c r="A930" s="3" t="str">
        <x:v>ORD-100151</x:v>
      </x:c>
      <x:c r="B930" s="5" t="n">
        <x:v>45555</x:v>
      </x:c>
      <x:c r="C930" s="3" t="str">
        <x:v>CUST-00015</x:v>
      </x:c>
      <x:c r="D930" s="3" t="str">
        <x:v>North</x:v>
      </x:c>
      <x:c r="E930" s="3" t="str">
        <x:v>Beauty</x:v>
      </x:c>
      <x:c r="F930" s="3" t="str">
        <x:v>Makeup</x:v>
      </x:c>
      <x:c r="G930" s="3" t="str">
        <x:v>Matte Lipstick Set</x:v>
      </x:c>
      <x:c r="H930" s="3" t="n">
        <x:v>3</x:v>
      </x:c>
      <x:c r="I930" s="7" t="n">
        <x:v>968.31</x:v>
      </x:c>
      <x:c r="J930" s="9" t="n">
        <x:v>0.05</x:v>
      </x:c>
      <x:c r="K930" s="7" t="n">
        <x:v>2759.68</x:v>
      </x:c>
      <x:c r="L930" s="7" t="n">
        <x:v>1273.62</x:v>
      </x:c>
      <x:c r="M930" s="3" t="str">
        <x:v>Credit Card</x:v>
      </x:c>
      <x:c r="N930" s="3"/>
      <x:c r="O930" s="3"/>
      <x:c r="P930" s="3"/>
      <x:c r="Q930" s="3"/>
    </x:row>
    <x:row r="931" ht="21" customHeight="1">
      <x:c r="A931" s="3" t="str">
        <x:v>ORD-100253</x:v>
      </x:c>
      <x:c r="B931" s="5" t="n">
        <x:v>45556</x:v>
      </x:c>
      <x:c r="C931" s="3" t="str">
        <x:v>CUST-00069</x:v>
      </x:c>
      <x:c r="D931" s="3" t="str">
        <x:v>South</x:v>
      </x:c>
      <x:c r="E931" s="3" t="str">
        <x:v>Fashion</x:v>
      </x:c>
      <x:c r="F931" s="3" t="str">
        <x:v>Men</x:v>
      </x:c>
      <x:c r="G931" s="3" t="str">
        <x:v>SlimFit Denim Jeans</x:v>
      </x:c>
      <x:c r="H931" s="3" t="n">
        <x:v>3</x:v>
      </x:c>
      <x:c r="I931" s="7" t="n">
        <x:v>1983.68</x:v>
      </x:c>
      <x:c r="J931" s="9" t="n">
        <x:v>0</x:v>
      </x:c>
      <x:c r="K931" s="7" t="n">
        <x:v>5951.04</x:v>
      </x:c>
      <x:c r="L931" s="7" t="n">
        <x:v>2731.9</x:v>
      </x:c>
      <x:c r="M931" s="3" t="str">
        <x:v>Cash on Delivery</x:v>
      </x:c>
      <x:c r="N931" s="3"/>
      <x:c r="O931" s="3"/>
      <x:c r="P931" s="3"/>
      <x:c r="Q931" s="3"/>
    </x:row>
    <x:row r="932" ht="21" customHeight="1">
      <x:c r="A932" s="3" t="str">
        <x:v>ORD-100567</x:v>
      </x:c>
      <x:c r="B932" s="5" t="n">
        <x:v>45556</x:v>
      </x:c>
      <x:c r="C932" s="3" t="str">
        <x:v>CUST-00312</x:v>
      </x:c>
      <x:c r="D932" s="3" t="str">
        <x:v>North</x:v>
      </x:c>
      <x:c r="E932" s="3" t="str">
        <x:v>Beauty</x:v>
      </x:c>
      <x:c r="F932" s="3" t="str">
        <x:v>Makeup</x:v>
      </x:c>
      <x:c r="G932" s="3" t="str">
        <x:v>Matte Lipstick Set</x:v>
      </x:c>
      <x:c r="H932" s="3" t="n">
        <x:v>1</x:v>
      </x:c>
      <x:c r="I932" s="7" t="n">
        <x:v>1001.13</x:v>
      </x:c>
      <x:c r="J932" s="9" t="n">
        <x:v>0.1</x:v>
      </x:c>
      <x:c r="K932" s="7" t="n">
        <x:v>901.02</x:v>
      </x:c>
      <x:c r="L932" s="7" t="n">
        <x:v>410.47</x:v>
      </x:c>
      <x:c r="M932" s="3" t="str">
        <x:v>UPI</x:v>
      </x:c>
      <x:c r="N932" s="3"/>
      <x:c r="O932" s="3"/>
      <x:c r="P932" s="3"/>
      <x:c r="Q932" s="3"/>
    </x:row>
    <x:row r="933" ht="21" customHeight="1">
      <x:c r="A933" s="3" t="str">
        <x:v>ORD-101154</x:v>
      </x:c>
      <x:c r="B933" s="5" t="n">
        <x:v>45556</x:v>
      </x:c>
      <x:c r="C933" s="3" t="str">
        <x:v>CUST-00300</x:v>
      </x:c>
      <x:c r="D933" s="3" t="str">
        <x:v>North</x:v>
      </x:c>
      <x:c r="E933" s="3" t="str">
        <x:v>Electronics</x:v>
      </x:c>
      <x:c r="F933" s="3" t="str">
        <x:v>Audio</x:v>
      </x:c>
      <x:c r="G933" s="3" t="str">
        <x:v>BassBoom Speaker</x:v>
      </x:c>
      <x:c r="H933" s="3" t="n">
        <x:v>1</x:v>
      </x:c>
      <x:c r="I933" s="7" t="n">
        <x:v>9400.88</x:v>
      </x:c>
      <x:c r="J933" s="9" t="n">
        <x:v>0.1</x:v>
      </x:c>
      <x:c r="K933" s="7" t="n">
        <x:v>8460.79</x:v>
      </x:c>
      <x:c r="L933" s="7" t="n">
        <x:v>225.52</x:v>
      </x:c>
      <x:c r="M933" s="3" t="str">
        <x:v>Debit Card</x:v>
      </x:c>
      <x:c r="N933" s="3"/>
      <x:c r="O933" s="3"/>
      <x:c r="P933" s="3"/>
      <x:c r="Q933" s="3"/>
    </x:row>
    <x:row r="934" ht="21" customHeight="1">
      <x:c r="A934" s="3" t="str">
        <x:v>ORD-101322</x:v>
      </x:c>
      <x:c r="B934" s="5" t="n">
        <x:v>45556</x:v>
      </x:c>
      <x:c r="C934" s="3" t="str">
        <x:v>CUST-00155</x:v>
      </x:c>
      <x:c r="D934" s="3" t="str">
        <x:v>North</x:v>
      </x:c>
      <x:c r="E934" s="3" t="str">
        <x:v>Fashion</x:v>
      </x:c>
      <x:c r="F934" s="3" t="str">
        <x:v>Men</x:v>
      </x:c>
      <x:c r="G934" s="3" t="str">
        <x:v>SlimFit Denim Jeans</x:v>
      </x:c>
      <x:c r="H934" s="3" t="n">
        <x:v>1</x:v>
      </x:c>
      <x:c r="I934" s="7" t="n">
        <x:v>2038.32</x:v>
      </x:c>
      <x:c r="J934" s="9" t="n">
        <x:v>0.05</x:v>
      </x:c>
      <x:c r="K934" s="7" t="n">
        <x:v>1936.4</x:v>
      </x:c>
      <x:c r="L934" s="7" t="n">
        <x:v>659.8</x:v>
      </x:c>
      <x:c r="M934" s="3" t="str">
        <x:v>Credit Card</x:v>
      </x:c>
      <x:c r="N934" s="3"/>
      <x:c r="O934" s="3"/>
      <x:c r="P934" s="3"/>
      <x:c r="Q934" s="3"/>
    </x:row>
    <x:row r="935" ht="21" customHeight="1">
      <x:c r="A935" s="3" t="str">
        <x:v>ORD-101457</x:v>
      </x:c>
      <x:c r="B935" s="5" t="n">
        <x:v>45556</x:v>
      </x:c>
      <x:c r="C935" s="3" t="str">
        <x:v>CUST-00462</x:v>
      </x:c>
      <x:c r="D935" s="3" t="str">
        <x:v>North</x:v>
      </x:c>
      <x:c r="E935" s="3" t="str">
        <x:v>Electronics</x:v>
      </x:c>
      <x:c r="F935" s="3" t="str">
        <x:v>Laptop</x:v>
      </x:c>
      <x:c r="G935" s="3" t="str">
        <x:v>ThinkPro 14</x:v>
      </x:c>
      <x:c r="H935" s="3" t="n">
        <x:v>1</x:v>
      </x:c>
      <x:c r="I935" s="7" t="n">
        <x:v>55488.98</x:v>
      </x:c>
      <x:c r="J935" s="9" t="n">
        <x:v>0.25</x:v>
      </x:c>
      <x:c r="K935" s="7" t="n">
        <x:v>41616.74</x:v>
      </x:c>
      <x:c r="L935" s="7" t="n">
        <x:v>-3631.54</x:v>
      </x:c>
      <x:c r="M935" s="3" t="str">
        <x:v>Debit Card</x:v>
      </x:c>
      <x:c r="N935" s="3"/>
      <x:c r="O935" s="3"/>
      <x:c r="P935" s="3"/>
      <x:c r="Q935" s="3"/>
    </x:row>
    <x:row r="936" ht="21" customHeight="1">
      <x:c r="A936" s="3" t="str">
        <x:v>ORD-101596</x:v>
      </x:c>
      <x:c r="B936" s="5" t="n">
        <x:v>45556</x:v>
      </x:c>
      <x:c r="C936" s="3" t="str">
        <x:v>CUST-00048</x:v>
      </x:c>
      <x:c r="D936" s="3" t="str">
        <x:v>South</x:v>
      </x:c>
      <x:c r="E936" s="3" t="str">
        <x:v>Fashion</x:v>
      </x:c>
      <x:c r="F936" s="3" t="str">
        <x:v>Men</x:v>
      </x:c>
      <x:c r="G936" s="3" t="str">
        <x:v>Oxford Casual Shirt</x:v>
      </x:c>
      <x:c r="H936" s="3" t="n">
        <x:v>4</x:v>
      </x:c>
      <x:c r="I936" s="7" t="n">
        <x:v>1235.55</x:v>
      </x:c>
      <x:c r="J936" s="9" t="n">
        <x:v>0.15</x:v>
      </x:c>
      <x:c r="K936" s="7" t="n">
        <x:v>4200.87</x:v>
      </x:c>
      <x:c r="L936" s="7" t="n">
        <x:v>1118.84</x:v>
      </x:c>
      <x:c r="M936" s="3" t="str">
        <x:v>UPI</x:v>
      </x:c>
      <x:c r="N936" s="3"/>
      <x:c r="O936" s="3"/>
      <x:c r="P936" s="3"/>
      <x:c r="Q936" s="3"/>
    </x:row>
    <x:row r="937" ht="21" customHeight="1">
      <x:c r="A937" s="3" t="str">
        <x:v>ORD-100342</x:v>
      </x:c>
      <x:c r="B937" s="5" t="n">
        <x:v>45557</x:v>
      </x:c>
      <x:c r="C937" s="3" t="str">
        <x:v>CUST-00270</x:v>
      </x:c>
      <x:c r="D937" s="3" t="str">
        <x:v>North</x:v>
      </x:c>
      <x:c r="E937" s="3" t="str">
        <x:v>Sports</x:v>
      </x:c>
      <x:c r="F937" s="3" t="str">
        <x:v>Fitness</x:v>
      </x:c>
      <x:c r="G937" s="3" t="str">
        <x:v>Adjustable Dumbbell 24kg</x:v>
      </x:c>
      <x:c r="H937" s="3" t="n">
        <x:v>1</x:v>
      </x:c>
      <x:c r="I937" s="7" t="n">
        <x:v>10173.09</x:v>
      </x:c>
      <x:c r="J937" s="9" t="n">
        <x:v>0</x:v>
      </x:c>
      <x:c r="K937" s="7" t="n">
        <x:v>10173.09</x:v>
      </x:c>
      <x:c r="L937" s="7" t="n">
        <x:v>3767.65</x:v>
      </x:c>
      <x:c r="M937" s="3" t="str">
        <x:v>UPI</x:v>
      </x:c>
      <x:c r="N937" s="3"/>
      <x:c r="O937" s="3"/>
      <x:c r="P937" s="3"/>
      <x:c r="Q937" s="3"/>
    </x:row>
    <x:row r="938" ht="21" customHeight="1">
      <x:c r="A938" s="3" t="str">
        <x:v>ORD-100408</x:v>
      </x:c>
      <x:c r="B938" s="5" t="n">
        <x:v>45557</x:v>
      </x:c>
      <x:c r="C938" s="3" t="str">
        <x:v>CUST-00363</x:v>
      </x:c>
      <x:c r="D938" s="3" t="str">
        <x:v>South</x:v>
      </x:c>
      <x:c r="E938" s="3" t="str">
        <x:v>Beauty</x:v>
      </x:c>
      <x:c r="F938" s="3" t="str">
        <x:v>Skincare</x:v>
      </x:c>
      <x:c r="G938" s="3" t="str">
        <x:v>HydraBoost Moisturizer</x:v>
      </x:c>
      <x:c r="H938" s="3" t="n">
        <x:v>2</x:v>
      </x:c>
      <x:c r="I938" s="7" t="n">
        <x:v>1233.55</x:v>
      </x:c>
      <x:c r="J938" s="9" t="n">
        <x:v>0.1</x:v>
      </x:c>
      <x:c r="K938" s="7" t="n">
        <x:v>2220.39</x:v>
      </x:c>
      <x:c r="L938" s="7" t="n">
        <x:v>1002.6</x:v>
      </x:c>
      <x:c r="M938" s="3" t="str">
        <x:v>Debit Card</x:v>
      </x:c>
      <x:c r="N938" s="3"/>
      <x:c r="O938" s="3"/>
      <x:c r="P938" s="3"/>
      <x:c r="Q938" s="3"/>
    </x:row>
    <x:row r="939" ht="21" customHeight="1">
      <x:c r="A939" s="3" t="str">
        <x:v>ORD-100743</x:v>
      </x:c>
      <x:c r="B939" s="5" t="n">
        <x:v>45557</x:v>
      </x:c>
      <x:c r="C939" s="3" t="str">
        <x:v>CUST-00056</x:v>
      </x:c>
      <x:c r="D939" s="3" t="str">
        <x:v>South</x:v>
      </x:c>
      <x:c r="E939" s="3" t="str">
        <x:v>Electronics</x:v>
      </x:c>
      <x:c r="F939" s="3" t="str">
        <x:v>Mobile</x:v>
      </x:c>
      <x:c r="G939" s="3" t="str">
        <x:v>Galaxy Nova X5</x:v>
      </x:c>
      <x:c r="H939" s="3" t="n">
        <x:v>1</x:v>
      </x:c>
      <x:c r="I939" s="7" t="n">
        <x:v>25933.4</x:v>
      </x:c>
      <x:c r="J939" s="9" t="n">
        <x:v>0</x:v>
      </x:c>
      <x:c r="K939" s="7" t="n">
        <x:v>25933.4</x:v>
      </x:c>
      <x:c r="L939" s="7" t="n">
        <x:v>4567.23</x:v>
      </x:c>
      <x:c r="M939" s="3" t="str">
        <x:v>UPI</x:v>
      </x:c>
      <x:c r="N939" s="3"/>
      <x:c r="O939" s="3"/>
      <x:c r="P939" s="3"/>
      <x:c r="Q939" s="3"/>
    </x:row>
    <x:row r="940" ht="21" customHeight="1">
      <x:c r="A940" s="3" t="str">
        <x:v>ORD-100947</x:v>
      </x:c>
      <x:c r="B940" s="5" t="n">
        <x:v>45557</x:v>
      </x:c>
      <x:c r="C940" s="3" t="str">
        <x:v>CUST-00024</x:v>
      </x:c>
      <x:c r="D940" s="3" t="str">
        <x:v>South</x:v>
      </x:c>
      <x:c r="E940" s="3" t="str">
        <x:v>Home &amp; Kitchen</x:v>
      </x:c>
      <x:c r="F940" s="3" t="str">
        <x:v>Decor</x:v>
      </x:c>
      <x:c r="G940" s="3" t="str">
        <x:v>LED Wall Lamp</x:v>
      </x:c>
      <x:c r="H940" s="3" t="n">
        <x:v>2</x:v>
      </x:c>
      <x:c r="I940" s="7" t="n">
        <x:v>981.14</x:v>
      </x:c>
      <x:c r="J940" s="9" t="n">
        <x:v>0</x:v>
      </x:c>
      <x:c r="K940" s="7" t="n">
        <x:v>1962.28</x:v>
      </x:c>
      <x:c r="L940" s="7" t="n">
        <x:v>604.8</x:v>
      </x:c>
      <x:c r="M940" s="3" t="str">
        <x:v>UPI</x:v>
      </x:c>
      <x:c r="N940" s="3"/>
      <x:c r="O940" s="3"/>
      <x:c r="P940" s="3"/>
      <x:c r="Q940" s="3"/>
    </x:row>
    <x:row r="941" ht="21" customHeight="1">
      <x:c r="A941" s="3" t="str">
        <x:v>ORD-101311</x:v>
      </x:c>
      <x:c r="B941" s="5" t="n">
        <x:v>45557</x:v>
      </x:c>
      <x:c r="C941" s="3" t="str">
        <x:v>CUST-00559</x:v>
      </x:c>
      <x:c r="D941" s="3" t="str">
        <x:v>North</x:v>
      </x:c>
      <x:c r="E941" s="3" t="str">
        <x:v>Electronics</x:v>
      </x:c>
      <x:c r="F941" s="3" t="str">
        <x:v>Audio</x:v>
      </x:c>
      <x:c r="G941" s="3" t="str">
        <x:v>BassBoom Speaker</x:v>
      </x:c>
      <x:c r="H941" s="3" t="n">
        <x:v>3</x:v>
      </x:c>
      <x:c r="I941" s="7" t="n">
        <x:v>8703.41</x:v>
      </x:c>
      <x:c r="J941" s="9" t="n">
        <x:v>0.1</x:v>
      </x:c>
      <x:c r="K941" s="7" t="n">
        <x:v>23499.21</x:v>
      </x:c>
      <x:c r="L941" s="7" t="n">
        <x:v>754.84</x:v>
      </x:c>
      <x:c r="M941" s="3" t="str">
        <x:v>UPI</x:v>
      </x:c>
      <x:c r="N941" s="3"/>
      <x:c r="O941" s="3"/>
      <x:c r="P941" s="3"/>
      <x:c r="Q941" s="3"/>
    </x:row>
    <x:row r="942" ht="21" customHeight="1">
      <x:c r="A942" s="3" t="str">
        <x:v>ORD-101556</x:v>
      </x:c>
      <x:c r="B942" s="5" t="n">
        <x:v>45557</x:v>
      </x:c>
      <x:c r="C942" s="3" t="str">
        <x:v>CUST-00465</x:v>
      </x:c>
      <x:c r="D942" s="3" t="str">
        <x:v>West</x:v>
      </x:c>
      <x:c r="E942" s="3" t="str">
        <x:v>Electronics</x:v>
      </x:c>
      <x:c r="F942" s="3" t="str">
        <x:v>Laptop</x:v>
      </x:c>
      <x:c r="G942" s="3" t="str">
        <x:v>ThinkPro 14</x:v>
      </x:c>
      <x:c r="H942" s="3" t="n">
        <x:v>1</x:v>
      </x:c>
      <x:c r="I942" s="7" t="n">
        <x:v>52987.8</x:v>
      </x:c>
      <x:c r="J942" s="9" t="n">
        <x:v>0</x:v>
      </x:c>
      <x:c r="K942" s="7" t="n">
        <x:v>52987.8</x:v>
      </x:c>
      <x:c r="L942" s="7" t="n">
        <x:v>11052.05</x:v>
      </x:c>
      <x:c r="M942" s="3" t="str">
        <x:v>UPI</x:v>
      </x:c>
      <x:c r="N942" s="3"/>
      <x:c r="O942" s="3"/>
      <x:c r="P942" s="3"/>
      <x:c r="Q942" s="3"/>
    </x:row>
    <x:row r="943" ht="21" customHeight="1">
      <x:c r="A943" s="3" t="str">
        <x:v>ORD-101965</x:v>
      </x:c>
      <x:c r="B943" s="5" t="n">
        <x:v>45557</x:v>
      </x:c>
      <x:c r="C943" s="3" t="str">
        <x:v>CUST-00442</x:v>
      </x:c>
      <x:c r="D943" s="3" t="str">
        <x:v>North</x:v>
      </x:c>
      <x:c r="E943" s="3" t="str">
        <x:v>Beauty</x:v>
      </x:c>
      <x:c r="F943" s="3" t="str">
        <x:v>Makeup</x:v>
      </x:c>
      <x:c r="G943" s="3" t="str">
        <x:v>HD Foundation Kit</x:v>
      </x:c>
      <x:c r="H943" s="3" t="n">
        <x:v>1</x:v>
      </x:c>
      <x:c r="I943" s="7" t="n">
        <x:v>1531.22</x:v>
      </x:c>
      <x:c r="J943" s="9" t="n">
        <x:v>0</x:v>
      </x:c>
      <x:c r="K943" s="7" t="n">
        <x:v>1531.22</x:v>
      </x:c>
      <x:c r="L943" s="7" t="n">
        <x:v>823.81</x:v>
      </x:c>
      <x:c r="M943" s="3" t="str">
        <x:v>Cash on Delivery</x:v>
      </x:c>
      <x:c r="N943" s="3"/>
      <x:c r="O943" s="3"/>
      <x:c r="P943" s="3"/>
      <x:c r="Q943" s="3"/>
    </x:row>
    <x:row r="944" ht="21" customHeight="1">
      <x:c r="A944" s="3" t="str">
        <x:v>ORD-100314</x:v>
      </x:c>
      <x:c r="B944" s="5" t="n">
        <x:v>45558</x:v>
      </x:c>
      <x:c r="C944" s="3" t="str">
        <x:v>CUST-00553</x:v>
      </x:c>
      <x:c r="D944" s="3" t="str">
        <x:v>North</x:v>
      </x:c>
      <x:c r="E944" s="3" t="str">
        <x:v>Fashion</x:v>
      </x:c>
      <x:c r="F944" s="3" t="str">
        <x:v>Footwear</x:v>
      </x:c>
      <x:c r="G944" s="3" t="str">
        <x:v>RunFlex Sneakers</x:v>
      </x:c>
      <x:c r="H944" s="3" t="n">
        <x:v>3</x:v>
      </x:c>
      <x:c r="I944" s="7" t="n">
        <x:v>2891.04</x:v>
      </x:c>
      <x:c r="J944" s="9" t="n">
        <x:v>0.2</x:v>
      </x:c>
      <x:c r="K944" s="7" t="n">
        <x:v>6938.5</x:v>
      </x:c>
      <x:c r="L944" s="7" t="n">
        <x:v>1339.75</x:v>
      </x:c>
      <x:c r="M944" s="3" t="str">
        <x:v>Net Banking</x:v>
      </x:c>
      <x:c r="N944" s="3"/>
      <x:c r="O944" s="3"/>
      <x:c r="P944" s="3"/>
      <x:c r="Q944" s="3"/>
    </x:row>
    <x:row r="945" ht="21" customHeight="1">
      <x:c r="A945" s="3" t="str">
        <x:v>ORD-100530</x:v>
      </x:c>
      <x:c r="B945" s="5" t="n">
        <x:v>45558</x:v>
      </x:c>
      <x:c r="C945" s="3" t="str">
        <x:v>CUST-00377</x:v>
      </x:c>
      <x:c r="D945" s="3" t="str">
        <x:v>South</x:v>
      </x:c>
      <x:c r="E945" s="3" t="str">
        <x:v>Beauty</x:v>
      </x:c>
      <x:c r="F945" s="3" t="str">
        <x:v>Skincare</x:v>
      </x:c>
      <x:c r="G945" s="3" t="str">
        <x:v>Vitamin C Serum</x:v>
      </x:c>
      <x:c r="H945" s="3" t="n">
        <x:v>5</x:v>
      </x:c>
      <x:c r="I945" s="7" t="n">
        <x:v>917.09</x:v>
      </x:c>
      <x:c r="J945" s="9" t="n">
        <x:v>0</x:v>
      </x:c>
      <x:c r="K945" s="7" t="n">
        <x:v>4585.45</x:v>
      </x:c>
      <x:c r="L945" s="7" t="n">
        <x:v>2400.49</x:v>
      </x:c>
      <x:c r="M945" s="3" t="str">
        <x:v>Credit Card</x:v>
      </x:c>
      <x:c r="N945" s="3"/>
      <x:c r="O945" s="3"/>
      <x:c r="P945" s="3"/>
      <x:c r="Q945" s="3"/>
    </x:row>
    <x:row r="946" ht="21" customHeight="1">
      <x:c r="A946" s="3" t="str">
        <x:v>ORD-101114</x:v>
      </x:c>
      <x:c r="B946" s="5" t="n">
        <x:v>45558</x:v>
      </x:c>
      <x:c r="C946" s="3" t="str">
        <x:v>CUST-00173</x:v>
      </x:c>
      <x:c r="D946" s="3" t="str">
        <x:v>North</x:v>
      </x:c>
      <x:c r="E946" s="3" t="str">
        <x:v>Home &amp; Kitchen</x:v>
      </x:c>
      <x:c r="F946" s="3" t="str">
        <x:v>Decor</x:v>
      </x:c>
      <x:c r="G946" s="3" t="str">
        <x:v>Ceramic Vase Set</x:v>
      </x:c>
      <x:c r="H946" s="3" t="n">
        <x:v>1</x:v>
      </x:c>
      <x:c r="I946" s="7" t="n">
        <x:v>1560.34</x:v>
      </x:c>
      <x:c r="J946" s="9" t="n">
        <x:v>0.15</x:v>
      </x:c>
      <x:c r="K946" s="7" t="n">
        <x:v>1326.29</x:v>
      </x:c>
      <x:c r="L946" s="7" t="n">
        <x:v>165.33</x:v>
      </x:c>
      <x:c r="M946" s="3" t="str">
        <x:v>UPI</x:v>
      </x:c>
      <x:c r="N946" s="3"/>
      <x:c r="O946" s="3"/>
      <x:c r="P946" s="3"/>
      <x:c r="Q946" s="3"/>
    </x:row>
    <x:row r="947" ht="21" customHeight="1">
      <x:c r="A947" s="3" t="str">
        <x:v>ORD-101313</x:v>
      </x:c>
      <x:c r="B947" s="5" t="n">
        <x:v>45558</x:v>
      </x:c>
      <x:c r="C947" s="3" t="str">
        <x:v>CUST-00142</x:v>
      </x:c>
      <x:c r="D947" s="3" t="str">
        <x:v>West</x:v>
      </x:c>
      <x:c r="E947" s="3" t="str">
        <x:v>Electronics</x:v>
      </x:c>
      <x:c r="F947" s="3" t="str">
        <x:v>Audio</x:v>
      </x:c>
      <x:c r="G947" s="3" t="str">
        <x:v>BassBoom Speaker</x:v>
      </x:c>
      <x:c r="H947" s="3" t="n">
        <x:v>4</x:v>
      </x:c>
      <x:c r="I947" s="7" t="n">
        <x:v>9282.76</x:v>
      </x:c>
      <x:c r="J947" s="9" t="n">
        <x:v>0.05</x:v>
      </x:c>
      <x:c r="K947" s="7" t="n">
        <x:v>35274.49</x:v>
      </x:c>
      <x:c r="L947" s="7" t="n">
        <x:v>5312.76</x:v>
      </x:c>
      <x:c r="M947" s="3" t="str">
        <x:v>Net Banking</x:v>
      </x:c>
      <x:c r="N947" s="3"/>
      <x:c r="O947" s="3"/>
      <x:c r="P947" s="3"/>
      <x:c r="Q947" s="3"/>
    </x:row>
    <x:row r="948" ht="21" customHeight="1">
      <x:c r="A948" s="3" t="str">
        <x:v>ORD-101476</x:v>
      </x:c>
      <x:c r="B948" s="5" t="n">
        <x:v>45558</x:v>
      </x:c>
      <x:c r="C948" s="3" t="str">
        <x:v>CUST-00188</x:v>
      </x:c>
      <x:c r="D948" s="3" t="str">
        <x:v>East</x:v>
      </x:c>
      <x:c r="E948" s="3" t="str">
        <x:v>Home &amp; Kitchen</x:v>
      </x:c>
      <x:c r="F948" s="3" t="str">
        <x:v>Appliances</x:v>
      </x:c>
      <x:c r="G948" s="3" t="str">
        <x:v>ColdBrew Coffee Maker</x:v>
      </x:c>
      <x:c r="H948" s="3" t="n">
        <x:v>2</x:v>
      </x:c>
      <x:c r="I948" s="7" t="n">
        <x:v>6714.57</x:v>
      </x:c>
      <x:c r="J948" s="9" t="n">
        <x:v>0.3</x:v>
      </x:c>
      <x:c r="K948" s="7" t="n">
        <x:v>9400.4</x:v>
      </x:c>
      <x:c r="L948" s="7" t="n">
        <x:v>-158.84</x:v>
      </x:c>
      <x:c r="M948" s="3" t="str">
        <x:v>Credit Card</x:v>
      </x:c>
      <x:c r="N948" s="3"/>
      <x:c r="O948" s="3"/>
      <x:c r="P948" s="3"/>
      <x:c r="Q948" s="3"/>
    </x:row>
    <x:row r="949" ht="21" customHeight="1">
      <x:c r="A949" s="3" t="str">
        <x:v>ORD-101483</x:v>
      </x:c>
      <x:c r="B949" s="5" t="n">
        <x:v>45558</x:v>
      </x:c>
      <x:c r="C949" s="3" t="str">
        <x:v>CUST-00392</x:v>
      </x:c>
      <x:c r="D949" s="3" t="str">
        <x:v>East</x:v>
      </x:c>
      <x:c r="E949" s="3" t="str">
        <x:v>Fashion</x:v>
      </x:c>
      <x:c r="F949" s="3" t="str">
        <x:v>Men</x:v>
      </x:c>
      <x:c r="G949" s="3" t="str">
        <x:v>Oxford Casual Shirt</x:v>
      </x:c>
      <x:c r="H949" s="3" t="n">
        <x:v>3</x:v>
      </x:c>
      <x:c r="I949" s="7" t="n">
        <x:v>1248.73</x:v>
      </x:c>
      <x:c r="J949" s="9" t="n">
        <x:v>0</x:v>
      </x:c>
      <x:c r="K949" s="7" t="n">
        <x:v>3746.19</x:v>
      </x:c>
      <x:c r="L949" s="7" t="n">
        <x:v>1476.34</x:v>
      </x:c>
      <x:c r="M949" s="3" t="str">
        <x:v>Credit Card</x:v>
      </x:c>
      <x:c r="N949" s="3"/>
      <x:c r="O949" s="3"/>
      <x:c r="P949" s="3"/>
      <x:c r="Q949" s="3"/>
    </x:row>
    <x:row r="950" ht="21" customHeight="1">
      <x:c r="A950" s="3" t="str">
        <x:v>ORD-101200</x:v>
      </x:c>
      <x:c r="B950" s="5" t="n">
        <x:v>45559</x:v>
      </x:c>
      <x:c r="C950" s="3" t="str">
        <x:v>CUST-00265</x:v>
      </x:c>
      <x:c r="D950" s="3" t="str">
        <x:v>South</x:v>
      </x:c>
      <x:c r="E950" s="3" t="str">
        <x:v>Beauty</x:v>
      </x:c>
      <x:c r="F950" s="3" t="str">
        <x:v>Skincare</x:v>
      </x:c>
      <x:c r="G950" s="3" t="str">
        <x:v>Vitamin C Serum</x:v>
      </x:c>
      <x:c r="H950" s="3" t="n">
        <x:v>1</x:v>
      </x:c>
      <x:c r="I950" s="7" t="n">
        <x:v>858.27</x:v>
      </x:c>
      <x:c r="J950" s="9" t="n">
        <x:v>0</x:v>
      </x:c>
      <x:c r="K950" s="7" t="n">
        <x:v>858.27</x:v>
      </x:c>
      <x:c r="L950" s="7" t="n">
        <x:v>446.12</x:v>
      </x:c>
      <x:c r="M950" s="3" t="str">
        <x:v>Debit Card</x:v>
      </x:c>
      <x:c r="N950" s="3"/>
      <x:c r="O950" s="3"/>
      <x:c r="P950" s="3"/>
      <x:c r="Q950" s="3"/>
    </x:row>
    <x:row r="951" ht="21" customHeight="1">
      <x:c r="A951" s="3" t="str">
        <x:v>ORD-101348</x:v>
      </x:c>
      <x:c r="B951" s="5" t="n">
        <x:v>45559</x:v>
      </x:c>
      <x:c r="C951" s="3" t="str">
        <x:v>CUST-00055</x:v>
      </x:c>
      <x:c r="D951" s="3" t="str">
        <x:v>West</x:v>
      </x:c>
      <x:c r="E951" s="3" t="str">
        <x:v>Home &amp; Kitchen</x:v>
      </x:c>
      <x:c r="F951" s="3" t="str">
        <x:v>Appliances</x:v>
      </x:c>
      <x:c r="G951" s="3" t="str">
        <x:v>AirFryer Deluxe</x:v>
      </x:c>
      <x:c r="H951" s="3" t="n">
        <x:v>3</x:v>
      </x:c>
      <x:c r="I951" s="7" t="n">
        <x:v>7736.83</x:v>
      </x:c>
      <x:c r="J951" s="9" t="n">
        <x:v>0.05</x:v>
      </x:c>
      <x:c r="K951" s="7" t="n">
        <x:v>22049.97</x:v>
      </x:c>
      <x:c r="L951" s="7" t="n">
        <x:v>5574.85</x:v>
      </x:c>
      <x:c r="M951" s="3" t="str">
        <x:v>Cash on Delivery</x:v>
      </x:c>
      <x:c r="N951" s="3"/>
      <x:c r="O951" s="3"/>
      <x:c r="P951" s="3"/>
      <x:c r="Q951" s="3"/>
    </x:row>
    <x:row r="952" ht="21" customHeight="1">
      <x:c r="A952" s="3" t="str">
        <x:v>ORD-101715</x:v>
      </x:c>
      <x:c r="B952" s="5" t="n">
        <x:v>45559</x:v>
      </x:c>
      <x:c r="C952" s="3" t="str">
        <x:v>CUST-00411</x:v>
      </x:c>
      <x:c r="D952" s="3" t="str">
        <x:v>West</x:v>
      </x:c>
      <x:c r="E952" s="3" t="str">
        <x:v>Fashion</x:v>
      </x:c>
      <x:c r="F952" s="3" t="str">
        <x:v>Women</x:v>
      </x:c>
      <x:c r="G952" s="3" t="str">
        <x:v>Floral Summer Dress</x:v>
      </x:c>
      <x:c r="H952" s="3" t="n">
        <x:v>1</x:v>
      </x:c>
      <x:c r="I952" s="7" t="n">
        <x:v>1887.75</x:v>
      </x:c>
      <x:c r="J952" s="9" t="n">
        <x:v>0.25</x:v>
      </x:c>
      <x:c r="K952" s="7" t="n">
        <x:v>1415.81</x:v>
      </x:c>
      <x:c r="L952" s="7" t="n">
        <x:v>179.45</x:v>
      </x:c>
      <x:c r="M952" s="3" t="str">
        <x:v>UPI</x:v>
      </x:c>
      <x:c r="N952" s="3"/>
      <x:c r="O952" s="3"/>
      <x:c r="P952" s="3"/>
      <x:c r="Q952" s="3"/>
    </x:row>
    <x:row r="953" ht="21" customHeight="1">
      <x:c r="A953" s="3" t="str">
        <x:v>ORD-101369</x:v>
      </x:c>
      <x:c r="B953" s="5" t="n">
        <x:v>45560</x:v>
      </x:c>
      <x:c r="C953" s="3" t="str">
        <x:v>CUST-00247</x:v>
      </x:c>
      <x:c r="D953" s="3" t="str">
        <x:v>West</x:v>
      </x:c>
      <x:c r="E953" s="3" t="str">
        <x:v>Beauty</x:v>
      </x:c>
      <x:c r="F953" s="3" t="str">
        <x:v>Makeup</x:v>
      </x:c>
      <x:c r="G953" s="3" t="str">
        <x:v>HD Foundation Kit</x:v>
      </x:c>
      <x:c r="H953" s="3" t="n">
        <x:v>1</x:v>
      </x:c>
      <x:c r="I953" s="7" t="n">
        <x:v>1502.02</x:v>
      </x:c>
      <x:c r="J953" s="9" t="n">
        <x:v>0</x:v>
      </x:c>
      <x:c r="K953" s="7" t="n">
        <x:v>1502.02</x:v>
      </x:c>
      <x:c r="L953" s="7" t="n">
        <x:v>879.62</x:v>
      </x:c>
      <x:c r="M953" s="3" t="str">
        <x:v>UPI</x:v>
      </x:c>
      <x:c r="N953" s="3"/>
      <x:c r="O953" s="3"/>
      <x:c r="P953" s="3"/>
      <x:c r="Q953" s="3"/>
    </x:row>
    <x:row r="954" ht="21" customHeight="1">
      <x:c r="A954" s="3" t="str">
        <x:v>ORD-101437</x:v>
      </x:c>
      <x:c r="B954" s="5" t="n">
        <x:v>45560</x:v>
      </x:c>
      <x:c r="C954" s="3" t="str">
        <x:v>CUST-00265</x:v>
      </x:c>
      <x:c r="D954" s="3" t="str">
        <x:v>East</x:v>
      </x:c>
      <x:c r="E954" s="3" t="str">
        <x:v>Fashion</x:v>
      </x:c>
      <x:c r="F954" s="3" t="str">
        <x:v>Footwear</x:v>
      </x:c>
      <x:c r="G954" s="3" t="str">
        <x:v>RunFlex Sneakers</x:v>
      </x:c>
      <x:c r="H954" s="3" t="n">
        <x:v>2</x:v>
      </x:c>
      <x:c r="I954" s="7" t="n">
        <x:v>2996.9</x:v>
      </x:c>
      <x:c r="J954" s="9" t="n">
        <x:v>0.3</x:v>
      </x:c>
      <x:c r="K954" s="7" t="n">
        <x:v>4195.66</x:v>
      </x:c>
      <x:c r="L954" s="7" t="n">
        <x:v>413.27</x:v>
      </x:c>
      <x:c r="M954" s="3" t="str">
        <x:v>Net Banking</x:v>
      </x:c>
      <x:c r="N954" s="3"/>
      <x:c r="O954" s="3"/>
      <x:c r="P954" s="3"/>
      <x:c r="Q954" s="3"/>
    </x:row>
    <x:row r="955" ht="21" customHeight="1">
      <x:c r="A955" s="3" t="str">
        <x:v>ORD-101738</x:v>
      </x:c>
      <x:c r="B955" s="5" t="n">
        <x:v>45560</x:v>
      </x:c>
      <x:c r="C955" s="3" t="str">
        <x:v>CUST-00205</x:v>
      </x:c>
      <x:c r="D955" s="3" t="str">
        <x:v>North</x:v>
      </x:c>
      <x:c r="E955" s="3" t="str">
        <x:v>Beauty</x:v>
      </x:c>
      <x:c r="F955" s="3" t="str">
        <x:v>Skincare</x:v>
      </x:c>
      <x:c r="G955" s="3" t="str">
        <x:v>Vitamin C Serum</x:v>
      </x:c>
      <x:c r="H955" s="3" t="n">
        <x:v>5</x:v>
      </x:c>
      <x:c r="I955" s="7" t="n">
        <x:v>920.65</x:v>
      </x:c>
      <x:c r="J955" s="9" t="n">
        <x:v>0</x:v>
      </x:c>
      <x:c r="K955" s="7" t="n">
        <x:v>4603.25</x:v>
      </x:c>
      <x:c r="L955" s="7" t="n">
        <x:v>2583.01</x:v>
      </x:c>
      <x:c r="M955" s="3" t="str">
        <x:v>UPI</x:v>
      </x:c>
      <x:c r="N955" s="3"/>
      <x:c r="O955" s="3"/>
      <x:c r="P955" s="3"/>
      <x:c r="Q955" s="3"/>
    </x:row>
    <x:row r="956" ht="21" customHeight="1">
      <x:c r="A956" s="3" t="str">
        <x:v>ORD-100318</x:v>
      </x:c>
      <x:c r="B956" s="5" t="n">
        <x:v>45561</x:v>
      </x:c>
      <x:c r="C956" s="3" t="str">
        <x:v>CUST-00584</x:v>
      </x:c>
      <x:c r="D956" s="3" t="str">
        <x:v>West</x:v>
      </x:c>
      <x:c r="E956" s="3" t="str">
        <x:v>Sports</x:v>
      </x:c>
      <x:c r="F956" s="3" t="str">
        <x:v>Outdoor</x:v>
      </x:c>
      <x:c r="G956" s="3" t="str">
        <x:v>AllWeather Tent 4P</x:v>
      </x:c>
      <x:c r="H956" s="3" t="n">
        <x:v>3</x:v>
      </x:c>
      <x:c r="I956" s="7" t="n">
        <x:v>12177.21</x:v>
      </x:c>
      <x:c r="J956" s="9" t="n">
        <x:v>0</x:v>
      </x:c>
      <x:c r="K956" s="7" t="n">
        <x:v>36531.63</x:v>
      </x:c>
      <x:c r="L956" s="7" t="n">
        <x:v>12722.43</x:v>
      </x:c>
      <x:c r="M956" s="3" t="str">
        <x:v>Credit Card</x:v>
      </x:c>
      <x:c r="N956" s="3"/>
      <x:c r="O956" s="3"/>
      <x:c r="P956" s="3"/>
      <x:c r="Q956" s="3"/>
    </x:row>
    <x:row r="957" ht="21" customHeight="1">
      <x:c r="A957" s="3" t="str">
        <x:v>ORD-101236</x:v>
      </x:c>
      <x:c r="B957" s="5" t="n">
        <x:v>45561</x:v>
      </x:c>
      <x:c r="C957" s="3" t="str">
        <x:v>CUST-00537</x:v>
      </x:c>
      <x:c r="D957" s="3" t="str">
        <x:v>West</x:v>
      </x:c>
      <x:c r="E957" s="3" t="str">
        <x:v>Electronics</x:v>
      </x:c>
      <x:c r="F957" s="3" t="str">
        <x:v>Audio</x:v>
      </x:c>
      <x:c r="G957" s="3" t="str">
        <x:v>BassBoom Speaker</x:v>
      </x:c>
      <x:c r="H957" s="3" t="n">
        <x:v>2</x:v>
      </x:c>
      <x:c r="I957" s="7" t="n">
        <x:v>9379.5</x:v>
      </x:c>
      <x:c r="J957" s="9" t="n">
        <x:v>0.2</x:v>
      </x:c>
      <x:c r="K957" s="7" t="n">
        <x:v>15007.2</x:v>
      </x:c>
      <x:c r="L957" s="7" t="n">
        <x:v>-242.41</x:v>
      </x:c>
      <x:c r="M957" s="3" t="str">
        <x:v>Credit Card</x:v>
      </x:c>
      <x:c r="N957" s="3"/>
      <x:c r="O957" s="3"/>
      <x:c r="P957" s="3"/>
      <x:c r="Q957" s="3"/>
    </x:row>
    <x:row r="958" ht="21" customHeight="1">
      <x:c r="A958" s="3" t="str">
        <x:v>ORD-100323</x:v>
      </x:c>
      <x:c r="B958" s="5" t="n">
        <x:v>45562</x:v>
      </x:c>
      <x:c r="C958" s="3" t="str">
        <x:v>CUST-00351</x:v>
      </x:c>
      <x:c r="D958" s="3" t="str">
        <x:v>North</x:v>
      </x:c>
      <x:c r="E958" s="3" t="str">
        <x:v>Sports</x:v>
      </x:c>
      <x:c r="F958" s="3" t="str">
        <x:v>Fitness</x:v>
      </x:c>
      <x:c r="G958" s="3" t="str">
        <x:v>ProYoga Mat</x:v>
      </x:c>
      <x:c r="H958" s="3" t="n">
        <x:v>3</x:v>
      </x:c>
      <x:c r="I958" s="7" t="n">
        <x:v>1337.27</x:v>
      </x:c>
      <x:c r="J958" s="9" t="n">
        <x:v>0.1</x:v>
      </x:c>
      <x:c r="K958" s="7" t="n">
        <x:v>3610.63</x:v>
      </x:c>
      <x:c r="L958" s="7" t="n">
        <x:v>1049.38</x:v>
      </x:c>
      <x:c r="M958" s="3" t="str">
        <x:v>Credit Card</x:v>
      </x:c>
      <x:c r="N958" s="3"/>
      <x:c r="O958" s="3"/>
      <x:c r="P958" s="3"/>
      <x:c r="Q958" s="3"/>
    </x:row>
    <x:row r="959" ht="21" customHeight="1">
      <x:c r="A959" s="3" t="str">
        <x:v>ORD-100571</x:v>
      </x:c>
      <x:c r="B959" s="5" t="n">
        <x:v>45562</x:v>
      </x:c>
      <x:c r="C959" s="3" t="str">
        <x:v>CUST-00434</x:v>
      </x:c>
      <x:c r="D959" s="3" t="str">
        <x:v>South</x:v>
      </x:c>
      <x:c r="E959" s="3" t="str">
        <x:v>Sports</x:v>
      </x:c>
      <x:c r="F959" s="3" t="str">
        <x:v>Fitness</x:v>
      </x:c>
      <x:c r="G959" s="3" t="str">
        <x:v>ProYoga Mat</x:v>
      </x:c>
      <x:c r="H959" s="3" t="n">
        <x:v>1</x:v>
      </x:c>
      <x:c r="I959" s="7" t="n">
        <x:v>1295.92</x:v>
      </x:c>
      <x:c r="J959" s="9" t="n">
        <x:v>0.2</x:v>
      </x:c>
      <x:c r="K959" s="7" t="n">
        <x:v>1036.74</x:v>
      </x:c>
      <x:c r="L959" s="7" t="n">
        <x:v>151.05</x:v>
      </x:c>
      <x:c r="M959" s="3" t="str">
        <x:v>Credit Card</x:v>
      </x:c>
      <x:c r="N959" s="3"/>
      <x:c r="O959" s="3"/>
      <x:c r="P959" s="3"/>
      <x:c r="Q959" s="3"/>
    </x:row>
    <x:row r="960" ht="21" customHeight="1">
      <x:c r="A960" s="3" t="str">
        <x:v>ORD-101749</x:v>
      </x:c>
      <x:c r="B960" s="5" t="n">
        <x:v>45562</x:v>
      </x:c>
      <x:c r="C960" s="3" t="str">
        <x:v>CUST-00573</x:v>
      </x:c>
      <x:c r="D960" s="3" t="str">
        <x:v>South</x:v>
      </x:c>
      <x:c r="E960" s="3" t="str">
        <x:v>Beauty</x:v>
      </x:c>
      <x:c r="F960" s="3" t="str">
        <x:v>Skincare</x:v>
      </x:c>
      <x:c r="G960" s="3" t="str">
        <x:v>HydraBoost Moisturizer</x:v>
      </x:c>
      <x:c r="H960" s="3" t="n">
        <x:v>1</x:v>
      </x:c>
      <x:c r="I960" s="7" t="n">
        <x:v>1205.44</x:v>
      </x:c>
      <x:c r="J960" s="9" t="n">
        <x:v>0.2</x:v>
      </x:c>
      <x:c r="K960" s="7" t="n">
        <x:v>964.35</x:v>
      </x:c>
      <x:c r="L960" s="7" t="n">
        <x:v>285.05</x:v>
      </x:c>
      <x:c r="M960" s="3" t="str">
        <x:v>Credit Card</x:v>
      </x:c>
      <x:c r="N960" s="3"/>
      <x:c r="O960" s="3"/>
      <x:c r="P960" s="3"/>
      <x:c r="Q960" s="3"/>
    </x:row>
    <x:row r="961" ht="21" customHeight="1">
      <x:c r="A961" s="3" t="str">
        <x:v>ORD-100020</x:v>
      </x:c>
      <x:c r="B961" s="5" t="n">
        <x:v>45563</x:v>
      </x:c>
      <x:c r="C961" s="3" t="str">
        <x:v>CUST-00308</x:v>
      </x:c>
      <x:c r="D961" s="3" t="str">
        <x:v>East</x:v>
      </x:c>
      <x:c r="E961" s="3" t="str">
        <x:v>Beauty</x:v>
      </x:c>
      <x:c r="F961" s="3" t="str">
        <x:v>Skincare</x:v>
      </x:c>
      <x:c r="G961" s="3" t="str">
        <x:v>HydraBoost Moisturizer</x:v>
      </x:c>
      <x:c r="H961" s="3" t="n">
        <x:v>2</x:v>
      </x:c>
      <x:c r="I961" s="7" t="n">
        <x:v>1176.98</x:v>
      </x:c>
      <x:c r="J961" s="9" t="n">
        <x:v>0.1</x:v>
      </x:c>
      <x:c r="K961" s="7" t="n">
        <x:v>2118.56</x:v>
      </x:c>
      <x:c r="L961" s="7" t="n">
        <x:v>881.03</x:v>
      </x:c>
      <x:c r="M961" s="3" t="str">
        <x:v>UPI</x:v>
      </x:c>
      <x:c r="N961" s="3"/>
      <x:c r="O961" s="3"/>
      <x:c r="P961" s="3"/>
      <x:c r="Q961" s="3"/>
    </x:row>
    <x:row r="962" ht="21" customHeight="1">
      <x:c r="A962" s="3" t="str">
        <x:v>ORD-100247</x:v>
      </x:c>
      <x:c r="B962" s="5" t="n">
        <x:v>45563</x:v>
      </x:c>
      <x:c r="C962" s="3" t="str">
        <x:v>CUST-00305</x:v>
      </x:c>
      <x:c r="D962" s="3" t="str">
        <x:v>South</x:v>
      </x:c>
      <x:c r="E962" s="3" t="str">
        <x:v>Beauty</x:v>
      </x:c>
      <x:c r="F962" s="3" t="str">
        <x:v>Makeup</x:v>
      </x:c>
      <x:c r="G962" s="3" t="str">
        <x:v>Matte Lipstick Set</x:v>
      </x:c>
      <x:c r="H962" s="3" t="n">
        <x:v>1</x:v>
      </x:c>
      <x:c r="I962" s="7" t="n">
        <x:v>1046.39</x:v>
      </x:c>
      <x:c r="J962" s="9" t="n">
        <x:v>0.05</x:v>
      </x:c>
      <x:c r="K962" s="7" t="n">
        <x:v>994.07</x:v>
      </x:c>
      <x:c r="L962" s="7" t="n">
        <x:v>482.36</x:v>
      </x:c>
      <x:c r="M962" s="3" t="str">
        <x:v>Net Banking</x:v>
      </x:c>
      <x:c r="N962" s="3"/>
      <x:c r="O962" s="3"/>
      <x:c r="P962" s="3"/>
      <x:c r="Q962" s="3"/>
    </x:row>
    <x:row r="963" ht="21" customHeight="1">
      <x:c r="A963" s="3" t="str">
        <x:v>ORD-100249</x:v>
      </x:c>
      <x:c r="B963" s="5" t="n">
        <x:v>45563</x:v>
      </x:c>
      <x:c r="C963" s="3" t="str">
        <x:v>CUST-00558</x:v>
      </x:c>
      <x:c r="D963" s="3" t="str">
        <x:v>South</x:v>
      </x:c>
      <x:c r="E963" s="3" t="str">
        <x:v>Fashion</x:v>
      </x:c>
      <x:c r="F963" s="3" t="str">
        <x:v>Men</x:v>
      </x:c>
      <x:c r="G963" s="3" t="str">
        <x:v>Oxford Casual Shirt</x:v>
      </x:c>
      <x:c r="H963" s="3" t="n">
        <x:v>5</x:v>
      </x:c>
      <x:c r="I963" s="7" t="n">
        <x:v>1249.05</x:v>
      </x:c>
      <x:c r="J963" s="9" t="n">
        <x:v>0.05</x:v>
      </x:c>
      <x:c r="K963" s="7" t="n">
        <x:v>5932.99</x:v>
      </x:c>
      <x:c r="L963" s="7" t="n">
        <x:v>2285.92</x:v>
      </x:c>
      <x:c r="M963" s="3" t="str">
        <x:v>Net Banking</x:v>
      </x:c>
      <x:c r="N963" s="3"/>
      <x:c r="O963" s="3"/>
      <x:c r="P963" s="3"/>
      <x:c r="Q963" s="3"/>
    </x:row>
    <x:row r="964" ht="21" customHeight="1">
      <x:c r="A964" s="3" t="str">
        <x:v>ORD-100531</x:v>
      </x:c>
      <x:c r="B964" s="5" t="n">
        <x:v>45564</x:v>
      </x:c>
      <x:c r="C964" s="3" t="str">
        <x:v>CUST-00507</x:v>
      </x:c>
      <x:c r="D964" s="3" t="str">
        <x:v>West</x:v>
      </x:c>
      <x:c r="E964" s="3" t="str">
        <x:v>Fashion</x:v>
      </x:c>
      <x:c r="F964" s="3" t="str">
        <x:v>Footwear</x:v>
      </x:c>
      <x:c r="G964" s="3" t="str">
        <x:v>RunFlex Sneakers</x:v>
      </x:c>
      <x:c r="H964" s="3" t="n">
        <x:v>1</x:v>
      </x:c>
      <x:c r="I964" s="7" t="n">
        <x:v>3080.98</x:v>
      </x:c>
      <x:c r="J964" s="9" t="n">
        <x:v>0.1</x:v>
      </x:c>
      <x:c r="K964" s="7" t="n">
        <x:v>2772.88</x:v>
      </x:c>
      <x:c r="L964" s="7" t="n">
        <x:v>940.74</x:v>
      </x:c>
      <x:c r="M964" s="3" t="str">
        <x:v>Credit Card</x:v>
      </x:c>
      <x:c r="N964" s="3"/>
      <x:c r="O964" s="3"/>
      <x:c r="P964" s="3"/>
      <x:c r="Q964" s="3"/>
    </x:row>
    <x:row r="965" ht="21" customHeight="1">
      <x:c r="A965" s="3" t="str">
        <x:v>ORD-100695</x:v>
      </x:c>
      <x:c r="B965" s="5" t="n">
        <x:v>45564</x:v>
      </x:c>
      <x:c r="C965" s="3" t="str">
        <x:v>CUST-00501</x:v>
      </x:c>
      <x:c r="D965" s="3" t="str">
        <x:v>West</x:v>
      </x:c>
      <x:c r="E965" s="3" t="str">
        <x:v>Electronics</x:v>
      </x:c>
      <x:c r="F965" s="3" t="str">
        <x:v>Mobile</x:v>
      </x:c>
      <x:c r="G965" s="3" t="str">
        <x:v>Pixel Aura 12</x:v>
      </x:c>
      <x:c r="H965" s="3" t="n">
        <x:v>1</x:v>
      </x:c>
      <x:c r="I965" s="7" t="n">
        <x:v>31453.35</x:v>
      </x:c>
      <x:c r="J965" s="9" t="n">
        <x:v>0.05</x:v>
      </x:c>
      <x:c r="K965" s="7" t="n">
        <x:v>29880.68</x:v>
      </x:c>
      <x:c r="L965" s="7" t="n">
        <x:v>4057.69</x:v>
      </x:c>
      <x:c r="M965" s="3" t="str">
        <x:v>Cash on Delivery</x:v>
      </x:c>
      <x:c r="N965" s="3"/>
      <x:c r="O965" s="3"/>
      <x:c r="P965" s="3"/>
      <x:c r="Q965" s="3"/>
    </x:row>
    <x:row r="966" ht="21" customHeight="1">
      <x:c r="A966" s="3" t="str">
        <x:v>ORD-100780</x:v>
      </x:c>
      <x:c r="B966" s="5" t="n">
        <x:v>45564</x:v>
      </x:c>
      <x:c r="C966" s="3" t="str">
        <x:v>CUST-00545</x:v>
      </x:c>
      <x:c r="D966" s="3" t="str">
        <x:v>North</x:v>
      </x:c>
      <x:c r="E966" s="3" t="str">
        <x:v>Beauty</x:v>
      </x:c>
      <x:c r="F966" s="3" t="str">
        <x:v>Makeup</x:v>
      </x:c>
      <x:c r="G966" s="3" t="str">
        <x:v>HD Foundation Kit</x:v>
      </x:c>
      <x:c r="H966" s="3" t="n">
        <x:v>1</x:v>
      </x:c>
      <x:c r="I966" s="7" t="n">
        <x:v>1461.37</x:v>
      </x:c>
      <x:c r="J966" s="9" t="n">
        <x:v>0</x:v>
      </x:c>
      <x:c r="K966" s="7" t="n">
        <x:v>1461.37</x:v>
      </x:c>
      <x:c r="L966" s="7" t="n">
        <x:v>758.29</x:v>
      </x:c>
      <x:c r="M966" s="3" t="str">
        <x:v>Net Banking</x:v>
      </x:c>
      <x:c r="N966" s="3"/>
      <x:c r="O966" s="3"/>
      <x:c r="P966" s="3"/>
      <x:c r="Q966" s="3"/>
    </x:row>
    <x:row r="967" ht="21" customHeight="1">
      <x:c r="A967" s="3" t="str">
        <x:v>ORD-101054</x:v>
      </x:c>
      <x:c r="B967" s="5" t="n">
        <x:v>45564</x:v>
      </x:c>
      <x:c r="C967" s="3" t="str">
        <x:v>CUST-00399</x:v>
      </x:c>
      <x:c r="D967" s="3" t="str">
        <x:v>South</x:v>
      </x:c>
      <x:c r="E967" s="3" t="str">
        <x:v>Electronics</x:v>
      </x:c>
      <x:c r="F967" s="3" t="str">
        <x:v>Laptop</x:v>
      </x:c>
      <x:c r="G967" s="3" t="str">
        <x:v>ThinkPro 14</x:v>
      </x:c>
      <x:c r="H967" s="3" t="n">
        <x:v>1</x:v>
      </x:c>
      <x:c r="I967" s="7" t="n">
        <x:v>54018.12</x:v>
      </x:c>
      <x:c r="J967" s="9" t="n">
        <x:v>0</x:v>
      </x:c>
      <x:c r="K967" s="7" t="n">
        <x:v>54018.12</x:v>
      </x:c>
      <x:c r="L967" s="7" t="n">
        <x:v>9849.6</x:v>
      </x:c>
      <x:c r="M967" s="3" t="str">
        <x:v>Net Banking</x:v>
      </x:c>
      <x:c r="N967" s="3"/>
      <x:c r="O967" s="3"/>
      <x:c r="P967" s="3"/>
      <x:c r="Q967" s="3"/>
    </x:row>
    <x:row r="968" ht="21" customHeight="1">
      <x:c r="A968" s="3" t="str">
        <x:v>ORD-101320</x:v>
      </x:c>
      <x:c r="B968" s="5" t="n">
        <x:v>45564</x:v>
      </x:c>
      <x:c r="C968" s="3" t="str">
        <x:v>CUST-00320</x:v>
      </x:c>
      <x:c r="D968" s="3" t="str">
        <x:v>West</x:v>
      </x:c>
      <x:c r="E968" s="3" t="str">
        <x:v>Beauty</x:v>
      </x:c>
      <x:c r="F968" s="3" t="str">
        <x:v>Makeup</x:v>
      </x:c>
      <x:c r="G968" s="3" t="str">
        <x:v>HD Foundation Kit</x:v>
      </x:c>
      <x:c r="H968" s="3" t="n">
        <x:v>3</x:v>
      </x:c>
      <x:c r="I968" s="7" t="n">
        <x:v>1506.02</x:v>
      </x:c>
      <x:c r="J968" s="9" t="n">
        <x:v>0.05</x:v>
      </x:c>
      <x:c r="K968" s="7" t="n">
        <x:v>4292.16</x:v>
      </x:c>
      <x:c r="L968" s="7" t="n">
        <x:v>2189.55</x:v>
      </x:c>
      <x:c r="M968" s="3" t="str">
        <x:v>Credit Card</x:v>
      </x:c>
      <x:c r="N968" s="3"/>
      <x:c r="O968" s="3"/>
      <x:c r="P968" s="3"/>
      <x:c r="Q968" s="3"/>
    </x:row>
    <x:row r="969" ht="21" customHeight="1">
      <x:c r="A969" s="3" t="str">
        <x:v>ORD-101423</x:v>
      </x:c>
      <x:c r="B969" s="5" t="n">
        <x:v>45564</x:v>
      </x:c>
      <x:c r="C969" s="3" t="str">
        <x:v>CUST-00126</x:v>
      </x:c>
      <x:c r="D969" s="3" t="str">
        <x:v>East</x:v>
      </x:c>
      <x:c r="E969" s="3" t="str">
        <x:v>Electronics</x:v>
      </x:c>
      <x:c r="F969" s="3" t="str">
        <x:v>Mobile</x:v>
      </x:c>
      <x:c r="G969" s="3" t="str">
        <x:v>Galaxy Nova X5</x:v>
      </x:c>
      <x:c r="H969" s="3" t="n">
        <x:v>1</x:v>
      </x:c>
      <x:c r="I969" s="7" t="n">
        <x:v>24090.81</x:v>
      </x:c>
      <x:c r="J969" s="9" t="n">
        <x:v>0.4</x:v>
      </x:c>
      <x:c r="K969" s="7" t="n">
        <x:v>14454.49</x:v>
      </x:c>
      <x:c r="L969" s="7" t="n">
        <x:v>-4199.96</x:v>
      </x:c>
      <x:c r="M969" s="3" t="str">
        <x:v>Cash on Delivery</x:v>
      </x:c>
      <x:c r="N969" s="3"/>
      <x:c r="O969" s="3"/>
      <x:c r="P969" s="3"/>
      <x:c r="Q969" s="3"/>
    </x:row>
    <x:row r="970" ht="21" customHeight="1">
      <x:c r="A970" s="3" t="str">
        <x:v>ORD-101661</x:v>
      </x:c>
      <x:c r="B970" s="5" t="n">
        <x:v>45564</x:v>
      </x:c>
      <x:c r="C970" s="3" t="str">
        <x:v>CUST-00129</x:v>
      </x:c>
      <x:c r="D970" s="3" t="str">
        <x:v>North</x:v>
      </x:c>
      <x:c r="E970" s="3" t="str">
        <x:v>Beauty</x:v>
      </x:c>
      <x:c r="F970" s="3" t="str">
        <x:v>Skincare</x:v>
      </x:c>
      <x:c r="G970" s="3" t="str">
        <x:v>Vitamin C Serum</x:v>
      </x:c>
      <x:c r="H970" s="3" t="n">
        <x:v>5</x:v>
      </x:c>
      <x:c r="I970" s="7" t="n">
        <x:v>893.36</x:v>
      </x:c>
      <x:c r="J970" s="9" t="n">
        <x:v>0.05</x:v>
      </x:c>
      <x:c r="K970" s="7" t="n">
        <x:v>4243.46</x:v>
      </x:c>
      <x:c r="L970" s="7" t="n">
        <x:v>2189.62</x:v>
      </x:c>
      <x:c r="M970" s="3" t="str">
        <x:v>Debit Card</x:v>
      </x:c>
      <x:c r="N970" s="3"/>
      <x:c r="O970" s="3"/>
      <x:c r="P970" s="3"/>
      <x:c r="Q970" s="3"/>
    </x:row>
    <x:row r="971" ht="21" customHeight="1">
      <x:c r="A971" s="3" t="str">
        <x:v>ORD-100091</x:v>
      </x:c>
      <x:c r="B971" s="5" t="n">
        <x:v>45565</x:v>
      </x:c>
      <x:c r="C971" s="3" t="str">
        <x:v>CUST-00280</x:v>
      </x:c>
      <x:c r="D971" s="3" t="str">
        <x:v>East</x:v>
      </x:c>
      <x:c r="E971" s="3" t="str">
        <x:v>Beauty</x:v>
      </x:c>
      <x:c r="F971" s="3" t="str">
        <x:v>Skincare</x:v>
      </x:c>
      <x:c r="G971" s="3" t="str">
        <x:v>HydraBoost Moisturizer</x:v>
      </x:c>
      <x:c r="H971" s="3" t="n">
        <x:v>3</x:v>
      </x:c>
      <x:c r="I971" s="7" t="n">
        <x:v>1237.18</x:v>
      </x:c>
      <x:c r="J971" s="9" t="n">
        <x:v>0.3</x:v>
      </x:c>
      <x:c r="K971" s="7" t="n">
        <x:v>2598.08</x:v>
      </x:c>
      <x:c r="L971" s="7" t="n">
        <x:v>556.21</x:v>
      </x:c>
      <x:c r="M971" s="3" t="str">
        <x:v>UPI</x:v>
      </x:c>
      <x:c r="N971" s="3"/>
      <x:c r="O971" s="3"/>
      <x:c r="P971" s="3"/>
      <x:c r="Q971" s="3"/>
    </x:row>
    <x:row r="972" ht="21" customHeight="1">
      <x:c r="A972" s="3" t="str">
        <x:v>ORD-101346</x:v>
      </x:c>
      <x:c r="B972" s="5" t="n">
        <x:v>45565</x:v>
      </x:c>
      <x:c r="C972" s="3" t="str">
        <x:v>CUST-00235</x:v>
      </x:c>
      <x:c r="D972" s="3" t="str">
        <x:v>East</x:v>
      </x:c>
      <x:c r="E972" s="3" t="str">
        <x:v>Fashion</x:v>
      </x:c>
      <x:c r="F972" s="3" t="str">
        <x:v>Men</x:v>
      </x:c>
      <x:c r="G972" s="3" t="str">
        <x:v>Oxford Casual Shirt</x:v>
      </x:c>
      <x:c r="H972" s="3" t="n">
        <x:v>1</x:v>
      </x:c>
      <x:c r="I972" s="7" t="n">
        <x:v>1238.36</x:v>
      </x:c>
      <x:c r="J972" s="9" t="n">
        <x:v>0.1</x:v>
      </x:c>
      <x:c r="K972" s="7" t="n">
        <x:v>1114.52</x:v>
      </x:c>
      <x:c r="L972" s="7" t="n">
        <x:v>349.64</x:v>
      </x:c>
      <x:c r="M972" s="3" t="str">
        <x:v>UPI</x:v>
      </x:c>
      <x:c r="N972" s="3"/>
      <x:c r="O972" s="3"/>
      <x:c r="P972" s="3"/>
      <x:c r="Q972" s="3"/>
    </x:row>
    <x:row r="973" ht="21" customHeight="1">
      <x:c r="A973" s="3" t="str">
        <x:v>ORD-100166</x:v>
      </x:c>
      <x:c r="B973" s="5" t="n">
        <x:v>45566</x:v>
      </x:c>
      <x:c r="C973" s="3" t="str">
        <x:v>CUST-00041</x:v>
      </x:c>
      <x:c r="D973" s="3" t="str">
        <x:v>East</x:v>
      </x:c>
      <x:c r="E973" s="3" t="str">
        <x:v>Home &amp; Kitchen</x:v>
      </x:c>
      <x:c r="F973" s="3" t="str">
        <x:v>Furniture</x:v>
      </x:c>
      <x:c r="G973" s="3" t="str">
        <x:v>ErgoComfort Chair</x:v>
      </x:c>
      <x:c r="H973" s="3" t="n">
        <x:v>2</x:v>
      </x:c>
      <x:c r="I973" s="7" t="n">
        <x:v>9311.39</x:v>
      </x:c>
      <x:c r="J973" s="9" t="n">
        <x:v>0.25</x:v>
      </x:c>
      <x:c r="K973" s="7" t="n">
        <x:v>13967.08</x:v>
      </x:c>
      <x:c r="L973" s="7" t="n">
        <x:v>138.23</x:v>
      </x:c>
      <x:c r="M973" s="3" t="str">
        <x:v>UPI</x:v>
      </x:c>
      <x:c r="N973" s="3"/>
      <x:c r="O973" s="3"/>
      <x:c r="P973" s="3"/>
      <x:c r="Q973" s="3"/>
    </x:row>
    <x:row r="974" ht="21" customHeight="1">
      <x:c r="A974" s="3" t="str">
        <x:v>ORD-100781</x:v>
      </x:c>
      <x:c r="B974" s="5" t="n">
        <x:v>45566</x:v>
      </x:c>
      <x:c r="C974" s="3" t="str">
        <x:v>CUST-00176</x:v>
      </x:c>
      <x:c r="D974" s="3" t="str">
        <x:v>North</x:v>
      </x:c>
      <x:c r="E974" s="3" t="str">
        <x:v>Electronics</x:v>
      </x:c>
      <x:c r="F974" s="3" t="str">
        <x:v>Laptop</x:v>
      </x:c>
      <x:c r="G974" s="3" t="str">
        <x:v>ThinkPro 14</x:v>
      </x:c>
      <x:c r="H974" s="3" t="n">
        <x:v>3</x:v>
      </x:c>
      <x:c r="I974" s="7" t="n">
        <x:v>54474.09</x:v>
      </x:c>
      <x:c r="J974" s="9" t="n">
        <x:v>0.1</x:v>
      </x:c>
      <x:c r="K974" s="7" t="n">
        <x:v>147080.04</x:v>
      </x:c>
      <x:c r="L974" s="7" t="n">
        <x:v>8299.85</x:v>
      </x:c>
      <x:c r="M974" s="3" t="str">
        <x:v>Debit Card</x:v>
      </x:c>
      <x:c r="N974" s="3"/>
      <x:c r="O974" s="3"/>
      <x:c r="P974" s="3"/>
      <x:c r="Q974" s="3"/>
    </x:row>
    <x:row r="975" ht="21" customHeight="1">
      <x:c r="A975" s="3" t="str">
        <x:v>ORD-101254</x:v>
      </x:c>
      <x:c r="B975" s="5" t="n">
        <x:v>45566</x:v>
      </x:c>
      <x:c r="C975" s="3" t="str">
        <x:v>CUST-00537</x:v>
      </x:c>
      <x:c r="D975" s="3" t="str">
        <x:v>East</x:v>
      </x:c>
      <x:c r="E975" s="3" t="str">
        <x:v>Sports</x:v>
      </x:c>
      <x:c r="F975" s="3" t="str">
        <x:v>Fitness</x:v>
      </x:c>
      <x:c r="G975" s="3" t="str">
        <x:v>ProYoga Mat</x:v>
      </x:c>
      <x:c r="H975" s="3" t="n">
        <x:v>2</x:v>
      </x:c>
      <x:c r="I975" s="7" t="n">
        <x:v>1350.93</x:v>
      </x:c>
      <x:c r="J975" s="9" t="n">
        <x:v>0</x:v>
      </x:c>
      <x:c r="K975" s="7" t="n">
        <x:v>2701.86</x:v>
      </x:c>
      <x:c r="L975" s="7" t="n">
        <x:v>956.65</x:v>
      </x:c>
      <x:c r="M975" s="3" t="str">
        <x:v>Net Banking</x:v>
      </x:c>
      <x:c r="N975" s="3"/>
      <x:c r="O975" s="3"/>
      <x:c r="P975" s="3"/>
      <x:c r="Q975" s="3"/>
    </x:row>
    <x:row r="976" ht="21" customHeight="1">
      <x:c r="A976" s="3" t="str">
        <x:v>ORD-101652</x:v>
      </x:c>
      <x:c r="B976" s="5" t="n">
        <x:v>45566</x:v>
      </x:c>
      <x:c r="C976" s="3" t="str">
        <x:v>CUST-00580</x:v>
      </x:c>
      <x:c r="D976" s="3" t="str">
        <x:v>West</x:v>
      </x:c>
      <x:c r="E976" s="3" t="str">
        <x:v>Sports</x:v>
      </x:c>
      <x:c r="F976" s="3" t="str">
        <x:v>Fitness</x:v>
      </x:c>
      <x:c r="G976" s="3" t="str">
        <x:v>ProYoga Mat</x:v>
      </x:c>
      <x:c r="H976" s="3" t="n">
        <x:v>1</x:v>
      </x:c>
      <x:c r="I976" s="7" t="n">
        <x:v>1282.33</x:v>
      </x:c>
      <x:c r="J976" s="9" t="n">
        <x:v>0.05</x:v>
      </x:c>
      <x:c r="K976" s="7" t="n">
        <x:v>1218.21</x:v>
      </x:c>
      <x:c r="L976" s="7" t="n">
        <x:v>359.74</x:v>
      </x:c>
      <x:c r="M976" s="3" t="str">
        <x:v>UPI</x:v>
      </x:c>
      <x:c r="N976" s="3"/>
      <x:c r="O976" s="3"/>
      <x:c r="P976" s="3"/>
      <x:c r="Q976" s="3"/>
    </x:row>
    <x:row r="977" ht="21" customHeight="1">
      <x:c r="A977" s="3" t="str">
        <x:v>ORD-100219</x:v>
      </x:c>
      <x:c r="B977" s="5" t="n">
        <x:v>45567</x:v>
      </x:c>
      <x:c r="C977" s="3" t="str">
        <x:v>CUST-00121</x:v>
      </x:c>
      <x:c r="D977" s="3" t="str">
        <x:v>North</x:v>
      </x:c>
      <x:c r="E977" s="3" t="str">
        <x:v>Electronics</x:v>
      </x:c>
      <x:c r="F977" s="3" t="str">
        <x:v>Mobile</x:v>
      </x:c>
      <x:c r="G977" s="3" t="str">
        <x:v>Pixel Aura 12</x:v>
      </x:c>
      <x:c r="H977" s="3" t="n">
        <x:v>4</x:v>
      </x:c>
      <x:c r="I977" s="7" t="n">
        <x:v>33932.83</x:v>
      </x:c>
      <x:c r="J977" s="9" t="n">
        <x:v>0.1</x:v>
      </x:c>
      <x:c r="K977" s="7" t="n">
        <x:v>122158.19</x:v>
      </x:c>
      <x:c r="L977" s="7" t="n">
        <x:v>10097.75</x:v>
      </x:c>
      <x:c r="M977" s="3" t="str">
        <x:v>UPI</x:v>
      </x:c>
      <x:c r="N977" s="3"/>
      <x:c r="O977" s="3"/>
      <x:c r="P977" s="3"/>
      <x:c r="Q977" s="3"/>
    </x:row>
    <x:row r="978" ht="21" customHeight="1">
      <x:c r="A978" s="3" t="str">
        <x:v>ORD-100250</x:v>
      </x:c>
      <x:c r="B978" s="5" t="n">
        <x:v>45567</x:v>
      </x:c>
      <x:c r="C978" s="3" t="str">
        <x:v>CUST-00155</x:v>
      </x:c>
      <x:c r="D978" s="3" t="str">
        <x:v>South</x:v>
      </x:c>
      <x:c r="E978" s="3" t="str">
        <x:v>Sports</x:v>
      </x:c>
      <x:c r="F978" s="3" t="str">
        <x:v>Fitness</x:v>
      </x:c>
      <x:c r="G978" s="3" t="str">
        <x:v>Adjustable Dumbbell 24kg</x:v>
      </x:c>
      <x:c r="H978" s="3" t="n">
        <x:v>3</x:v>
      </x:c>
      <x:c r="I978" s="7" t="n">
        <x:v>9944.78</x:v>
      </x:c>
      <x:c r="J978" s="9" t="n">
        <x:v>0.05</x:v>
      </x:c>
      <x:c r="K978" s="7" t="n">
        <x:v>28342.62</x:v>
      </x:c>
      <x:c r="L978" s="7" t="n">
        <x:v>8603.79</x:v>
      </x:c>
      <x:c r="M978" s="3" t="str">
        <x:v>UPI</x:v>
      </x:c>
      <x:c r="N978" s="3"/>
      <x:c r="O978" s="3"/>
      <x:c r="P978" s="3"/>
      <x:c r="Q978" s="3"/>
    </x:row>
    <x:row r="979" ht="21" customHeight="1">
      <x:c r="A979" s="3" t="str">
        <x:v>ORD-100541</x:v>
      </x:c>
      <x:c r="B979" s="5" t="n">
        <x:v>45567</x:v>
      </x:c>
      <x:c r="C979" s="3" t="str">
        <x:v>CUST-00006</x:v>
      </x:c>
      <x:c r="D979" s="3" t="str">
        <x:v>East</x:v>
      </x:c>
      <x:c r="E979" s="3" t="str">
        <x:v>Sports</x:v>
      </x:c>
      <x:c r="F979" s="3" t="str">
        <x:v>Outdoor</x:v>
      </x:c>
      <x:c r="G979" s="3" t="str">
        <x:v>TrailHike Backpack 60L</x:v>
      </x:c>
      <x:c r="H979" s="3" t="n">
        <x:v>3</x:v>
      </x:c>
      <x:c r="I979" s="7" t="n">
        <x:v>3352.41</x:v>
      </x:c>
      <x:c r="J979" s="9" t="n">
        <x:v>0</x:v>
      </x:c>
      <x:c r="K979" s="7" t="n">
        <x:v>10057.23</x:v>
      </x:c>
      <x:c r="L979" s="7" t="n">
        <x:v>4087.82</x:v>
      </x:c>
      <x:c r="M979" s="3" t="str">
        <x:v>Credit Card</x:v>
      </x:c>
      <x:c r="N979" s="3"/>
      <x:c r="O979" s="3"/>
      <x:c r="P979" s="3"/>
      <x:c r="Q979" s="3"/>
    </x:row>
    <x:row r="980" ht="21" customHeight="1">
      <x:c r="A980" s="3" t="str">
        <x:v>ORD-100836</x:v>
      </x:c>
      <x:c r="B980" s="5" t="n">
        <x:v>45567</x:v>
      </x:c>
      <x:c r="C980" s="3" t="str">
        <x:v>CUST-00590</x:v>
      </x:c>
      <x:c r="D980" s="3" t="str">
        <x:v>South</x:v>
      </x:c>
      <x:c r="E980" s="3" t="str">
        <x:v>Beauty</x:v>
      </x:c>
      <x:c r="F980" s="3" t="str">
        <x:v>Makeup</x:v>
      </x:c>
      <x:c r="G980" s="3" t="str">
        <x:v>Matte Lipstick Set</x:v>
      </x:c>
      <x:c r="H980" s="3" t="n">
        <x:v>3</x:v>
      </x:c>
      <x:c r="I980" s="7" t="n">
        <x:v>954.19</x:v>
      </x:c>
      <x:c r="J980" s="9" t="n">
        <x:v>0.1</x:v>
      </x:c>
      <x:c r="K980" s="7" t="n">
        <x:v>2576.31</x:v>
      </x:c>
      <x:c r="L980" s="7" t="n">
        <x:v>1114.99</x:v>
      </x:c>
      <x:c r="M980" s="3" t="str">
        <x:v>Credit Card</x:v>
      </x:c>
      <x:c r="N980" s="3"/>
      <x:c r="O980" s="3"/>
      <x:c r="P980" s="3"/>
      <x:c r="Q980" s="3"/>
    </x:row>
    <x:row r="981" ht="21" customHeight="1">
      <x:c r="A981" s="3" t="str">
        <x:v>ORD-100941</x:v>
      </x:c>
      <x:c r="B981" s="5" t="n">
        <x:v>45567</x:v>
      </x:c>
      <x:c r="C981" s="3" t="str">
        <x:v>CUST-00270</x:v>
      </x:c>
      <x:c r="D981" s="3" t="str">
        <x:v>East</x:v>
      </x:c>
      <x:c r="E981" s="3" t="str">
        <x:v>Sports</x:v>
      </x:c>
      <x:c r="F981" s="3" t="str">
        <x:v>Fitness</x:v>
      </x:c>
      <x:c r="G981" s="3" t="str">
        <x:v>ProYoga Mat</x:v>
      </x:c>
      <x:c r="H981" s="3" t="n">
        <x:v>2</x:v>
      </x:c>
      <x:c r="I981" s="7" t="n">
        <x:v>1358.33</x:v>
      </x:c>
      <x:c r="J981" s="9" t="n">
        <x:v>0</x:v>
      </x:c>
      <x:c r="K981" s="7" t="n">
        <x:v>2716.66</x:v>
      </x:c>
      <x:c r="L981" s="7" t="n">
        <x:v>1136.9</x:v>
      </x:c>
      <x:c r="M981" s="3" t="str">
        <x:v>Debit Card</x:v>
      </x:c>
      <x:c r="N981" s="3"/>
      <x:c r="O981" s="3"/>
      <x:c r="P981" s="3"/>
      <x:c r="Q981" s="3"/>
    </x:row>
    <x:row r="982" ht="21" customHeight="1">
      <x:c r="A982" s="3" t="str">
        <x:v>ORD-101876</x:v>
      </x:c>
      <x:c r="B982" s="5" t="n">
        <x:v>45567</x:v>
      </x:c>
      <x:c r="C982" s="3" t="str">
        <x:v>CUST-00511</x:v>
      </x:c>
      <x:c r="D982" s="3" t="str">
        <x:v>East</x:v>
      </x:c>
      <x:c r="E982" s="3" t="str">
        <x:v>Electronics</x:v>
      </x:c>
      <x:c r="F982" s="3" t="str">
        <x:v>Audio</x:v>
      </x:c>
      <x:c r="G982" s="3" t="str">
        <x:v>BassBoom Speaker</x:v>
      </x:c>
      <x:c r="H982" s="3" t="n">
        <x:v>1</x:v>
      </x:c>
      <x:c r="I982" s="7" t="n">
        <x:v>9103.36</x:v>
      </x:c>
      <x:c r="J982" s="9" t="n">
        <x:v>0.15</x:v>
      </x:c>
      <x:c r="K982" s="7" t="n">
        <x:v>7737.86</x:v>
      </x:c>
      <x:c r="L982" s="7" t="n">
        <x:v>-151.98</x:v>
      </x:c>
      <x:c r="M982" s="3" t="str">
        <x:v>UPI</x:v>
      </x:c>
      <x:c r="N982" s="3"/>
      <x:c r="O982" s="3"/>
      <x:c r="P982" s="3"/>
      <x:c r="Q982" s="3"/>
    </x:row>
    <x:row r="983" ht="21" customHeight="1">
      <x:c r="A983" s="3" t="str">
        <x:v>ORD-101306</x:v>
      </x:c>
      <x:c r="B983" s="5" t="n">
        <x:v>45568</x:v>
      </x:c>
      <x:c r="C983" s="3" t="str">
        <x:v>CUST-00323</x:v>
      </x:c>
      <x:c r="D983" s="3" t="str">
        <x:v>East</x:v>
      </x:c>
      <x:c r="E983" s="3" t="str">
        <x:v>Sports</x:v>
      </x:c>
      <x:c r="F983" s="3" t="str">
        <x:v>Fitness</x:v>
      </x:c>
      <x:c r="G983" s="3" t="str">
        <x:v>Adjustable Dumbbell 24kg</x:v>
      </x:c>
      <x:c r="H983" s="3" t="n">
        <x:v>1</x:v>
      </x:c>
      <x:c r="I983" s="7" t="n">
        <x:v>9761.72</x:v>
      </x:c>
      <x:c r="J983" s="9" t="n">
        <x:v>0.15</x:v>
      </x:c>
      <x:c r="K983" s="7" t="n">
        <x:v>8297.46</x:v>
      </x:c>
      <x:c r="L983" s="7" t="n">
        <x:v>1546.45</x:v>
      </x:c>
      <x:c r="M983" s="3" t="str">
        <x:v>Credit Card</x:v>
      </x:c>
      <x:c r="N983" s="3"/>
      <x:c r="O983" s="3"/>
      <x:c r="P983" s="3"/>
      <x:c r="Q983" s="3"/>
    </x:row>
    <x:row r="984" ht="21" customHeight="1">
      <x:c r="A984" s="3" t="str">
        <x:v>ORD-101316</x:v>
      </x:c>
      <x:c r="B984" s="5" t="n">
        <x:v>45568</x:v>
      </x:c>
      <x:c r="C984" s="3" t="str">
        <x:v>CUST-00434</x:v>
      </x:c>
      <x:c r="D984" s="3" t="str">
        <x:v>South</x:v>
      </x:c>
      <x:c r="E984" s="3" t="str">
        <x:v>Beauty</x:v>
      </x:c>
      <x:c r="F984" s="3" t="str">
        <x:v>Makeup</x:v>
      </x:c>
      <x:c r="G984" s="3" t="str">
        <x:v>Matte Lipstick Set</x:v>
      </x:c>
      <x:c r="H984" s="3" t="n">
        <x:v>2</x:v>
      </x:c>
      <x:c r="I984" s="7" t="n">
        <x:v>1042.37</x:v>
      </x:c>
      <x:c r="J984" s="9" t="n">
        <x:v>0.1</x:v>
      </x:c>
      <x:c r="K984" s="7" t="n">
        <x:v>1876.27</x:v>
      </x:c>
      <x:c r="L984" s="7" t="n">
        <x:v>817.81</x:v>
      </x:c>
      <x:c r="M984" s="3" t="str">
        <x:v>Debit Card</x:v>
      </x:c>
      <x:c r="N984" s="3"/>
      <x:c r="O984" s="3"/>
      <x:c r="P984" s="3"/>
      <x:c r="Q984" s="3"/>
    </x:row>
    <x:row r="985" ht="21" customHeight="1">
      <x:c r="A985" s="3" t="str">
        <x:v>ORD-101903</x:v>
      </x:c>
      <x:c r="B985" s="5" t="n">
        <x:v>45568</x:v>
      </x:c>
      <x:c r="C985" s="3" t="str">
        <x:v>CUST-00405</x:v>
      </x:c>
      <x:c r="D985" s="3" t="str">
        <x:v>West</x:v>
      </x:c>
      <x:c r="E985" s="3" t="str">
        <x:v>Sports</x:v>
      </x:c>
      <x:c r="F985" s="3" t="str">
        <x:v>Fitness</x:v>
      </x:c>
      <x:c r="G985" s="3" t="str">
        <x:v>ProYoga Mat</x:v>
      </x:c>
      <x:c r="H985" s="3" t="n">
        <x:v>1</x:v>
      </x:c>
      <x:c r="I985" s="7" t="n">
        <x:v>1348.47</x:v>
      </x:c>
      <x:c r="J985" s="9" t="n">
        <x:v>0.1</x:v>
      </x:c>
      <x:c r="K985" s="7" t="n">
        <x:v>1213.62</x:v>
      </x:c>
      <x:c r="L985" s="7" t="n">
        <x:v>340.39</x:v>
      </x:c>
      <x:c r="M985" s="3" t="str">
        <x:v>Credit Card</x:v>
      </x:c>
      <x:c r="N985" s="3"/>
      <x:c r="O985" s="3"/>
      <x:c r="P985" s="3"/>
      <x:c r="Q985" s="3"/>
    </x:row>
    <x:row r="986" ht="21" customHeight="1">
      <x:c r="A986" s="3" t="str">
        <x:v>ORD-100177</x:v>
      </x:c>
      <x:c r="B986" s="5" t="n">
        <x:v>45569</x:v>
      </x:c>
      <x:c r="C986" s="3" t="str">
        <x:v>CUST-00077</x:v>
      </x:c>
      <x:c r="D986" s="3" t="str">
        <x:v>East</x:v>
      </x:c>
      <x:c r="E986" s="3" t="str">
        <x:v>Home &amp; Kitchen</x:v>
      </x:c>
      <x:c r="F986" s="3" t="str">
        <x:v>Appliances</x:v>
      </x:c>
      <x:c r="G986" s="3" t="str">
        <x:v>AirFryer Deluxe</x:v>
      </x:c>
      <x:c r="H986" s="3" t="n">
        <x:v>4</x:v>
      </x:c>
      <x:c r="I986" s="7" t="n">
        <x:v>7782.84</x:v>
      </x:c>
      <x:c r="J986" s="9" t="n">
        <x:v>0.25</x:v>
      </x:c>
      <x:c r="K986" s="7" t="n">
        <x:v>23348.52</x:v>
      </x:c>
      <x:c r="L986" s="7" t="n">
        <x:v>1741.84</x:v>
      </x:c>
      <x:c r="M986" s="3" t="str">
        <x:v>Credit Card</x:v>
      </x:c>
      <x:c r="N986" s="3"/>
      <x:c r="O986" s="3"/>
      <x:c r="P986" s="3"/>
      <x:c r="Q986" s="3"/>
    </x:row>
    <x:row r="987" ht="21" customHeight="1">
      <x:c r="A987" s="3" t="str">
        <x:v>ORD-100387</x:v>
      </x:c>
      <x:c r="B987" s="5" t="n">
        <x:v>45569</x:v>
      </x:c>
      <x:c r="C987" s="3" t="str">
        <x:v>CUST-00369</x:v>
      </x:c>
      <x:c r="D987" s="3" t="str">
        <x:v>North</x:v>
      </x:c>
      <x:c r="E987" s="3" t="str">
        <x:v>Electronics</x:v>
      </x:c>
      <x:c r="F987" s="3" t="str">
        <x:v>Laptop</x:v>
      </x:c>
      <x:c r="G987" s="3" t="str">
        <x:v>ThinkPro 14</x:v>
      </x:c>
      <x:c r="H987" s="3" t="n">
        <x:v>3</x:v>
      </x:c>
      <x:c r="I987" s="7" t="n">
        <x:v>52541.01</x:v>
      </x:c>
      <x:c r="J987" s="9" t="n">
        <x:v>0.1</x:v>
      </x:c>
      <x:c r="K987" s="7" t="n">
        <x:v>141860.73</x:v>
      </x:c>
      <x:c r="L987" s="7" t="n">
        <x:v>10977.27</x:v>
      </x:c>
      <x:c r="M987" s="3" t="str">
        <x:v>UPI</x:v>
      </x:c>
      <x:c r="N987" s="3"/>
      <x:c r="O987" s="3"/>
      <x:c r="P987" s="3"/>
      <x:c r="Q987" s="3"/>
    </x:row>
    <x:row r="988" ht="21" customHeight="1">
      <x:c r="A988" s="3" t="str">
        <x:v>ORD-100792</x:v>
      </x:c>
      <x:c r="B988" s="5" t="n">
        <x:v>45569</x:v>
      </x:c>
      <x:c r="C988" s="3" t="str">
        <x:v>CUST-00202</x:v>
      </x:c>
      <x:c r="D988" s="3" t="str">
        <x:v>South</x:v>
      </x:c>
      <x:c r="E988" s="3" t="str">
        <x:v>Home &amp; Kitchen</x:v>
      </x:c>
      <x:c r="F988" s="3" t="str">
        <x:v>Appliances</x:v>
      </x:c>
      <x:c r="G988" s="3" t="str">
        <x:v>AirFryer Deluxe</x:v>
      </x:c>
      <x:c r="H988" s="3" t="n">
        <x:v>1</x:v>
      </x:c>
      <x:c r="I988" s="7" t="n">
        <x:v>8301.94</x:v>
      </x:c>
      <x:c r="J988" s="9" t="n">
        <x:v>0</x:v>
      </x:c>
      <x:c r="K988" s="7" t="n">
        <x:v>8301.94</x:v>
      </x:c>
      <x:c r="L988" s="7" t="n">
        <x:v>2929.1</x:v>
      </x:c>
      <x:c r="M988" s="3" t="str">
        <x:v>Cash on Delivery</x:v>
      </x:c>
      <x:c r="N988" s="3"/>
      <x:c r="O988" s="3"/>
      <x:c r="P988" s="3"/>
      <x:c r="Q988" s="3"/>
    </x:row>
    <x:row r="989" ht="21" customHeight="1">
      <x:c r="A989" s="3" t="str">
        <x:v>ORD-100816</x:v>
      </x:c>
      <x:c r="B989" s="5" t="n">
        <x:v>45569</x:v>
      </x:c>
      <x:c r="C989" s="3" t="str">
        <x:v>CUST-00107</x:v>
      </x:c>
      <x:c r="D989" s="3" t="str">
        <x:v>East</x:v>
      </x:c>
      <x:c r="E989" s="3" t="str">
        <x:v>Electronics</x:v>
      </x:c>
      <x:c r="F989" s="3" t="str">
        <x:v>Mobile</x:v>
      </x:c>
      <x:c r="G989" s="3" t="str">
        <x:v>Pixel Aura 12</x:v>
      </x:c>
      <x:c r="H989" s="3" t="n">
        <x:v>1</x:v>
      </x:c>
      <x:c r="I989" s="7" t="n">
        <x:v>34333.23</x:v>
      </x:c>
      <x:c r="J989" s="9" t="n">
        <x:v>0.25</x:v>
      </x:c>
      <x:c r="K989" s="7" t="n">
        <x:v>25749.92</x:v>
      </x:c>
      <x:c r="L989" s="7" t="n">
        <x:v>-2349.75</x:v>
      </x:c>
      <x:c r="M989" s="3" t="str">
        <x:v>UPI</x:v>
      </x:c>
      <x:c r="N989" s="3"/>
      <x:c r="O989" s="3"/>
      <x:c r="P989" s="3"/>
      <x:c r="Q989" s="3"/>
    </x:row>
    <x:row r="990" ht="21" customHeight="1">
      <x:c r="A990" s="3" t="str">
        <x:v>ORD-100932</x:v>
      </x:c>
      <x:c r="B990" s="5" t="n">
        <x:v>45569</x:v>
      </x:c>
      <x:c r="C990" s="3" t="str">
        <x:v>CUST-00548</x:v>
      </x:c>
      <x:c r="D990" s="3" t="str">
        <x:v>West</x:v>
      </x:c>
      <x:c r="E990" s="3" t="str">
        <x:v>Beauty</x:v>
      </x:c>
      <x:c r="F990" s="3" t="str">
        <x:v>Skincare</x:v>
      </x:c>
      <x:c r="G990" s="3" t="str">
        <x:v>Vitamin C Serum</x:v>
      </x:c>
      <x:c r="H990" s="3" t="n">
        <x:v>2</x:v>
      </x:c>
      <x:c r="I990" s="7" t="n">
        <x:v>857</x:v>
      </x:c>
      <x:c r="J990" s="9" t="n">
        <x:v>0.05</x:v>
      </x:c>
      <x:c r="K990" s="7" t="n">
        <x:v>1628.3</x:v>
      </x:c>
      <x:c r="L990" s="7" t="n">
        <x:v>818.4</x:v>
      </x:c>
      <x:c r="M990" s="3" t="str">
        <x:v>Credit Card</x:v>
      </x:c>
      <x:c r="N990" s="3"/>
      <x:c r="O990" s="3"/>
      <x:c r="P990" s="3"/>
      <x:c r="Q990" s="3"/>
    </x:row>
    <x:row r="991" ht="21" customHeight="1">
      <x:c r="A991" s="3" t="str">
        <x:v>ORD-101560</x:v>
      </x:c>
      <x:c r="B991" s="5" t="n">
        <x:v>45569</x:v>
      </x:c>
      <x:c r="C991" s="3" t="str">
        <x:v>CUST-00036</x:v>
      </x:c>
      <x:c r="D991" s="3" t="str">
        <x:v>East</x:v>
      </x:c>
      <x:c r="E991" s="3" t="str">
        <x:v>Electronics</x:v>
      </x:c>
      <x:c r="F991" s="3" t="str">
        <x:v>Audio</x:v>
      </x:c>
      <x:c r="G991" s="3" t="str">
        <x:v>BassBoom Speaker</x:v>
      </x:c>
      <x:c r="H991" s="3" t="n">
        <x:v>3</x:v>
      </x:c>
      <x:c r="I991" s="7" t="n">
        <x:v>9435.56</x:v>
      </x:c>
      <x:c r="J991" s="9" t="n">
        <x:v>0.3</x:v>
      </x:c>
      <x:c r="K991" s="7" t="n">
        <x:v>19814.68</x:v>
      </x:c>
      <x:c r="L991" s="7" t="n">
        <x:v>-2811.57</x:v>
      </x:c>
      <x:c r="M991" s="3" t="str">
        <x:v>Debit Card</x:v>
      </x:c>
      <x:c r="N991" s="3"/>
      <x:c r="O991" s="3"/>
      <x:c r="P991" s="3"/>
      <x:c r="Q991" s="3"/>
    </x:row>
    <x:row r="992" ht="21" customHeight="1">
      <x:c r="A992" s="3" t="str">
        <x:v>ORD-101656</x:v>
      </x:c>
      <x:c r="B992" s="5" t="n">
        <x:v>45569</x:v>
      </x:c>
      <x:c r="C992" s="3" t="str">
        <x:v>CUST-00143</x:v>
      </x:c>
      <x:c r="D992" s="3" t="str">
        <x:v>South</x:v>
      </x:c>
      <x:c r="E992" s="3" t="str">
        <x:v>Electronics</x:v>
      </x:c>
      <x:c r="F992" s="3" t="str">
        <x:v>Mobile</x:v>
      </x:c>
      <x:c r="G992" s="3" t="str">
        <x:v>Galaxy Nova X5</x:v>
      </x:c>
      <x:c r="H992" s="3" t="n">
        <x:v>2</x:v>
      </x:c>
      <x:c r="I992" s="7" t="n">
        <x:v>25476.69</x:v>
      </x:c>
      <x:c r="J992" s="9" t="n">
        <x:v>0</x:v>
      </x:c>
      <x:c r="K992" s="7" t="n">
        <x:v>50953.38</x:v>
      </x:c>
      <x:c r="L992" s="7" t="n">
        <x:v>10639.31</x:v>
      </x:c>
      <x:c r="M992" s="3" t="str">
        <x:v>UPI</x:v>
      </x:c>
      <x:c r="N992" s="3"/>
      <x:c r="O992" s="3"/>
      <x:c r="P992" s="3"/>
      <x:c r="Q992" s="3"/>
    </x:row>
    <x:row r="993" ht="21" customHeight="1">
      <x:c r="A993" s="3" t="str">
        <x:v>ORD-100147</x:v>
      </x:c>
      <x:c r="B993" s="5" t="n">
        <x:v>45570</x:v>
      </x:c>
      <x:c r="C993" s="3" t="str">
        <x:v>CUST-00246</x:v>
      </x:c>
      <x:c r="D993" s="3" t="str">
        <x:v>North</x:v>
      </x:c>
      <x:c r="E993" s="3" t="str">
        <x:v>Electronics</x:v>
      </x:c>
      <x:c r="F993" s="3" t="str">
        <x:v>Laptop</x:v>
      </x:c>
      <x:c r="G993" s="3" t="str">
        <x:v>AirBook Slim</x:v>
      </x:c>
      <x:c r="H993" s="3" t="n">
        <x:v>2</x:v>
      </x:c>
      <x:c r="I993" s="7" t="n">
        <x:v>76739.52</x:v>
      </x:c>
      <x:c r="J993" s="9" t="n">
        <x:v>0.15</x:v>
      </x:c>
      <x:c r="K993" s="7" t="n">
        <x:v>130457.18</x:v>
      </x:c>
      <x:c r="L993" s="7" t="n">
        <x:v>4401.12</x:v>
      </x:c>
      <x:c r="M993" s="3" t="str">
        <x:v>Credit Card</x:v>
      </x:c>
      <x:c r="N993" s="3"/>
      <x:c r="O993" s="3"/>
      <x:c r="P993" s="3"/>
      <x:c r="Q993" s="3"/>
    </x:row>
    <x:row r="994" ht="21" customHeight="1">
      <x:c r="A994" s="3" t="str">
        <x:v>ORD-100352</x:v>
      </x:c>
      <x:c r="B994" s="5" t="n">
        <x:v>45570</x:v>
      </x:c>
      <x:c r="C994" s="3" t="str">
        <x:v>CUST-00139</x:v>
      </x:c>
      <x:c r="D994" s="3" t="str">
        <x:v>South</x:v>
      </x:c>
      <x:c r="E994" s="3" t="str">
        <x:v>Fashion</x:v>
      </x:c>
      <x:c r="F994" s="3" t="str">
        <x:v>Footwear</x:v>
      </x:c>
      <x:c r="G994" s="3" t="str">
        <x:v>RunFlex Sneakers</x:v>
      </x:c>
      <x:c r="H994" s="3" t="n">
        <x:v>1</x:v>
      </x:c>
      <x:c r="I994" s="7" t="n">
        <x:v>3107.07</x:v>
      </x:c>
      <x:c r="J994" s="9" t="n">
        <x:v>0.1</x:v>
      </x:c>
      <x:c r="K994" s="7" t="n">
        <x:v>2796.36</x:v>
      </x:c>
      <x:c r="L994" s="7" t="n">
        <x:v>813.79</x:v>
      </x:c>
      <x:c r="M994" s="3" t="str">
        <x:v>Cash on Delivery</x:v>
      </x:c>
      <x:c r="N994" s="3"/>
      <x:c r="O994" s="3"/>
      <x:c r="P994" s="3"/>
      <x:c r="Q994" s="3"/>
    </x:row>
    <x:row r="995" ht="21" customHeight="1">
      <x:c r="A995" s="3" t="str">
        <x:v>ORD-100357</x:v>
      </x:c>
      <x:c r="B995" s="5" t="n">
        <x:v>45570</x:v>
      </x:c>
      <x:c r="C995" s="3" t="str">
        <x:v>CUST-00504</x:v>
      </x:c>
      <x:c r="D995" s="3" t="str">
        <x:v>East</x:v>
      </x:c>
      <x:c r="E995" s="3" t="str">
        <x:v>Home &amp; Kitchen</x:v>
      </x:c>
      <x:c r="F995" s="3" t="str">
        <x:v>Appliances</x:v>
      </x:c>
      <x:c r="G995" s="3" t="str">
        <x:v>ColdBrew Coffee Maker</x:v>
      </x:c>
      <x:c r="H995" s="3" t="n">
        <x:v>1</x:v>
      </x:c>
      <x:c r="I995" s="7" t="n">
        <x:v>6292.6</x:v>
      </x:c>
      <x:c r="J995" s="9" t="n">
        <x:v>0.2</x:v>
      </x:c>
      <x:c r="K995" s="7" t="n">
        <x:v>5034.08</x:v>
      </x:c>
      <x:c r="L995" s="7" t="n">
        <x:v>418.67</x:v>
      </x:c>
      <x:c r="M995" s="3" t="str">
        <x:v>Credit Card</x:v>
      </x:c>
      <x:c r="N995" s="3"/>
      <x:c r="O995" s="3"/>
      <x:c r="P995" s="3"/>
      <x:c r="Q995" s="3"/>
    </x:row>
    <x:row r="996" ht="21" customHeight="1">
      <x:c r="A996" s="3" t="str">
        <x:v>ORD-100414</x:v>
      </x:c>
      <x:c r="B996" s="5" t="n">
        <x:v>45570</x:v>
      </x:c>
      <x:c r="C996" s="3" t="str">
        <x:v>CUST-00509</x:v>
      </x:c>
      <x:c r="D996" s="3" t="str">
        <x:v>West</x:v>
      </x:c>
      <x:c r="E996" s="3" t="str">
        <x:v>Beauty</x:v>
      </x:c>
      <x:c r="F996" s="3" t="str">
        <x:v>Skincare</x:v>
      </x:c>
      <x:c r="G996" s="3" t="str">
        <x:v>HydraBoost Moisturizer</x:v>
      </x:c>
      <x:c r="H996" s="3" t="n">
        <x:v>1</x:v>
      </x:c>
      <x:c r="I996" s="7" t="n">
        <x:v>1232.85</x:v>
      </x:c>
      <x:c r="J996" s="9" t="n">
        <x:v>0</x:v>
      </x:c>
      <x:c r="K996" s="7" t="n">
        <x:v>1232.85</x:v>
      </x:c>
      <x:c r="L996" s="7" t="n">
        <x:v>659.16</x:v>
      </x:c>
      <x:c r="M996" s="3" t="str">
        <x:v>Debit Card</x:v>
      </x:c>
      <x:c r="N996" s="3"/>
      <x:c r="O996" s="3"/>
      <x:c r="P996" s="3"/>
      <x:c r="Q996" s="3"/>
    </x:row>
    <x:row r="997" ht="21" customHeight="1">
      <x:c r="A997" s="3" t="str">
        <x:v>ORD-101734</x:v>
      </x:c>
      <x:c r="B997" s="5" t="n">
        <x:v>45570</x:v>
      </x:c>
      <x:c r="C997" s="3" t="str">
        <x:v>CUST-00498</x:v>
      </x:c>
      <x:c r="D997" s="3" t="str">
        <x:v>East</x:v>
      </x:c>
      <x:c r="E997" s="3" t="str">
        <x:v>Fashion</x:v>
      </x:c>
      <x:c r="F997" s="3" t="str">
        <x:v>Men</x:v>
      </x:c>
      <x:c r="G997" s="3" t="str">
        <x:v>Oxford Casual Shirt</x:v>
      </x:c>
      <x:c r="H997" s="3" t="n">
        <x:v>2</x:v>
      </x:c>
      <x:c r="I997" s="7" t="n">
        <x:v>1330.94</x:v>
      </x:c>
      <x:c r="J997" s="9" t="n">
        <x:v>0</x:v>
      </x:c>
      <x:c r="K997" s="7" t="n">
        <x:v>2661.88</x:v>
      </x:c>
      <x:c r="L997" s="7" t="n">
        <x:v>1186.75</x:v>
      </x:c>
      <x:c r="M997" s="3" t="str">
        <x:v>Debit Card</x:v>
      </x:c>
      <x:c r="N997" s="3"/>
      <x:c r="O997" s="3"/>
      <x:c r="P997" s="3"/>
      <x:c r="Q997" s="3"/>
    </x:row>
    <x:row r="998" ht="21" customHeight="1">
      <x:c r="A998" s="3" t="str">
        <x:v>ORD-100504</x:v>
      </x:c>
      <x:c r="B998" s="5" t="n">
        <x:v>45571</x:v>
      </x:c>
      <x:c r="C998" s="3" t="str">
        <x:v>CUST-00410</x:v>
      </x:c>
      <x:c r="D998" s="3" t="str">
        <x:v>East</x:v>
      </x:c>
      <x:c r="E998" s="3" t="str">
        <x:v>Home &amp; Kitchen</x:v>
      </x:c>
      <x:c r="F998" s="3" t="str">
        <x:v>Furniture</x:v>
      </x:c>
      <x:c r="G998" s="3" t="str">
        <x:v>ErgoComfort Chair</x:v>
      </x:c>
      <x:c r="H998" s="3" t="n">
        <x:v>1</x:v>
      </x:c>
      <x:c r="I998" s="7" t="n">
        <x:v>9201.66</x:v>
      </x:c>
      <x:c r="J998" s="9" t="n">
        <x:v>0.2</x:v>
      </x:c>
      <x:c r="K998" s="7" t="n">
        <x:v>7361.33</x:v>
      </x:c>
      <x:c r="L998" s="7" t="n">
        <x:v>605.7</x:v>
      </x:c>
      <x:c r="M998" s="3" t="str">
        <x:v>Credit Card</x:v>
      </x:c>
      <x:c r="N998" s="3"/>
      <x:c r="O998" s="3"/>
      <x:c r="P998" s="3"/>
      <x:c r="Q998" s="3"/>
    </x:row>
    <x:row r="999" ht="21" customHeight="1">
      <x:c r="A999" s="3" t="str">
        <x:v>ORD-100539</x:v>
      </x:c>
      <x:c r="B999" s="5" t="n">
        <x:v>45571</x:v>
      </x:c>
      <x:c r="C999" s="3" t="str">
        <x:v>CUST-00600</x:v>
      </x:c>
      <x:c r="D999" s="3" t="str">
        <x:v>North</x:v>
      </x:c>
      <x:c r="E999" s="3" t="str">
        <x:v>Sports</x:v>
      </x:c>
      <x:c r="F999" s="3" t="str">
        <x:v>Outdoor</x:v>
      </x:c>
      <x:c r="G999" s="3" t="str">
        <x:v>AllWeather Tent 4P</x:v>
      </x:c>
      <x:c r="H999" s="3" t="n">
        <x:v>1</x:v>
      </x:c>
      <x:c r="I999" s="7" t="n">
        <x:v>11576.7</x:v>
      </x:c>
      <x:c r="J999" s="9" t="n">
        <x:v>0.15</x:v>
      </x:c>
      <x:c r="K999" s="7" t="n">
        <x:v>9840.19</x:v>
      </x:c>
      <x:c r="L999" s="7" t="n">
        <x:v>1923.45</x:v>
      </x:c>
      <x:c r="M999" s="3" t="str">
        <x:v>UPI</x:v>
      </x:c>
      <x:c r="N999" s="3"/>
      <x:c r="O999" s="3"/>
      <x:c r="P999" s="3"/>
      <x:c r="Q999" s="3"/>
    </x:row>
    <x:row r="1000" ht="21" customHeight="1">
      <x:c r="A1000" s="3" t="str">
        <x:v>ORD-101011</x:v>
      </x:c>
      <x:c r="B1000" s="5" t="n">
        <x:v>45571</x:v>
      </x:c>
      <x:c r="C1000" s="3" t="str">
        <x:v>CUST-00011</x:v>
      </x:c>
      <x:c r="D1000" s="3" t="str">
        <x:v>East</x:v>
      </x:c>
      <x:c r="E1000" s="3" t="str">
        <x:v>Beauty</x:v>
      </x:c>
      <x:c r="F1000" s="3" t="str">
        <x:v>Skincare</x:v>
      </x:c>
      <x:c r="G1000" s="3" t="str">
        <x:v>HydraBoost Moisturizer</x:v>
      </x:c>
      <x:c r="H1000" s="3" t="n">
        <x:v>3</x:v>
      </x:c>
      <x:c r="I1000" s="7" t="n">
        <x:v>1207.46</x:v>
      </x:c>
      <x:c r="J1000" s="9" t="n">
        <x:v>0.05</x:v>
      </x:c>
      <x:c r="K1000" s="7" t="n">
        <x:v>3441.26</x:v>
      </x:c>
      <x:c r="L1000" s="7" t="n">
        <x:v>1794.96</x:v>
      </x:c>
      <x:c r="M1000" s="3" t="str">
        <x:v>UPI</x:v>
      </x:c>
      <x:c r="N1000" s="3"/>
      <x:c r="O1000" s="3"/>
      <x:c r="P1000" s="3"/>
      <x:c r="Q1000" s="3"/>
    </x:row>
    <x:row r="1001" ht="21" customHeight="1">
      <x:c r="A1001" s="3" t="str">
        <x:v>ORD-101168</x:v>
      </x:c>
      <x:c r="B1001" s="5" t="n">
        <x:v>45571</x:v>
      </x:c>
      <x:c r="C1001" s="3" t="str">
        <x:v>CUST-00193</x:v>
      </x:c>
      <x:c r="D1001" s="3" t="str">
        <x:v>West</x:v>
      </x:c>
      <x:c r="E1001" s="3" t="str">
        <x:v>Electronics</x:v>
      </x:c>
      <x:c r="F1001" s="3" t="str">
        <x:v>Audio</x:v>
      </x:c>
      <x:c r="G1001" s="3" t="str">
        <x:v>SoundPods Pro</x:v>
      </x:c>
      <x:c r="H1001" s="3" t="n">
        <x:v>1</x:v>
      </x:c>
      <x:c r="I1001" s="7" t="n">
        <x:v>4812.37</x:v>
      </x:c>
      <x:c r="J1001" s="9" t="n">
        <x:v>0.15</x:v>
      </x:c>
      <x:c r="K1001" s="7" t="n">
        <x:v>4090.51</x:v>
      </x:c>
      <x:c r="L1001" s="7" t="n">
        <x:v>108.52</x:v>
      </x:c>
      <x:c r="M1001" s="3" t="str">
        <x:v>Credit Card</x:v>
      </x:c>
      <x:c r="N1001" s="3"/>
      <x:c r="O1001" s="3"/>
      <x:c r="P1001" s="3"/>
      <x:c r="Q1001" s="3"/>
    </x:row>
    <x:row r="1002" ht="21" customHeight="1">
      <x:c r="A1002" s="3" t="str">
        <x:v>ORD-101509</x:v>
      </x:c>
      <x:c r="B1002" s="5" t="n">
        <x:v>45571</x:v>
      </x:c>
      <x:c r="C1002" s="3" t="str">
        <x:v>CUST-00010</x:v>
      </x:c>
      <x:c r="D1002" s="3" t="str">
        <x:v>North</x:v>
      </x:c>
      <x:c r="E1002" s="3" t="str">
        <x:v>Fashion</x:v>
      </x:c>
      <x:c r="F1002" s="3" t="str">
        <x:v>Women</x:v>
      </x:c>
      <x:c r="G1002" s="3" t="str">
        <x:v>Knit Winter Sweater</x:v>
      </x:c>
      <x:c r="H1002" s="3" t="n">
        <x:v>1</x:v>
      </x:c>
      <x:c r="I1002" s="7" t="n">
        <x:v>2219.49</x:v>
      </x:c>
      <x:c r="J1002" s="9" t="n">
        <x:v>0.1</x:v>
      </x:c>
      <x:c r="K1002" s="7" t="n">
        <x:v>1997.54</x:v>
      </x:c>
      <x:c r="L1002" s="7" t="n">
        <x:v>671.75</x:v>
      </x:c>
      <x:c r="M1002" s="3" t="str">
        <x:v>UPI</x:v>
      </x:c>
      <x:c r="N1002" s="3"/>
      <x:c r="O1002" s="3"/>
      <x:c r="P1002" s="3"/>
      <x:c r="Q1002" s="3"/>
    </x:row>
    <x:row r="1003" ht="21" customHeight="1">
      <x:c r="A1003" s="3" t="str">
        <x:v>ORD-101874</x:v>
      </x:c>
      <x:c r="B1003" s="5" t="n">
        <x:v>45571</x:v>
      </x:c>
      <x:c r="C1003" s="3" t="str">
        <x:v>CUST-00045</x:v>
      </x:c>
      <x:c r="D1003" s="3" t="str">
        <x:v>North</x:v>
      </x:c>
      <x:c r="E1003" s="3" t="str">
        <x:v>Beauty</x:v>
      </x:c>
      <x:c r="F1003" s="3" t="str">
        <x:v>Makeup</x:v>
      </x:c>
      <x:c r="G1003" s="3" t="str">
        <x:v>Matte Lipstick Set</x:v>
      </x:c>
      <x:c r="H1003" s="3" t="n">
        <x:v>1</x:v>
      </x:c>
      <x:c r="I1003" s="7" t="n">
        <x:v>987.86</x:v>
      </x:c>
      <x:c r="J1003" s="9" t="n">
        <x:v>0.15</x:v>
      </x:c>
      <x:c r="K1003" s="7" t="n">
        <x:v>839.68</x:v>
      </x:c>
      <x:c r="L1003" s="7" t="n">
        <x:v>311.63</x:v>
      </x:c>
      <x:c r="M1003" s="3" t="str">
        <x:v>Credit Card</x:v>
      </x:c>
      <x:c r="N1003" s="3"/>
      <x:c r="O1003" s="3"/>
      <x:c r="P1003" s="3"/>
      <x:c r="Q1003" s="3"/>
    </x:row>
    <x:row r="1004" ht="21" customHeight="1">
      <x:c r="A1004" s="3" t="str">
        <x:v>ORD-100827</x:v>
      </x:c>
      <x:c r="B1004" s="5" t="n">
        <x:v>45572</x:v>
      </x:c>
      <x:c r="C1004" s="3" t="str">
        <x:v>CUST-00256</x:v>
      </x:c>
      <x:c r="D1004" s="3" t="str">
        <x:v>West</x:v>
      </x:c>
      <x:c r="E1004" s="3" t="str">
        <x:v>Beauty</x:v>
      </x:c>
      <x:c r="F1004" s="3" t="str">
        <x:v>Makeup</x:v>
      </x:c>
      <x:c r="G1004" s="3" t="str">
        <x:v>Matte Lipstick Set</x:v>
      </x:c>
      <x:c r="H1004" s="3" t="n">
        <x:v>5</x:v>
      </x:c>
      <x:c r="I1004" s="7" t="n">
        <x:v>1048.21</x:v>
      </x:c>
      <x:c r="J1004" s="9" t="n">
        <x:v>0.05</x:v>
      </x:c>
      <x:c r="K1004" s="7" t="n">
        <x:v>4979</x:v>
      </x:c>
      <x:c r="L1004" s="7" t="n">
        <x:v>2347.89</x:v>
      </x:c>
      <x:c r="M1004" s="3" t="str">
        <x:v>UPI</x:v>
      </x:c>
      <x:c r="N1004" s="3"/>
      <x:c r="O1004" s="3"/>
      <x:c r="P1004" s="3"/>
      <x:c r="Q1004" s="3"/>
    </x:row>
    <x:row r="1005" ht="21" customHeight="1">
      <x:c r="A1005" s="3" t="str">
        <x:v>ORD-101173</x:v>
      </x:c>
      <x:c r="B1005" s="5" t="n">
        <x:v>45572</x:v>
      </x:c>
      <x:c r="C1005" s="3" t="str">
        <x:v>CUST-00259</x:v>
      </x:c>
      <x:c r="D1005" s="3" t="str">
        <x:v>East</x:v>
      </x:c>
      <x:c r="E1005" s="3" t="str">
        <x:v>Fashion</x:v>
      </x:c>
      <x:c r="F1005" s="3" t="str">
        <x:v>Footwear</x:v>
      </x:c>
      <x:c r="G1005" s="3" t="str">
        <x:v>RunFlex Sneakers</x:v>
      </x:c>
      <x:c r="H1005" s="3" t="n">
        <x:v>1</x:v>
      </x:c>
      <x:c r="I1005" s="7" t="n">
        <x:v>3109.95</x:v>
      </x:c>
      <x:c r="J1005" s="9" t="n">
        <x:v>0.05</x:v>
      </x:c>
      <x:c r="K1005" s="7" t="n">
        <x:v>2954.45</x:v>
      </x:c>
      <x:c r="L1005" s="7" t="n">
        <x:v>1155.63</x:v>
      </x:c>
      <x:c r="M1005" s="3" t="str">
        <x:v>Credit Card</x:v>
      </x:c>
      <x:c r="N1005" s="3"/>
      <x:c r="O1005" s="3"/>
      <x:c r="P1005" s="3"/>
      <x:c r="Q1005" s="3"/>
    </x:row>
    <x:row r="1006" ht="21" customHeight="1">
      <x:c r="A1006" s="3" t="str">
        <x:v>ORD-101664</x:v>
      </x:c>
      <x:c r="B1006" s="5" t="n">
        <x:v>45572</x:v>
      </x:c>
      <x:c r="C1006" s="3" t="str">
        <x:v>CUST-00584</x:v>
      </x:c>
      <x:c r="D1006" s="3" t="str">
        <x:v>East</x:v>
      </x:c>
      <x:c r="E1006" s="3" t="str">
        <x:v>Sports</x:v>
      </x:c>
      <x:c r="F1006" s="3" t="str">
        <x:v>Fitness</x:v>
      </x:c>
      <x:c r="G1006" s="3" t="str">
        <x:v>Adjustable Dumbbell 24kg</x:v>
      </x:c>
      <x:c r="H1006" s="3" t="n">
        <x:v>3</x:v>
      </x:c>
      <x:c r="I1006" s="7" t="n">
        <x:v>9589.68</x:v>
      </x:c>
      <x:c r="J1006" s="9" t="n">
        <x:v>0.1</x:v>
      </x:c>
      <x:c r="K1006" s="7" t="n">
        <x:v>25892.14</x:v>
      </x:c>
      <x:c r="L1006" s="7" t="n">
        <x:v>7784.76</x:v>
      </x:c>
      <x:c r="M1006" s="3" t="str">
        <x:v>UPI</x:v>
      </x:c>
      <x:c r="N1006" s="3"/>
      <x:c r="O1006" s="3"/>
      <x:c r="P1006" s="3"/>
      <x:c r="Q1006" s="3"/>
    </x:row>
    <x:row r="1007" ht="21" customHeight="1">
      <x:c r="A1007" s="3" t="str">
        <x:v>ORD-101840</x:v>
      </x:c>
      <x:c r="B1007" s="5" t="n">
        <x:v>45572</x:v>
      </x:c>
      <x:c r="C1007" s="3" t="str">
        <x:v>CUST-00434</x:v>
      </x:c>
      <x:c r="D1007" s="3" t="str">
        <x:v>South</x:v>
      </x:c>
      <x:c r="E1007" s="3" t="str">
        <x:v>Electronics</x:v>
      </x:c>
      <x:c r="F1007" s="3" t="str">
        <x:v>Mobile</x:v>
      </x:c>
      <x:c r="G1007" s="3" t="str">
        <x:v>Galaxy Nova X5</x:v>
      </x:c>
      <x:c r="H1007" s="3" t="n">
        <x:v>1</x:v>
      </x:c>
      <x:c r="I1007" s="7" t="n">
        <x:v>24933.96</x:v>
      </x:c>
      <x:c r="J1007" s="9" t="n">
        <x:v>0.15</x:v>
      </x:c>
      <x:c r="K1007" s="7" t="n">
        <x:v>21193.87</x:v>
      </x:c>
      <x:c r="L1007" s="7" t="n">
        <x:v>-45.29</x:v>
      </x:c>
      <x:c r="M1007" s="3" t="str">
        <x:v>UPI</x:v>
      </x:c>
      <x:c r="N1007" s="3"/>
      <x:c r="O1007" s="3"/>
      <x:c r="P1007" s="3"/>
      <x:c r="Q1007" s="3"/>
    </x:row>
    <x:row r="1008" ht="21" customHeight="1">
      <x:c r="A1008" s="3" t="str">
        <x:v>ORD-100101</x:v>
      </x:c>
      <x:c r="B1008" s="5" t="n">
        <x:v>45573</x:v>
      </x:c>
      <x:c r="C1008" s="3" t="str">
        <x:v>CUST-00361</x:v>
      </x:c>
      <x:c r="D1008" s="3" t="str">
        <x:v>South</x:v>
      </x:c>
      <x:c r="E1008" s="3" t="str">
        <x:v>Beauty</x:v>
      </x:c>
      <x:c r="F1008" s="3" t="str">
        <x:v>Makeup</x:v>
      </x:c>
      <x:c r="G1008" s="3" t="str">
        <x:v>HD Foundation Kit</x:v>
      </x:c>
      <x:c r="H1008" s="3" t="n">
        <x:v>3</x:v>
      </x:c>
      <x:c r="I1008" s="7" t="n">
        <x:v>1446.68</x:v>
      </x:c>
      <x:c r="J1008" s="9" t="n">
        <x:v>0.1</x:v>
      </x:c>
      <x:c r="K1008" s="7" t="n">
        <x:v>3906.04</x:v>
      </x:c>
      <x:c r="L1008" s="7" t="n">
        <x:v>1564.22</x:v>
      </x:c>
      <x:c r="M1008" s="3" t="str">
        <x:v>UPI</x:v>
      </x:c>
      <x:c r="N1008" s="3"/>
      <x:c r="O1008" s="3"/>
      <x:c r="P1008" s="3"/>
      <x:c r="Q1008" s="3"/>
    </x:row>
    <x:row r="1009" ht="21" customHeight="1">
      <x:c r="A1009" s="3" t="str">
        <x:v>ORD-100340</x:v>
      </x:c>
      <x:c r="B1009" s="5" t="n">
        <x:v>45573</x:v>
      </x:c>
      <x:c r="C1009" s="3" t="str">
        <x:v>CUST-00524</x:v>
      </x:c>
      <x:c r="D1009" s="3" t="str">
        <x:v>West</x:v>
      </x:c>
      <x:c r="E1009" s="3" t="str">
        <x:v>Sports</x:v>
      </x:c>
      <x:c r="F1009" s="3" t="str">
        <x:v>Fitness</x:v>
      </x:c>
      <x:c r="G1009" s="3" t="str">
        <x:v>ProYoga Mat</x:v>
      </x:c>
      <x:c r="H1009" s="3" t="n">
        <x:v>3</x:v>
      </x:c>
      <x:c r="I1009" s="7" t="n">
        <x:v>1275.02</x:v>
      </x:c>
      <x:c r="J1009" s="9" t="n">
        <x:v>0.05</x:v>
      </x:c>
      <x:c r="K1009" s="7" t="n">
        <x:v>3633.81</x:v>
      </x:c>
      <x:c r="L1009" s="7" t="n">
        <x:v>1287.64</x:v>
      </x:c>
      <x:c r="M1009" s="3" t="str">
        <x:v>Credit Card</x:v>
      </x:c>
      <x:c r="N1009" s="3"/>
      <x:c r="O1009" s="3"/>
      <x:c r="P1009" s="3"/>
      <x:c r="Q1009" s="3"/>
    </x:row>
    <x:row r="1010" ht="21" customHeight="1">
      <x:c r="A1010" s="3" t="str">
        <x:v>ORD-100522</x:v>
      </x:c>
      <x:c r="B1010" s="5" t="n">
        <x:v>45573</x:v>
      </x:c>
      <x:c r="C1010" s="3" t="str">
        <x:v>CUST-00261</x:v>
      </x:c>
      <x:c r="D1010" s="3" t="str">
        <x:v>North</x:v>
      </x:c>
      <x:c r="E1010" s="3" t="str">
        <x:v>Home &amp; Kitchen</x:v>
      </x:c>
      <x:c r="F1010" s="3" t="str">
        <x:v>Appliances</x:v>
      </x:c>
      <x:c r="G1010" s="3" t="str">
        <x:v>ColdBrew Coffee Maker</x:v>
      </x:c>
      <x:c r="H1010" s="3" t="n">
        <x:v>3</x:v>
      </x:c>
      <x:c r="I1010" s="7" t="n">
        <x:v>6782.03</x:v>
      </x:c>
      <x:c r="J1010" s="9" t="n">
        <x:v>0.15</x:v>
      </x:c>
      <x:c r="K1010" s="7" t="n">
        <x:v>17294.18</x:v>
      </x:c>
      <x:c r="L1010" s="7" t="n">
        <x:v>2333.69</x:v>
      </x:c>
      <x:c r="M1010" s="3" t="str">
        <x:v>UPI</x:v>
      </x:c>
      <x:c r="N1010" s="3"/>
      <x:c r="O1010" s="3"/>
      <x:c r="P1010" s="3"/>
      <x:c r="Q1010" s="3"/>
    </x:row>
    <x:row r="1011" ht="21" customHeight="1">
      <x:c r="A1011" s="3" t="str">
        <x:v>ORD-100616</x:v>
      </x:c>
      <x:c r="B1011" s="5" t="n">
        <x:v>45573</x:v>
      </x:c>
      <x:c r="C1011" s="3" t="str">
        <x:v>CUST-00142</x:v>
      </x:c>
      <x:c r="D1011" s="3" t="str">
        <x:v>East</x:v>
      </x:c>
      <x:c r="E1011" s="3" t="str">
        <x:v>Home &amp; Kitchen</x:v>
      </x:c>
      <x:c r="F1011" s="3" t="str">
        <x:v>Furniture</x:v>
      </x:c>
      <x:c r="G1011" s="3" t="str">
        <x:v>Oakwood Study Desk</x:v>
      </x:c>
      <x:c r="H1011" s="3" t="n">
        <x:v>1</x:v>
      </x:c>
      <x:c r="I1011" s="7" t="n">
        <x:v>13058.83</x:v>
      </x:c>
      <x:c r="J1011" s="9" t="n">
        <x:v>0.05</x:v>
      </x:c>
      <x:c r="K1011" s="7" t="n">
        <x:v>12405.89</x:v>
      </x:c>
      <x:c r="L1011" s="7" t="n">
        <x:v>3215.61</x:v>
      </x:c>
      <x:c r="M1011" s="3" t="str">
        <x:v>UPI</x:v>
      </x:c>
      <x:c r="N1011" s="3"/>
      <x:c r="O1011" s="3"/>
      <x:c r="P1011" s="3"/>
      <x:c r="Q1011" s="3"/>
    </x:row>
    <x:row r="1012" ht="21" customHeight="1">
      <x:c r="A1012" s="3" t="str">
        <x:v>ORD-100958</x:v>
      </x:c>
      <x:c r="B1012" s="5" t="n">
        <x:v>45573</x:v>
      </x:c>
      <x:c r="C1012" s="3" t="str">
        <x:v>CUST-00332</x:v>
      </x:c>
      <x:c r="D1012" s="3" t="str">
        <x:v>West</x:v>
      </x:c>
      <x:c r="E1012" s="3" t="str">
        <x:v>Electronics</x:v>
      </x:c>
      <x:c r="F1012" s="3" t="str">
        <x:v>Laptop</x:v>
      </x:c>
      <x:c r="G1012" s="3" t="str">
        <x:v>AirBook Slim</x:v>
      </x:c>
      <x:c r="H1012" s="3" t="n">
        <x:v>1</x:v>
      </x:c>
      <x:c r="I1012" s="7" t="n">
        <x:v>80187.4</x:v>
      </x:c>
      <x:c r="J1012" s="9" t="n">
        <x:v>0.15</x:v>
      </x:c>
      <x:c r="K1012" s="7" t="n">
        <x:v>68159.29</x:v>
      </x:c>
      <x:c r="L1012" s="7" t="n">
        <x:v>2202.47</x:v>
      </x:c>
      <x:c r="M1012" s="3" t="str">
        <x:v>UPI</x:v>
      </x:c>
      <x:c r="N1012" s="3"/>
      <x:c r="O1012" s="3"/>
      <x:c r="P1012" s="3"/>
      <x:c r="Q1012" s="3"/>
    </x:row>
    <x:row r="1013" ht="21" customHeight="1">
      <x:c r="A1013" s="3" t="str">
        <x:v>ORD-100064</x:v>
      </x:c>
      <x:c r="B1013" s="5" t="n">
        <x:v>45574</x:v>
      </x:c>
      <x:c r="C1013" s="3" t="str">
        <x:v>CUST-00425</x:v>
      </x:c>
      <x:c r="D1013" s="3" t="str">
        <x:v>South</x:v>
      </x:c>
      <x:c r="E1013" s="3" t="str">
        <x:v>Beauty</x:v>
      </x:c>
      <x:c r="F1013" s="3" t="str">
        <x:v>Makeup</x:v>
      </x:c>
      <x:c r="G1013" s="3" t="str">
        <x:v>HD Foundation Kit</x:v>
      </x:c>
      <x:c r="H1013" s="3" t="n">
        <x:v>3</x:v>
      </x:c>
      <x:c r="I1013" s="7" t="n">
        <x:v>1460.59</x:v>
      </x:c>
      <x:c r="J1013" s="9" t="n">
        <x:v>0.4</x:v>
      </x:c>
      <x:c r="K1013" s="7" t="n">
        <x:v>2629.06</x:v>
      </x:c>
      <x:c r="L1013" s="7" t="n">
        <x:v>247.4</x:v>
      </x:c>
      <x:c r="M1013" s="3" t="str">
        <x:v>Net Banking</x:v>
      </x:c>
      <x:c r="N1013" s="3"/>
      <x:c r="O1013" s="3"/>
      <x:c r="P1013" s="3"/>
      <x:c r="Q1013" s="3"/>
    </x:row>
    <x:row r="1014" ht="21" customHeight="1">
      <x:c r="A1014" s="3" t="str">
        <x:v>ORD-100184</x:v>
      </x:c>
      <x:c r="B1014" s="5" t="n">
        <x:v>45574</x:v>
      </x:c>
      <x:c r="C1014" s="3" t="str">
        <x:v>CUST-00496</x:v>
      </x:c>
      <x:c r="D1014" s="3" t="str">
        <x:v>North</x:v>
      </x:c>
      <x:c r="E1014" s="3" t="str">
        <x:v>Beauty</x:v>
      </x:c>
      <x:c r="F1014" s="3" t="str">
        <x:v>Skincare</x:v>
      </x:c>
      <x:c r="G1014" s="3" t="str">
        <x:v>Vitamin C Serum</x:v>
      </x:c>
      <x:c r="H1014" s="3" t="n">
        <x:v>2</x:v>
      </x:c>
      <x:c r="I1014" s="7" t="n">
        <x:v>878.23</x:v>
      </x:c>
      <x:c r="J1014" s="9" t="n">
        <x:v>0</x:v>
      </x:c>
      <x:c r="K1014" s="7" t="n">
        <x:v>1756.46</x:v>
      </x:c>
      <x:c r="L1014" s="7" t="n">
        <x:v>933.51</x:v>
      </x:c>
      <x:c r="M1014" s="3" t="str">
        <x:v>UPI</x:v>
      </x:c>
      <x:c r="N1014" s="3"/>
      <x:c r="O1014" s="3"/>
      <x:c r="P1014" s="3"/>
      <x:c r="Q1014" s="3"/>
    </x:row>
    <x:row r="1015" ht="21" customHeight="1">
      <x:c r="A1015" s="3" t="str">
        <x:v>ORD-100975</x:v>
      </x:c>
      <x:c r="B1015" s="5" t="n">
        <x:v>45574</x:v>
      </x:c>
      <x:c r="C1015" s="3" t="str">
        <x:v>CUST-00412</x:v>
      </x:c>
      <x:c r="D1015" s="3" t="str">
        <x:v>West</x:v>
      </x:c>
      <x:c r="E1015" s="3" t="str">
        <x:v>Fashion</x:v>
      </x:c>
      <x:c r="F1015" s="3" t="str">
        <x:v>Men</x:v>
      </x:c>
      <x:c r="G1015" s="3" t="str">
        <x:v>Oxford Casual Shirt</x:v>
      </x:c>
      <x:c r="H1015" s="3" t="n">
        <x:v>3</x:v>
      </x:c>
      <x:c r="I1015" s="7" t="n">
        <x:v>1284.84</x:v>
      </x:c>
      <x:c r="J1015" s="9" t="n">
        <x:v>0.1</x:v>
      </x:c>
      <x:c r="K1015" s="7" t="n">
        <x:v>3469.07</x:v>
      </x:c>
      <x:c r="L1015" s="7" t="n">
        <x:v>972.97</x:v>
      </x:c>
      <x:c r="M1015" s="3" t="str">
        <x:v>UPI</x:v>
      </x:c>
      <x:c r="N1015" s="3"/>
      <x:c r="O1015" s="3"/>
      <x:c r="P1015" s="3"/>
      <x:c r="Q1015" s="3"/>
    </x:row>
    <x:row r="1016" ht="21" customHeight="1">
      <x:c r="A1016" s="3" t="str">
        <x:v>ORD-101130</x:v>
      </x:c>
      <x:c r="B1016" s="5" t="n">
        <x:v>45574</x:v>
      </x:c>
      <x:c r="C1016" s="3" t="str">
        <x:v>CUST-00043</x:v>
      </x:c>
      <x:c r="D1016" s="3" t="str">
        <x:v>North</x:v>
      </x:c>
      <x:c r="E1016" s="3" t="str">
        <x:v>Sports</x:v>
      </x:c>
      <x:c r="F1016" s="3" t="str">
        <x:v>Outdoor</x:v>
      </x:c>
      <x:c r="G1016" s="3" t="str">
        <x:v>AllWeather Tent 4P</x:v>
      </x:c>
      <x:c r="H1016" s="3" t="n">
        <x:v>2</x:v>
      </x:c>
      <x:c r="I1016" s="7" t="n">
        <x:v>11571.78</x:v>
      </x:c>
      <x:c r="J1016" s="9" t="n">
        <x:v>0.1</x:v>
      </x:c>
      <x:c r="K1016" s="7" t="n">
        <x:v>20829.2</x:v>
      </x:c>
      <x:c r="L1016" s="7" t="n">
        <x:v>5956.5</x:v>
      </x:c>
      <x:c r="M1016" s="3" t="str">
        <x:v>Credit Card</x:v>
      </x:c>
      <x:c r="N1016" s="3"/>
      <x:c r="O1016" s="3"/>
      <x:c r="P1016" s="3"/>
      <x:c r="Q1016" s="3"/>
    </x:row>
    <x:row r="1017" ht="21" customHeight="1">
      <x:c r="A1017" s="3" t="str">
        <x:v>ORD-101410</x:v>
      </x:c>
      <x:c r="B1017" s="5" t="n">
        <x:v>45574</x:v>
      </x:c>
      <x:c r="C1017" s="3" t="str">
        <x:v>CUST-00397</x:v>
      </x:c>
      <x:c r="D1017" s="3" t="str">
        <x:v>North</x:v>
      </x:c>
      <x:c r="E1017" s="3" t="str">
        <x:v>Beauty</x:v>
      </x:c>
      <x:c r="F1017" s="3" t="str">
        <x:v>Skincare</x:v>
      </x:c>
      <x:c r="G1017" s="3" t="str">
        <x:v>Vitamin C Serum</x:v>
      </x:c>
      <x:c r="H1017" s="3" t="n">
        <x:v>2</x:v>
      </x:c>
      <x:c r="I1017" s="7" t="n">
        <x:v>873.66</x:v>
      </x:c>
      <x:c r="J1017" s="9" t="n">
        <x:v>0.3</x:v>
      </x:c>
      <x:c r="K1017" s="7" t="n">
        <x:v>1223.12</x:v>
      </x:c>
      <x:c r="L1017" s="7" t="n">
        <x:v>294.2</x:v>
      </x:c>
      <x:c r="M1017" s="3" t="str">
        <x:v>UPI</x:v>
      </x:c>
      <x:c r="N1017" s="3"/>
      <x:c r="O1017" s="3"/>
      <x:c r="P1017" s="3"/>
      <x:c r="Q1017" s="3"/>
    </x:row>
    <x:row r="1018" ht="21" customHeight="1">
      <x:c r="A1018" s="3" t="str">
        <x:v>ORD-101699</x:v>
      </x:c>
      <x:c r="B1018" s="5" t="n">
        <x:v>45574</x:v>
      </x:c>
      <x:c r="C1018" s="3" t="str">
        <x:v>CUST-00430</x:v>
      </x:c>
      <x:c r="D1018" s="3" t="str">
        <x:v>North</x:v>
      </x:c>
      <x:c r="E1018" s="3" t="str">
        <x:v>Electronics</x:v>
      </x:c>
      <x:c r="F1018" s="3" t="str">
        <x:v>Laptop</x:v>
      </x:c>
      <x:c r="G1018" s="3" t="str">
        <x:v>ThinkPro 14</x:v>
      </x:c>
      <x:c r="H1018" s="3" t="n">
        <x:v>1</x:v>
      </x:c>
      <x:c r="I1018" s="7" t="n">
        <x:v>57561.63</x:v>
      </x:c>
      <x:c r="J1018" s="9" t="n">
        <x:v>0.1</x:v>
      </x:c>
      <x:c r="K1018" s="7" t="n">
        <x:v>51805.47</x:v>
      </x:c>
      <x:c r="L1018" s="7" t="n">
        <x:v>5238.19</x:v>
      </x:c>
      <x:c r="M1018" s="3" t="str">
        <x:v>Credit Card</x:v>
      </x:c>
      <x:c r="N1018" s="3"/>
      <x:c r="O1018" s="3"/>
      <x:c r="P1018" s="3"/>
      <x:c r="Q1018" s="3"/>
    </x:row>
    <x:row r="1019" ht="21" customHeight="1">
      <x:c r="A1019" s="3" t="str">
        <x:v>ORD-100446</x:v>
      </x:c>
      <x:c r="B1019" s="5" t="n">
        <x:v>45575</x:v>
      </x:c>
      <x:c r="C1019" s="3" t="str">
        <x:v>CUST-00332</x:v>
      </x:c>
      <x:c r="D1019" s="3" t="str">
        <x:v>East</x:v>
      </x:c>
      <x:c r="E1019" s="3" t="str">
        <x:v>Sports</x:v>
      </x:c>
      <x:c r="F1019" s="3" t="str">
        <x:v>Fitness</x:v>
      </x:c>
      <x:c r="G1019" s="3" t="str">
        <x:v>ProYoga Mat</x:v>
      </x:c>
      <x:c r="H1019" s="3" t="n">
        <x:v>2</x:v>
      </x:c>
      <x:c r="I1019" s="7" t="n">
        <x:v>1294.71</x:v>
      </x:c>
      <x:c r="J1019" s="9" t="n">
        <x:v>0</x:v>
      </x:c>
      <x:c r="K1019" s="7" t="n">
        <x:v>2589.42</x:v>
      </x:c>
      <x:c r="L1019" s="7" t="n">
        <x:v>1074.34</x:v>
      </x:c>
      <x:c r="M1019" s="3" t="str">
        <x:v>Net Banking</x:v>
      </x:c>
      <x:c r="N1019" s="3"/>
      <x:c r="O1019" s="3"/>
      <x:c r="P1019" s="3"/>
      <x:c r="Q1019" s="3"/>
    </x:row>
    <x:row r="1020" ht="21" customHeight="1">
      <x:c r="A1020" s="3" t="str">
        <x:v>ORD-101104</x:v>
      </x:c>
      <x:c r="B1020" s="5" t="n">
        <x:v>45575</x:v>
      </x:c>
      <x:c r="C1020" s="3" t="str">
        <x:v>CUST-00431</x:v>
      </x:c>
      <x:c r="D1020" s="3" t="str">
        <x:v>South</x:v>
      </x:c>
      <x:c r="E1020" s="3" t="str">
        <x:v>Electronics</x:v>
      </x:c>
      <x:c r="F1020" s="3" t="str">
        <x:v>Laptop</x:v>
      </x:c>
      <x:c r="G1020" s="3" t="str">
        <x:v>AirBook Slim</x:v>
      </x:c>
      <x:c r="H1020" s="3" t="n">
        <x:v>1</x:v>
      </x:c>
      <x:c r="I1020" s="7" t="n">
        <x:v>82428.52</x:v>
      </x:c>
      <x:c r="J1020" s="9" t="n">
        <x:v>0</x:v>
      </x:c>
      <x:c r="K1020" s="7" t="n">
        <x:v>82428.52</x:v>
      </x:c>
      <x:c r="L1020" s="7" t="n">
        <x:v>17658.2</x:v>
      </x:c>
      <x:c r="M1020" s="3" t="str">
        <x:v>Cash on Delivery</x:v>
      </x:c>
      <x:c r="N1020" s="3"/>
      <x:c r="O1020" s="3"/>
      <x:c r="P1020" s="3"/>
      <x:c r="Q1020" s="3"/>
    </x:row>
    <x:row r="1021" ht="21" customHeight="1">
      <x:c r="A1021" s="3" t="str">
        <x:v>ORD-101565</x:v>
      </x:c>
      <x:c r="B1021" s="5" t="n">
        <x:v>45575</x:v>
      </x:c>
      <x:c r="C1021" s="3" t="str">
        <x:v>CUST-00477</x:v>
      </x:c>
      <x:c r="D1021" s="3" t="str">
        <x:v>East</x:v>
      </x:c>
      <x:c r="E1021" s="3" t="str">
        <x:v>Fashion</x:v>
      </x:c>
      <x:c r="F1021" s="3" t="str">
        <x:v>Footwear</x:v>
      </x:c>
      <x:c r="G1021" s="3" t="str">
        <x:v>RunFlex Sneakers</x:v>
      </x:c>
      <x:c r="H1021" s="3" t="n">
        <x:v>1</x:v>
      </x:c>
      <x:c r="I1021" s="7" t="n">
        <x:v>3033.83</x:v>
      </x:c>
      <x:c r="J1021" s="9" t="n">
        <x:v>0.05</x:v>
      </x:c>
      <x:c r="K1021" s="7" t="n">
        <x:v>2882.14</x:v>
      </x:c>
      <x:c r="L1021" s="7" t="n">
        <x:v>952.27</x:v>
      </x:c>
      <x:c r="M1021" s="3" t="str">
        <x:v>UPI</x:v>
      </x:c>
      <x:c r="N1021" s="3"/>
      <x:c r="O1021" s="3"/>
      <x:c r="P1021" s="3"/>
      <x:c r="Q1021" s="3"/>
    </x:row>
    <x:row r="1022" ht="21" customHeight="1">
      <x:c r="A1022" s="3" t="str">
        <x:v>ORD-101784</x:v>
      </x:c>
      <x:c r="B1022" s="5" t="n">
        <x:v>45575</x:v>
      </x:c>
      <x:c r="C1022" s="3" t="str">
        <x:v>CUST-00431</x:v>
      </x:c>
      <x:c r="D1022" s="3" t="str">
        <x:v>East</x:v>
      </x:c>
      <x:c r="E1022" s="3" t="str">
        <x:v>Electronics</x:v>
      </x:c>
      <x:c r="F1022" s="3" t="str">
        <x:v>Audio</x:v>
      </x:c>
      <x:c r="G1022" s="3" t="str">
        <x:v>SoundPods Pro</x:v>
      </x:c>
      <x:c r="H1022" s="3" t="n">
        <x:v>3</x:v>
      </x:c>
      <x:c r="I1022" s="7" t="n">
        <x:v>5069.68</x:v>
      </x:c>
      <x:c r="J1022" s="9" t="n">
        <x:v>0.05</x:v>
      </x:c>
      <x:c r="K1022" s="7" t="n">
        <x:v>14448.59</x:v>
      </x:c>
      <x:c r="L1022" s="7" t="n">
        <x:v>2202.01</x:v>
      </x:c>
      <x:c r="M1022" s="3" t="str">
        <x:v>Debit Card</x:v>
      </x:c>
      <x:c r="N1022" s="3"/>
      <x:c r="O1022" s="3"/>
      <x:c r="P1022" s="3"/>
      <x:c r="Q1022" s="3"/>
    </x:row>
    <x:row r="1023" ht="21" customHeight="1">
      <x:c r="A1023" s="3" t="str">
        <x:v>ORD-100404</x:v>
      </x:c>
      <x:c r="B1023" s="5" t="n">
        <x:v>45576</x:v>
      </x:c>
      <x:c r="C1023" s="3" t="str">
        <x:v>CUST-00571</x:v>
      </x:c>
      <x:c r="D1023" s="3" t="str">
        <x:v>East</x:v>
      </x:c>
      <x:c r="E1023" s="3" t="str">
        <x:v>Beauty</x:v>
      </x:c>
      <x:c r="F1023" s="3" t="str">
        <x:v>Makeup</x:v>
      </x:c>
      <x:c r="G1023" s="3" t="str">
        <x:v>Matte Lipstick Set</x:v>
      </x:c>
      <x:c r="H1023" s="3" t="n">
        <x:v>1</x:v>
      </x:c>
      <x:c r="I1023" s="7" t="n">
        <x:v>994.38</x:v>
      </x:c>
      <x:c r="J1023" s="9" t="n">
        <x:v>0.1</x:v>
      </x:c>
      <x:c r="K1023" s="7" t="n">
        <x:v>894.94</x:v>
      </x:c>
      <x:c r="L1023" s="7" t="n">
        <x:v>385.14</x:v>
      </x:c>
      <x:c r="M1023" s="3" t="str">
        <x:v>UPI</x:v>
      </x:c>
      <x:c r="N1023" s="3"/>
      <x:c r="O1023" s="3"/>
      <x:c r="P1023" s="3"/>
      <x:c r="Q1023" s="3"/>
    </x:row>
    <x:row r="1024" ht="21" customHeight="1">
      <x:c r="A1024" s="3" t="str">
        <x:v>ORD-100877</x:v>
      </x:c>
      <x:c r="B1024" s="5" t="n">
        <x:v>45576</x:v>
      </x:c>
      <x:c r="C1024" s="3" t="str">
        <x:v>CUST-00448</x:v>
      </x:c>
      <x:c r="D1024" s="3" t="str">
        <x:v>West</x:v>
      </x:c>
      <x:c r="E1024" s="3" t="str">
        <x:v>Sports</x:v>
      </x:c>
      <x:c r="F1024" s="3" t="str">
        <x:v>Outdoor</x:v>
      </x:c>
      <x:c r="G1024" s="3" t="str">
        <x:v>AllWeather Tent 4P</x:v>
      </x:c>
      <x:c r="H1024" s="3" t="n">
        <x:v>1</x:v>
      </x:c>
      <x:c r="I1024" s="7" t="n">
        <x:v>12035.82</x:v>
      </x:c>
      <x:c r="J1024" s="9" t="n">
        <x:v>0.1</x:v>
      </x:c>
      <x:c r="K1024" s="7" t="n">
        <x:v>10832.24</x:v>
      </x:c>
      <x:c r="L1024" s="7" t="n">
        <x:v>3202.69</x:v>
      </x:c>
      <x:c r="M1024" s="3" t="str">
        <x:v>Cash on Delivery</x:v>
      </x:c>
      <x:c r="N1024" s="3"/>
      <x:c r="O1024" s="3"/>
      <x:c r="P1024" s="3"/>
      <x:c r="Q1024" s="3"/>
    </x:row>
    <x:row r="1025" ht="21" customHeight="1">
      <x:c r="A1025" s="3" t="str">
        <x:v>ORD-101693</x:v>
      </x:c>
      <x:c r="B1025" s="5" t="n">
        <x:v>45576</x:v>
      </x:c>
      <x:c r="C1025" s="3" t="str">
        <x:v>CUST-00252</x:v>
      </x:c>
      <x:c r="D1025" s="3" t="str">
        <x:v>North</x:v>
      </x:c>
      <x:c r="E1025" s="3" t="str">
        <x:v>Fashion</x:v>
      </x:c>
      <x:c r="F1025" s="3" t="str">
        <x:v>Men</x:v>
      </x:c>
      <x:c r="G1025" s="3" t="str">
        <x:v>Oxford Casual Shirt</x:v>
      </x:c>
      <x:c r="H1025" s="3" t="n">
        <x:v>1</x:v>
      </x:c>
      <x:c r="I1025" s="7" t="n">
        <x:v>1255.15</x:v>
      </x:c>
      <x:c r="J1025" s="9" t="n">
        <x:v>0.1</x:v>
      </x:c>
      <x:c r="K1025" s="7" t="n">
        <x:v>1129.64</x:v>
      </x:c>
      <x:c r="L1025" s="7" t="n">
        <x:v>389.67</x:v>
      </x:c>
      <x:c r="M1025" s="3" t="str">
        <x:v>Net Banking</x:v>
      </x:c>
      <x:c r="N1025" s="3"/>
      <x:c r="O1025" s="3"/>
      <x:c r="P1025" s="3"/>
      <x:c r="Q1025" s="3"/>
    </x:row>
    <x:row r="1026" ht="21" customHeight="1">
      <x:c r="A1026" s="3" t="str">
        <x:v>ORD-101777</x:v>
      </x:c>
      <x:c r="B1026" s="5" t="n">
        <x:v>45576</x:v>
      </x:c>
      <x:c r="C1026" s="3" t="str">
        <x:v>CUST-00218</x:v>
      </x:c>
      <x:c r="D1026" s="3" t="str">
        <x:v>South</x:v>
      </x:c>
      <x:c r="E1026" s="3" t="str">
        <x:v>Electronics</x:v>
      </x:c>
      <x:c r="F1026" s="3" t="str">
        <x:v>Mobile</x:v>
      </x:c>
      <x:c r="G1026" s="3" t="str">
        <x:v>Galaxy Nova X5</x:v>
      </x:c>
      <x:c r="H1026" s="3" t="n">
        <x:v>3</x:v>
      </x:c>
      <x:c r="I1026" s="7" t="n">
        <x:v>23870.32</x:v>
      </x:c>
      <x:c r="J1026" s="9" t="n">
        <x:v>0.05</x:v>
      </x:c>
      <x:c r="K1026" s="7" t="n">
        <x:v>68030.41</x:v>
      </x:c>
      <x:c r="L1026" s="7" t="n">
        <x:v>8940.36</x:v>
      </x:c>
      <x:c r="M1026" s="3" t="str">
        <x:v>UPI</x:v>
      </x:c>
      <x:c r="N1026" s="3"/>
      <x:c r="O1026" s="3"/>
      <x:c r="P1026" s="3"/>
      <x:c r="Q1026" s="3"/>
    </x:row>
    <x:row r="1027" ht="21" customHeight="1">
      <x:c r="A1027" s="3" t="str">
        <x:v>ORD-100805</x:v>
      </x:c>
      <x:c r="B1027" s="5" t="n">
        <x:v>45577</x:v>
      </x:c>
      <x:c r="C1027" s="3" t="str">
        <x:v>CUST-00311</x:v>
      </x:c>
      <x:c r="D1027" s="3" t="str">
        <x:v>East</x:v>
      </x:c>
      <x:c r="E1027" s="3" t="str">
        <x:v>Sports</x:v>
      </x:c>
      <x:c r="F1027" s="3" t="str">
        <x:v>Fitness</x:v>
      </x:c>
      <x:c r="G1027" s="3" t="str">
        <x:v>ProYoga Mat</x:v>
      </x:c>
      <x:c r="H1027" s="3" t="n">
        <x:v>2</x:v>
      </x:c>
      <x:c r="I1027" s="7" t="n">
        <x:v>1327.48</x:v>
      </x:c>
      <x:c r="J1027" s="9" t="n">
        <x:v>0.05</x:v>
      </x:c>
      <x:c r="K1027" s="7" t="n">
        <x:v>2522.21</x:v>
      </x:c>
      <x:c r="L1027" s="7" t="n">
        <x:v>780.99</x:v>
      </x:c>
      <x:c r="M1027" s="3" t="str">
        <x:v>Debit Card</x:v>
      </x:c>
      <x:c r="N1027" s="3"/>
      <x:c r="O1027" s="3"/>
      <x:c r="P1027" s="3"/>
      <x:c r="Q1027" s="3"/>
    </x:row>
    <x:row r="1028" ht="21" customHeight="1">
      <x:c r="A1028" s="3" t="str">
        <x:v>ORD-100846</x:v>
      </x:c>
      <x:c r="B1028" s="5" t="n">
        <x:v>45577</x:v>
      </x:c>
      <x:c r="C1028" s="3" t="str">
        <x:v>CUST-00212</x:v>
      </x:c>
      <x:c r="D1028" s="3" t="str">
        <x:v>West</x:v>
      </x:c>
      <x:c r="E1028" s="3" t="str">
        <x:v>Fashion</x:v>
      </x:c>
      <x:c r="F1028" s="3" t="str">
        <x:v>Men</x:v>
      </x:c>
      <x:c r="G1028" s="3" t="str">
        <x:v>Oxford Casual Shirt</x:v>
      </x:c>
      <x:c r="H1028" s="3" t="n">
        <x:v>1</x:v>
      </x:c>
      <x:c r="I1028" s="7" t="n">
        <x:v>1349.06</x:v>
      </x:c>
      <x:c r="J1028" s="9" t="n">
        <x:v>0.05</x:v>
      </x:c>
      <x:c r="K1028" s="7" t="n">
        <x:v>1281.61</x:v>
      </x:c>
      <x:c r="L1028" s="7" t="n">
        <x:v>442.9</x:v>
      </x:c>
      <x:c r="M1028" s="3" t="str">
        <x:v>Cash on Delivery</x:v>
      </x:c>
      <x:c r="N1028" s="3"/>
      <x:c r="O1028" s="3"/>
      <x:c r="P1028" s="3"/>
      <x:c r="Q1028" s="3"/>
    </x:row>
    <x:row r="1029" ht="21" customHeight="1">
      <x:c r="A1029" s="3" t="str">
        <x:v>ORD-101120</x:v>
      </x:c>
      <x:c r="B1029" s="5" t="n">
        <x:v>45577</x:v>
      </x:c>
      <x:c r="C1029" s="3" t="str">
        <x:v>CUST-00466</x:v>
      </x:c>
      <x:c r="D1029" s="3" t="str">
        <x:v>West</x:v>
      </x:c>
      <x:c r="E1029" s="3" t="str">
        <x:v>Sports</x:v>
      </x:c>
      <x:c r="F1029" s="3" t="str">
        <x:v>Fitness</x:v>
      </x:c>
      <x:c r="G1029" s="3" t="str">
        <x:v>ProYoga Mat</x:v>
      </x:c>
      <x:c r="H1029" s="3" t="n">
        <x:v>1</x:v>
      </x:c>
      <x:c r="I1029" s="7" t="n">
        <x:v>1251.23</x:v>
      </x:c>
      <x:c r="J1029" s="9" t="n">
        <x:v>0</x:v>
      </x:c>
      <x:c r="K1029" s="7" t="n">
        <x:v>1251.23</x:v>
      </x:c>
      <x:c r="L1029" s="7" t="n">
        <x:v>511.67</x:v>
      </x:c>
      <x:c r="M1029" s="3" t="str">
        <x:v>Credit Card</x:v>
      </x:c>
      <x:c r="N1029" s="3"/>
      <x:c r="O1029" s="3"/>
      <x:c r="P1029" s="3"/>
      <x:c r="Q1029" s="3"/>
    </x:row>
    <x:row r="1030" ht="21" customHeight="1">
      <x:c r="A1030" s="3" t="str">
        <x:v>ORD-100138</x:v>
      </x:c>
      <x:c r="B1030" s="5" t="n">
        <x:v>45578</x:v>
      </x:c>
      <x:c r="C1030" s="3" t="str">
        <x:v>CUST-00122</x:v>
      </x:c>
      <x:c r="D1030" s="3" t="str">
        <x:v>North</x:v>
      </x:c>
      <x:c r="E1030" s="3" t="str">
        <x:v>Home &amp; Kitchen</x:v>
      </x:c>
      <x:c r="F1030" s="3" t="str">
        <x:v>Decor</x:v>
      </x:c>
      <x:c r="G1030" s="3" t="str">
        <x:v>LED Wall Lamp</x:v>
      </x:c>
      <x:c r="H1030" s="3" t="n">
        <x:v>1</x:v>
      </x:c>
      <x:c r="I1030" s="7" t="n">
        <x:v>1005.18</x:v>
      </x:c>
      <x:c r="J1030" s="9" t="n">
        <x:v>0</x:v>
      </x:c>
      <x:c r="K1030" s="7" t="n">
        <x:v>1005.18</x:v>
      </x:c>
      <x:c r="L1030" s="7" t="n">
        <x:v>320.65</x:v>
      </x:c>
      <x:c r="M1030" s="3" t="str">
        <x:v>UPI</x:v>
      </x:c>
      <x:c r="N1030" s="3"/>
      <x:c r="O1030" s="3"/>
      <x:c r="P1030" s="3"/>
      <x:c r="Q1030" s="3"/>
    </x:row>
    <x:row r="1031" ht="21" customHeight="1">
      <x:c r="A1031" s="3" t="str">
        <x:v>ORD-100343</x:v>
      </x:c>
      <x:c r="B1031" s="5" t="n">
        <x:v>45578</x:v>
      </x:c>
      <x:c r="C1031" s="3" t="str">
        <x:v>CUST-00586</x:v>
      </x:c>
      <x:c r="D1031" s="3" t="str">
        <x:v>South</x:v>
      </x:c>
      <x:c r="E1031" s="3" t="str">
        <x:v>Fashion</x:v>
      </x:c>
      <x:c r="F1031" s="3" t="str">
        <x:v>Women</x:v>
      </x:c>
      <x:c r="G1031" s="3" t="str">
        <x:v>Knit Winter Sweater</x:v>
      </x:c>
      <x:c r="H1031" s="3" t="n">
        <x:v>4</x:v>
      </x:c>
      <x:c r="I1031" s="7" t="n">
        <x:v>2129.49</x:v>
      </x:c>
      <x:c r="J1031" s="9" t="n">
        <x:v>0.05</x:v>
      </x:c>
      <x:c r="K1031" s="7" t="n">
        <x:v>8092.06</x:v>
      </x:c>
      <x:c r="L1031" s="7" t="n">
        <x:v>2884.14</x:v>
      </x:c>
      <x:c r="M1031" s="3" t="str">
        <x:v>Debit Card</x:v>
      </x:c>
      <x:c r="N1031" s="3"/>
      <x:c r="O1031" s="3"/>
      <x:c r="P1031" s="3"/>
      <x:c r="Q1031" s="3"/>
    </x:row>
    <x:row r="1032" ht="21" customHeight="1">
      <x:c r="A1032" s="3" t="str">
        <x:v>ORD-100390</x:v>
      </x:c>
      <x:c r="B1032" s="5" t="n">
        <x:v>45578</x:v>
      </x:c>
      <x:c r="C1032" s="3" t="str">
        <x:v>CUST-00350</x:v>
      </x:c>
      <x:c r="D1032" s="3" t="str">
        <x:v>North</x:v>
      </x:c>
      <x:c r="E1032" s="3" t="str">
        <x:v>Electronics</x:v>
      </x:c>
      <x:c r="F1032" s="3" t="str">
        <x:v>Laptop</x:v>
      </x:c>
      <x:c r="G1032" s="3" t="str">
        <x:v>AirBook Slim</x:v>
      </x:c>
      <x:c r="H1032" s="3" t="n">
        <x:v>1</x:v>
      </x:c>
      <x:c r="I1032" s="7" t="n">
        <x:v>82917.31</x:v>
      </x:c>
      <x:c r="J1032" s="9" t="n">
        <x:v>0.05</x:v>
      </x:c>
      <x:c r="K1032" s="7" t="n">
        <x:v>78771.44</x:v>
      </x:c>
      <x:c r="L1032" s="7" t="n">
        <x:v>12665.43</x:v>
      </x:c>
      <x:c r="M1032" s="3" t="str">
        <x:v>UPI</x:v>
      </x:c>
      <x:c r="N1032" s="3"/>
      <x:c r="O1032" s="3"/>
      <x:c r="P1032" s="3"/>
      <x:c r="Q1032" s="3"/>
    </x:row>
    <x:row r="1033" ht="21" customHeight="1">
      <x:c r="A1033" s="3" t="str">
        <x:v>ORD-100435</x:v>
      </x:c>
      <x:c r="B1033" s="5" t="n">
        <x:v>45578</x:v>
      </x:c>
      <x:c r="C1033" s="3" t="str">
        <x:v>CUST-00081</x:v>
      </x:c>
      <x:c r="D1033" s="3" t="str">
        <x:v>South</x:v>
      </x:c>
      <x:c r="E1033" s="3" t="str">
        <x:v>Beauty</x:v>
      </x:c>
      <x:c r="F1033" s="3" t="str">
        <x:v>Makeup</x:v>
      </x:c>
      <x:c r="G1033" s="3" t="str">
        <x:v>Matte Lipstick Set</x:v>
      </x:c>
      <x:c r="H1033" s="3" t="n">
        <x:v>5</x:v>
      </x:c>
      <x:c r="I1033" s="7" t="n">
        <x:v>1019.47</x:v>
      </x:c>
      <x:c r="J1033" s="9" t="n">
        <x:v>0.1</x:v>
      </x:c>
      <x:c r="K1033" s="7" t="n">
        <x:v>4587.62</x:v>
      </x:c>
      <x:c r="L1033" s="7" t="n">
        <x:v>1853.64</x:v>
      </x:c>
      <x:c r="M1033" s="3" t="str">
        <x:v>Credit Card</x:v>
      </x:c>
      <x:c r="N1033" s="3"/>
      <x:c r="O1033" s="3"/>
      <x:c r="P1033" s="3"/>
      <x:c r="Q1033" s="3"/>
    </x:row>
    <x:row r="1034" ht="21" customHeight="1">
      <x:c r="A1034" s="3" t="str">
        <x:v>ORD-101109</x:v>
      </x:c>
      <x:c r="B1034" s="5" t="n">
        <x:v>45578</x:v>
      </x:c>
      <x:c r="C1034" s="3" t="str">
        <x:v>CUST-00245</x:v>
      </x:c>
      <x:c r="D1034" s="3" t="str">
        <x:v>West</x:v>
      </x:c>
      <x:c r="E1034" s="3" t="str">
        <x:v>Sports</x:v>
      </x:c>
      <x:c r="F1034" s="3" t="str">
        <x:v>Fitness</x:v>
      </x:c>
      <x:c r="G1034" s="3" t="str">
        <x:v>ProYoga Mat</x:v>
      </x:c>
      <x:c r="H1034" s="3" t="n">
        <x:v>1</x:v>
      </x:c>
      <x:c r="I1034" s="7" t="n">
        <x:v>1265.49</x:v>
      </x:c>
      <x:c r="J1034" s="9" t="n">
        <x:v>0.05</x:v>
      </x:c>
      <x:c r="K1034" s="7" t="n">
        <x:v>1202.22</x:v>
      </x:c>
      <x:c r="L1034" s="7" t="n">
        <x:v>398.26</x:v>
      </x:c>
      <x:c r="M1034" s="3" t="str">
        <x:v>Net Banking</x:v>
      </x:c>
      <x:c r="N1034" s="3"/>
      <x:c r="O1034" s="3"/>
      <x:c r="P1034" s="3"/>
      <x:c r="Q1034" s="3"/>
    </x:row>
    <x:row r="1035" ht="21" customHeight="1">
      <x:c r="A1035" s="3" t="str">
        <x:v>ORD-101234</x:v>
      </x:c>
      <x:c r="B1035" s="5" t="n">
        <x:v>45578</x:v>
      </x:c>
      <x:c r="C1035" s="3" t="str">
        <x:v>CUST-00508</x:v>
      </x:c>
      <x:c r="D1035" s="3" t="str">
        <x:v>North</x:v>
      </x:c>
      <x:c r="E1035" s="3" t="str">
        <x:v>Fashion</x:v>
      </x:c>
      <x:c r="F1035" s="3" t="str">
        <x:v>Footwear</x:v>
      </x:c>
      <x:c r="G1035" s="3" t="str">
        <x:v>RunFlex Sneakers</x:v>
      </x:c>
      <x:c r="H1035" s="3" t="n">
        <x:v>3</x:v>
      </x:c>
      <x:c r="I1035" s="7" t="n">
        <x:v>3041.61</x:v>
      </x:c>
      <x:c r="J1035" s="9" t="n">
        <x:v>0.25</x:v>
      </x:c>
      <x:c r="K1035" s="7" t="n">
        <x:v>6843.62</x:v>
      </x:c>
      <x:c r="L1035" s="7" t="n">
        <x:v>976.3</x:v>
      </x:c>
      <x:c r="M1035" s="3" t="str">
        <x:v>UPI</x:v>
      </x:c>
      <x:c r="N1035" s="3"/>
      <x:c r="O1035" s="3"/>
      <x:c r="P1035" s="3"/>
      <x:c r="Q1035" s="3"/>
    </x:row>
    <x:row r="1036" ht="21" customHeight="1">
      <x:c r="A1036" s="3" t="str">
        <x:v>ORD-101265</x:v>
      </x:c>
      <x:c r="B1036" s="5" t="n">
        <x:v>45578</x:v>
      </x:c>
      <x:c r="C1036" s="3" t="str">
        <x:v>CUST-00348</x:v>
      </x:c>
      <x:c r="D1036" s="3" t="str">
        <x:v>East</x:v>
      </x:c>
      <x:c r="E1036" s="3" t="str">
        <x:v>Beauty</x:v>
      </x:c>
      <x:c r="F1036" s="3" t="str">
        <x:v>Makeup</x:v>
      </x:c>
      <x:c r="G1036" s="3" t="str">
        <x:v>HD Foundation Kit</x:v>
      </x:c>
      <x:c r="H1036" s="3" t="n">
        <x:v>1</x:v>
      </x:c>
      <x:c r="I1036" s="7" t="n">
        <x:v>1553.35</x:v>
      </x:c>
      <x:c r="J1036" s="9" t="n">
        <x:v>0</x:v>
      </x:c>
      <x:c r="K1036" s="7" t="n">
        <x:v>1553.35</x:v>
      </x:c>
      <x:c r="L1036" s="7" t="n">
        <x:v>809.38</x:v>
      </x:c>
      <x:c r="M1036" s="3" t="str">
        <x:v>Credit Card</x:v>
      </x:c>
      <x:c r="N1036" s="3"/>
      <x:c r="O1036" s="3"/>
      <x:c r="P1036" s="3"/>
      <x:c r="Q1036" s="3"/>
    </x:row>
    <x:row r="1037" ht="21" customHeight="1">
      <x:c r="A1037" s="3" t="str">
        <x:v>ORD-101572</x:v>
      </x:c>
      <x:c r="B1037" s="5" t="n">
        <x:v>45578</x:v>
      </x:c>
      <x:c r="C1037" s="3" t="str">
        <x:v>CUST-00115</x:v>
      </x:c>
      <x:c r="D1037" s="3" t="str">
        <x:v>South</x:v>
      </x:c>
      <x:c r="E1037" s="3" t="str">
        <x:v>Sports</x:v>
      </x:c>
      <x:c r="F1037" s="3" t="str">
        <x:v>Fitness</x:v>
      </x:c>
      <x:c r="G1037" s="3" t="str">
        <x:v>Adjustable Dumbbell 24kg</x:v>
      </x:c>
      <x:c r="H1037" s="3" t="n">
        <x:v>1</x:v>
      </x:c>
      <x:c r="I1037" s="7" t="n">
        <x:v>9524</x:v>
      </x:c>
      <x:c r="J1037" s="9" t="n">
        <x:v>0</x:v>
      </x:c>
      <x:c r="K1037" s="7" t="n">
        <x:v>9524</x:v>
      </x:c>
      <x:c r="L1037" s="7" t="n">
        <x:v>3865.7</x:v>
      </x:c>
      <x:c r="M1037" s="3" t="str">
        <x:v>Net Banking</x:v>
      </x:c>
      <x:c r="N1037" s="3"/>
      <x:c r="O1037" s="3"/>
      <x:c r="P1037" s="3"/>
      <x:c r="Q1037" s="3"/>
    </x:row>
    <x:row r="1038" ht="21" customHeight="1">
      <x:c r="A1038" s="3" t="str">
        <x:v>ORD-101785</x:v>
      </x:c>
      <x:c r="B1038" s="5" t="n">
        <x:v>45578</x:v>
      </x:c>
      <x:c r="C1038" s="3" t="str">
        <x:v>CUST-00431</x:v>
      </x:c>
      <x:c r="D1038" s="3" t="str">
        <x:v>East</x:v>
      </x:c>
      <x:c r="E1038" s="3" t="str">
        <x:v>Fashion</x:v>
      </x:c>
      <x:c r="F1038" s="3" t="str">
        <x:v>Men</x:v>
      </x:c>
      <x:c r="G1038" s="3" t="str">
        <x:v>SlimFit Denim Jeans</x:v>
      </x:c>
      <x:c r="H1038" s="3" t="n">
        <x:v>1</x:v>
      </x:c>
      <x:c r="I1038" s="7" t="n">
        <x:v>1905.27</x:v>
      </x:c>
      <x:c r="J1038" s="9" t="n">
        <x:v>0.2</x:v>
      </x:c>
      <x:c r="K1038" s="7" t="n">
        <x:v>1524.22</x:v>
      </x:c>
      <x:c r="L1038" s="7" t="n">
        <x:v>307.02</x:v>
      </x:c>
      <x:c r="M1038" s="3" t="str">
        <x:v>UPI</x:v>
      </x:c>
      <x:c r="N1038" s="3"/>
      <x:c r="O1038" s="3"/>
      <x:c r="P1038" s="3"/>
      <x:c r="Q1038" s="3"/>
    </x:row>
    <x:row r="1039" ht="21" customHeight="1">
      <x:c r="A1039" s="3" t="str">
        <x:v>ORD-100536</x:v>
      </x:c>
      <x:c r="B1039" s="5" t="n">
        <x:v>45579</x:v>
      </x:c>
      <x:c r="C1039" s="3" t="str">
        <x:v>CUST-00441</x:v>
      </x:c>
      <x:c r="D1039" s="3" t="str">
        <x:v>North</x:v>
      </x:c>
      <x:c r="E1039" s="3" t="str">
        <x:v>Sports</x:v>
      </x:c>
      <x:c r="F1039" s="3" t="str">
        <x:v>Fitness</x:v>
      </x:c>
      <x:c r="G1039" s="3" t="str">
        <x:v>ProYoga Mat</x:v>
      </x:c>
      <x:c r="H1039" s="3" t="n">
        <x:v>1</x:v>
      </x:c>
      <x:c r="I1039" s="7" t="n">
        <x:v>1252.47</x:v>
      </x:c>
      <x:c r="J1039" s="9" t="n">
        <x:v>0.1</x:v>
      </x:c>
      <x:c r="K1039" s="7" t="n">
        <x:v>1127.22</x:v>
      </x:c>
      <x:c r="L1039" s="7" t="n">
        <x:v>264.16</x:v>
      </x:c>
      <x:c r="M1039" s="3" t="str">
        <x:v>UPI</x:v>
      </x:c>
      <x:c r="N1039" s="3"/>
      <x:c r="O1039" s="3"/>
      <x:c r="P1039" s="3"/>
      <x:c r="Q1039" s="3"/>
    </x:row>
    <x:row r="1040" ht="21" customHeight="1">
      <x:c r="A1040" s="3" t="str">
        <x:v>ORD-101030</x:v>
      </x:c>
      <x:c r="B1040" s="5" t="n">
        <x:v>45579</x:v>
      </x:c>
      <x:c r="C1040" s="3" t="str">
        <x:v>CUST-00256</x:v>
      </x:c>
      <x:c r="D1040" s="3" t="str">
        <x:v>South</x:v>
      </x:c>
      <x:c r="E1040" s="3" t="str">
        <x:v>Fashion</x:v>
      </x:c>
      <x:c r="F1040" s="3" t="str">
        <x:v>Men</x:v>
      </x:c>
      <x:c r="G1040" s="3" t="str">
        <x:v>SlimFit Denim Jeans</x:v>
      </x:c>
      <x:c r="H1040" s="3" t="n">
        <x:v>1</x:v>
      </x:c>
      <x:c r="I1040" s="7" t="n">
        <x:v>2022.65</x:v>
      </x:c>
      <x:c r="J1040" s="9" t="n">
        <x:v>0.1</x:v>
      </x:c>
      <x:c r="K1040" s="7" t="n">
        <x:v>1820.39</x:v>
      </x:c>
      <x:c r="L1040" s="7" t="n">
        <x:v>505.45</x:v>
      </x:c>
      <x:c r="M1040" s="3" t="str">
        <x:v>Credit Card</x:v>
      </x:c>
      <x:c r="N1040" s="3"/>
      <x:c r="O1040" s="3"/>
      <x:c r="P1040" s="3"/>
      <x:c r="Q1040" s="3"/>
    </x:row>
    <x:row r="1041" ht="21" customHeight="1">
      <x:c r="A1041" s="3" t="str">
        <x:v>ORD-101074</x:v>
      </x:c>
      <x:c r="B1041" s="5" t="n">
        <x:v>45579</x:v>
      </x:c>
      <x:c r="C1041" s="3" t="str">
        <x:v>CUST-00491</x:v>
      </x:c>
      <x:c r="D1041" s="3" t="str">
        <x:v>East</x:v>
      </x:c>
      <x:c r="E1041" s="3" t="str">
        <x:v>Sports</x:v>
      </x:c>
      <x:c r="F1041" s="3" t="str">
        <x:v>Fitness</x:v>
      </x:c>
      <x:c r="G1041" s="3" t="str">
        <x:v>ProYoga Mat</x:v>
      </x:c>
      <x:c r="H1041" s="3" t="n">
        <x:v>1</x:v>
      </x:c>
      <x:c r="I1041" s="7" t="n">
        <x:v>1287.62</x:v>
      </x:c>
      <x:c r="J1041" s="9" t="n">
        <x:v>0.2</x:v>
      </x:c>
      <x:c r="K1041" s="7" t="n">
        <x:v>1030.1</x:v>
      </x:c>
      <x:c r="L1041" s="7" t="n">
        <x:v>193.49</x:v>
      </x:c>
      <x:c r="M1041" s="3" t="str">
        <x:v>UPI</x:v>
      </x:c>
      <x:c r="N1041" s="3"/>
      <x:c r="O1041" s="3"/>
      <x:c r="P1041" s="3"/>
      <x:c r="Q1041" s="3"/>
    </x:row>
    <x:row r="1042" ht="21" customHeight="1">
      <x:c r="A1042" s="3" t="str">
        <x:v>ORD-101162</x:v>
      </x:c>
      <x:c r="B1042" s="5" t="n">
        <x:v>45579</x:v>
      </x:c>
      <x:c r="C1042" s="3" t="str">
        <x:v>CUST-00422</x:v>
      </x:c>
      <x:c r="D1042" s="3" t="str">
        <x:v>North</x:v>
      </x:c>
      <x:c r="E1042" s="3" t="str">
        <x:v>Sports</x:v>
      </x:c>
      <x:c r="F1042" s="3" t="str">
        <x:v>Outdoor</x:v>
      </x:c>
      <x:c r="G1042" s="3" t="str">
        <x:v>TrailHike Backpack 60L</x:v>
      </x:c>
      <x:c r="H1042" s="3" t="n">
        <x:v>3</x:v>
      </x:c>
      <x:c r="I1042" s="7" t="n">
        <x:v>3429.09</x:v>
      </x:c>
      <x:c r="J1042" s="9" t="n">
        <x:v>0</x:v>
      </x:c>
      <x:c r="K1042" s="7" t="n">
        <x:v>10287.27</x:v>
      </x:c>
      <x:c r="L1042" s="7" t="n">
        <x:v>4291.09</x:v>
      </x:c>
      <x:c r="M1042" s="3" t="str">
        <x:v>UPI</x:v>
      </x:c>
      <x:c r="N1042" s="3"/>
      <x:c r="O1042" s="3"/>
      <x:c r="P1042" s="3"/>
      <x:c r="Q1042" s="3"/>
    </x:row>
    <x:row r="1043" ht="21" customHeight="1">
      <x:c r="A1043" s="3" t="str">
        <x:v>ORD-101426</x:v>
      </x:c>
      <x:c r="B1043" s="5" t="n">
        <x:v>45579</x:v>
      </x:c>
      <x:c r="C1043" s="3" t="str">
        <x:v>CUST-00215</x:v>
      </x:c>
      <x:c r="D1043" s="3" t="str">
        <x:v>North</x:v>
      </x:c>
      <x:c r="E1043" s="3" t="str">
        <x:v>Sports</x:v>
      </x:c>
      <x:c r="F1043" s="3" t="str">
        <x:v>Outdoor</x:v>
      </x:c>
      <x:c r="G1043" s="3" t="str">
        <x:v>TrailHike Backpack 60L</x:v>
      </x:c>
      <x:c r="H1043" s="3" t="n">
        <x:v>1</x:v>
      </x:c>
      <x:c r="I1043" s="7" t="n">
        <x:v>3452.94</x:v>
      </x:c>
      <x:c r="J1043" s="9" t="n">
        <x:v>0</x:v>
      </x:c>
      <x:c r="K1043" s="7" t="n">
        <x:v>3452.94</x:v>
      </x:c>
      <x:c r="L1043" s="7" t="n">
        <x:v>1325.65</x:v>
      </x:c>
      <x:c r="M1043" s="3" t="str">
        <x:v>Cash on Delivery</x:v>
      </x:c>
      <x:c r="N1043" s="3"/>
      <x:c r="O1043" s="3"/>
      <x:c r="P1043" s="3"/>
      <x:c r="Q1043" s="3"/>
    </x:row>
    <x:row r="1044" ht="21" customHeight="1">
      <x:c r="A1044" s="3" t="str">
        <x:v>ORD-101885</x:v>
      </x:c>
      <x:c r="B1044" s="5" t="n">
        <x:v>45579</x:v>
      </x:c>
      <x:c r="C1044" s="3" t="str">
        <x:v>CUST-00066</x:v>
      </x:c>
      <x:c r="D1044" s="3" t="str">
        <x:v>South</x:v>
      </x:c>
      <x:c r="E1044" s="3" t="str">
        <x:v>Beauty</x:v>
      </x:c>
      <x:c r="F1044" s="3" t="str">
        <x:v>Skincare</x:v>
      </x:c>
      <x:c r="G1044" s="3" t="str">
        <x:v>Vitamin C Serum</x:v>
      </x:c>
      <x:c r="H1044" s="3" t="n">
        <x:v>1</x:v>
      </x:c>
      <x:c r="I1044" s="7" t="n">
        <x:v>917.77</x:v>
      </x:c>
      <x:c r="J1044" s="9" t="n">
        <x:v>0</x:v>
      </x:c>
      <x:c r="K1044" s="7" t="n">
        <x:v>917.77</x:v>
      </x:c>
      <x:c r="L1044" s="7" t="n">
        <x:v>515.64</x:v>
      </x:c>
      <x:c r="M1044" s="3" t="str">
        <x:v>UPI</x:v>
      </x:c>
      <x:c r="N1044" s="3"/>
      <x:c r="O1044" s="3"/>
      <x:c r="P1044" s="3"/>
      <x:c r="Q1044" s="3"/>
    </x:row>
    <x:row r="1045" ht="21" customHeight="1">
      <x:c r="A1045" s="3" t="str">
        <x:v>ORD-100410</x:v>
      </x:c>
      <x:c r="B1045" s="5" t="n">
        <x:v>45580</x:v>
      </x:c>
      <x:c r="C1045" s="3" t="str">
        <x:v>CUST-00070</x:v>
      </x:c>
      <x:c r="D1045" s="3" t="str">
        <x:v>South</x:v>
      </x:c>
      <x:c r="E1045" s="3" t="str">
        <x:v>Sports</x:v>
      </x:c>
      <x:c r="F1045" s="3" t="str">
        <x:v>Fitness</x:v>
      </x:c>
      <x:c r="G1045" s="3" t="str">
        <x:v>ProYoga Mat</x:v>
      </x:c>
      <x:c r="H1045" s="3" t="n">
        <x:v>3</x:v>
      </x:c>
      <x:c r="I1045" s="7" t="n">
        <x:v>1287.83</x:v>
      </x:c>
      <x:c r="J1045" s="9" t="n">
        <x:v>0.4</x:v>
      </x:c>
      <x:c r="K1045" s="7" t="n">
        <x:v>2318.09</x:v>
      </x:c>
      <x:c r="L1045" s="7" t="n">
        <x:v>-216.27</x:v>
      </x:c>
      <x:c r="M1045" s="3" t="str">
        <x:v>Credit Card</x:v>
      </x:c>
      <x:c r="N1045" s="3"/>
      <x:c r="O1045" s="3"/>
      <x:c r="P1045" s="3"/>
      <x:c r="Q1045" s="3"/>
    </x:row>
    <x:row r="1046" ht="21" customHeight="1">
      <x:c r="A1046" s="3" t="str">
        <x:v>ORD-101478</x:v>
      </x:c>
      <x:c r="B1046" s="5" t="n">
        <x:v>45580</x:v>
      </x:c>
      <x:c r="C1046" s="3" t="str">
        <x:v>CUST-00520</x:v>
      </x:c>
      <x:c r="D1046" s="3" t="str">
        <x:v>South</x:v>
      </x:c>
      <x:c r="E1046" s="3" t="str">
        <x:v>Fashion</x:v>
      </x:c>
      <x:c r="F1046" s="3" t="str">
        <x:v>Men</x:v>
      </x:c>
      <x:c r="G1046" s="3" t="str">
        <x:v>Oxford Casual Shirt</x:v>
      </x:c>
      <x:c r="H1046" s="3" t="n">
        <x:v>2</x:v>
      </x:c>
      <x:c r="I1046" s="7" t="n">
        <x:v>1310.03</x:v>
      </x:c>
      <x:c r="J1046" s="9" t="n">
        <x:v>0.15</x:v>
      </x:c>
      <x:c r="K1046" s="7" t="n">
        <x:v>2227.05</x:v>
      </x:c>
      <x:c r="L1046" s="7" t="n">
        <x:v>584.71</x:v>
      </x:c>
      <x:c r="M1046" s="3" t="str">
        <x:v>Debit Card</x:v>
      </x:c>
      <x:c r="N1046" s="3"/>
      <x:c r="O1046" s="3"/>
      <x:c r="P1046" s="3"/>
      <x:c r="Q1046" s="3"/>
    </x:row>
    <x:row r="1047" ht="21" customHeight="1">
      <x:c r="A1047" s="3" t="str">
        <x:v>ORD-101847</x:v>
      </x:c>
      <x:c r="B1047" s="5" t="n">
        <x:v>45580</x:v>
      </x:c>
      <x:c r="C1047" s="3" t="str">
        <x:v>CUST-00577</x:v>
      </x:c>
      <x:c r="D1047" s="3" t="str">
        <x:v>North</x:v>
      </x:c>
      <x:c r="E1047" s="3" t="str">
        <x:v>Home &amp; Kitchen</x:v>
      </x:c>
      <x:c r="F1047" s="3" t="str">
        <x:v>Decor</x:v>
      </x:c>
      <x:c r="G1047" s="3" t="str">
        <x:v>Ceramic Vase Set</x:v>
      </x:c>
      <x:c r="H1047" s="3" t="n">
        <x:v>1</x:v>
      </x:c>
      <x:c r="I1047" s="7" t="n">
        <x:v>1548.95</x:v>
      </x:c>
      <x:c r="J1047" s="9" t="n">
        <x:v>0.1</x:v>
      </x:c>
      <x:c r="K1047" s="7" t="n">
        <x:v>1394.06</x:v>
      </x:c>
      <x:c r="L1047" s="7" t="n">
        <x:v>317.21</x:v>
      </x:c>
      <x:c r="M1047" s="3" t="str">
        <x:v>Credit Card</x:v>
      </x:c>
      <x:c r="N1047" s="3"/>
      <x:c r="O1047" s="3"/>
      <x:c r="P1047" s="3"/>
      <x:c r="Q1047" s="3"/>
    </x:row>
    <x:row r="1048" ht="21" customHeight="1">
      <x:c r="A1048" s="3" t="str">
        <x:v>ORD-100104</x:v>
      </x:c>
      <x:c r="B1048" s="5" t="n">
        <x:v>45581</x:v>
      </x:c>
      <x:c r="C1048" s="3" t="str">
        <x:v>CUST-00347</x:v>
      </x:c>
      <x:c r="D1048" s="3" t="str">
        <x:v>East</x:v>
      </x:c>
      <x:c r="E1048" s="3" t="str">
        <x:v>Electronics</x:v>
      </x:c>
      <x:c r="F1048" s="3" t="str">
        <x:v>Audio</x:v>
      </x:c>
      <x:c r="G1048" s="3" t="str">
        <x:v>SoundPods Pro</x:v>
      </x:c>
      <x:c r="H1048" s="3" t="n">
        <x:v>1</x:v>
      </x:c>
      <x:c r="I1048" s="7" t="n">
        <x:v>5244.44</x:v>
      </x:c>
      <x:c r="J1048" s="9" t="n">
        <x:v>0.15</x:v>
      </x:c>
      <x:c r="K1048" s="7" t="n">
        <x:v>4457.77</x:v>
      </x:c>
      <x:c r="L1048" s="7" t="n">
        <x:v>42.02</x:v>
      </x:c>
      <x:c r="M1048" s="3" t="str">
        <x:v>UPI</x:v>
      </x:c>
      <x:c r="N1048" s="3"/>
      <x:c r="O1048" s="3"/>
      <x:c r="P1048" s="3"/>
      <x:c r="Q1048" s="3"/>
    </x:row>
    <x:row r="1049" ht="21" customHeight="1">
      <x:c r="A1049" s="3" t="str">
        <x:v>ORD-100168</x:v>
      </x:c>
      <x:c r="B1049" s="5" t="n">
        <x:v>45581</x:v>
      </x:c>
      <x:c r="C1049" s="3" t="str">
        <x:v>CUST-00547</x:v>
      </x:c>
      <x:c r="D1049" s="3" t="str">
        <x:v>North</x:v>
      </x:c>
      <x:c r="E1049" s="3" t="str">
        <x:v>Electronics</x:v>
      </x:c>
      <x:c r="F1049" s="3" t="str">
        <x:v>Audio</x:v>
      </x:c>
      <x:c r="G1049" s="3" t="str">
        <x:v>BassBoom Speaker</x:v>
      </x:c>
      <x:c r="H1049" s="3" t="n">
        <x:v>4</x:v>
      </x:c>
      <x:c r="I1049" s="7" t="n">
        <x:v>9182.37</x:v>
      </x:c>
      <x:c r="J1049" s="9" t="n">
        <x:v>0.1</x:v>
      </x:c>
      <x:c r="K1049" s="7" t="n">
        <x:v>33056.53</x:v>
      </x:c>
      <x:c r="L1049" s="7" t="n">
        <x:v>1875.32</x:v>
      </x:c>
      <x:c r="M1049" s="3" t="str">
        <x:v>UPI</x:v>
      </x:c>
      <x:c r="N1049" s="3"/>
      <x:c r="O1049" s="3"/>
      <x:c r="P1049" s="3"/>
      <x:c r="Q1049" s="3"/>
    </x:row>
    <x:row r="1050" ht="21" customHeight="1">
      <x:c r="A1050" s="3" t="str">
        <x:v>ORD-100223</x:v>
      </x:c>
      <x:c r="B1050" s="5" t="n">
        <x:v>45581</x:v>
      </x:c>
      <x:c r="C1050" s="3" t="str">
        <x:v>CUST-00319</x:v>
      </x:c>
      <x:c r="D1050" s="3" t="str">
        <x:v>North</x:v>
      </x:c>
      <x:c r="E1050" s="3" t="str">
        <x:v>Home &amp; Kitchen</x:v>
      </x:c>
      <x:c r="F1050" s="3" t="str">
        <x:v>Decor</x:v>
      </x:c>
      <x:c r="G1050" s="3" t="str">
        <x:v>Ceramic Vase Set</x:v>
      </x:c>
      <x:c r="H1050" s="3" t="n">
        <x:v>2</x:v>
      </x:c>
      <x:c r="I1050" s="7" t="n">
        <x:v>1524.98</x:v>
      </x:c>
      <x:c r="J1050" s="9" t="n">
        <x:v>0</x:v>
      </x:c>
      <x:c r="K1050" s="7" t="n">
        <x:v>3049.96</x:v>
      </x:c>
      <x:c r="L1050" s="7" t="n">
        <x:v>897.34</x:v>
      </x:c>
      <x:c r="M1050" s="3" t="str">
        <x:v>Credit Card</x:v>
      </x:c>
      <x:c r="N1050" s="3"/>
      <x:c r="O1050" s="3"/>
      <x:c r="P1050" s="3"/>
      <x:c r="Q1050" s="3"/>
    </x:row>
    <x:row r="1051" ht="21" customHeight="1">
      <x:c r="A1051" s="3" t="str">
        <x:v>ORD-100264</x:v>
      </x:c>
      <x:c r="B1051" s="5" t="n">
        <x:v>45581</x:v>
      </x:c>
      <x:c r="C1051" s="3" t="str">
        <x:v>CUST-00111</x:v>
      </x:c>
      <x:c r="D1051" s="3" t="str">
        <x:v>West</x:v>
      </x:c>
      <x:c r="E1051" s="3" t="str">
        <x:v>Home &amp; Kitchen</x:v>
      </x:c>
      <x:c r="F1051" s="3" t="str">
        <x:v>Appliances</x:v>
      </x:c>
      <x:c r="G1051" s="3" t="str">
        <x:v>ColdBrew Coffee Maker</x:v>
      </x:c>
      <x:c r="H1051" s="3" t="n">
        <x:v>2</x:v>
      </x:c>
      <x:c r="I1051" s="7" t="n">
        <x:v>6823.58</x:v>
      </x:c>
      <x:c r="J1051" s="9" t="n">
        <x:v>0</x:v>
      </x:c>
      <x:c r="K1051" s="7" t="n">
        <x:v>13647.16</x:v>
      </x:c>
      <x:c r="L1051" s="7" t="n">
        <x:v>5012.86</x:v>
      </x:c>
      <x:c r="M1051" s="3" t="str">
        <x:v>Credit Card</x:v>
      </x:c>
      <x:c r="N1051" s="3"/>
      <x:c r="O1051" s="3"/>
      <x:c r="P1051" s="3"/>
      <x:c r="Q1051" s="3"/>
    </x:row>
    <x:row r="1052" ht="21" customHeight="1">
      <x:c r="A1052" s="3" t="str">
        <x:v>ORD-100542</x:v>
      </x:c>
      <x:c r="B1052" s="5" t="n">
        <x:v>45581</x:v>
      </x:c>
      <x:c r="C1052" s="3" t="str">
        <x:v>CUST-00057</x:v>
      </x:c>
      <x:c r="D1052" s="3" t="str">
        <x:v>South</x:v>
      </x:c>
      <x:c r="E1052" s="3" t="str">
        <x:v>Home &amp; Kitchen</x:v>
      </x:c>
      <x:c r="F1052" s="3" t="str">
        <x:v>Furniture</x:v>
      </x:c>
      <x:c r="G1052" s="3" t="str">
        <x:v>ErgoComfort Chair</x:v>
      </x:c>
      <x:c r="H1052" s="3" t="n">
        <x:v>1</x:v>
      </x:c>
      <x:c r="I1052" s="7" t="n">
        <x:v>9209.86</x:v>
      </x:c>
      <x:c r="J1052" s="9" t="n">
        <x:v>0.15</x:v>
      </x:c>
      <x:c r="K1052" s="7" t="n">
        <x:v>7828.38</x:v>
      </x:c>
      <x:c r="L1052" s="7" t="n">
        <x:v>1519.43</x:v>
      </x:c>
      <x:c r="M1052" s="3" t="str">
        <x:v>UPI</x:v>
      </x:c>
      <x:c r="N1052" s="3"/>
      <x:c r="O1052" s="3"/>
      <x:c r="P1052" s="3"/>
      <x:c r="Q1052" s="3"/>
    </x:row>
    <x:row r="1053" ht="21" customHeight="1">
      <x:c r="A1053" s="3" t="str">
        <x:v>ORD-100668</x:v>
      </x:c>
      <x:c r="B1053" s="5" t="n">
        <x:v>45581</x:v>
      </x:c>
      <x:c r="C1053" s="3" t="str">
        <x:v>CUST-00200</x:v>
      </x:c>
      <x:c r="D1053" s="3" t="str">
        <x:v>South</x:v>
      </x:c>
      <x:c r="E1053" s="3" t="str">
        <x:v>Electronics</x:v>
      </x:c>
      <x:c r="F1053" s="3" t="str">
        <x:v>Audio</x:v>
      </x:c>
      <x:c r="G1053" s="3" t="str">
        <x:v>BassBoom Speaker</x:v>
      </x:c>
      <x:c r="H1053" s="3" t="n">
        <x:v>1</x:v>
      </x:c>
      <x:c r="I1053" s="7" t="n">
        <x:v>9440.23</x:v>
      </x:c>
      <x:c r="J1053" s="9" t="n">
        <x:v>0.1</x:v>
      </x:c>
      <x:c r="K1053" s="7" t="n">
        <x:v>8496.21</x:v>
      </x:c>
      <x:c r="L1053" s="7" t="n">
        <x:v>727.42</x:v>
      </x:c>
      <x:c r="M1053" s="3" t="str">
        <x:v>Credit Card</x:v>
      </x:c>
      <x:c r="N1053" s="3"/>
      <x:c r="O1053" s="3"/>
      <x:c r="P1053" s="3"/>
      <x:c r="Q1053" s="3"/>
    </x:row>
    <x:row r="1054" ht="21" customHeight="1">
      <x:c r="A1054" s="3" t="str">
        <x:v>ORD-100351</x:v>
      </x:c>
      <x:c r="B1054" s="5" t="n">
        <x:v>45582</x:v>
      </x:c>
      <x:c r="C1054" s="3" t="str">
        <x:v>CUST-00130</x:v>
      </x:c>
      <x:c r="D1054" s="3" t="str">
        <x:v>South</x:v>
      </x:c>
      <x:c r="E1054" s="3" t="str">
        <x:v>Sports</x:v>
      </x:c>
      <x:c r="F1054" s="3" t="str">
        <x:v>Fitness</x:v>
      </x:c>
      <x:c r="G1054" s="3" t="str">
        <x:v>ProYoga Mat</x:v>
      </x:c>
      <x:c r="H1054" s="3" t="n">
        <x:v>1</x:v>
      </x:c>
      <x:c r="I1054" s="7" t="n">
        <x:v>1319.11</x:v>
      </x:c>
      <x:c r="J1054" s="9" t="n">
        <x:v>0</x:v>
      </x:c>
      <x:c r="K1054" s="7" t="n">
        <x:v>1319.11</x:v>
      </x:c>
      <x:c r="L1054" s="7" t="n">
        <x:v>541.94</x:v>
      </x:c>
      <x:c r="M1054" s="3" t="str">
        <x:v>UPI</x:v>
      </x:c>
      <x:c r="N1054" s="3"/>
      <x:c r="O1054" s="3"/>
      <x:c r="P1054" s="3"/>
      <x:c r="Q1054" s="3"/>
    </x:row>
    <x:row r="1055" ht="21" customHeight="1">
      <x:c r="A1055" s="3" t="str">
        <x:v>ORD-100501</x:v>
      </x:c>
      <x:c r="B1055" s="5" t="n">
        <x:v>45582</x:v>
      </x:c>
      <x:c r="C1055" s="3" t="str">
        <x:v>CUST-00320</x:v>
      </x:c>
      <x:c r="D1055" s="3" t="str">
        <x:v>South</x:v>
      </x:c>
      <x:c r="E1055" s="3" t="str">
        <x:v>Beauty</x:v>
      </x:c>
      <x:c r="F1055" s="3" t="str">
        <x:v>Skincare</x:v>
      </x:c>
      <x:c r="G1055" s="3" t="str">
        <x:v>HydraBoost Moisturizer</x:v>
      </x:c>
      <x:c r="H1055" s="3" t="n">
        <x:v>2</x:v>
      </x:c>
      <x:c r="I1055" s="7" t="n">
        <x:v>1205.85</x:v>
      </x:c>
      <x:c r="J1055" s="9" t="n">
        <x:v>0.15</x:v>
      </x:c>
      <x:c r="K1055" s="7" t="n">
        <x:v>2049.94</x:v>
      </x:c>
      <x:c r="L1055" s="7" t="n">
        <x:v>698.51</x:v>
      </x:c>
      <x:c r="M1055" s="3" t="str">
        <x:v>UPI</x:v>
      </x:c>
      <x:c r="N1055" s="3"/>
      <x:c r="O1055" s="3"/>
      <x:c r="P1055" s="3"/>
      <x:c r="Q1055" s="3"/>
    </x:row>
    <x:row r="1056" ht="21" customHeight="1">
      <x:c r="A1056" s="3" t="str">
        <x:v>ORD-100915</x:v>
      </x:c>
      <x:c r="B1056" s="5" t="n">
        <x:v>45582</x:v>
      </x:c>
      <x:c r="C1056" s="3" t="str">
        <x:v>CUST-00503</x:v>
      </x:c>
      <x:c r="D1056" s="3" t="str">
        <x:v>West</x:v>
      </x:c>
      <x:c r="E1056" s="3" t="str">
        <x:v>Sports</x:v>
      </x:c>
      <x:c r="F1056" s="3" t="str">
        <x:v>Fitness</x:v>
      </x:c>
      <x:c r="G1056" s="3" t="str">
        <x:v>ProYoga Mat</x:v>
      </x:c>
      <x:c r="H1056" s="3" t="n">
        <x:v>2</x:v>
      </x:c>
      <x:c r="I1056" s="7" t="n">
        <x:v>1279.73</x:v>
      </x:c>
      <x:c r="J1056" s="9" t="n">
        <x:v>0</x:v>
      </x:c>
      <x:c r="K1056" s="7" t="n">
        <x:v>2559.46</x:v>
      </x:c>
      <x:c r="L1056" s="7" t="n">
        <x:v>958.58</x:v>
      </x:c>
      <x:c r="M1056" s="3" t="str">
        <x:v>UPI</x:v>
      </x:c>
      <x:c r="N1056" s="3"/>
      <x:c r="O1056" s="3"/>
      <x:c r="P1056" s="3"/>
      <x:c r="Q1056" s="3"/>
    </x:row>
    <x:row r="1057" ht="21" customHeight="1">
      <x:c r="A1057" s="3" t="str">
        <x:v>ORD-101249</x:v>
      </x:c>
      <x:c r="B1057" s="5" t="n">
        <x:v>45582</x:v>
      </x:c>
      <x:c r="C1057" s="3" t="str">
        <x:v>CUST-00559</x:v>
      </x:c>
      <x:c r="D1057" s="3" t="str">
        <x:v>East</x:v>
      </x:c>
      <x:c r="E1057" s="3" t="str">
        <x:v>Sports</x:v>
      </x:c>
      <x:c r="F1057" s="3" t="str">
        <x:v>Outdoor</x:v>
      </x:c>
      <x:c r="G1057" s="3" t="str">
        <x:v>AllWeather Tent 4P</x:v>
      </x:c>
      <x:c r="H1057" s="3" t="n">
        <x:v>2</x:v>
      </x:c>
      <x:c r="I1057" s="7" t="n">
        <x:v>12125.71</x:v>
      </x:c>
      <x:c r="J1057" s="9" t="n">
        <x:v>0</x:v>
      </x:c>
      <x:c r="K1057" s="7" t="n">
        <x:v>24251.42</x:v>
      </x:c>
      <x:c r="L1057" s="7" t="n">
        <x:v>9887.08</x:v>
      </x:c>
      <x:c r="M1057" s="3" t="str">
        <x:v>Credit Card</x:v>
      </x:c>
      <x:c r="N1057" s="3"/>
      <x:c r="O1057" s="3"/>
      <x:c r="P1057" s="3"/>
      <x:c r="Q1057" s="3"/>
    </x:row>
    <x:row r="1058" ht="21" customHeight="1">
      <x:c r="A1058" s="3" t="str">
        <x:v>ORD-101450</x:v>
      </x:c>
      <x:c r="B1058" s="5" t="n">
        <x:v>45582</x:v>
      </x:c>
      <x:c r="C1058" s="3" t="str">
        <x:v>CUST-00052</x:v>
      </x:c>
      <x:c r="D1058" s="3" t="str">
        <x:v>North</x:v>
      </x:c>
      <x:c r="E1058" s="3" t="str">
        <x:v>Electronics</x:v>
      </x:c>
      <x:c r="F1058" s="3" t="str">
        <x:v>Audio</x:v>
      </x:c>
      <x:c r="G1058" s="3" t="str">
        <x:v>SoundPods Pro</x:v>
      </x:c>
      <x:c r="H1058" s="3" t="n">
        <x:v>1</x:v>
      </x:c>
      <x:c r="I1058" s="7" t="n">
        <x:v>4923.57</x:v>
      </x:c>
      <x:c r="J1058" s="9" t="n">
        <x:v>0</x:v>
      </x:c>
      <x:c r="K1058" s="7" t="n">
        <x:v>4923.57</x:v>
      </x:c>
      <x:c r="L1058" s="7" t="n">
        <x:v>1007.38</x:v>
      </x:c>
      <x:c r="M1058" s="3" t="str">
        <x:v>UPI</x:v>
      </x:c>
      <x:c r="N1058" s="3"/>
      <x:c r="O1058" s="3"/>
      <x:c r="P1058" s="3"/>
      <x:c r="Q1058" s="3"/>
    </x:row>
    <x:row r="1059" ht="21" customHeight="1">
      <x:c r="A1059" s="3" t="str">
        <x:v>ORD-101548</x:v>
      </x:c>
      <x:c r="B1059" s="5" t="n">
        <x:v>45582</x:v>
      </x:c>
      <x:c r="C1059" s="3" t="str">
        <x:v>CUST-00139</x:v>
      </x:c>
      <x:c r="D1059" s="3" t="str">
        <x:v>South</x:v>
      </x:c>
      <x:c r="E1059" s="3" t="str">
        <x:v>Sports</x:v>
      </x:c>
      <x:c r="F1059" s="3" t="str">
        <x:v>Fitness</x:v>
      </x:c>
      <x:c r="G1059" s="3" t="str">
        <x:v>ProYoga Mat</x:v>
      </x:c>
      <x:c r="H1059" s="3" t="n">
        <x:v>2</x:v>
      </x:c>
      <x:c r="I1059" s="7" t="n">
        <x:v>1303.55</x:v>
      </x:c>
      <x:c r="J1059" s="9" t="n">
        <x:v>0.05</x:v>
      </x:c>
      <x:c r="K1059" s="7" t="n">
        <x:v>2476.74</x:v>
      </x:c>
      <x:c r="L1059" s="7" t="n">
        <x:v>719.7</x:v>
      </x:c>
      <x:c r="M1059" s="3" t="str">
        <x:v>UPI</x:v>
      </x:c>
      <x:c r="N1059" s="3"/>
      <x:c r="O1059" s="3"/>
      <x:c r="P1059" s="3"/>
      <x:c r="Q1059" s="3"/>
    </x:row>
    <x:row r="1060" ht="21" customHeight="1">
      <x:c r="A1060" s="3" t="str">
        <x:v>ORD-100111</x:v>
      </x:c>
      <x:c r="B1060" s="5" t="n">
        <x:v>45583</x:v>
      </x:c>
      <x:c r="C1060" s="3" t="str">
        <x:v>CUST-00165</x:v>
      </x:c>
      <x:c r="D1060" s="3" t="str">
        <x:v>East</x:v>
      </x:c>
      <x:c r="E1060" s="3" t="str">
        <x:v>Sports</x:v>
      </x:c>
      <x:c r="F1060" s="3" t="str">
        <x:v>Outdoor</x:v>
      </x:c>
      <x:c r="G1060" s="3" t="str">
        <x:v>TrailHike Backpack 60L</x:v>
      </x:c>
      <x:c r="H1060" s="3" t="n">
        <x:v>3</x:v>
      </x:c>
      <x:c r="I1060" s="7" t="n">
        <x:v>3372.48</x:v>
      </x:c>
      <x:c r="J1060" s="9" t="n">
        <x:v>0.15</x:v>
      </x:c>
      <x:c r="K1060" s="7" t="n">
        <x:v>8599.82</x:v>
      </x:c>
      <x:c r="L1060" s="7" t="n">
        <x:v>1612.47</x:v>
      </x:c>
      <x:c r="M1060" s="3" t="str">
        <x:v>Net Banking</x:v>
      </x:c>
      <x:c r="N1060" s="3"/>
      <x:c r="O1060" s="3"/>
      <x:c r="P1060" s="3"/>
      <x:c r="Q1060" s="3"/>
    </x:row>
    <x:row r="1061" ht="21" customHeight="1">
      <x:c r="A1061" s="3" t="str">
        <x:v>ORD-100213</x:v>
      </x:c>
      <x:c r="B1061" s="5" t="n">
        <x:v>45583</x:v>
      </x:c>
      <x:c r="C1061" s="3" t="str">
        <x:v>CUST-00028</x:v>
      </x:c>
      <x:c r="D1061" s="3" t="str">
        <x:v>East</x:v>
      </x:c>
      <x:c r="E1061" s="3" t="str">
        <x:v>Fashion</x:v>
      </x:c>
      <x:c r="F1061" s="3" t="str">
        <x:v>Men</x:v>
      </x:c>
      <x:c r="G1061" s="3" t="str">
        <x:v>Oxford Casual Shirt</x:v>
      </x:c>
      <x:c r="H1061" s="3" t="n">
        <x:v>1</x:v>
      </x:c>
      <x:c r="I1061" s="7" t="n">
        <x:v>1336.81</x:v>
      </x:c>
      <x:c r="J1061" s="9" t="n">
        <x:v>0.05</x:v>
      </x:c>
      <x:c r="K1061" s="7" t="n">
        <x:v>1269.97</x:v>
      </x:c>
      <x:c r="L1061" s="7" t="n">
        <x:v>434.74</x:v>
      </x:c>
      <x:c r="M1061" s="3" t="str">
        <x:v>UPI</x:v>
      </x:c>
      <x:c r="N1061" s="3"/>
      <x:c r="O1061" s="3"/>
      <x:c r="P1061" s="3"/>
      <x:c r="Q1061" s="3"/>
    </x:row>
    <x:row r="1062" ht="21" customHeight="1">
      <x:c r="A1062" s="3" t="str">
        <x:v>ORD-100347</x:v>
      </x:c>
      <x:c r="B1062" s="5" t="n">
        <x:v>45583</x:v>
      </x:c>
      <x:c r="C1062" s="3" t="str">
        <x:v>CUST-00523</x:v>
      </x:c>
      <x:c r="D1062" s="3" t="str">
        <x:v>North</x:v>
      </x:c>
      <x:c r="E1062" s="3" t="str">
        <x:v>Beauty</x:v>
      </x:c>
      <x:c r="F1062" s="3" t="str">
        <x:v>Makeup</x:v>
      </x:c>
      <x:c r="G1062" s="3" t="str">
        <x:v>HD Foundation Kit</x:v>
      </x:c>
      <x:c r="H1062" s="3" t="n">
        <x:v>1</x:v>
      </x:c>
      <x:c r="I1062" s="7" t="n">
        <x:v>1554.07</x:v>
      </x:c>
      <x:c r="J1062" s="9" t="n">
        <x:v>0</x:v>
      </x:c>
      <x:c r="K1062" s="7" t="n">
        <x:v>1554.07</x:v>
      </x:c>
      <x:c r="L1062" s="7" t="n">
        <x:v>912.32</x:v>
      </x:c>
      <x:c r="M1062" s="3" t="str">
        <x:v>Credit Card</x:v>
      </x:c>
      <x:c r="N1062" s="3"/>
      <x:c r="O1062" s="3"/>
      <x:c r="P1062" s="3"/>
      <x:c r="Q1062" s="3"/>
    </x:row>
    <x:row r="1063" ht="21" customHeight="1">
      <x:c r="A1063" s="3" t="str">
        <x:v>ORD-100768</x:v>
      </x:c>
      <x:c r="B1063" s="5" t="n">
        <x:v>45583</x:v>
      </x:c>
      <x:c r="C1063" s="3" t="str">
        <x:v>CUST-00413</x:v>
      </x:c>
      <x:c r="D1063" s="3" t="str">
        <x:v>West</x:v>
      </x:c>
      <x:c r="E1063" s="3" t="str">
        <x:v>Beauty</x:v>
      </x:c>
      <x:c r="F1063" s="3" t="str">
        <x:v>Makeup</x:v>
      </x:c>
      <x:c r="G1063" s="3" t="str">
        <x:v>Matte Lipstick Set</x:v>
      </x:c>
      <x:c r="H1063" s="3" t="n">
        <x:v>2</x:v>
      </x:c>
      <x:c r="I1063" s="7" t="n">
        <x:v>1013.35</x:v>
      </x:c>
      <x:c r="J1063" s="9" t="n">
        <x:v>0</x:v>
      </x:c>
      <x:c r="K1063" s="7" t="n">
        <x:v>2026.7</x:v>
      </x:c>
      <x:c r="L1063" s="7" t="n">
        <x:v>1172.42</x:v>
      </x:c>
      <x:c r="M1063" s="3" t="str">
        <x:v>Net Banking</x:v>
      </x:c>
      <x:c r="N1063" s="3"/>
      <x:c r="O1063" s="3"/>
      <x:c r="P1063" s="3"/>
      <x:c r="Q1063" s="3"/>
    </x:row>
    <x:row r="1064" ht="21" customHeight="1">
      <x:c r="A1064" s="3" t="str">
        <x:v>ORD-101387</x:v>
      </x:c>
      <x:c r="B1064" s="5" t="n">
        <x:v>45583</x:v>
      </x:c>
      <x:c r="C1064" s="3" t="str">
        <x:v>CUST-00556</x:v>
      </x:c>
      <x:c r="D1064" s="3" t="str">
        <x:v>South</x:v>
      </x:c>
      <x:c r="E1064" s="3" t="str">
        <x:v>Electronics</x:v>
      </x:c>
      <x:c r="F1064" s="3" t="str">
        <x:v>Mobile</x:v>
      </x:c>
      <x:c r="G1064" s="3" t="str">
        <x:v>Pixel Aura 12</x:v>
      </x:c>
      <x:c r="H1064" s="3" t="n">
        <x:v>1</x:v>
      </x:c>
      <x:c r="I1064" s="7" t="n">
        <x:v>34247.31</x:v>
      </x:c>
      <x:c r="J1064" s="9" t="n">
        <x:v>0.25</x:v>
      </x:c>
      <x:c r="K1064" s="7" t="n">
        <x:v>25685.48</x:v>
      </x:c>
      <x:c r="L1064" s="7" t="n">
        <x:v>-2908.3</x:v>
      </x:c>
      <x:c r="M1064" s="3" t="str">
        <x:v>Credit Card</x:v>
      </x:c>
      <x:c r="N1064" s="3"/>
      <x:c r="O1064" s="3"/>
      <x:c r="P1064" s="3"/>
      <x:c r="Q1064" s="3"/>
    </x:row>
    <x:row r="1065" ht="21" customHeight="1">
      <x:c r="A1065" s="3" t="str">
        <x:v>ORD-101887</x:v>
      </x:c>
      <x:c r="B1065" s="5" t="n">
        <x:v>45583</x:v>
      </x:c>
      <x:c r="C1065" s="3" t="str">
        <x:v>CUST-00297</x:v>
      </x:c>
      <x:c r="D1065" s="3" t="str">
        <x:v>East</x:v>
      </x:c>
      <x:c r="E1065" s="3" t="str">
        <x:v>Fashion</x:v>
      </x:c>
      <x:c r="F1065" s="3" t="str">
        <x:v>Men</x:v>
      </x:c>
      <x:c r="G1065" s="3" t="str">
        <x:v>SlimFit Denim Jeans</x:v>
      </x:c>
      <x:c r="H1065" s="3" t="n">
        <x:v>1</x:v>
      </x:c>
      <x:c r="I1065" s="7" t="n">
        <x:v>2024.49</x:v>
      </x:c>
      <x:c r="J1065" s="9" t="n">
        <x:v>0.05</x:v>
      </x:c>
      <x:c r="K1065" s="7" t="n">
        <x:v>1923.27</x:v>
      </x:c>
      <x:c r="L1065" s="7" t="n">
        <x:v>691.87</x:v>
      </x:c>
      <x:c r="M1065" s="3" t="str">
        <x:v>Debit Card</x:v>
      </x:c>
      <x:c r="N1065" s="3"/>
      <x:c r="O1065" s="3"/>
      <x:c r="P1065" s="3"/>
      <x:c r="Q1065" s="3"/>
    </x:row>
    <x:row r="1066" ht="21" customHeight="1">
      <x:c r="A1066" s="3" t="str">
        <x:v>ORD-101296</x:v>
      </x:c>
      <x:c r="B1066" s="5" t="n">
        <x:v>45584</x:v>
      </x:c>
      <x:c r="C1066" s="3" t="str">
        <x:v>CUST-00061</x:v>
      </x:c>
      <x:c r="D1066" s="3" t="str">
        <x:v>East</x:v>
      </x:c>
      <x:c r="E1066" s="3" t="str">
        <x:v>Home &amp; Kitchen</x:v>
      </x:c>
      <x:c r="F1066" s="3" t="str">
        <x:v>Appliances</x:v>
      </x:c>
      <x:c r="G1066" s="3" t="str">
        <x:v>AirFryer Deluxe</x:v>
      </x:c>
      <x:c r="H1066" s="3" t="n">
        <x:v>1</x:v>
      </x:c>
      <x:c r="I1066" s="7" t="n">
        <x:v>8290.21</x:v>
      </x:c>
      <x:c r="J1066" s="9" t="n">
        <x:v>0</x:v>
      </x:c>
      <x:c r="K1066" s="7" t="n">
        <x:v>8290.21</x:v>
      </x:c>
      <x:c r="L1066" s="7" t="n">
        <x:v>2953.15</x:v>
      </x:c>
      <x:c r="M1066" s="3" t="str">
        <x:v>Credit Card</x:v>
      </x:c>
      <x:c r="N1066" s="3"/>
      <x:c r="O1066" s="3"/>
      <x:c r="P1066" s="3"/>
      <x:c r="Q1066" s="3"/>
    </x:row>
    <x:row r="1067" ht="21" customHeight="1">
      <x:c r="A1067" s="3" t="str">
        <x:v>ORD-101488</x:v>
      </x:c>
      <x:c r="B1067" s="5" t="n">
        <x:v>45584</x:v>
      </x:c>
      <x:c r="C1067" s="3" t="str">
        <x:v>CUST-00331</x:v>
      </x:c>
      <x:c r="D1067" s="3" t="str">
        <x:v>East</x:v>
      </x:c>
      <x:c r="E1067" s="3" t="str">
        <x:v>Sports</x:v>
      </x:c>
      <x:c r="F1067" s="3" t="str">
        <x:v>Outdoor</x:v>
      </x:c>
      <x:c r="G1067" s="3" t="str">
        <x:v>TrailHike Backpack 60L</x:v>
      </x:c>
      <x:c r="H1067" s="3" t="n">
        <x:v>1</x:v>
      </x:c>
      <x:c r="I1067" s="7" t="n">
        <x:v>3333.77</x:v>
      </x:c>
      <x:c r="J1067" s="9" t="n">
        <x:v>0.1</x:v>
      </x:c>
      <x:c r="K1067" s="7" t="n">
        <x:v>3000.39</x:v>
      </x:c>
      <x:c r="L1067" s="7" t="n">
        <x:v>763.63</x:v>
      </x:c>
      <x:c r="M1067" s="3" t="str">
        <x:v>UPI</x:v>
      </x:c>
      <x:c r="N1067" s="3"/>
      <x:c r="O1067" s="3"/>
      <x:c r="P1067" s="3"/>
      <x:c r="Q1067" s="3"/>
    </x:row>
    <x:row r="1068" ht="21" customHeight="1">
      <x:c r="A1068" s="3" t="str">
        <x:v>ORD-101533</x:v>
      </x:c>
      <x:c r="B1068" s="5" t="n">
        <x:v>45584</x:v>
      </x:c>
      <x:c r="C1068" s="3" t="str">
        <x:v>CUST-00446</x:v>
      </x:c>
      <x:c r="D1068" s="3" t="str">
        <x:v>South</x:v>
      </x:c>
      <x:c r="E1068" s="3" t="str">
        <x:v>Beauty</x:v>
      </x:c>
      <x:c r="F1068" s="3" t="str">
        <x:v>Makeup</x:v>
      </x:c>
      <x:c r="G1068" s="3" t="str">
        <x:v>Matte Lipstick Set</x:v>
      </x:c>
      <x:c r="H1068" s="3" t="n">
        <x:v>3</x:v>
      </x:c>
      <x:c r="I1068" s="7" t="n">
        <x:v>984.28</x:v>
      </x:c>
      <x:c r="J1068" s="9" t="n">
        <x:v>0.1</x:v>
      </x:c>
      <x:c r="K1068" s="7" t="n">
        <x:v>2657.56</x:v>
      </x:c>
      <x:c r="L1068" s="7" t="n">
        <x:v>1086.75</x:v>
      </x:c>
      <x:c r="M1068" s="3" t="str">
        <x:v>UPI</x:v>
      </x:c>
      <x:c r="N1068" s="3"/>
      <x:c r="O1068" s="3"/>
      <x:c r="P1068" s="3"/>
      <x:c r="Q1068" s="3"/>
    </x:row>
    <x:row r="1069" ht="21" customHeight="1">
      <x:c r="A1069" s="3" t="str">
        <x:v>ORD-100295</x:v>
      </x:c>
      <x:c r="B1069" s="5" t="n">
        <x:v>45585</x:v>
      </x:c>
      <x:c r="C1069" s="3" t="str">
        <x:v>CUST-00150</x:v>
      </x:c>
      <x:c r="D1069" s="3" t="str">
        <x:v>East</x:v>
      </x:c>
      <x:c r="E1069" s="3" t="str">
        <x:v>Electronics</x:v>
      </x:c>
      <x:c r="F1069" s="3" t="str">
        <x:v>Audio</x:v>
      </x:c>
      <x:c r="G1069" s="3" t="str">
        <x:v>SoundPods Pro</x:v>
      </x:c>
      <x:c r="H1069" s="3" t="n">
        <x:v>1</x:v>
      </x:c>
      <x:c r="I1069" s="7" t="n">
        <x:v>5084.11</x:v>
      </x:c>
      <x:c r="J1069" s="9" t="n">
        <x:v>0</x:v>
      </x:c>
      <x:c r="K1069" s="7" t="n">
        <x:v>5084.11</x:v>
      </x:c>
      <x:c r="L1069" s="7" t="n">
        <x:v>793.08</x:v>
      </x:c>
      <x:c r="M1069" s="3" t="str">
        <x:v>UPI</x:v>
      </x:c>
      <x:c r="N1069" s="3"/>
      <x:c r="O1069" s="3"/>
      <x:c r="P1069" s="3"/>
      <x:c r="Q1069" s="3"/>
    </x:row>
    <x:row r="1070" ht="21" customHeight="1">
      <x:c r="A1070" s="3" t="str">
        <x:v>ORD-101442</x:v>
      </x:c>
      <x:c r="B1070" s="5" t="n">
        <x:v>45585</x:v>
      </x:c>
      <x:c r="C1070" s="3" t="str">
        <x:v>CUST-00235</x:v>
      </x:c>
      <x:c r="D1070" s="3" t="str">
        <x:v>East</x:v>
      </x:c>
      <x:c r="E1070" s="3" t="str">
        <x:v>Home &amp; Kitchen</x:v>
      </x:c>
      <x:c r="F1070" s="3" t="str">
        <x:v>Furniture</x:v>
      </x:c>
      <x:c r="G1070" s="3" t="str">
        <x:v>Oakwood Study Desk</x:v>
      </x:c>
      <x:c r="H1070" s="3" t="n">
        <x:v>3</x:v>
      </x:c>
      <x:c r="I1070" s="7" t="n">
        <x:v>13356.17</x:v>
      </x:c>
      <x:c r="J1070" s="9" t="n">
        <x:v>0</x:v>
      </x:c>
      <x:c r="K1070" s="7" t="n">
        <x:v>40068.51</x:v>
      </x:c>
      <x:c r="L1070" s="7" t="n">
        <x:v>12179.27</x:v>
      </x:c>
      <x:c r="M1070" s="3" t="str">
        <x:v>Credit Card</x:v>
      </x:c>
      <x:c r="N1070" s="3"/>
      <x:c r="O1070" s="3"/>
      <x:c r="P1070" s="3"/>
      <x:c r="Q1070" s="3"/>
    </x:row>
    <x:row r="1071" ht="21" customHeight="1">
      <x:c r="A1071" s="3" t="str">
        <x:v>ORD-100337</x:v>
      </x:c>
      <x:c r="B1071" s="5" t="n">
        <x:v>45586</x:v>
      </x:c>
      <x:c r="C1071" s="3" t="str">
        <x:v>CUST-00351</x:v>
      </x:c>
      <x:c r="D1071" s="3" t="str">
        <x:v>East</x:v>
      </x:c>
      <x:c r="E1071" s="3" t="str">
        <x:v>Fashion</x:v>
      </x:c>
      <x:c r="F1071" s="3" t="str">
        <x:v>Footwear</x:v>
      </x:c>
      <x:c r="G1071" s="3" t="str">
        <x:v>RunFlex Sneakers</x:v>
      </x:c>
      <x:c r="H1071" s="3" t="n">
        <x:v>3</x:v>
      </x:c>
      <x:c r="I1071" s="7" t="n">
        <x:v>2954.94</x:v>
      </x:c>
      <x:c r="J1071" s="9" t="n">
        <x:v>0.05</x:v>
      </x:c>
      <x:c r="K1071" s="7" t="n">
        <x:v>8421.58</x:v>
      </x:c>
      <x:c r="L1071" s="7" t="n">
        <x:v>3076.84</x:v>
      </x:c>
      <x:c r="M1071" s="3" t="str">
        <x:v>UPI</x:v>
      </x:c>
      <x:c r="N1071" s="3"/>
      <x:c r="O1071" s="3"/>
      <x:c r="P1071" s="3"/>
      <x:c r="Q1071" s="3"/>
    </x:row>
    <x:row r="1072" ht="21" customHeight="1">
      <x:c r="A1072" s="3" t="str">
        <x:v>ORD-100489</x:v>
      </x:c>
      <x:c r="B1072" s="5" t="n">
        <x:v>45586</x:v>
      </x:c>
      <x:c r="C1072" s="3" t="str">
        <x:v>CUST-00504</x:v>
      </x:c>
      <x:c r="D1072" s="3" t="str">
        <x:v>North</x:v>
      </x:c>
      <x:c r="E1072" s="3" t="str">
        <x:v>Fashion</x:v>
      </x:c>
      <x:c r="F1072" s="3" t="str">
        <x:v>Men</x:v>
      </x:c>
      <x:c r="G1072" s="3" t="str">
        <x:v>SlimFit Denim Jeans</x:v>
      </x:c>
      <x:c r="H1072" s="3" t="n">
        <x:v>1</x:v>
      </x:c>
      <x:c r="I1072" s="7" t="n">
        <x:v>2027.1</x:v>
      </x:c>
      <x:c r="J1072" s="9" t="n">
        <x:v>0.05</x:v>
      </x:c>
      <x:c r="K1072" s="7" t="n">
        <x:v>1925.74</x:v>
      </x:c>
      <x:c r="L1072" s="7" t="n">
        <x:v>719.12</x:v>
      </x:c>
      <x:c r="M1072" s="3" t="str">
        <x:v>Credit Card</x:v>
      </x:c>
      <x:c r="N1072" s="3"/>
      <x:c r="O1072" s="3"/>
      <x:c r="P1072" s="3"/>
      <x:c r="Q1072" s="3"/>
    </x:row>
    <x:row r="1073" ht="21" customHeight="1">
      <x:c r="A1073" s="3" t="str">
        <x:v>ORD-100626</x:v>
      </x:c>
      <x:c r="B1073" s="5" t="n">
        <x:v>45586</x:v>
      </x:c>
      <x:c r="C1073" s="3" t="str">
        <x:v>CUST-00468</x:v>
      </x:c>
      <x:c r="D1073" s="3" t="str">
        <x:v>South</x:v>
      </x:c>
      <x:c r="E1073" s="3" t="str">
        <x:v>Sports</x:v>
      </x:c>
      <x:c r="F1073" s="3" t="str">
        <x:v>Fitness</x:v>
      </x:c>
      <x:c r="G1073" s="3" t="str">
        <x:v>Adjustable Dumbbell 24kg</x:v>
      </x:c>
      <x:c r="H1073" s="3" t="n">
        <x:v>2</x:v>
      </x:c>
      <x:c r="I1073" s="7" t="n">
        <x:v>9827.91</x:v>
      </x:c>
      <x:c r="J1073" s="9" t="n">
        <x:v>0</x:v>
      </x:c>
      <x:c r="K1073" s="7" t="n">
        <x:v>19655.82</x:v>
      </x:c>
      <x:c r="L1073" s="7" t="n">
        <x:v>7578.07</x:v>
      </x:c>
      <x:c r="M1073" s="3" t="str">
        <x:v>Credit Card</x:v>
      </x:c>
      <x:c r="N1073" s="3"/>
      <x:c r="O1073" s="3"/>
      <x:c r="P1073" s="3"/>
      <x:c r="Q1073" s="3"/>
    </x:row>
    <x:row r="1074" ht="21" customHeight="1">
      <x:c r="A1074" s="3" t="str">
        <x:v>ORD-101018</x:v>
      </x:c>
      <x:c r="B1074" s="5" t="n">
        <x:v>45586</x:v>
      </x:c>
      <x:c r="C1074" s="3" t="str">
        <x:v>CUST-00147</x:v>
      </x:c>
      <x:c r="D1074" s="3" t="str">
        <x:v>West</x:v>
      </x:c>
      <x:c r="E1074" s="3" t="str">
        <x:v>Fashion</x:v>
      </x:c>
      <x:c r="F1074" s="3" t="str">
        <x:v>Footwear</x:v>
      </x:c>
      <x:c r="G1074" s="3" t="str">
        <x:v>RunFlex Sneakers</x:v>
      </x:c>
      <x:c r="H1074" s="3" t="n">
        <x:v>1</x:v>
      </x:c>
      <x:c r="I1074" s="7" t="n">
        <x:v>2856.64</x:v>
      </x:c>
      <x:c r="J1074" s="9" t="n">
        <x:v>0.15</x:v>
      </x:c>
      <x:c r="K1074" s="7" t="n">
        <x:v>2428.14</x:v>
      </x:c>
      <x:c r="L1074" s="7" t="n">
        <x:v>589.41</x:v>
      </x:c>
      <x:c r="M1074" s="3" t="str">
        <x:v>Credit Card</x:v>
      </x:c>
      <x:c r="N1074" s="3"/>
      <x:c r="O1074" s="3"/>
      <x:c r="P1074" s="3"/>
      <x:c r="Q1074" s="3"/>
    </x:row>
    <x:row r="1075" ht="21" customHeight="1">
      <x:c r="A1075" s="3" t="str">
        <x:v>ORD-101121</x:v>
      </x:c>
      <x:c r="B1075" s="5" t="n">
        <x:v>45586</x:v>
      </x:c>
      <x:c r="C1075" s="3" t="str">
        <x:v>CUST-00502</x:v>
      </x:c>
      <x:c r="D1075" s="3" t="str">
        <x:v>West</x:v>
      </x:c>
      <x:c r="E1075" s="3" t="str">
        <x:v>Fashion</x:v>
      </x:c>
      <x:c r="F1075" s="3" t="str">
        <x:v>Footwear</x:v>
      </x:c>
      <x:c r="G1075" s="3" t="str">
        <x:v>RunFlex Sneakers</x:v>
      </x:c>
      <x:c r="H1075" s="3" t="n">
        <x:v>2</x:v>
      </x:c>
      <x:c r="I1075" s="7" t="n">
        <x:v>3030.79</x:v>
      </x:c>
      <x:c r="J1075" s="9" t="n">
        <x:v>0</x:v>
      </x:c>
      <x:c r="K1075" s="7" t="n">
        <x:v>6061.58</x:v>
      </x:c>
      <x:c r="L1075" s="7" t="n">
        <x:v>2323.9</x:v>
      </x:c>
      <x:c r="M1075" s="3" t="str">
        <x:v>UPI</x:v>
      </x:c>
      <x:c r="N1075" s="3"/>
      <x:c r="O1075" s="3"/>
      <x:c r="P1075" s="3"/>
      <x:c r="Q1075" s="3"/>
    </x:row>
    <x:row r="1076" ht="21" customHeight="1">
      <x:c r="A1076" s="3" t="str">
        <x:v>ORD-101169</x:v>
      </x:c>
      <x:c r="B1076" s="5" t="n">
        <x:v>45586</x:v>
      </x:c>
      <x:c r="C1076" s="3" t="str">
        <x:v>CUST-00128</x:v>
      </x:c>
      <x:c r="D1076" s="3" t="str">
        <x:v>North</x:v>
      </x:c>
      <x:c r="E1076" s="3" t="str">
        <x:v>Sports</x:v>
      </x:c>
      <x:c r="F1076" s="3" t="str">
        <x:v>Fitness</x:v>
      </x:c>
      <x:c r="G1076" s="3" t="str">
        <x:v>ProYoga Mat</x:v>
      </x:c>
      <x:c r="H1076" s="3" t="n">
        <x:v>1</x:v>
      </x:c>
      <x:c r="I1076" s="7" t="n">
        <x:v>1284.51</x:v>
      </x:c>
      <x:c r="J1076" s="9" t="n">
        <x:v>0.1</x:v>
      </x:c>
      <x:c r="K1076" s="7" t="n">
        <x:v>1156.06</x:v>
      </x:c>
      <x:c r="L1076" s="7" t="n">
        <x:v>336.42</x:v>
      </x:c>
      <x:c r="M1076" s="3" t="str">
        <x:v>UPI</x:v>
      </x:c>
      <x:c r="N1076" s="3"/>
      <x:c r="O1076" s="3"/>
      <x:c r="P1076" s="3"/>
      <x:c r="Q1076" s="3"/>
    </x:row>
    <x:row r="1077" ht="21" customHeight="1">
      <x:c r="A1077" s="3" t="str">
        <x:v>ORD-101671</x:v>
      </x:c>
      <x:c r="B1077" s="5" t="n">
        <x:v>45586</x:v>
      </x:c>
      <x:c r="C1077" s="3" t="str">
        <x:v>CUST-00202</x:v>
      </x:c>
      <x:c r="D1077" s="3" t="str">
        <x:v>South</x:v>
      </x:c>
      <x:c r="E1077" s="3" t="str">
        <x:v>Home &amp; Kitchen</x:v>
      </x:c>
      <x:c r="F1077" s="3" t="str">
        <x:v>Appliances</x:v>
      </x:c>
      <x:c r="G1077" s="3" t="str">
        <x:v>AirFryer Deluxe</x:v>
      </x:c>
      <x:c r="H1077" s="3" t="n">
        <x:v>5</x:v>
      </x:c>
      <x:c r="I1077" s="7" t="n">
        <x:v>8349.91</x:v>
      </x:c>
      <x:c r="J1077" s="9" t="n">
        <x:v>0</x:v>
      </x:c>
      <x:c r="K1077" s="7" t="n">
        <x:v>41749.55</x:v>
      </x:c>
      <x:c r="L1077" s="7" t="n">
        <x:v>14496.83</x:v>
      </x:c>
      <x:c r="M1077" s="3" t="str">
        <x:v>UPI</x:v>
      </x:c>
      <x:c r="N1077" s="3"/>
      <x:c r="O1077" s="3"/>
      <x:c r="P1077" s="3"/>
      <x:c r="Q1077" s="3"/>
    </x:row>
    <x:row r="1078" ht="21" customHeight="1">
      <x:c r="A1078" s="3" t="str">
        <x:v>ORD-101869</x:v>
      </x:c>
      <x:c r="B1078" s="5" t="n">
        <x:v>45586</x:v>
      </x:c>
      <x:c r="C1078" s="3" t="str">
        <x:v>CUST-00132</x:v>
      </x:c>
      <x:c r="D1078" s="3" t="str">
        <x:v>North</x:v>
      </x:c>
      <x:c r="E1078" s="3" t="str">
        <x:v>Beauty</x:v>
      </x:c>
      <x:c r="F1078" s="3" t="str">
        <x:v>Makeup</x:v>
      </x:c>
      <x:c r="G1078" s="3" t="str">
        <x:v>Matte Lipstick Set</x:v>
      </x:c>
      <x:c r="H1078" s="3" t="n">
        <x:v>3</x:v>
      </x:c>
      <x:c r="I1078" s="7" t="n">
        <x:v>1039.6</x:v>
      </x:c>
      <x:c r="J1078" s="9" t="n">
        <x:v>0.05</x:v>
      </x:c>
      <x:c r="K1078" s="7" t="n">
        <x:v>2962.86</x:v>
      </x:c>
      <x:c r="L1078" s="7" t="n">
        <x:v>1561.09</x:v>
      </x:c>
      <x:c r="M1078" s="3" t="str">
        <x:v>Credit Card</x:v>
      </x:c>
      <x:c r="N1078" s="3"/>
      <x:c r="O1078" s="3"/>
      <x:c r="P1078" s="3"/>
      <x:c r="Q1078" s="3"/>
    </x:row>
    <x:row r="1079" ht="21" customHeight="1">
      <x:c r="A1079" s="3" t="str">
        <x:v>ORD-100057</x:v>
      </x:c>
      <x:c r="B1079" s="5" t="n">
        <x:v>45587</x:v>
      </x:c>
      <x:c r="C1079" s="3" t="str">
        <x:v>CUST-00480</x:v>
      </x:c>
      <x:c r="D1079" s="3" t="str">
        <x:v>South</x:v>
      </x:c>
      <x:c r="E1079" s="3" t="str">
        <x:v>Fashion</x:v>
      </x:c>
      <x:c r="F1079" s="3" t="str">
        <x:v>Footwear</x:v>
      </x:c>
      <x:c r="G1079" s="3" t="str">
        <x:v>RunFlex Sneakers</x:v>
      </x:c>
      <x:c r="H1079" s="3" t="n">
        <x:v>4</x:v>
      </x:c>
      <x:c r="I1079" s="7" t="n">
        <x:v>2870.47</x:v>
      </x:c>
      <x:c r="J1079" s="9" t="n">
        <x:v>0.2</x:v>
      </x:c>
      <x:c r="K1079" s="7" t="n">
        <x:v>9185.5</x:v>
      </x:c>
      <x:c r="L1079" s="7" t="n">
        <x:v>1499.75</x:v>
      </x:c>
      <x:c r="M1079" s="3" t="str">
        <x:v>Debit Card</x:v>
      </x:c>
      <x:c r="N1079" s="3"/>
      <x:c r="O1079" s="3"/>
      <x:c r="P1079" s="3"/>
      <x:c r="Q1079" s="3"/>
    </x:row>
    <x:row r="1080" ht="21" customHeight="1">
      <x:c r="A1080" s="3" t="str">
        <x:v>ORD-100200</x:v>
      </x:c>
      <x:c r="B1080" s="5" t="n">
        <x:v>45587</x:v>
      </x:c>
      <x:c r="C1080" s="3" t="str">
        <x:v>CUST-00469</x:v>
      </x:c>
      <x:c r="D1080" s="3" t="str">
        <x:v>North</x:v>
      </x:c>
      <x:c r="E1080" s="3" t="str">
        <x:v>Sports</x:v>
      </x:c>
      <x:c r="F1080" s="3" t="str">
        <x:v>Outdoor</x:v>
      </x:c>
      <x:c r="G1080" s="3" t="str">
        <x:v>AllWeather Tent 4P</x:v>
      </x:c>
      <x:c r="H1080" s="3" t="n">
        <x:v>1</x:v>
      </x:c>
      <x:c r="I1080" s="7" t="n">
        <x:v>11436.08</x:v>
      </x:c>
      <x:c r="J1080" s="9" t="n">
        <x:v>0</x:v>
      </x:c>
      <x:c r="K1080" s="7" t="n">
        <x:v>11436.08</x:v>
      </x:c>
      <x:c r="L1080" s="7" t="n">
        <x:v>4584.55</x:v>
      </x:c>
      <x:c r="M1080" s="3" t="str">
        <x:v>UPI</x:v>
      </x:c>
      <x:c r="N1080" s="3"/>
      <x:c r="O1080" s="3"/>
      <x:c r="P1080" s="3"/>
      <x:c r="Q1080" s="3"/>
    </x:row>
    <x:row r="1081" ht="21" customHeight="1">
      <x:c r="A1081" s="3" t="str">
        <x:v>ORD-100640</x:v>
      </x:c>
      <x:c r="B1081" s="5" t="n">
        <x:v>45587</x:v>
      </x:c>
      <x:c r="C1081" s="3" t="str">
        <x:v>CUST-00235</x:v>
      </x:c>
      <x:c r="D1081" s="3" t="str">
        <x:v>East</x:v>
      </x:c>
      <x:c r="E1081" s="3" t="str">
        <x:v>Beauty</x:v>
      </x:c>
      <x:c r="F1081" s="3" t="str">
        <x:v>Makeup</x:v>
      </x:c>
      <x:c r="G1081" s="3" t="str">
        <x:v>HD Foundation Kit</x:v>
      </x:c>
      <x:c r="H1081" s="3" t="n">
        <x:v>1</x:v>
      </x:c>
      <x:c r="I1081" s="7" t="n">
        <x:v>1542.02</x:v>
      </x:c>
      <x:c r="J1081" s="9" t="n">
        <x:v>0.05</x:v>
      </x:c>
      <x:c r="K1081" s="7" t="n">
        <x:v>1464.92</x:v>
      </x:c>
      <x:c r="L1081" s="7" t="n">
        <x:v>667.52</x:v>
      </x:c>
      <x:c r="M1081" s="3" t="str">
        <x:v>UPI</x:v>
      </x:c>
      <x:c r="N1081" s="3"/>
      <x:c r="O1081" s="3"/>
      <x:c r="P1081" s="3"/>
      <x:c r="Q1081" s="3"/>
    </x:row>
    <x:row r="1082" ht="21" customHeight="1">
      <x:c r="A1082" s="3" t="str">
        <x:v>ORD-100652</x:v>
      </x:c>
      <x:c r="B1082" s="5" t="n">
        <x:v>45587</x:v>
      </x:c>
      <x:c r="C1082" s="3" t="str">
        <x:v>CUST-00175</x:v>
      </x:c>
      <x:c r="D1082" s="3" t="str">
        <x:v>East</x:v>
      </x:c>
      <x:c r="E1082" s="3" t="str">
        <x:v>Sports</x:v>
      </x:c>
      <x:c r="F1082" s="3" t="str">
        <x:v>Outdoor</x:v>
      </x:c>
      <x:c r="G1082" s="3" t="str">
        <x:v>TrailHike Backpack 60L</x:v>
      </x:c>
      <x:c r="H1082" s="3" t="n">
        <x:v>5</x:v>
      </x:c>
      <x:c r="I1082" s="7" t="n">
        <x:v>3324.6</x:v>
      </x:c>
      <x:c r="J1082" s="9" t="n">
        <x:v>0.15</x:v>
      </x:c>
      <x:c r="K1082" s="7" t="n">
        <x:v>14129.55</x:v>
      </x:c>
      <x:c r="L1082" s="7" t="n">
        <x:v>2445.65</x:v>
      </x:c>
      <x:c r="M1082" s="3" t="str">
        <x:v>Credit Card</x:v>
      </x:c>
      <x:c r="N1082" s="3"/>
      <x:c r="O1082" s="3"/>
      <x:c r="P1082" s="3"/>
      <x:c r="Q1082" s="3"/>
    </x:row>
    <x:row r="1083" ht="21" customHeight="1">
      <x:c r="A1083" s="3" t="str">
        <x:v>ORD-100889</x:v>
      </x:c>
      <x:c r="B1083" s="5" t="n">
        <x:v>45587</x:v>
      </x:c>
      <x:c r="C1083" s="3" t="str">
        <x:v>CUST-00516</x:v>
      </x:c>
      <x:c r="D1083" s="3" t="str">
        <x:v>East</x:v>
      </x:c>
      <x:c r="E1083" s="3" t="str">
        <x:v>Electronics</x:v>
      </x:c>
      <x:c r="F1083" s="3" t="str">
        <x:v>Audio</x:v>
      </x:c>
      <x:c r="G1083" s="3" t="str">
        <x:v>BassBoom Speaker</x:v>
      </x:c>
      <x:c r="H1083" s="3" t="n">
        <x:v>1</x:v>
      </x:c>
      <x:c r="I1083" s="7" t="n">
        <x:v>9443.33</x:v>
      </x:c>
      <x:c r="J1083" s="9" t="n">
        <x:v>0.1</x:v>
      </x:c>
      <x:c r="K1083" s="7" t="n">
        <x:v>8499</x:v>
      </x:c>
      <x:c r="L1083" s="7" t="n">
        <x:v>507.46</x:v>
      </x:c>
      <x:c r="M1083" s="3" t="str">
        <x:v>Credit Card</x:v>
      </x:c>
      <x:c r="N1083" s="3"/>
      <x:c r="O1083" s="3"/>
      <x:c r="P1083" s="3"/>
      <x:c r="Q1083" s="3"/>
    </x:row>
    <x:row r="1084" ht="21" customHeight="1">
      <x:c r="A1084" s="3" t="str">
        <x:v>ORD-100918</x:v>
      </x:c>
      <x:c r="B1084" s="5" t="n">
        <x:v>45587</x:v>
      </x:c>
      <x:c r="C1084" s="3" t="str">
        <x:v>CUST-00343</x:v>
      </x:c>
      <x:c r="D1084" s="3" t="str">
        <x:v>West</x:v>
      </x:c>
      <x:c r="E1084" s="3" t="str">
        <x:v>Sports</x:v>
      </x:c>
      <x:c r="F1084" s="3" t="str">
        <x:v>Fitness</x:v>
      </x:c>
      <x:c r="G1084" s="3" t="str">
        <x:v>Adjustable Dumbbell 24kg</x:v>
      </x:c>
      <x:c r="H1084" s="3" t="n">
        <x:v>1</x:v>
      </x:c>
      <x:c r="I1084" s="7" t="n">
        <x:v>10325.11</x:v>
      </x:c>
      <x:c r="J1084" s="9" t="n">
        <x:v>0.05</x:v>
      </x:c>
      <x:c r="K1084" s="7" t="n">
        <x:v>9808.85</x:v>
      </x:c>
      <x:c r="L1084" s="7" t="n">
        <x:v>3123.69</x:v>
      </x:c>
      <x:c r="M1084" s="3" t="str">
        <x:v>UPI</x:v>
      </x:c>
      <x:c r="N1084" s="3"/>
      <x:c r="O1084" s="3"/>
      <x:c r="P1084" s="3"/>
      <x:c r="Q1084" s="3"/>
    </x:row>
    <x:row r="1085" ht="21" customHeight="1">
      <x:c r="A1085" s="3" t="str">
        <x:v>ORD-100451</x:v>
      </x:c>
      <x:c r="B1085" s="5" t="n">
        <x:v>45588</x:v>
      </x:c>
      <x:c r="C1085" s="3" t="str">
        <x:v>CUST-00181</x:v>
      </x:c>
      <x:c r="D1085" s="3" t="str">
        <x:v>South</x:v>
      </x:c>
      <x:c r="E1085" s="3" t="str">
        <x:v>Home &amp; Kitchen</x:v>
      </x:c>
      <x:c r="F1085" s="3" t="str">
        <x:v>Decor</x:v>
      </x:c>
      <x:c r="G1085" s="3" t="str">
        <x:v>LED Wall Lamp</x:v>
      </x:c>
      <x:c r="H1085" s="3" t="n">
        <x:v>1</x:v>
      </x:c>
      <x:c r="I1085" s="7" t="n">
        <x:v>1044.84</x:v>
      </x:c>
      <x:c r="J1085" s="9" t="n">
        <x:v>0.1</x:v>
      </x:c>
      <x:c r="K1085" s="7" t="n">
        <x:v>940.36</x:v>
      </x:c>
      <x:c r="L1085" s="7" t="n">
        <x:v>171.38</x:v>
      </x:c>
      <x:c r="M1085" s="3" t="str">
        <x:v>Cash on Delivery</x:v>
      </x:c>
      <x:c r="N1085" s="3"/>
      <x:c r="O1085" s="3"/>
      <x:c r="P1085" s="3"/>
      <x:c r="Q1085" s="3"/>
    </x:row>
    <x:row r="1086" ht="21" customHeight="1">
      <x:c r="A1086" s="3" t="str">
        <x:v>ORD-100790</x:v>
      </x:c>
      <x:c r="B1086" s="5" t="n">
        <x:v>45588</x:v>
      </x:c>
      <x:c r="C1086" s="3" t="str">
        <x:v>CUST-00167</x:v>
      </x:c>
      <x:c r="D1086" s="3" t="str">
        <x:v>East</x:v>
      </x:c>
      <x:c r="E1086" s="3" t="str">
        <x:v>Beauty</x:v>
      </x:c>
      <x:c r="F1086" s="3" t="str">
        <x:v>Makeup</x:v>
      </x:c>
      <x:c r="G1086" s="3" t="str">
        <x:v>HD Foundation Kit</x:v>
      </x:c>
      <x:c r="H1086" s="3" t="n">
        <x:v>1</x:v>
      </x:c>
      <x:c r="I1086" s="7" t="n">
        <x:v>1563.04</x:v>
      </x:c>
      <x:c r="J1086" s="9" t="n">
        <x:v>0</x:v>
      </x:c>
      <x:c r="K1086" s="7" t="n">
        <x:v>1563.04</x:v>
      </x:c>
      <x:c r="L1086" s="7" t="n">
        <x:v>815.55</x:v>
      </x:c>
      <x:c r="M1086" s="3" t="str">
        <x:v>Credit Card</x:v>
      </x:c>
      <x:c r="N1086" s="3"/>
      <x:c r="O1086" s="3"/>
      <x:c r="P1086" s="3"/>
      <x:c r="Q1086" s="3"/>
    </x:row>
    <x:row r="1087" ht="21" customHeight="1">
      <x:c r="A1087" s="3" t="str">
        <x:v>ORD-100916</x:v>
      </x:c>
      <x:c r="B1087" s="5" t="n">
        <x:v>45588</x:v>
      </x:c>
      <x:c r="C1087" s="3" t="str">
        <x:v>CUST-00163</x:v>
      </x:c>
      <x:c r="D1087" s="3" t="str">
        <x:v>North</x:v>
      </x:c>
      <x:c r="E1087" s="3" t="str">
        <x:v>Fashion</x:v>
      </x:c>
      <x:c r="F1087" s="3" t="str">
        <x:v>Women</x:v>
      </x:c>
      <x:c r="G1087" s="3" t="str">
        <x:v>Floral Summer Dress</x:v>
      </x:c>
      <x:c r="H1087" s="3" t="n">
        <x:v>1</x:v>
      </x:c>
      <x:c r="I1087" s="7" t="n">
        <x:v>1731.27</x:v>
      </x:c>
      <x:c r="J1087" s="9" t="n">
        <x:v>0.25</x:v>
      </x:c>
      <x:c r="K1087" s="7" t="n">
        <x:v>1298.45</x:v>
      </x:c>
      <x:c r="L1087" s="7" t="n">
        <x:v>161.22</x:v>
      </x:c>
      <x:c r="M1087" s="3" t="str">
        <x:v>UPI</x:v>
      </x:c>
      <x:c r="N1087" s="3"/>
      <x:c r="O1087" s="3"/>
      <x:c r="P1087" s="3"/>
      <x:c r="Q1087" s="3"/>
    </x:row>
    <x:row r="1088" ht="21" customHeight="1">
      <x:c r="A1088" s="3" t="str">
        <x:v>ORD-101029</x:v>
      </x:c>
      <x:c r="B1088" s="5" t="n">
        <x:v>45588</x:v>
      </x:c>
      <x:c r="C1088" s="3" t="str">
        <x:v>CUST-00576</x:v>
      </x:c>
      <x:c r="D1088" s="3" t="str">
        <x:v>South</x:v>
      </x:c>
      <x:c r="E1088" s="3" t="str">
        <x:v>Fashion</x:v>
      </x:c>
      <x:c r="F1088" s="3" t="str">
        <x:v>Women</x:v>
      </x:c>
      <x:c r="G1088" s="3" t="str">
        <x:v>Floral Summer Dress</x:v>
      </x:c>
      <x:c r="H1088" s="3" t="n">
        <x:v>1</x:v>
      </x:c>
      <x:c r="I1088" s="7" t="n">
        <x:v>1814.01</x:v>
      </x:c>
      <x:c r="J1088" s="9" t="n">
        <x:v>0.25</x:v>
      </x:c>
      <x:c r="K1088" s="7" t="n">
        <x:v>1360.51</x:v>
      </x:c>
      <x:c r="L1088" s="7" t="n">
        <x:v>216</x:v>
      </x:c>
      <x:c r="M1088" s="3" t="str">
        <x:v>Debit Card</x:v>
      </x:c>
      <x:c r="N1088" s="3"/>
      <x:c r="O1088" s="3"/>
      <x:c r="P1088" s="3"/>
      <x:c r="Q1088" s="3"/>
    </x:row>
    <x:row r="1089" ht="21" customHeight="1">
      <x:c r="A1089" s="3" t="str">
        <x:v>ORD-100273</x:v>
      </x:c>
      <x:c r="B1089" s="5" t="n">
        <x:v>45589</x:v>
      </x:c>
      <x:c r="C1089" s="3" t="str">
        <x:v>CUST-00533</x:v>
      </x:c>
      <x:c r="D1089" s="3" t="str">
        <x:v>North</x:v>
      </x:c>
      <x:c r="E1089" s="3" t="str">
        <x:v>Fashion</x:v>
      </x:c>
      <x:c r="F1089" s="3" t="str">
        <x:v>Men</x:v>
      </x:c>
      <x:c r="G1089" s="3" t="str">
        <x:v>Oxford Casual Shirt</x:v>
      </x:c>
      <x:c r="H1089" s="3" t="n">
        <x:v>1</x:v>
      </x:c>
      <x:c r="I1089" s="7" t="n">
        <x:v>1299.43</x:v>
      </x:c>
      <x:c r="J1089" s="9" t="n">
        <x:v>0</x:v>
      </x:c>
      <x:c r="K1089" s="7" t="n">
        <x:v>1299.43</x:v>
      </x:c>
      <x:c r="L1089" s="7" t="n">
        <x:v>525.61</x:v>
      </x:c>
      <x:c r="M1089" s="3" t="str">
        <x:v>UPI</x:v>
      </x:c>
      <x:c r="N1089" s="3"/>
      <x:c r="O1089" s="3"/>
      <x:c r="P1089" s="3"/>
      <x:c r="Q1089" s="3"/>
    </x:row>
    <x:row r="1090" ht="21" customHeight="1">
      <x:c r="A1090" s="3" t="str">
        <x:v>ORD-100279</x:v>
      </x:c>
      <x:c r="B1090" s="5" t="n">
        <x:v>45589</x:v>
      </x:c>
      <x:c r="C1090" s="3" t="str">
        <x:v>CUST-00321</x:v>
      </x:c>
      <x:c r="D1090" s="3" t="str">
        <x:v>North</x:v>
      </x:c>
      <x:c r="E1090" s="3" t="str">
        <x:v>Beauty</x:v>
      </x:c>
      <x:c r="F1090" s="3" t="str">
        <x:v>Skincare</x:v>
      </x:c>
      <x:c r="G1090" s="3" t="str">
        <x:v>Vitamin C Serum</x:v>
      </x:c>
      <x:c r="H1090" s="3" t="n">
        <x:v>4</x:v>
      </x:c>
      <x:c r="I1090" s="7" t="n">
        <x:v>895.11</x:v>
      </x:c>
      <x:c r="J1090" s="9" t="n">
        <x:v>0.1</x:v>
      </x:c>
      <x:c r="K1090" s="7" t="n">
        <x:v>3222.4</x:v>
      </x:c>
      <x:c r="L1090" s="7" t="n">
        <x:v>1524.79</x:v>
      </x:c>
      <x:c r="M1090" s="3" t="str">
        <x:v>UPI</x:v>
      </x:c>
      <x:c r="N1090" s="3"/>
      <x:c r="O1090" s="3"/>
      <x:c r="P1090" s="3"/>
      <x:c r="Q1090" s="3"/>
    </x:row>
    <x:row r="1091" ht="21" customHeight="1">
      <x:c r="A1091" s="3" t="str">
        <x:v>ORD-100553</x:v>
      </x:c>
      <x:c r="B1091" s="5" t="n">
        <x:v>45589</x:v>
      </x:c>
      <x:c r="C1091" s="3" t="str">
        <x:v>CUST-00410</x:v>
      </x:c>
      <x:c r="D1091" s="3" t="str">
        <x:v>North</x:v>
      </x:c>
      <x:c r="E1091" s="3" t="str">
        <x:v>Beauty</x:v>
      </x:c>
      <x:c r="F1091" s="3" t="str">
        <x:v>Skincare</x:v>
      </x:c>
      <x:c r="G1091" s="3" t="str">
        <x:v>Vitamin C Serum</x:v>
      </x:c>
      <x:c r="H1091" s="3" t="n">
        <x:v>1</x:v>
      </x:c>
      <x:c r="I1091" s="7" t="n">
        <x:v>889.27</x:v>
      </x:c>
      <x:c r="J1091" s="9" t="n">
        <x:v>0.2</x:v>
      </x:c>
      <x:c r="K1091" s="7" t="n">
        <x:v>711.42</x:v>
      </x:c>
      <x:c r="L1091" s="7" t="n">
        <x:v>218.2</x:v>
      </x:c>
      <x:c r="M1091" s="3" t="str">
        <x:v>Debit Card</x:v>
      </x:c>
      <x:c r="N1091" s="3"/>
      <x:c r="O1091" s="3"/>
      <x:c r="P1091" s="3"/>
      <x:c r="Q1091" s="3"/>
    </x:row>
    <x:row r="1092" ht="21" customHeight="1">
      <x:c r="A1092" s="3" t="str">
        <x:v>ORD-101621</x:v>
      </x:c>
      <x:c r="B1092" s="5" t="n">
        <x:v>45589</x:v>
      </x:c>
      <x:c r="C1092" s="3" t="str">
        <x:v>CUST-00251</x:v>
      </x:c>
      <x:c r="D1092" s="3" t="str">
        <x:v>East</x:v>
      </x:c>
      <x:c r="E1092" s="3" t="str">
        <x:v>Fashion</x:v>
      </x:c>
      <x:c r="F1092" s="3" t="str">
        <x:v>Men</x:v>
      </x:c>
      <x:c r="G1092" s="3" t="str">
        <x:v>Oxford Casual Shirt</x:v>
      </x:c>
      <x:c r="H1092" s="3" t="n">
        <x:v>4</x:v>
      </x:c>
      <x:c r="I1092" s="7" t="n">
        <x:v>1327.54</x:v>
      </x:c>
      <x:c r="J1092" s="9" t="n">
        <x:v>0.05</x:v>
      </x:c>
      <x:c r="K1092" s="7" t="n">
        <x:v>5044.65</x:v>
      </x:c>
      <x:c r="L1092" s="7" t="n">
        <x:v>1935.09</x:v>
      </x:c>
      <x:c r="M1092" s="3" t="str">
        <x:v>Cash on Delivery</x:v>
      </x:c>
      <x:c r="N1092" s="3"/>
      <x:c r="O1092" s="3"/>
      <x:c r="P1092" s="3"/>
      <x:c r="Q1092" s="3"/>
    </x:row>
    <x:row r="1093" ht="21" customHeight="1">
      <x:c r="A1093" s="3" t="str">
        <x:v>ORD-101947</x:v>
      </x:c>
      <x:c r="B1093" s="5" t="n">
        <x:v>45589</x:v>
      </x:c>
      <x:c r="C1093" s="3" t="str">
        <x:v>CUST-00452</x:v>
      </x:c>
      <x:c r="D1093" s="3" t="str">
        <x:v>West</x:v>
      </x:c>
      <x:c r="E1093" s="3" t="str">
        <x:v>Beauty</x:v>
      </x:c>
      <x:c r="F1093" s="3" t="str">
        <x:v>Skincare</x:v>
      </x:c>
      <x:c r="G1093" s="3" t="str">
        <x:v>HydraBoost Moisturizer</x:v>
      </x:c>
      <x:c r="H1093" s="3" t="n">
        <x:v>4</x:v>
      </x:c>
      <x:c r="I1093" s="7" t="n">
        <x:v>1177.07</x:v>
      </x:c>
      <x:c r="J1093" s="9" t="n">
        <x:v>0.1</x:v>
      </x:c>
      <x:c r="K1093" s="7" t="n">
        <x:v>4237.45</x:v>
      </x:c>
      <x:c r="L1093" s="7" t="n">
        <x:v>1987.12</x:v>
      </x:c>
      <x:c r="M1093" s="3" t="str">
        <x:v>Cash on Delivery</x:v>
      </x:c>
      <x:c r="N1093" s="3"/>
      <x:c r="O1093" s="3"/>
      <x:c r="P1093" s="3"/>
      <x:c r="Q1093" s="3"/>
    </x:row>
    <x:row r="1094" ht="21" customHeight="1">
      <x:c r="A1094" s="3" t="str">
        <x:v>ORD-101957</x:v>
      </x:c>
      <x:c r="B1094" s="5" t="n">
        <x:v>45589</x:v>
      </x:c>
      <x:c r="C1094" s="3" t="str">
        <x:v>CUST-00419</x:v>
      </x:c>
      <x:c r="D1094" s="3" t="str">
        <x:v>South</x:v>
      </x:c>
      <x:c r="E1094" s="3" t="str">
        <x:v>Home &amp; Kitchen</x:v>
      </x:c>
      <x:c r="F1094" s="3" t="str">
        <x:v>Appliances</x:v>
      </x:c>
      <x:c r="G1094" s="3" t="str">
        <x:v>ColdBrew Coffee Maker</x:v>
      </x:c>
      <x:c r="H1094" s="3" t="n">
        <x:v>1</x:v>
      </x:c>
      <x:c r="I1094" s="7" t="n">
        <x:v>6604.93</x:v>
      </x:c>
      <x:c r="J1094" s="9" t="n">
        <x:v>0</x:v>
      </x:c>
      <x:c r="K1094" s="7" t="n">
        <x:v>6604.93</x:v>
      </x:c>
      <x:c r="L1094" s="7" t="n">
        <x:v>2158.87</x:v>
      </x:c>
      <x:c r="M1094" s="3" t="str">
        <x:v>Credit Card</x:v>
      </x:c>
      <x:c r="N1094" s="3"/>
      <x:c r="O1094" s="3"/>
      <x:c r="P1094" s="3"/>
      <x:c r="Q1094" s="3"/>
    </x:row>
    <x:row r="1095" ht="21" customHeight="1">
      <x:c r="A1095" s="3" t="str">
        <x:v>ORD-100183</x:v>
      </x:c>
      <x:c r="B1095" s="5" t="n">
        <x:v>45590</x:v>
      </x:c>
      <x:c r="C1095" s="3" t="str">
        <x:v>CUST-00087</x:v>
      </x:c>
      <x:c r="D1095" s="3" t="str">
        <x:v>South</x:v>
      </x:c>
      <x:c r="E1095" s="3" t="str">
        <x:v>Sports</x:v>
      </x:c>
      <x:c r="F1095" s="3" t="str">
        <x:v>Outdoor</x:v>
      </x:c>
      <x:c r="G1095" s="3" t="str">
        <x:v>TrailHike Backpack 60L</x:v>
      </x:c>
      <x:c r="H1095" s="3" t="n">
        <x:v>1</x:v>
      </x:c>
      <x:c r="I1095" s="7" t="n">
        <x:v>3356.61</x:v>
      </x:c>
      <x:c r="J1095" s="9" t="n">
        <x:v>0.05</x:v>
      </x:c>
      <x:c r="K1095" s="7" t="n">
        <x:v>3188.78</x:v>
      </x:c>
      <x:c r="L1095" s="7" t="n">
        <x:v>1053.39</x:v>
      </x:c>
      <x:c r="M1095" s="3" t="str">
        <x:v>UPI</x:v>
      </x:c>
      <x:c r="N1095" s="3"/>
      <x:c r="O1095" s="3"/>
      <x:c r="P1095" s="3"/>
      <x:c r="Q1095" s="3"/>
    </x:row>
    <x:row r="1096" ht="21" customHeight="1">
      <x:c r="A1096" s="3" t="str">
        <x:v>ORD-100288</x:v>
      </x:c>
      <x:c r="B1096" s="5" t="n">
        <x:v>45590</x:v>
      </x:c>
      <x:c r="C1096" s="3" t="str">
        <x:v>CUST-00383</x:v>
      </x:c>
      <x:c r="D1096" s="3" t="str">
        <x:v>West</x:v>
      </x:c>
      <x:c r="E1096" s="3" t="str">
        <x:v>Home &amp; Kitchen</x:v>
      </x:c>
      <x:c r="F1096" s="3" t="str">
        <x:v>Appliances</x:v>
      </x:c>
      <x:c r="G1096" s="3" t="str">
        <x:v>ColdBrew Coffee Maker</x:v>
      </x:c>
      <x:c r="H1096" s="3" t="n">
        <x:v>1</x:v>
      </x:c>
      <x:c r="I1096" s="7" t="n">
        <x:v>6318.16</x:v>
      </x:c>
      <x:c r="J1096" s="9" t="n">
        <x:v>0.15</x:v>
      </x:c>
      <x:c r="K1096" s="7" t="n">
        <x:v>5370.44</x:v>
      </x:c>
      <x:c r="L1096" s="7" t="n">
        <x:v>777.69</x:v>
      </x:c>
      <x:c r="M1096" s="3" t="str">
        <x:v>Cash on Delivery</x:v>
      </x:c>
      <x:c r="N1096" s="3"/>
      <x:c r="O1096" s="3"/>
      <x:c r="P1096" s="3"/>
      <x:c r="Q1096" s="3"/>
    </x:row>
    <x:row r="1097" ht="21" customHeight="1">
      <x:c r="A1097" s="3" t="str">
        <x:v>ORD-100914</x:v>
      </x:c>
      <x:c r="B1097" s="5" t="n">
        <x:v>45590</x:v>
      </x:c>
      <x:c r="C1097" s="3" t="str">
        <x:v>CUST-00463</x:v>
      </x:c>
      <x:c r="D1097" s="3" t="str">
        <x:v>West</x:v>
      </x:c>
      <x:c r="E1097" s="3" t="str">
        <x:v>Sports</x:v>
      </x:c>
      <x:c r="F1097" s="3" t="str">
        <x:v>Fitness</x:v>
      </x:c>
      <x:c r="G1097" s="3" t="str">
        <x:v>ProYoga Mat</x:v>
      </x:c>
      <x:c r="H1097" s="3" t="n">
        <x:v>2</x:v>
      </x:c>
      <x:c r="I1097" s="7" t="n">
        <x:v>1278.9</x:v>
      </x:c>
      <x:c r="J1097" s="9" t="n">
        <x:v>0.1</x:v>
      </x:c>
      <x:c r="K1097" s="7" t="n">
        <x:v>2302.02</x:v>
      </x:c>
      <x:c r="L1097" s="7" t="n">
        <x:v>556.18</x:v>
      </x:c>
      <x:c r="M1097" s="3" t="str">
        <x:v>UPI</x:v>
      </x:c>
      <x:c r="N1097" s="3"/>
      <x:c r="O1097" s="3"/>
      <x:c r="P1097" s="3"/>
      <x:c r="Q1097" s="3"/>
    </x:row>
    <x:row r="1098" ht="21" customHeight="1">
      <x:c r="A1098" s="3" t="str">
        <x:v>ORD-100927</x:v>
      </x:c>
      <x:c r="B1098" s="5" t="n">
        <x:v>45590</x:v>
      </x:c>
      <x:c r="C1098" s="3" t="str">
        <x:v>CUST-00163</x:v>
      </x:c>
      <x:c r="D1098" s="3" t="str">
        <x:v>South</x:v>
      </x:c>
      <x:c r="E1098" s="3" t="str">
        <x:v>Beauty</x:v>
      </x:c>
      <x:c r="F1098" s="3" t="str">
        <x:v>Makeup</x:v>
      </x:c>
      <x:c r="G1098" s="3" t="str">
        <x:v>Matte Lipstick Set</x:v>
      </x:c>
      <x:c r="H1098" s="3" t="n">
        <x:v>2</x:v>
      </x:c>
      <x:c r="I1098" s="7" t="n">
        <x:v>977.86</x:v>
      </x:c>
      <x:c r="J1098" s="9" t="n">
        <x:v>0</x:v>
      </x:c>
      <x:c r="K1098" s="7" t="n">
        <x:v>1955.72</x:v>
      </x:c>
      <x:c r="L1098" s="7" t="n">
        <x:v>1032</x:v>
      </x:c>
      <x:c r="M1098" s="3" t="str">
        <x:v>UPI</x:v>
      </x:c>
      <x:c r="N1098" s="3"/>
      <x:c r="O1098" s="3"/>
      <x:c r="P1098" s="3"/>
      <x:c r="Q1098" s="3"/>
    </x:row>
    <x:row r="1099" ht="21" customHeight="1">
      <x:c r="A1099" s="3" t="str">
        <x:v>ORD-100978</x:v>
      </x:c>
      <x:c r="B1099" s="5" t="n">
        <x:v>45590</x:v>
      </x:c>
      <x:c r="C1099" s="3" t="str">
        <x:v>CUST-00106</x:v>
      </x:c>
      <x:c r="D1099" s="3" t="str">
        <x:v>West</x:v>
      </x:c>
      <x:c r="E1099" s="3" t="str">
        <x:v>Sports</x:v>
      </x:c>
      <x:c r="F1099" s="3" t="str">
        <x:v>Outdoor</x:v>
      </x:c>
      <x:c r="G1099" s="3" t="str">
        <x:v>TrailHike Backpack 60L</x:v>
      </x:c>
      <x:c r="H1099" s="3" t="n">
        <x:v>2</x:v>
      </x:c>
      <x:c r="I1099" s="7" t="n">
        <x:v>3382.99</x:v>
      </x:c>
      <x:c r="J1099" s="9" t="n">
        <x:v>0.05</x:v>
      </x:c>
      <x:c r="K1099" s="7" t="n">
        <x:v>6427.68</x:v>
      </x:c>
      <x:c r="L1099" s="7" t="n">
        <x:v>2180.79</x:v>
      </x:c>
      <x:c r="M1099" s="3" t="str">
        <x:v>Credit Card</x:v>
      </x:c>
      <x:c r="N1099" s="3"/>
      <x:c r="O1099" s="3"/>
      <x:c r="P1099" s="3"/>
      <x:c r="Q1099" s="3"/>
    </x:row>
    <x:row r="1100" ht="21" customHeight="1">
      <x:c r="A1100" s="3" t="str">
        <x:v>ORD-101017</x:v>
      </x:c>
      <x:c r="B1100" s="5" t="n">
        <x:v>45590</x:v>
      </x:c>
      <x:c r="C1100" s="3" t="str">
        <x:v>CUST-00231</x:v>
      </x:c>
      <x:c r="D1100" s="3" t="str">
        <x:v>South</x:v>
      </x:c>
      <x:c r="E1100" s="3" t="str">
        <x:v>Fashion</x:v>
      </x:c>
      <x:c r="F1100" s="3" t="str">
        <x:v>Women</x:v>
      </x:c>
      <x:c r="G1100" s="3" t="str">
        <x:v>Knit Winter Sweater</x:v>
      </x:c>
      <x:c r="H1100" s="3" t="n">
        <x:v>4</x:v>
      </x:c>
      <x:c r="I1100" s="7" t="n">
        <x:v>2133.17</x:v>
      </x:c>
      <x:c r="J1100" s="9" t="n">
        <x:v>0.05</x:v>
      </x:c>
      <x:c r="K1100" s="7" t="n">
        <x:v>8106.05</x:v>
      </x:c>
      <x:c r="L1100" s="7" t="n">
        <x:v>3031.91</x:v>
      </x:c>
      <x:c r="M1100" s="3" t="str">
        <x:v>UPI</x:v>
      </x:c>
      <x:c r="N1100" s="3"/>
      <x:c r="O1100" s="3"/>
      <x:c r="P1100" s="3"/>
      <x:c r="Q1100" s="3"/>
    </x:row>
    <x:row r="1101" ht="21" customHeight="1">
      <x:c r="A1101" s="3" t="str">
        <x:v>ORD-101773</x:v>
      </x:c>
      <x:c r="B1101" s="5" t="n">
        <x:v>45590</x:v>
      </x:c>
      <x:c r="C1101" s="3" t="str">
        <x:v>CUST-00366</x:v>
      </x:c>
      <x:c r="D1101" s="3" t="str">
        <x:v>South</x:v>
      </x:c>
      <x:c r="E1101" s="3" t="str">
        <x:v>Home &amp; Kitchen</x:v>
      </x:c>
      <x:c r="F1101" s="3" t="str">
        <x:v>Decor</x:v>
      </x:c>
      <x:c r="G1101" s="3" t="str">
        <x:v>LED Wall Lamp</x:v>
      </x:c>
      <x:c r="H1101" s="3" t="n">
        <x:v>1</x:v>
      </x:c>
      <x:c r="I1101" s="7" t="n">
        <x:v>987.65</x:v>
      </x:c>
      <x:c r="J1101" s="9" t="n">
        <x:v>0</x:v>
      </x:c>
      <x:c r="K1101" s="7" t="n">
        <x:v>987.65</x:v>
      </x:c>
      <x:c r="L1101" s="7" t="n">
        <x:v>321.69</x:v>
      </x:c>
      <x:c r="M1101" s="3" t="str">
        <x:v>Debit Card</x:v>
      </x:c>
      <x:c r="N1101" s="3"/>
      <x:c r="O1101" s="3"/>
      <x:c r="P1101" s="3"/>
      <x:c r="Q1101" s="3"/>
    </x:row>
    <x:row r="1102" ht="21" customHeight="1">
      <x:c r="A1102" s="3" t="str">
        <x:v>ORD-101850</x:v>
      </x:c>
      <x:c r="B1102" s="5" t="n">
        <x:v>45590</x:v>
      </x:c>
      <x:c r="C1102" s="3" t="str">
        <x:v>CUST-00206</x:v>
      </x:c>
      <x:c r="D1102" s="3" t="str">
        <x:v>East</x:v>
      </x:c>
      <x:c r="E1102" s="3" t="str">
        <x:v>Sports</x:v>
      </x:c>
      <x:c r="F1102" s="3" t="str">
        <x:v>Fitness</x:v>
      </x:c>
      <x:c r="G1102" s="3" t="str">
        <x:v>Adjustable Dumbbell 24kg</x:v>
      </x:c>
      <x:c r="H1102" s="3" t="n">
        <x:v>4</x:v>
      </x:c>
      <x:c r="I1102" s="7" t="n">
        <x:v>10246.96</x:v>
      </x:c>
      <x:c r="J1102" s="9" t="n">
        <x:v>0.4</x:v>
      </x:c>
      <x:c r="K1102" s="7" t="n">
        <x:v>24592.7</x:v>
      </x:c>
      <x:c r="L1102" s="7" t="n">
        <x:v>-2808.77</x:v>
      </x:c>
      <x:c r="M1102" s="3" t="str">
        <x:v>UPI</x:v>
      </x:c>
      <x:c r="N1102" s="3"/>
      <x:c r="O1102" s="3"/>
      <x:c r="P1102" s="3"/>
      <x:c r="Q1102" s="3"/>
    </x:row>
    <x:row r="1103" ht="21" customHeight="1">
      <x:c r="A1103" s="3" t="str">
        <x:v>ORD-101880</x:v>
      </x:c>
      <x:c r="B1103" s="5" t="n">
        <x:v>45590</x:v>
      </x:c>
      <x:c r="C1103" s="3" t="str">
        <x:v>CUST-00228</x:v>
      </x:c>
      <x:c r="D1103" s="3" t="str">
        <x:v>East</x:v>
      </x:c>
      <x:c r="E1103" s="3" t="str">
        <x:v>Home &amp; Kitchen</x:v>
      </x:c>
      <x:c r="F1103" s="3" t="str">
        <x:v>Decor</x:v>
      </x:c>
      <x:c r="G1103" s="3" t="str">
        <x:v>Ceramic Vase Set</x:v>
      </x:c>
      <x:c r="H1103" s="3" t="n">
        <x:v>1</x:v>
      </x:c>
      <x:c r="I1103" s="7" t="n">
        <x:v>1457.27</x:v>
      </x:c>
      <x:c r="J1103" s="9" t="n">
        <x:v>0.15</x:v>
      </x:c>
      <x:c r="K1103" s="7" t="n">
        <x:v>1238.68</x:v>
      </x:c>
      <x:c r="L1103" s="7" t="n">
        <x:v>159.85</x:v>
      </x:c>
      <x:c r="M1103" s="3" t="str">
        <x:v>Credit Card</x:v>
      </x:c>
      <x:c r="N1103" s="3"/>
      <x:c r="O1103" s="3"/>
      <x:c r="P1103" s="3"/>
      <x:c r="Q1103" s="3"/>
    </x:row>
    <x:row r="1104" ht="21" customHeight="1">
      <x:c r="A1104" s="3" t="str">
        <x:v>ORD-101909</x:v>
      </x:c>
      <x:c r="B1104" s="5" t="n">
        <x:v>45590</x:v>
      </x:c>
      <x:c r="C1104" s="3" t="str">
        <x:v>CUST-00487</x:v>
      </x:c>
      <x:c r="D1104" s="3" t="str">
        <x:v>North</x:v>
      </x:c>
      <x:c r="E1104" s="3" t="str">
        <x:v>Electronics</x:v>
      </x:c>
      <x:c r="F1104" s="3" t="str">
        <x:v>Audio</x:v>
      </x:c>
      <x:c r="G1104" s="3" t="str">
        <x:v>SoundPods Pro</x:v>
      </x:c>
      <x:c r="H1104" s="3" t="n">
        <x:v>1</x:v>
      </x:c>
      <x:c r="I1104" s="7" t="n">
        <x:v>5233.51</x:v>
      </x:c>
      <x:c r="J1104" s="9" t="n">
        <x:v>0.2</x:v>
      </x:c>
      <x:c r="K1104" s="7" t="n">
        <x:v>4186.81</x:v>
      </x:c>
      <x:c r="L1104" s="7" t="n">
        <x:v>-83.86</x:v>
      </x:c>
      <x:c r="M1104" s="3" t="str">
        <x:v>Net Banking</x:v>
      </x:c>
      <x:c r="N1104" s="3"/>
      <x:c r="O1104" s="3"/>
      <x:c r="P1104" s="3"/>
      <x:c r="Q1104" s="3"/>
    </x:row>
    <x:row r="1105" ht="21" customHeight="1">
      <x:c r="A1105" s="3" t="str">
        <x:v>ORD-101033</x:v>
      </x:c>
      <x:c r="B1105" s="5" t="n">
        <x:v>45591</x:v>
      </x:c>
      <x:c r="C1105" s="3" t="str">
        <x:v>CUST-00086</x:v>
      </x:c>
      <x:c r="D1105" s="3" t="str">
        <x:v>North</x:v>
      </x:c>
      <x:c r="E1105" s="3" t="str">
        <x:v>Beauty</x:v>
      </x:c>
      <x:c r="F1105" s="3" t="str">
        <x:v>Makeup</x:v>
      </x:c>
      <x:c r="G1105" s="3" t="str">
        <x:v>HD Foundation Kit</x:v>
      </x:c>
      <x:c r="H1105" s="3" t="n">
        <x:v>4</x:v>
      </x:c>
      <x:c r="I1105" s="7" t="n">
        <x:v>1564.21</x:v>
      </x:c>
      <x:c r="J1105" s="9" t="n">
        <x:v>0</x:v>
      </x:c>
      <x:c r="K1105" s="7" t="n">
        <x:v>6256.84</x:v>
      </x:c>
      <x:c r="L1105" s="7" t="n">
        <x:v>3671.72</x:v>
      </x:c>
      <x:c r="M1105" s="3" t="str">
        <x:v>Credit Card</x:v>
      </x:c>
      <x:c r="N1105" s="3"/>
      <x:c r="O1105" s="3"/>
      <x:c r="P1105" s="3"/>
      <x:c r="Q1105" s="3"/>
    </x:row>
    <x:row r="1106" ht="21" customHeight="1">
      <x:c r="A1106" s="3" t="str">
        <x:v>ORD-101213</x:v>
      </x:c>
      <x:c r="B1106" s="5" t="n">
        <x:v>45591</x:v>
      </x:c>
      <x:c r="C1106" s="3" t="str">
        <x:v>CUST-00407</x:v>
      </x:c>
      <x:c r="D1106" s="3" t="str">
        <x:v>East</x:v>
      </x:c>
      <x:c r="E1106" s="3" t="str">
        <x:v>Fashion</x:v>
      </x:c>
      <x:c r="F1106" s="3" t="str">
        <x:v>Men</x:v>
      </x:c>
      <x:c r="G1106" s="3" t="str">
        <x:v>SlimFit Denim Jeans</x:v>
      </x:c>
      <x:c r="H1106" s="3" t="n">
        <x:v>1</x:v>
      </x:c>
      <x:c r="I1106" s="7" t="n">
        <x:v>1923.67</x:v>
      </x:c>
      <x:c r="J1106" s="9" t="n">
        <x:v>0</x:v>
      </x:c>
      <x:c r="K1106" s="7" t="n">
        <x:v>1923.67</x:v>
      </x:c>
      <x:c r="L1106" s="7" t="n">
        <x:v>811.94</x:v>
      </x:c>
      <x:c r="M1106" s="3" t="str">
        <x:v>UPI</x:v>
      </x:c>
      <x:c r="N1106" s="3"/>
      <x:c r="O1106" s="3"/>
      <x:c r="P1106" s="3"/>
      <x:c r="Q1106" s="3"/>
    </x:row>
    <x:row r="1107" ht="21" customHeight="1">
      <x:c r="A1107" s="3" t="str">
        <x:v>ORD-100008</x:v>
      </x:c>
      <x:c r="B1107" s="5" t="n">
        <x:v>45592</x:v>
      </x:c>
      <x:c r="C1107" s="3" t="str">
        <x:v>CUST-00465</x:v>
      </x:c>
      <x:c r="D1107" s="3" t="str">
        <x:v>East</x:v>
      </x:c>
      <x:c r="E1107" s="3" t="str">
        <x:v>Beauty</x:v>
      </x:c>
      <x:c r="F1107" s="3" t="str">
        <x:v>Makeup</x:v>
      </x:c>
      <x:c r="G1107" s="3" t="str">
        <x:v>Matte Lipstick Set</x:v>
      </x:c>
      <x:c r="H1107" s="3" t="n">
        <x:v>2</x:v>
      </x:c>
      <x:c r="I1107" s="7" t="n">
        <x:v>1037.44</x:v>
      </x:c>
      <x:c r="J1107" s="9" t="n">
        <x:v>0</x:v>
      </x:c>
      <x:c r="K1107" s="7" t="n">
        <x:v>2074.88</x:v>
      </x:c>
      <x:c r="L1107" s="7" t="n">
        <x:v>1182.83</x:v>
      </x:c>
      <x:c r="M1107" s="3" t="str">
        <x:v>UPI</x:v>
      </x:c>
      <x:c r="N1107" s="3"/>
      <x:c r="O1107" s="3"/>
      <x:c r="P1107" s="3"/>
      <x:c r="Q1107" s="3"/>
    </x:row>
    <x:row r="1108" ht="21" customHeight="1">
      <x:c r="A1108" s="3" t="str">
        <x:v>ORD-100659</x:v>
      </x:c>
      <x:c r="B1108" s="5" t="n">
        <x:v>45592</x:v>
      </x:c>
      <x:c r="C1108" s="3" t="str">
        <x:v>CUST-00147</x:v>
      </x:c>
      <x:c r="D1108" s="3" t="str">
        <x:v>East</x:v>
      </x:c>
      <x:c r="E1108" s="3" t="str">
        <x:v>Electronics</x:v>
      </x:c>
      <x:c r="F1108" s="3" t="str">
        <x:v>Audio</x:v>
      </x:c>
      <x:c r="G1108" s="3" t="str">
        <x:v>BassBoom Speaker</x:v>
      </x:c>
      <x:c r="H1108" s="3" t="n">
        <x:v>2</x:v>
      </x:c>
      <x:c r="I1108" s="7" t="n">
        <x:v>8985.08</x:v>
      </x:c>
      <x:c r="J1108" s="9" t="n">
        <x:v>0</x:v>
      </x:c>
      <x:c r="K1108" s="7" t="n">
        <x:v>17970.16</x:v>
      </x:c>
      <x:c r="L1108" s="7" t="n">
        <x:v>3578.51</x:v>
      </x:c>
      <x:c r="M1108" s="3" t="str">
        <x:v>UPI</x:v>
      </x:c>
      <x:c r="N1108" s="3"/>
      <x:c r="O1108" s="3"/>
      <x:c r="P1108" s="3"/>
      <x:c r="Q1108" s="3"/>
    </x:row>
    <x:row r="1109" ht="21" customHeight="1">
      <x:c r="A1109" s="3" t="str">
        <x:v>ORD-100677</x:v>
      </x:c>
      <x:c r="B1109" s="5" t="n">
        <x:v>45592</x:v>
      </x:c>
      <x:c r="C1109" s="3" t="str">
        <x:v>CUST-00456</x:v>
      </x:c>
      <x:c r="D1109" s="3" t="str">
        <x:v>North</x:v>
      </x:c>
      <x:c r="E1109" s="3" t="str">
        <x:v>Beauty</x:v>
      </x:c>
      <x:c r="F1109" s="3" t="str">
        <x:v>Makeup</x:v>
      </x:c>
      <x:c r="G1109" s="3" t="str">
        <x:v>HD Foundation Kit</x:v>
      </x:c>
      <x:c r="H1109" s="3" t="n">
        <x:v>5</x:v>
      </x:c>
      <x:c r="I1109" s="7" t="n">
        <x:v>1570.52</x:v>
      </x:c>
      <x:c r="J1109" s="9" t="n">
        <x:v>0</x:v>
      </x:c>
      <x:c r="K1109" s="7" t="n">
        <x:v>7852.6</x:v>
      </x:c>
      <x:c r="L1109" s="7" t="n">
        <x:v>4418.29</x:v>
      </x:c>
      <x:c r="M1109" s="3" t="str">
        <x:v>UPI</x:v>
      </x:c>
      <x:c r="N1109" s="3"/>
      <x:c r="O1109" s="3"/>
      <x:c r="P1109" s="3"/>
      <x:c r="Q1109" s="3"/>
    </x:row>
    <x:row r="1110" ht="21" customHeight="1">
      <x:c r="A1110" s="3" t="str">
        <x:v>ORD-100841</x:v>
      </x:c>
      <x:c r="B1110" s="5" t="n">
        <x:v>45592</x:v>
      </x:c>
      <x:c r="C1110" s="3" t="str">
        <x:v>CUST-00345</x:v>
      </x:c>
      <x:c r="D1110" s="3" t="str">
        <x:v>South</x:v>
      </x:c>
      <x:c r="E1110" s="3" t="str">
        <x:v>Electronics</x:v>
      </x:c>
      <x:c r="F1110" s="3" t="str">
        <x:v>Mobile</x:v>
      </x:c>
      <x:c r="G1110" s="3" t="str">
        <x:v>iPhone Zeta</x:v>
      </x:c>
      <x:c r="H1110" s="3" t="n">
        <x:v>3</x:v>
      </x:c>
      <x:c r="I1110" s="7" t="n">
        <x:v>72828.78</x:v>
      </x:c>
      <x:c r="J1110" s="9" t="n">
        <x:v>0.25</x:v>
      </x:c>
      <x:c r="K1110" s="7" t="n">
        <x:v>163864.76</x:v>
      </x:c>
      <x:c r="L1110" s="7" t="n">
        <x:v>-19524.58</x:v>
      </x:c>
      <x:c r="M1110" s="3" t="str">
        <x:v>Credit Card</x:v>
      </x:c>
      <x:c r="N1110" s="3"/>
      <x:c r="O1110" s="3"/>
      <x:c r="P1110" s="3"/>
      <x:c r="Q1110" s="3"/>
    </x:row>
    <x:row r="1111" ht="21" customHeight="1">
      <x:c r="A1111" s="3" t="str">
        <x:v>ORD-100951</x:v>
      </x:c>
      <x:c r="B1111" s="5" t="n">
        <x:v>45592</x:v>
      </x:c>
      <x:c r="C1111" s="3" t="str">
        <x:v>CUST-00400</x:v>
      </x:c>
      <x:c r="D1111" s="3" t="str">
        <x:v>West</x:v>
      </x:c>
      <x:c r="E1111" s="3" t="str">
        <x:v>Fashion</x:v>
      </x:c>
      <x:c r="F1111" s="3" t="str">
        <x:v>Footwear</x:v>
      </x:c>
      <x:c r="G1111" s="3" t="str">
        <x:v>UrbanLoafers</x:v>
      </x:c>
      <x:c r="H1111" s="3" t="n">
        <x:v>1</x:v>
      </x:c>
      <x:c r="I1111" s="7" t="n">
        <x:v>3582.79</x:v>
      </x:c>
      <x:c r="J1111" s="9" t="n">
        <x:v>0.15</x:v>
      </x:c>
      <x:c r="K1111" s="7" t="n">
        <x:v>3045.37</x:v>
      </x:c>
      <x:c r="L1111" s="7" t="n">
        <x:v>863</x:v>
      </x:c>
      <x:c r="M1111" s="3" t="str">
        <x:v>UPI</x:v>
      </x:c>
      <x:c r="N1111" s="3"/>
      <x:c r="O1111" s="3"/>
      <x:c r="P1111" s="3"/>
      <x:c r="Q1111" s="3"/>
    </x:row>
    <x:row r="1112" ht="21" customHeight="1">
      <x:c r="A1112" s="3" t="str">
        <x:v>ORD-100959</x:v>
      </x:c>
      <x:c r="B1112" s="5" t="n">
        <x:v>45592</x:v>
      </x:c>
      <x:c r="C1112" s="3" t="str">
        <x:v>CUST-00425</x:v>
      </x:c>
      <x:c r="D1112" s="3" t="str">
        <x:v>South</x:v>
      </x:c>
      <x:c r="E1112" s="3" t="str">
        <x:v>Electronics</x:v>
      </x:c>
      <x:c r="F1112" s="3" t="str">
        <x:v>Mobile</x:v>
      </x:c>
      <x:c r="G1112" s="3" t="str">
        <x:v>Galaxy Nova X5</x:v>
      </x:c>
      <x:c r="H1112" s="3" t="n">
        <x:v>1</x:v>
      </x:c>
      <x:c r="I1112" s="7" t="n">
        <x:v>25045.55</x:v>
      </x:c>
      <x:c r="J1112" s="9" t="n">
        <x:v>0</x:v>
      </x:c>
      <x:c r="K1112" s="7" t="n">
        <x:v>25045.55</x:v>
      </x:c>
      <x:c r="L1112" s="7" t="n">
        <x:v>3787.33</x:v>
      </x:c>
      <x:c r="M1112" s="3" t="str">
        <x:v>UPI</x:v>
      </x:c>
      <x:c r="N1112" s="3"/>
      <x:c r="O1112" s="3"/>
      <x:c r="P1112" s="3"/>
      <x:c r="Q1112" s="3"/>
    </x:row>
    <x:row r="1113" ht="21" customHeight="1">
      <x:c r="A1113" s="3" t="str">
        <x:v>ORD-100988</x:v>
      </x:c>
      <x:c r="B1113" s="5" t="n">
        <x:v>45592</x:v>
      </x:c>
      <x:c r="C1113" s="3" t="str">
        <x:v>CUST-00085</x:v>
      </x:c>
      <x:c r="D1113" s="3" t="str">
        <x:v>South</x:v>
      </x:c>
      <x:c r="E1113" s="3" t="str">
        <x:v>Beauty</x:v>
      </x:c>
      <x:c r="F1113" s="3" t="str">
        <x:v>Makeup</x:v>
      </x:c>
      <x:c r="G1113" s="3" t="str">
        <x:v>HD Foundation Kit</x:v>
      </x:c>
      <x:c r="H1113" s="3" t="n">
        <x:v>1</x:v>
      </x:c>
      <x:c r="I1113" s="7" t="n">
        <x:v>1477.08</x:v>
      </x:c>
      <x:c r="J1113" s="9" t="n">
        <x:v>0.05</x:v>
      </x:c>
      <x:c r="K1113" s="7" t="n">
        <x:v>1403.23</x:v>
      </x:c>
      <x:c r="L1113" s="7" t="n">
        <x:v>649.9</x:v>
      </x:c>
      <x:c r="M1113" s="3" t="str">
        <x:v>Debit Card</x:v>
      </x:c>
      <x:c r="N1113" s="3"/>
      <x:c r="O1113" s="3"/>
      <x:c r="P1113" s="3"/>
      <x:c r="Q1113" s="3"/>
    </x:row>
    <x:row r="1114" ht="21" customHeight="1">
      <x:c r="A1114" s="3" t="str">
        <x:v>ORD-101801</x:v>
      </x:c>
      <x:c r="B1114" s="5" t="n">
        <x:v>45592</x:v>
      </x:c>
      <x:c r="C1114" s="3" t="str">
        <x:v>CUST-00238</x:v>
      </x:c>
      <x:c r="D1114" s="3" t="str">
        <x:v>South</x:v>
      </x:c>
      <x:c r="E1114" s="3" t="str">
        <x:v>Electronics</x:v>
      </x:c>
      <x:c r="F1114" s="3" t="str">
        <x:v>Mobile</x:v>
      </x:c>
      <x:c r="G1114" s="3" t="str">
        <x:v>Galaxy Nova X5</x:v>
      </x:c>
      <x:c r="H1114" s="3" t="n">
        <x:v>2</x:v>
      </x:c>
      <x:c r="I1114" s="7" t="n">
        <x:v>25693.92</x:v>
      </x:c>
      <x:c r="J1114" s="9" t="n">
        <x:v>0.05</x:v>
      </x:c>
      <x:c r="K1114" s="7" t="n">
        <x:v>48818.45</x:v>
      </x:c>
      <x:c r="L1114" s="7" t="n">
        <x:v>5070.32</x:v>
      </x:c>
      <x:c r="M1114" s="3" t="str">
        <x:v>UPI</x:v>
      </x:c>
      <x:c r="N1114" s="3"/>
      <x:c r="O1114" s="3"/>
      <x:c r="P1114" s="3"/>
      <x:c r="Q1114" s="3"/>
    </x:row>
    <x:row r="1115" ht="21" customHeight="1">
      <x:c r="A1115" s="3" t="str">
        <x:v>ORD-100365</x:v>
      </x:c>
      <x:c r="B1115" s="5" t="n">
        <x:v>45593</x:v>
      </x:c>
      <x:c r="C1115" s="3" t="str">
        <x:v>CUST-00502</x:v>
      </x:c>
      <x:c r="D1115" s="3" t="str">
        <x:v>West</x:v>
      </x:c>
      <x:c r="E1115" s="3" t="str">
        <x:v>Fashion</x:v>
      </x:c>
      <x:c r="F1115" s="3" t="str">
        <x:v>Women</x:v>
      </x:c>
      <x:c r="G1115" s="3" t="str">
        <x:v>Floral Summer Dress</x:v>
      </x:c>
      <x:c r="H1115" s="3" t="n">
        <x:v>1</x:v>
      </x:c>
      <x:c r="I1115" s="7" t="n">
        <x:v>1825.02</x:v>
      </x:c>
      <x:c r="J1115" s="9" t="n">
        <x:v>0.1</x:v>
      </x:c>
      <x:c r="K1115" s="7" t="n">
        <x:v>1642.52</x:v>
      </x:c>
      <x:c r="L1115" s="7" t="n">
        <x:v>480.91</x:v>
      </x:c>
      <x:c r="M1115" s="3" t="str">
        <x:v>Debit Card</x:v>
      </x:c>
      <x:c r="N1115" s="3"/>
      <x:c r="O1115" s="3"/>
      <x:c r="P1115" s="3"/>
      <x:c r="Q1115" s="3"/>
    </x:row>
    <x:row r="1116" ht="21" customHeight="1">
      <x:c r="A1116" s="3" t="str">
        <x:v>ORD-100437</x:v>
      </x:c>
      <x:c r="B1116" s="5" t="n">
        <x:v>45593</x:v>
      </x:c>
      <x:c r="C1116" s="3" t="str">
        <x:v>CUST-00037</x:v>
      </x:c>
      <x:c r="D1116" s="3" t="str">
        <x:v>South</x:v>
      </x:c>
      <x:c r="E1116" s="3" t="str">
        <x:v>Beauty</x:v>
      </x:c>
      <x:c r="F1116" s="3" t="str">
        <x:v>Skincare</x:v>
      </x:c>
      <x:c r="G1116" s="3" t="str">
        <x:v>HydraBoost Moisturizer</x:v>
      </x:c>
      <x:c r="H1116" s="3" t="n">
        <x:v>1</x:v>
      </x:c>
      <x:c r="I1116" s="7" t="n">
        <x:v>1207.87</x:v>
      </x:c>
      <x:c r="J1116" s="9" t="n">
        <x:v>0.25</x:v>
      </x:c>
      <x:c r="K1116" s="7" t="n">
        <x:v>905.9</x:v>
      </x:c>
      <x:c r="L1116" s="7" t="n">
        <x:v>225.59</x:v>
      </x:c>
      <x:c r="M1116" s="3" t="str">
        <x:v>Cash on Delivery</x:v>
      </x:c>
      <x:c r="N1116" s="3"/>
      <x:c r="O1116" s="3"/>
      <x:c r="P1116" s="3"/>
      <x:c r="Q1116" s="3"/>
    </x:row>
    <x:row r="1117" ht="21" customHeight="1">
      <x:c r="A1117" s="3" t="str">
        <x:v>ORD-100610</x:v>
      </x:c>
      <x:c r="B1117" s="5" t="n">
        <x:v>45593</x:v>
      </x:c>
      <x:c r="C1117" s="3" t="str">
        <x:v>CUST-00336</x:v>
      </x:c>
      <x:c r="D1117" s="3" t="str">
        <x:v>West</x:v>
      </x:c>
      <x:c r="E1117" s="3" t="str">
        <x:v>Fashion</x:v>
      </x:c>
      <x:c r="F1117" s="3" t="str">
        <x:v>Men</x:v>
      </x:c>
      <x:c r="G1117" s="3" t="str">
        <x:v>Oxford Casual Shirt</x:v>
      </x:c>
      <x:c r="H1117" s="3" t="n">
        <x:v>2</x:v>
      </x:c>
      <x:c r="I1117" s="7" t="n">
        <x:v>1289.85</x:v>
      </x:c>
      <x:c r="J1117" s="9" t="n">
        <x:v>0.05</x:v>
      </x:c>
      <x:c r="K1117" s="7" t="n">
        <x:v>2450.71</x:v>
      </x:c>
      <x:c r="L1117" s="7" t="n">
        <x:v>915.07</x:v>
      </x:c>
      <x:c r="M1117" s="3" t="str">
        <x:v>Debit Card</x:v>
      </x:c>
      <x:c r="N1117" s="3"/>
      <x:c r="O1117" s="3"/>
      <x:c r="P1117" s="3"/>
      <x:c r="Q1117" s="3"/>
    </x:row>
    <x:row r="1118" ht="21" customHeight="1">
      <x:c r="A1118" s="3" t="str">
        <x:v>ORD-100710</x:v>
      </x:c>
      <x:c r="B1118" s="5" t="n">
        <x:v>45593</x:v>
      </x:c>
      <x:c r="C1118" s="3" t="str">
        <x:v>CUST-00059</x:v>
      </x:c>
      <x:c r="D1118" s="3" t="str">
        <x:v>North</x:v>
      </x:c>
      <x:c r="E1118" s="3" t="str">
        <x:v>Home &amp; Kitchen</x:v>
      </x:c>
      <x:c r="F1118" s="3" t="str">
        <x:v>Appliances</x:v>
      </x:c>
      <x:c r="G1118" s="3" t="str">
        <x:v>ColdBrew Coffee Maker</x:v>
      </x:c>
      <x:c r="H1118" s="3" t="n">
        <x:v>1</x:v>
      </x:c>
      <x:c r="I1118" s="7" t="n">
        <x:v>6748.55</x:v>
      </x:c>
      <x:c r="J1118" s="9" t="n">
        <x:v>0.25</x:v>
      </x:c>
      <x:c r="K1118" s="7" t="n">
        <x:v>5061.41</x:v>
      </x:c>
      <x:c r="L1118" s="7" t="n">
        <x:v>119.57</x:v>
      </x:c>
      <x:c r="M1118" s="3" t="str">
        <x:v>Net Banking</x:v>
      </x:c>
      <x:c r="N1118" s="3"/>
      <x:c r="O1118" s="3"/>
      <x:c r="P1118" s="3"/>
      <x:c r="Q1118" s="3"/>
    </x:row>
    <x:row r="1119" ht="21" customHeight="1">
      <x:c r="A1119" s="3" t="str">
        <x:v>ORD-101215</x:v>
      </x:c>
      <x:c r="B1119" s="5" t="n">
        <x:v>45593</x:v>
      </x:c>
      <x:c r="C1119" s="3" t="str">
        <x:v>CUST-00549</x:v>
      </x:c>
      <x:c r="D1119" s="3" t="str">
        <x:v>West</x:v>
      </x:c>
      <x:c r="E1119" s="3" t="str">
        <x:v>Fashion</x:v>
      </x:c>
      <x:c r="F1119" s="3" t="str">
        <x:v>Men</x:v>
      </x:c>
      <x:c r="G1119" s="3" t="str">
        <x:v>SlimFit Denim Jeans</x:v>
      </x:c>
      <x:c r="H1119" s="3" t="n">
        <x:v>1</x:v>
      </x:c>
      <x:c r="I1119" s="7" t="n">
        <x:v>1982.66</x:v>
      </x:c>
      <x:c r="J1119" s="9" t="n">
        <x:v>0.05</x:v>
      </x:c>
      <x:c r="K1119" s="7" t="n">
        <x:v>1883.53</x:v>
      </x:c>
      <x:c r="L1119" s="7" t="n">
        <x:v>621.34</x:v>
      </x:c>
      <x:c r="M1119" s="3" t="str">
        <x:v>Credit Card</x:v>
      </x:c>
      <x:c r="N1119" s="3"/>
      <x:c r="O1119" s="3"/>
      <x:c r="P1119" s="3"/>
      <x:c r="Q1119" s="3"/>
    </x:row>
    <x:row r="1120" ht="21" customHeight="1">
      <x:c r="A1120" s="3" t="str">
        <x:v>ORD-100030</x:v>
      </x:c>
      <x:c r="B1120" s="5" t="n">
        <x:v>45594</x:v>
      </x:c>
      <x:c r="C1120" s="3" t="str">
        <x:v>CUST-00197</x:v>
      </x:c>
      <x:c r="D1120" s="3" t="str">
        <x:v>East</x:v>
      </x:c>
      <x:c r="E1120" s="3" t="str">
        <x:v>Home &amp; Kitchen</x:v>
      </x:c>
      <x:c r="F1120" s="3" t="str">
        <x:v>Appliances</x:v>
      </x:c>
      <x:c r="G1120" s="3" t="str">
        <x:v>ColdBrew Coffee Maker</x:v>
      </x:c>
      <x:c r="H1120" s="3" t="n">
        <x:v>2</x:v>
      </x:c>
      <x:c r="I1120" s="7" t="n">
        <x:v>6758.99</x:v>
      </x:c>
      <x:c r="J1120" s="9" t="n">
        <x:v>0</x:v>
      </x:c>
      <x:c r="K1120" s="7" t="n">
        <x:v>13517.98</x:v>
      </x:c>
      <x:c r="L1120" s="7" t="n">
        <x:v>4468.64</x:v>
      </x:c>
      <x:c r="M1120" s="3" t="str">
        <x:v>UPI</x:v>
      </x:c>
      <x:c r="N1120" s="3"/>
      <x:c r="O1120" s="3"/>
      <x:c r="P1120" s="3"/>
      <x:c r="Q1120" s="3"/>
    </x:row>
    <x:row r="1121" ht="21" customHeight="1">
      <x:c r="A1121" s="3" t="str">
        <x:v>ORD-100073</x:v>
      </x:c>
      <x:c r="B1121" s="5" t="n">
        <x:v>45594</x:v>
      </x:c>
      <x:c r="C1121" s="3" t="str">
        <x:v>CUST-00406</x:v>
      </x:c>
      <x:c r="D1121" s="3" t="str">
        <x:v>East</x:v>
      </x:c>
      <x:c r="E1121" s="3" t="str">
        <x:v>Home &amp; Kitchen</x:v>
      </x:c>
      <x:c r="F1121" s="3" t="str">
        <x:v>Decor</x:v>
      </x:c>
      <x:c r="G1121" s="3" t="str">
        <x:v>LED Wall Lamp</x:v>
      </x:c>
      <x:c r="H1121" s="3" t="n">
        <x:v>1</x:v>
      </x:c>
      <x:c r="I1121" s="7" t="n">
        <x:v>997.32</x:v>
      </x:c>
      <x:c r="J1121" s="9" t="n">
        <x:v>0.05</x:v>
      </x:c>
      <x:c r="K1121" s="7" t="n">
        <x:v>947.45</x:v>
      </x:c>
      <x:c r="L1121" s="7" t="n">
        <x:v>238.26</x:v>
      </x:c>
      <x:c r="M1121" s="3" t="str">
        <x:v>Credit Card</x:v>
      </x:c>
      <x:c r="N1121" s="3"/>
      <x:c r="O1121" s="3"/>
      <x:c r="P1121" s="3"/>
      <x:c r="Q1121" s="3"/>
    </x:row>
    <x:row r="1122" ht="21" customHeight="1">
      <x:c r="A1122" s="3" t="str">
        <x:v>ORD-101101</x:v>
      </x:c>
      <x:c r="B1122" s="5" t="n">
        <x:v>45594</x:v>
      </x:c>
      <x:c r="C1122" s="3" t="str">
        <x:v>CUST-00371</x:v>
      </x:c>
      <x:c r="D1122" s="3" t="str">
        <x:v>East</x:v>
      </x:c>
      <x:c r="E1122" s="3" t="str">
        <x:v>Fashion</x:v>
      </x:c>
      <x:c r="F1122" s="3" t="str">
        <x:v>Women</x:v>
      </x:c>
      <x:c r="G1122" s="3" t="str">
        <x:v>Knit Winter Sweater</x:v>
      </x:c>
      <x:c r="H1122" s="3" t="n">
        <x:v>1</x:v>
      </x:c>
      <x:c r="I1122" s="7" t="n">
        <x:v>2237.72</x:v>
      </x:c>
      <x:c r="J1122" s="9" t="n">
        <x:v>0.05</x:v>
      </x:c>
      <x:c r="K1122" s="7" t="n">
        <x:v>2125.83</x:v>
      </x:c>
      <x:c r="L1122" s="7" t="n">
        <x:v>732.95</x:v>
      </x:c>
      <x:c r="M1122" s="3" t="str">
        <x:v>Credit Card</x:v>
      </x:c>
      <x:c r="N1122" s="3"/>
      <x:c r="O1122" s="3"/>
      <x:c r="P1122" s="3"/>
      <x:c r="Q1122" s="3"/>
    </x:row>
    <x:row r="1123" ht="21" customHeight="1">
      <x:c r="A1123" s="3" t="str">
        <x:v>ORD-101530</x:v>
      </x:c>
      <x:c r="B1123" s="5" t="n">
        <x:v>45594</x:v>
      </x:c>
      <x:c r="C1123" s="3" t="str">
        <x:v>CUST-00473</x:v>
      </x:c>
      <x:c r="D1123" s="3" t="str">
        <x:v>North</x:v>
      </x:c>
      <x:c r="E1123" s="3" t="str">
        <x:v>Home &amp; Kitchen</x:v>
      </x:c>
      <x:c r="F1123" s="3" t="str">
        <x:v>Decor</x:v>
      </x:c>
      <x:c r="G1123" s="3" t="str">
        <x:v>LED Wall Lamp</x:v>
      </x:c>
      <x:c r="H1123" s="3" t="n">
        <x:v>1</x:v>
      </x:c>
      <x:c r="I1123" s="7" t="n">
        <x:v>970.51</x:v>
      </x:c>
      <x:c r="J1123" s="9" t="n">
        <x:v>0.05</x:v>
      </x:c>
      <x:c r="K1123" s="7" t="n">
        <x:v>921.98</x:v>
      </x:c>
      <x:c r="L1123" s="7" t="n">
        <x:v>271.33</x:v>
      </x:c>
      <x:c r="M1123" s="3" t="str">
        <x:v>Net Banking</x:v>
      </x:c>
      <x:c r="N1123" s="3"/>
      <x:c r="O1123" s="3"/>
      <x:c r="P1123" s="3"/>
      <x:c r="Q1123" s="3"/>
    </x:row>
    <x:row r="1124" ht="21" customHeight="1">
      <x:c r="A1124" s="3" t="str">
        <x:v>ORD-101057</x:v>
      </x:c>
      <x:c r="B1124" s="5" t="n">
        <x:v>45595</x:v>
      </x:c>
      <x:c r="C1124" s="3" t="str">
        <x:v>CUST-00432</x:v>
      </x:c>
      <x:c r="D1124" s="3" t="str">
        <x:v>North</x:v>
      </x:c>
      <x:c r="E1124" s="3" t="str">
        <x:v>Fashion</x:v>
      </x:c>
      <x:c r="F1124" s="3" t="str">
        <x:v>Footwear</x:v>
      </x:c>
      <x:c r="G1124" s="3" t="str">
        <x:v>UrbanLoafers</x:v>
      </x:c>
      <x:c r="H1124" s="3" t="n">
        <x:v>1</x:v>
      </x:c>
      <x:c r="I1124" s="7" t="n">
        <x:v>3569.21</x:v>
      </x:c>
      <x:c r="J1124" s="9" t="n">
        <x:v>0.05</x:v>
      </x:c>
      <x:c r="K1124" s="7" t="n">
        <x:v>3390.75</x:v>
      </x:c>
      <x:c r="L1124" s="7" t="n">
        <x:v>1324.82</x:v>
      </x:c>
      <x:c r="M1124" s="3" t="str">
        <x:v>UPI</x:v>
      </x:c>
      <x:c r="N1124" s="3"/>
      <x:c r="O1124" s="3"/>
      <x:c r="P1124" s="3"/>
      <x:c r="Q1124" s="3"/>
    </x:row>
    <x:row r="1125" ht="21" customHeight="1">
      <x:c r="A1125" s="3" t="str">
        <x:v>ORD-101627</x:v>
      </x:c>
      <x:c r="B1125" s="5" t="n">
        <x:v>45595</x:v>
      </x:c>
      <x:c r="C1125" s="3" t="str">
        <x:v>CUST-00309</x:v>
      </x:c>
      <x:c r="D1125" s="3" t="str">
        <x:v>East</x:v>
      </x:c>
      <x:c r="E1125" s="3" t="str">
        <x:v>Sports</x:v>
      </x:c>
      <x:c r="F1125" s="3" t="str">
        <x:v>Fitness</x:v>
      </x:c>
      <x:c r="G1125" s="3" t="str">
        <x:v>ProYoga Mat</x:v>
      </x:c>
      <x:c r="H1125" s="3" t="n">
        <x:v>1</x:v>
      </x:c>
      <x:c r="I1125" s="7" t="n">
        <x:v>1361.18</x:v>
      </x:c>
      <x:c r="J1125" s="9" t="n">
        <x:v>0.05</x:v>
      </x:c>
      <x:c r="K1125" s="7" t="n">
        <x:v>1293.12</x:v>
      </x:c>
      <x:c r="L1125" s="7" t="n">
        <x:v>420.14</x:v>
      </x:c>
      <x:c r="M1125" s="3" t="str">
        <x:v>Net Banking</x:v>
      </x:c>
      <x:c r="N1125" s="3"/>
      <x:c r="O1125" s="3"/>
      <x:c r="P1125" s="3"/>
      <x:c r="Q1125" s="3"/>
    </x:row>
    <x:row r="1126" ht="21" customHeight="1">
      <x:c r="A1126" s="3" t="str">
        <x:v>ORD-101842</x:v>
      </x:c>
      <x:c r="B1126" s="5" t="n">
        <x:v>45595</x:v>
      </x:c>
      <x:c r="C1126" s="3" t="str">
        <x:v>CUST-00416</x:v>
      </x:c>
      <x:c r="D1126" s="3" t="str">
        <x:v>West</x:v>
      </x:c>
      <x:c r="E1126" s="3" t="str">
        <x:v>Sports</x:v>
      </x:c>
      <x:c r="F1126" s="3" t="str">
        <x:v>Outdoor</x:v>
      </x:c>
      <x:c r="G1126" s="3" t="str">
        <x:v>TrailHike Backpack 60L</x:v>
      </x:c>
      <x:c r="H1126" s="3" t="n">
        <x:v>1</x:v>
      </x:c>
      <x:c r="I1126" s="7" t="n">
        <x:v>3374.49</x:v>
      </x:c>
      <x:c r="J1126" s="9" t="n">
        <x:v>0</x:v>
      </x:c>
      <x:c r="K1126" s="7" t="n">
        <x:v>3374.49</x:v>
      </x:c>
      <x:c r="L1126" s="7" t="n">
        <x:v>1303.4</x:v>
      </x:c>
      <x:c r="M1126" s="3" t="str">
        <x:v>UPI</x:v>
      </x:c>
      <x:c r="N1126" s="3"/>
      <x:c r="O1126" s="3"/>
      <x:c r="P1126" s="3"/>
      <x:c r="Q1126" s="3"/>
    </x:row>
    <x:row r="1127" ht="21" customHeight="1">
      <x:c r="A1127" s="3" t="str">
        <x:v>ORD-101071</x:v>
      </x:c>
      <x:c r="B1127" s="5" t="n">
        <x:v>45596</x:v>
      </x:c>
      <x:c r="C1127" s="3" t="str">
        <x:v>CUST-00123</x:v>
      </x:c>
      <x:c r="D1127" s="3" t="str">
        <x:v>West</x:v>
      </x:c>
      <x:c r="E1127" s="3" t="str">
        <x:v>Beauty</x:v>
      </x:c>
      <x:c r="F1127" s="3" t="str">
        <x:v>Skincare</x:v>
      </x:c>
      <x:c r="G1127" s="3" t="str">
        <x:v>Vitamin C Serum</x:v>
      </x:c>
      <x:c r="H1127" s="3" t="n">
        <x:v>1</x:v>
      </x:c>
      <x:c r="I1127" s="7" t="n">
        <x:v>871.2</x:v>
      </x:c>
      <x:c r="J1127" s="9" t="n">
        <x:v>0</x:v>
      </x:c>
      <x:c r="K1127" s="7" t="n">
        <x:v>871.2</x:v>
      </x:c>
      <x:c r="L1127" s="7" t="n">
        <x:v>473.8</x:v>
      </x:c>
      <x:c r="M1127" s="3" t="str">
        <x:v>UPI</x:v>
      </x:c>
      <x:c r="N1127" s="3"/>
      <x:c r="O1127" s="3"/>
      <x:c r="P1127" s="3"/>
      <x:c r="Q1127" s="3"/>
    </x:row>
    <x:row r="1128" ht="21" customHeight="1">
      <x:c r="A1128" s="3" t="str">
        <x:v>ORD-101165</x:v>
      </x:c>
      <x:c r="B1128" s="5" t="n">
        <x:v>45596</x:v>
      </x:c>
      <x:c r="C1128" s="3" t="str">
        <x:v>CUST-00414</x:v>
      </x:c>
      <x:c r="D1128" s="3" t="str">
        <x:v>North</x:v>
      </x:c>
      <x:c r="E1128" s="3" t="str">
        <x:v>Home &amp; Kitchen</x:v>
      </x:c>
      <x:c r="F1128" s="3" t="str">
        <x:v>Appliances</x:v>
      </x:c>
      <x:c r="G1128" s="3" t="str">
        <x:v>AirFryer Deluxe</x:v>
      </x:c>
      <x:c r="H1128" s="3" t="n">
        <x:v>3</x:v>
      </x:c>
      <x:c r="I1128" s="7" t="n">
        <x:v>8060.88</x:v>
      </x:c>
      <x:c r="J1128" s="9" t="n">
        <x:v>0.1</x:v>
      </x:c>
      <x:c r="K1128" s="7" t="n">
        <x:v>21764.38</x:v>
      </x:c>
      <x:c r="L1128" s="7" t="n">
        <x:v>5011</x:v>
      </x:c>
      <x:c r="M1128" s="3" t="str">
        <x:v>Credit Card</x:v>
      </x:c>
      <x:c r="N1128" s="3"/>
      <x:c r="O1128" s="3"/>
      <x:c r="P1128" s="3"/>
      <x:c r="Q1128" s="3"/>
    </x:row>
    <x:row r="1129" ht="21" customHeight="1">
      <x:c r="A1129" s="3" t="str">
        <x:v>ORD-101451</x:v>
      </x:c>
      <x:c r="B1129" s="5" t="n">
        <x:v>45596</x:v>
      </x:c>
      <x:c r="C1129" s="3" t="str">
        <x:v>CUST-00461</x:v>
      </x:c>
      <x:c r="D1129" s="3" t="str">
        <x:v>East</x:v>
      </x:c>
      <x:c r="E1129" s="3" t="str">
        <x:v>Electronics</x:v>
      </x:c>
      <x:c r="F1129" s="3" t="str">
        <x:v>Mobile</x:v>
      </x:c>
      <x:c r="G1129" s="3" t="str">
        <x:v>Pixel Aura 12</x:v>
      </x:c>
      <x:c r="H1129" s="3" t="n">
        <x:v>5</x:v>
      </x:c>
      <x:c r="I1129" s="7" t="n">
        <x:v>32359.38</x:v>
      </x:c>
      <x:c r="J1129" s="9" t="n">
        <x:v>0.05</x:v>
      </x:c>
      <x:c r="K1129" s="7" t="n">
        <x:v>153707.05</x:v>
      </x:c>
      <x:c r="L1129" s="7" t="n">
        <x:v>19379.45</x:v>
      </x:c>
      <x:c r="M1129" s="3" t="str">
        <x:v>Credit Card</x:v>
      </x:c>
      <x:c r="N1129" s="3"/>
      <x:c r="O1129" s="3"/>
      <x:c r="P1129" s="3"/>
      <x:c r="Q1129" s="3"/>
    </x:row>
    <x:row r="1130" ht="21" customHeight="1">
      <x:c r="A1130" s="3" t="str">
        <x:v>ORD-100265</x:v>
      </x:c>
      <x:c r="B1130" s="5" t="n">
        <x:v>45597</x:v>
      </x:c>
      <x:c r="C1130" s="3" t="str">
        <x:v>CUST-00530</x:v>
      </x:c>
      <x:c r="D1130" s="3" t="str">
        <x:v>East</x:v>
      </x:c>
      <x:c r="E1130" s="3" t="str">
        <x:v>Sports</x:v>
      </x:c>
      <x:c r="F1130" s="3" t="str">
        <x:v>Fitness</x:v>
      </x:c>
      <x:c r="G1130" s="3" t="str">
        <x:v>Adjustable Dumbbell 24kg</x:v>
      </x:c>
      <x:c r="H1130" s="3" t="n">
        <x:v>5</x:v>
      </x:c>
      <x:c r="I1130" s="7" t="n">
        <x:v>10360.46</x:v>
      </x:c>
      <x:c r="J1130" s="9" t="n">
        <x:v>0.1</x:v>
      </x:c>
      <x:c r="K1130" s="7" t="n">
        <x:v>46622.07</x:v>
      </x:c>
      <x:c r="L1130" s="7" t="n">
        <x:v>11463.98</x:v>
      </x:c>
      <x:c r="M1130" s="3" t="str">
        <x:v>Net Banking</x:v>
      </x:c>
      <x:c r="N1130" s="3"/>
      <x:c r="O1130" s="3"/>
      <x:c r="P1130" s="3"/>
      <x:c r="Q1130" s="3"/>
    </x:row>
    <x:row r="1131" ht="21" customHeight="1">
      <x:c r="A1131" s="3" t="str">
        <x:v>ORD-100405</x:v>
      </x:c>
      <x:c r="B1131" s="5" t="n">
        <x:v>45597</x:v>
      </x:c>
      <x:c r="C1131" s="3" t="str">
        <x:v>CUST-00090</x:v>
      </x:c>
      <x:c r="D1131" s="3" t="str">
        <x:v>East</x:v>
      </x:c>
      <x:c r="E1131" s="3" t="str">
        <x:v>Fashion</x:v>
      </x:c>
      <x:c r="F1131" s="3" t="str">
        <x:v>Men</x:v>
      </x:c>
      <x:c r="G1131" s="3" t="str">
        <x:v>SlimFit Denim Jeans</x:v>
      </x:c>
      <x:c r="H1131" s="3" t="n">
        <x:v>1</x:v>
      </x:c>
      <x:c r="I1131" s="7" t="n">
        <x:v>1906.39</x:v>
      </x:c>
      <x:c r="J1131" s="9" t="n">
        <x:v>0.1</x:v>
      </x:c>
      <x:c r="K1131" s="7" t="n">
        <x:v>1715.75</x:v>
      </x:c>
      <x:c r="L1131" s="7" t="n">
        <x:v>571.87</x:v>
      </x:c>
      <x:c r="M1131" s="3" t="str">
        <x:v>Debit Card</x:v>
      </x:c>
      <x:c r="N1131" s="3"/>
      <x:c r="O1131" s="3"/>
      <x:c r="P1131" s="3"/>
      <x:c r="Q1131" s="3"/>
    </x:row>
    <x:row r="1132" ht="21" customHeight="1">
      <x:c r="A1132" s="3" t="str">
        <x:v>ORD-101464</x:v>
      </x:c>
      <x:c r="B1132" s="5" t="n">
        <x:v>45597</x:v>
      </x:c>
      <x:c r="C1132" s="3" t="str">
        <x:v>CUST-00336</x:v>
      </x:c>
      <x:c r="D1132" s="3" t="str">
        <x:v>North</x:v>
      </x:c>
      <x:c r="E1132" s="3" t="str">
        <x:v>Electronics</x:v>
      </x:c>
      <x:c r="F1132" s="3" t="str">
        <x:v>Audio</x:v>
      </x:c>
      <x:c r="G1132" s="3" t="str">
        <x:v>BassBoom Speaker</x:v>
      </x:c>
      <x:c r="H1132" s="3" t="n">
        <x:v>5</x:v>
      </x:c>
      <x:c r="I1132" s="7" t="n">
        <x:v>9065.29</x:v>
      </x:c>
      <x:c r="J1132" s="9" t="n">
        <x:v>0</x:v>
      </x:c>
      <x:c r="K1132" s="7" t="n">
        <x:v>45326.45</x:v>
      </x:c>
      <x:c r="L1132" s="7" t="n">
        <x:v>7137.65</x:v>
      </x:c>
      <x:c r="M1132" s="3" t="str">
        <x:v>Debit Card</x:v>
      </x:c>
      <x:c r="N1132" s="3"/>
      <x:c r="O1132" s="3"/>
      <x:c r="P1132" s="3"/>
      <x:c r="Q1132" s="3"/>
    </x:row>
    <x:row r="1133" ht="21" customHeight="1">
      <x:c r="A1133" s="3" t="str">
        <x:v>ORD-101873</x:v>
      </x:c>
      <x:c r="B1133" s="5" t="n">
        <x:v>45597</x:v>
      </x:c>
      <x:c r="C1133" s="3" t="str">
        <x:v>CUST-00157</x:v>
      </x:c>
      <x:c r="D1133" s="3" t="str">
        <x:v>South</x:v>
      </x:c>
      <x:c r="E1133" s="3" t="str">
        <x:v>Beauty</x:v>
      </x:c>
      <x:c r="F1133" s="3" t="str">
        <x:v>Makeup</x:v>
      </x:c>
      <x:c r="G1133" s="3" t="str">
        <x:v>Matte Lipstick Set</x:v>
      </x:c>
      <x:c r="H1133" s="3" t="n">
        <x:v>2</x:v>
      </x:c>
      <x:c r="I1133" s="7" t="n">
        <x:v>1032.38</x:v>
      </x:c>
      <x:c r="J1133" s="9" t="n">
        <x:v>0.15</x:v>
      </x:c>
      <x:c r="K1133" s="7" t="n">
        <x:v>1755.05</x:v>
      </x:c>
      <x:c r="L1133" s="7" t="n">
        <x:v>676.96</x:v>
      </x:c>
      <x:c r="M1133" s="3" t="str">
        <x:v>Credit Card</x:v>
      </x:c>
      <x:c r="N1133" s="3"/>
      <x:c r="O1133" s="3"/>
      <x:c r="P1133" s="3"/>
      <x:c r="Q1133" s="3"/>
    </x:row>
    <x:row r="1134" ht="21" customHeight="1">
      <x:c r="A1134" s="3" t="str">
        <x:v>ORD-100072</x:v>
      </x:c>
      <x:c r="B1134" s="5" t="n">
        <x:v>45598</x:v>
      </x:c>
      <x:c r="C1134" s="3" t="str">
        <x:v>CUST-00435</x:v>
      </x:c>
      <x:c r="D1134" s="3" t="str">
        <x:v>North</x:v>
      </x:c>
      <x:c r="E1134" s="3" t="str">
        <x:v>Sports</x:v>
      </x:c>
      <x:c r="F1134" s="3" t="str">
        <x:v>Outdoor</x:v>
      </x:c>
      <x:c r="G1134" s="3" t="str">
        <x:v>TrailHike Backpack 60L</x:v>
      </x:c>
      <x:c r="H1134" s="3" t="n">
        <x:v>4</x:v>
      </x:c>
      <x:c r="I1134" s="7" t="n">
        <x:v>3424.69</x:v>
      </x:c>
      <x:c r="J1134" s="9" t="n">
        <x:v>0.05</x:v>
      </x:c>
      <x:c r="K1134" s="7" t="n">
        <x:v>13013.82</x:v>
      </x:c>
      <x:c r="L1134" s="7" t="n">
        <x:v>4245.47</x:v>
      </x:c>
      <x:c r="M1134" s="3" t="str">
        <x:v>Cash on Delivery</x:v>
      </x:c>
      <x:c r="N1134" s="3"/>
      <x:c r="O1134" s="3"/>
      <x:c r="P1134" s="3"/>
      <x:c r="Q1134" s="3"/>
    </x:row>
    <x:row r="1135" ht="21" customHeight="1">
      <x:c r="A1135" s="3" t="str">
        <x:v>ORD-100178</x:v>
      </x:c>
      <x:c r="B1135" s="5" t="n">
        <x:v>45598</x:v>
      </x:c>
      <x:c r="C1135" s="3" t="str">
        <x:v>CUST-00247</x:v>
      </x:c>
      <x:c r="D1135" s="3" t="str">
        <x:v>North</x:v>
      </x:c>
      <x:c r="E1135" s="3" t="str">
        <x:v>Home &amp; Kitchen</x:v>
      </x:c>
      <x:c r="F1135" s="3" t="str">
        <x:v>Appliances</x:v>
      </x:c>
      <x:c r="G1135" s="3" t="str">
        <x:v>AirFryer Deluxe</x:v>
      </x:c>
      <x:c r="H1135" s="3" t="n">
        <x:v>1</x:v>
      </x:c>
      <x:c r="I1135" s="7" t="n">
        <x:v>7611.57</x:v>
      </x:c>
      <x:c r="J1135" s="9" t="n">
        <x:v>0.2</x:v>
      </x:c>
      <x:c r="K1135" s="7" t="n">
        <x:v>6089.26</x:v>
      </x:c>
      <x:c r="L1135" s="7" t="n">
        <x:v>466.27</x:v>
      </x:c>
      <x:c r="M1135" s="3" t="str">
        <x:v>Debit Card</x:v>
      </x:c>
      <x:c r="N1135" s="3"/>
      <x:c r="O1135" s="3"/>
      <x:c r="P1135" s="3"/>
      <x:c r="Q1135" s="3"/>
    </x:row>
    <x:row r="1136" ht="21" customHeight="1">
      <x:c r="A1136" s="3" t="str">
        <x:v>ORD-100230</x:v>
      </x:c>
      <x:c r="B1136" s="5" t="n">
        <x:v>45598</x:v>
      </x:c>
      <x:c r="C1136" s="3" t="str">
        <x:v>CUST-00179</x:v>
      </x:c>
      <x:c r="D1136" s="3" t="str">
        <x:v>South</x:v>
      </x:c>
      <x:c r="E1136" s="3" t="str">
        <x:v>Beauty</x:v>
      </x:c>
      <x:c r="F1136" s="3" t="str">
        <x:v>Skincare</x:v>
      </x:c>
      <x:c r="G1136" s="3" t="str">
        <x:v>Vitamin C Serum</x:v>
      </x:c>
      <x:c r="H1136" s="3" t="n">
        <x:v>3</x:v>
      </x:c>
      <x:c r="I1136" s="7" t="n">
        <x:v>862.25</x:v>
      </x:c>
      <x:c r="J1136" s="9" t="n">
        <x:v>0.05</x:v>
      </x:c>
      <x:c r="K1136" s="7" t="n">
        <x:v>2457.41</x:v>
      </x:c>
      <x:c r="L1136" s="7" t="n">
        <x:v>1160.78</x:v>
      </x:c>
      <x:c r="M1136" s="3" t="str">
        <x:v>Credit Card</x:v>
      </x:c>
      <x:c r="N1136" s="3"/>
      <x:c r="O1136" s="3"/>
      <x:c r="P1136" s="3"/>
      <x:c r="Q1136" s="3"/>
    </x:row>
    <x:row r="1137" ht="21" customHeight="1">
      <x:c r="A1137" s="3" t="str">
        <x:v>ORD-100412</x:v>
      </x:c>
      <x:c r="B1137" s="5" t="n">
        <x:v>45598</x:v>
      </x:c>
      <x:c r="C1137" s="3" t="str">
        <x:v>CUST-00324</x:v>
      </x:c>
      <x:c r="D1137" s="3" t="str">
        <x:v>South</x:v>
      </x:c>
      <x:c r="E1137" s="3" t="str">
        <x:v>Sports</x:v>
      </x:c>
      <x:c r="F1137" s="3" t="str">
        <x:v>Outdoor</x:v>
      </x:c>
      <x:c r="G1137" s="3" t="str">
        <x:v>TrailHike Backpack 60L</x:v>
      </x:c>
      <x:c r="H1137" s="3" t="n">
        <x:v>2</x:v>
      </x:c>
      <x:c r="I1137" s="7" t="n">
        <x:v>3543.51</x:v>
      </x:c>
      <x:c r="J1137" s="9" t="n">
        <x:v>0.05</x:v>
      </x:c>
      <x:c r="K1137" s="7" t="n">
        <x:v>6732.67</x:v>
      </x:c>
      <x:c r="L1137" s="7" t="n">
        <x:v>2382.45</x:v>
      </x:c>
      <x:c r="M1137" s="3" t="str">
        <x:v>UPI</x:v>
      </x:c>
      <x:c r="N1137" s="3"/>
      <x:c r="O1137" s="3"/>
      <x:c r="P1137" s="3"/>
      <x:c r="Q1137" s="3"/>
    </x:row>
    <x:row r="1138" ht="21" customHeight="1">
      <x:c r="A1138" s="3" t="str">
        <x:v>ORD-100513</x:v>
      </x:c>
      <x:c r="B1138" s="5" t="n">
        <x:v>45598</x:v>
      </x:c>
      <x:c r="C1138" s="3" t="str">
        <x:v>CUST-00447</x:v>
      </x:c>
      <x:c r="D1138" s="3" t="str">
        <x:v>East</x:v>
      </x:c>
      <x:c r="E1138" s="3" t="str">
        <x:v>Beauty</x:v>
      </x:c>
      <x:c r="F1138" s="3" t="str">
        <x:v>Skincare</x:v>
      </x:c>
      <x:c r="G1138" s="3" t="str">
        <x:v>HydraBoost Moisturizer</x:v>
      </x:c>
      <x:c r="H1138" s="3" t="n">
        <x:v>1</x:v>
      </x:c>
      <x:c r="I1138" s="7" t="n">
        <x:v>1179.33</x:v>
      </x:c>
      <x:c r="J1138" s="9" t="n">
        <x:v>0.1</x:v>
      </x:c>
      <x:c r="K1138" s="7" t="n">
        <x:v>1061.4</x:v>
      </x:c>
      <x:c r="L1138" s="7" t="n">
        <x:v>461.94</x:v>
      </x:c>
      <x:c r="M1138" s="3" t="str">
        <x:v>UPI</x:v>
      </x:c>
      <x:c r="N1138" s="3"/>
      <x:c r="O1138" s="3"/>
      <x:c r="P1138" s="3"/>
      <x:c r="Q1138" s="3"/>
    </x:row>
    <x:row r="1139" ht="21" customHeight="1">
      <x:c r="A1139" s="3" t="str">
        <x:v>ORD-100693</x:v>
      </x:c>
      <x:c r="B1139" s="5" t="n">
        <x:v>45598</x:v>
      </x:c>
      <x:c r="C1139" s="3" t="str">
        <x:v>CUST-00187</x:v>
      </x:c>
      <x:c r="D1139" s="3" t="str">
        <x:v>North</x:v>
      </x:c>
      <x:c r="E1139" s="3" t="str">
        <x:v>Beauty</x:v>
      </x:c>
      <x:c r="F1139" s="3" t="str">
        <x:v>Skincare</x:v>
      </x:c>
      <x:c r="G1139" s="3" t="str">
        <x:v>HydraBoost Moisturizer</x:v>
      </x:c>
      <x:c r="H1139" s="3" t="n">
        <x:v>1</x:v>
      </x:c>
      <x:c r="I1139" s="7" t="n">
        <x:v>1157.71</x:v>
      </x:c>
      <x:c r="J1139" s="9" t="n">
        <x:v>0.05</x:v>
      </x:c>
      <x:c r="K1139" s="7" t="n">
        <x:v>1099.82</x:v>
      </x:c>
      <x:c r="L1139" s="7" t="n">
        <x:v>555.44</x:v>
      </x:c>
      <x:c r="M1139" s="3" t="str">
        <x:v>UPI</x:v>
      </x:c>
      <x:c r="N1139" s="3"/>
      <x:c r="O1139" s="3"/>
      <x:c r="P1139" s="3"/>
      <x:c r="Q1139" s="3"/>
    </x:row>
    <x:row r="1140" ht="21" customHeight="1">
      <x:c r="A1140" s="3" t="str">
        <x:v>ORD-100937</x:v>
      </x:c>
      <x:c r="B1140" s="5" t="n">
        <x:v>45598</x:v>
      </x:c>
      <x:c r="C1140" s="3" t="str">
        <x:v>CUST-00545</x:v>
      </x:c>
      <x:c r="D1140" s="3" t="str">
        <x:v>South</x:v>
      </x:c>
      <x:c r="E1140" s="3" t="str">
        <x:v>Electronics</x:v>
      </x:c>
      <x:c r="F1140" s="3" t="str">
        <x:v>Laptop</x:v>
      </x:c>
      <x:c r="G1140" s="3" t="str">
        <x:v>AirBook Slim</x:v>
      </x:c>
      <x:c r="H1140" s="3" t="n">
        <x:v>2</x:v>
      </x:c>
      <x:c r="I1140" s="7" t="n">
        <x:v>76443.63</x:v>
      </x:c>
      <x:c r="J1140" s="9" t="n">
        <x:v>0.05</x:v>
      </x:c>
      <x:c r="K1140" s="7" t="n">
        <x:v>145242.9</x:v>
      </x:c>
      <x:c r="L1140" s="7" t="n">
        <x:v>17877</x:v>
      </x:c>
      <x:c r="M1140" s="3" t="str">
        <x:v>Cash on Delivery</x:v>
      </x:c>
      <x:c r="N1140" s="3"/>
      <x:c r="O1140" s="3"/>
      <x:c r="P1140" s="3"/>
      <x:c r="Q1140" s="3"/>
    </x:row>
    <x:row r="1141" ht="21" customHeight="1">
      <x:c r="A1141" s="3" t="str">
        <x:v>ORD-101358</x:v>
      </x:c>
      <x:c r="B1141" s="5" t="n">
        <x:v>45598</x:v>
      </x:c>
      <x:c r="C1141" s="3" t="str">
        <x:v>CUST-00093</x:v>
      </x:c>
      <x:c r="D1141" s="3" t="str">
        <x:v>North</x:v>
      </x:c>
      <x:c r="E1141" s="3" t="str">
        <x:v>Home &amp; Kitchen</x:v>
      </x:c>
      <x:c r="F1141" s="3" t="str">
        <x:v>Furniture</x:v>
      </x:c>
      <x:c r="G1141" s="3" t="str">
        <x:v>Oakwood Study Desk</x:v>
      </x:c>
      <x:c r="H1141" s="3" t="n">
        <x:v>1</x:v>
      </x:c>
      <x:c r="I1141" s="7" t="n">
        <x:v>13217.96</x:v>
      </x:c>
      <x:c r="J1141" s="9" t="n">
        <x:v>0.3</x:v>
      </x:c>
      <x:c r="K1141" s="7" t="n">
        <x:v>9252.57</x:v>
      </x:c>
      <x:c r="L1141" s="7" t="n">
        <x:v>-196.46</x:v>
      </x:c>
      <x:c r="M1141" s="3" t="str">
        <x:v>UPI</x:v>
      </x:c>
      <x:c r="N1141" s="3"/>
      <x:c r="O1141" s="3"/>
      <x:c r="P1141" s="3"/>
      <x:c r="Q1141" s="3"/>
    </x:row>
    <x:row r="1142" ht="21" customHeight="1">
      <x:c r="A1142" s="3" t="str">
        <x:v>ORD-100377</x:v>
      </x:c>
      <x:c r="B1142" s="5" t="n">
        <x:v>45599</x:v>
      </x:c>
      <x:c r="C1142" s="3" t="str">
        <x:v>CUST-00410</x:v>
      </x:c>
      <x:c r="D1142" s="3" t="str">
        <x:v>North</x:v>
      </x:c>
      <x:c r="E1142" s="3" t="str">
        <x:v>Fashion</x:v>
      </x:c>
      <x:c r="F1142" s="3" t="str">
        <x:v>Men</x:v>
      </x:c>
      <x:c r="G1142" s="3" t="str">
        <x:v>SlimFit Denim Jeans</x:v>
      </x:c>
      <x:c r="H1142" s="3" t="n">
        <x:v>1</x:v>
      </x:c>
      <x:c r="I1142" s="7" t="n">
        <x:v>1952.02</x:v>
      </x:c>
      <x:c r="J1142" s="9" t="n">
        <x:v>0</x:v>
      </x:c>
      <x:c r="K1142" s="7" t="n">
        <x:v>1952.02</x:v>
      </x:c>
      <x:c r="L1142" s="7" t="n">
        <x:v>880.69</x:v>
      </x:c>
      <x:c r="M1142" s="3" t="str">
        <x:v>UPI</x:v>
      </x:c>
      <x:c r="N1142" s="3"/>
      <x:c r="O1142" s="3"/>
      <x:c r="P1142" s="3"/>
      <x:c r="Q1142" s="3"/>
    </x:row>
    <x:row r="1143" ht="21" customHeight="1">
      <x:c r="A1143" s="3" t="str">
        <x:v>ORD-100517</x:v>
      </x:c>
      <x:c r="B1143" s="5" t="n">
        <x:v>45599</x:v>
      </x:c>
      <x:c r="C1143" s="3" t="str">
        <x:v>CUST-00421</x:v>
      </x:c>
      <x:c r="D1143" s="3" t="str">
        <x:v>South</x:v>
      </x:c>
      <x:c r="E1143" s="3" t="str">
        <x:v>Home &amp; Kitchen</x:v>
      </x:c>
      <x:c r="F1143" s="3" t="str">
        <x:v>Appliances</x:v>
      </x:c>
      <x:c r="G1143" s="3" t="str">
        <x:v>ColdBrew Coffee Maker</x:v>
      </x:c>
      <x:c r="H1143" s="3" t="n">
        <x:v>4</x:v>
      </x:c>
      <x:c r="I1143" s="7" t="n">
        <x:v>6212.97</x:v>
      </x:c>
      <x:c r="J1143" s="9" t="n">
        <x:v>0.15</x:v>
      </x:c>
      <x:c r="K1143" s="7" t="n">
        <x:v>21124.1</x:v>
      </x:c>
      <x:c r="L1143" s="7" t="n">
        <x:v>2821.16</x:v>
      </x:c>
      <x:c r="M1143" s="3" t="str">
        <x:v>UPI</x:v>
      </x:c>
      <x:c r="N1143" s="3"/>
      <x:c r="O1143" s="3"/>
      <x:c r="P1143" s="3"/>
      <x:c r="Q1143" s="3"/>
    </x:row>
    <x:row r="1144" ht="21" customHeight="1">
      <x:c r="A1144" s="3" t="str">
        <x:v>ORD-101663</x:v>
      </x:c>
      <x:c r="B1144" s="5" t="n">
        <x:v>45599</x:v>
      </x:c>
      <x:c r="C1144" s="3" t="str">
        <x:v>CUST-00566</x:v>
      </x:c>
      <x:c r="D1144" s="3" t="str">
        <x:v>East</x:v>
      </x:c>
      <x:c r="E1144" s="3" t="str">
        <x:v>Fashion</x:v>
      </x:c>
      <x:c r="F1144" s="3" t="str">
        <x:v>Men</x:v>
      </x:c>
      <x:c r="G1144" s="3" t="str">
        <x:v>Oxford Casual Shirt</x:v>
      </x:c>
      <x:c r="H1144" s="3" t="n">
        <x:v>1</x:v>
      </x:c>
      <x:c r="I1144" s="7" t="n">
        <x:v>1257.87</x:v>
      </x:c>
      <x:c r="J1144" s="9" t="n">
        <x:v>0</x:v>
      </x:c>
      <x:c r="K1144" s="7" t="n">
        <x:v>1257.87</x:v>
      </x:c>
      <x:c r="L1144" s="7" t="n">
        <x:v>551.38</x:v>
      </x:c>
      <x:c r="M1144" s="3" t="str">
        <x:v>Credit Card</x:v>
      </x:c>
      <x:c r="N1144" s="3"/>
      <x:c r="O1144" s="3"/>
      <x:c r="P1144" s="3"/>
      <x:c r="Q1144" s="3"/>
    </x:row>
    <x:row r="1145" ht="21" customHeight="1">
      <x:c r="A1145" s="3" t="str">
        <x:v>ORD-101748</x:v>
      </x:c>
      <x:c r="B1145" s="5" t="n">
        <x:v>45599</x:v>
      </x:c>
      <x:c r="C1145" s="3" t="str">
        <x:v>CUST-00415</x:v>
      </x:c>
      <x:c r="D1145" s="3" t="str">
        <x:v>South</x:v>
      </x:c>
      <x:c r="E1145" s="3" t="str">
        <x:v>Sports</x:v>
      </x:c>
      <x:c r="F1145" s="3" t="str">
        <x:v>Fitness</x:v>
      </x:c>
      <x:c r="G1145" s="3" t="str">
        <x:v>ProYoga Mat</x:v>
      </x:c>
      <x:c r="H1145" s="3" t="n">
        <x:v>2</x:v>
      </x:c>
      <x:c r="I1145" s="7" t="n">
        <x:v>1316.83</x:v>
      </x:c>
      <x:c r="J1145" s="9" t="n">
        <x:v>0.25</x:v>
      </x:c>
      <x:c r="K1145" s="7" t="n">
        <x:v>1975.24</x:v>
      </x:c>
      <x:c r="L1145" s="7" t="n">
        <x:v>187.69</x:v>
      </x:c>
      <x:c r="M1145" s="3" t="str">
        <x:v>Debit Card</x:v>
      </x:c>
      <x:c r="N1145" s="3"/>
      <x:c r="O1145" s="3"/>
      <x:c r="P1145" s="3"/>
      <x:c r="Q1145" s="3"/>
    </x:row>
    <x:row r="1146" ht="21" customHeight="1">
      <x:c r="A1146" s="3" t="str">
        <x:v>ORD-100044</x:v>
      </x:c>
      <x:c r="B1146" s="5" t="n">
        <x:v>45600</x:v>
      </x:c>
      <x:c r="C1146" s="3" t="str">
        <x:v>CUST-00124</x:v>
      </x:c>
      <x:c r="D1146" s="3" t="str">
        <x:v>North</x:v>
      </x:c>
      <x:c r="E1146" s="3" t="str">
        <x:v>Beauty</x:v>
      </x:c>
      <x:c r="F1146" s="3" t="str">
        <x:v>Makeup</x:v>
      </x:c>
      <x:c r="G1146" s="3" t="str">
        <x:v>HD Foundation Kit</x:v>
      </x:c>
      <x:c r="H1146" s="3" t="n">
        <x:v>4</x:v>
      </x:c>
      <x:c r="I1146" s="7" t="n">
        <x:v>1512.81</x:v>
      </x:c>
      <x:c r="J1146" s="9" t="n">
        <x:v>0</x:v>
      </x:c>
      <x:c r="K1146" s="7" t="n">
        <x:v>6051.24</x:v>
      </x:c>
      <x:c r="L1146" s="7" t="n">
        <x:v>3488.21</x:v>
      </x:c>
      <x:c r="M1146" s="3" t="str">
        <x:v>Credit Card</x:v>
      </x:c>
      <x:c r="N1146" s="3"/>
      <x:c r="O1146" s="3"/>
      <x:c r="P1146" s="3"/>
      <x:c r="Q1146" s="3"/>
    </x:row>
    <x:row r="1147" ht="21" customHeight="1">
      <x:c r="A1147" s="3" t="str">
        <x:v>ORD-100599</x:v>
      </x:c>
      <x:c r="B1147" s="5" t="n">
        <x:v>45600</x:v>
      </x:c>
      <x:c r="C1147" s="3" t="str">
        <x:v>CUST-00443</x:v>
      </x:c>
      <x:c r="D1147" s="3" t="str">
        <x:v>West</x:v>
      </x:c>
      <x:c r="E1147" s="3" t="str">
        <x:v>Electronics</x:v>
      </x:c>
      <x:c r="F1147" s="3" t="str">
        <x:v>Mobile</x:v>
      </x:c>
      <x:c r="G1147" s="3" t="str">
        <x:v>Pixel Aura 12</x:v>
      </x:c>
      <x:c r="H1147" s="3" t="n">
        <x:v>1</x:v>
      </x:c>
      <x:c r="I1147" s="7" t="n">
        <x:v>31563.64</x:v>
      </x:c>
      <x:c r="J1147" s="9" t="n">
        <x:v>0.2</x:v>
      </x:c>
      <x:c r="K1147" s="7" t="n">
        <x:v>25250.91</x:v>
      </x:c>
      <x:c r="L1147" s="7" t="n">
        <x:v>-2014.95</x:v>
      </x:c>
      <x:c r="M1147" s="3" t="str">
        <x:v>Credit Card</x:v>
      </x:c>
      <x:c r="N1147" s="3"/>
      <x:c r="O1147" s="3"/>
      <x:c r="P1147" s="3"/>
      <x:c r="Q1147" s="3"/>
    </x:row>
    <x:row r="1148" ht="21" customHeight="1">
      <x:c r="A1148" s="3" t="str">
        <x:v>ORD-101331</x:v>
      </x:c>
      <x:c r="B1148" s="5" t="n">
        <x:v>45600</x:v>
      </x:c>
      <x:c r="C1148" s="3" t="str">
        <x:v>CUST-00306</x:v>
      </x:c>
      <x:c r="D1148" s="3" t="str">
        <x:v>South</x:v>
      </x:c>
      <x:c r="E1148" s="3" t="str">
        <x:v>Fashion</x:v>
      </x:c>
      <x:c r="F1148" s="3" t="str">
        <x:v>Women</x:v>
      </x:c>
      <x:c r="G1148" s="3" t="str">
        <x:v>Floral Summer Dress</x:v>
      </x:c>
      <x:c r="H1148" s="3" t="n">
        <x:v>1</x:v>
      </x:c>
      <x:c r="I1148" s="7" t="n">
        <x:v>1767.99</x:v>
      </x:c>
      <x:c r="J1148" s="9" t="n">
        <x:v>0.1</x:v>
      </x:c>
      <x:c r="K1148" s="7" t="n">
        <x:v>1591.19</x:v>
      </x:c>
      <x:c r="L1148" s="7" t="n">
        <x:v>497.98</x:v>
      </x:c>
      <x:c r="M1148" s="3" t="str">
        <x:v>UPI</x:v>
      </x:c>
      <x:c r="N1148" s="3"/>
      <x:c r="O1148" s="3"/>
      <x:c r="P1148" s="3"/>
      <x:c r="Q1148" s="3"/>
    </x:row>
    <x:row r="1149" ht="21" customHeight="1">
      <x:c r="A1149" s="3" t="str">
        <x:v>ORD-101424</x:v>
      </x:c>
      <x:c r="B1149" s="5" t="n">
        <x:v>45600</x:v>
      </x:c>
      <x:c r="C1149" s="3" t="str">
        <x:v>CUST-00317</x:v>
      </x:c>
      <x:c r="D1149" s="3" t="str">
        <x:v>West</x:v>
      </x:c>
      <x:c r="E1149" s="3" t="str">
        <x:v>Home &amp; Kitchen</x:v>
      </x:c>
      <x:c r="F1149" s="3" t="str">
        <x:v>Furniture</x:v>
      </x:c>
      <x:c r="G1149" s="3" t="str">
        <x:v>ErgoComfort Chair</x:v>
      </x:c>
      <x:c r="H1149" s="3" t="n">
        <x:v>2</x:v>
      </x:c>
      <x:c r="I1149" s="7" t="n">
        <x:v>8772.06</x:v>
      </x:c>
      <x:c r="J1149" s="9" t="n">
        <x:v>0.1</x:v>
      </x:c>
      <x:c r="K1149" s="7" t="n">
        <x:v>15789.71</x:v>
      </x:c>
      <x:c r="L1149" s="7" t="n">
        <x:v>3896.6</x:v>
      </x:c>
      <x:c r="M1149" s="3" t="str">
        <x:v>Debit Card</x:v>
      </x:c>
      <x:c r="N1149" s="3"/>
      <x:c r="O1149" s="3"/>
      <x:c r="P1149" s="3"/>
      <x:c r="Q1149" s="3"/>
    </x:row>
    <x:row r="1150" ht="21" customHeight="1">
      <x:c r="A1150" s="3" t="str">
        <x:v>ORD-101735</x:v>
      </x:c>
      <x:c r="B1150" s="5" t="n">
        <x:v>45600</x:v>
      </x:c>
      <x:c r="C1150" s="3" t="str">
        <x:v>CUST-00383</x:v>
      </x:c>
      <x:c r="D1150" s="3" t="str">
        <x:v>South</x:v>
      </x:c>
      <x:c r="E1150" s="3" t="str">
        <x:v>Sports</x:v>
      </x:c>
      <x:c r="F1150" s="3" t="str">
        <x:v>Outdoor</x:v>
      </x:c>
      <x:c r="G1150" s="3" t="str">
        <x:v>TrailHike Backpack 60L</x:v>
      </x:c>
      <x:c r="H1150" s="3" t="n">
        <x:v>3</x:v>
      </x:c>
      <x:c r="I1150" s="7" t="n">
        <x:v>3438.37</x:v>
      </x:c>
      <x:c r="J1150" s="9" t="n">
        <x:v>0</x:v>
      </x:c>
      <x:c r="K1150" s="7" t="n">
        <x:v>10315.11</x:v>
      </x:c>
      <x:c r="L1150" s="7" t="n">
        <x:v>4133.42</x:v>
      </x:c>
      <x:c r="M1150" s="3" t="str">
        <x:v>UPI</x:v>
      </x:c>
      <x:c r="N1150" s="3"/>
      <x:c r="O1150" s="3"/>
      <x:c r="P1150" s="3"/>
      <x:c r="Q1150" s="3"/>
    </x:row>
    <x:row r="1151" ht="21" customHeight="1">
      <x:c r="A1151" s="3" t="str">
        <x:v>ORD-100208</x:v>
      </x:c>
      <x:c r="B1151" s="5" t="n">
        <x:v>45601</x:v>
      </x:c>
      <x:c r="C1151" s="3" t="str">
        <x:v>CUST-00281</x:v>
      </x:c>
      <x:c r="D1151" s="3" t="str">
        <x:v>East</x:v>
      </x:c>
      <x:c r="E1151" s="3" t="str">
        <x:v>Electronics</x:v>
      </x:c>
      <x:c r="F1151" s="3" t="str">
        <x:v>Mobile</x:v>
      </x:c>
      <x:c r="G1151" s="3" t="str">
        <x:v>Galaxy Nova X5</x:v>
      </x:c>
      <x:c r="H1151" s="3" t="n">
        <x:v>1</x:v>
      </x:c>
      <x:c r="I1151" s="7" t="n">
        <x:v>26144.03</x:v>
      </x:c>
      <x:c r="J1151" s="9" t="n">
        <x:v>0</x:v>
      </x:c>
      <x:c r="K1151" s="7" t="n">
        <x:v>26144.03</x:v>
      </x:c>
      <x:c r="L1151" s="7" t="n">
        <x:v>4083.32</x:v>
      </x:c>
      <x:c r="M1151" s="3" t="str">
        <x:v>UPI</x:v>
      </x:c>
      <x:c r="N1151" s="3"/>
      <x:c r="O1151" s="3"/>
      <x:c r="P1151" s="3"/>
      <x:c r="Q1151" s="3"/>
    </x:row>
    <x:row r="1152" ht="21" customHeight="1">
      <x:c r="A1152" s="3" t="str">
        <x:v>ORD-100515</x:v>
      </x:c>
      <x:c r="B1152" s="5" t="n">
        <x:v>45601</x:v>
      </x:c>
      <x:c r="C1152" s="3" t="str">
        <x:v>CUST-00308</x:v>
      </x:c>
      <x:c r="D1152" s="3" t="str">
        <x:v>South</x:v>
      </x:c>
      <x:c r="E1152" s="3" t="str">
        <x:v>Beauty</x:v>
      </x:c>
      <x:c r="F1152" s="3" t="str">
        <x:v>Skincare</x:v>
      </x:c>
      <x:c r="G1152" s="3" t="str">
        <x:v>HydraBoost Moisturizer</x:v>
      </x:c>
      <x:c r="H1152" s="3" t="n">
        <x:v>1</x:v>
      </x:c>
      <x:c r="I1152" s="7" t="n">
        <x:v>1202.72</x:v>
      </x:c>
      <x:c r="J1152" s="9" t="n">
        <x:v>0.1</x:v>
      </x:c>
      <x:c r="K1152" s="7" t="n">
        <x:v>1082.45</x:v>
      </x:c>
      <x:c r="L1152" s="7" t="n">
        <x:v>464.55</x:v>
      </x:c>
      <x:c r="M1152" s="3" t="str">
        <x:v>UPI</x:v>
      </x:c>
      <x:c r="N1152" s="3"/>
      <x:c r="O1152" s="3"/>
      <x:c r="P1152" s="3"/>
      <x:c r="Q1152" s="3"/>
    </x:row>
    <x:row r="1153" ht="21" customHeight="1">
      <x:c r="A1153" s="3" t="str">
        <x:v>ORD-100793</x:v>
      </x:c>
      <x:c r="B1153" s="5" t="n">
        <x:v>45601</x:v>
      </x:c>
      <x:c r="C1153" s="3" t="str">
        <x:v>CUST-00178</x:v>
      </x:c>
      <x:c r="D1153" s="3" t="str">
        <x:v>East</x:v>
      </x:c>
      <x:c r="E1153" s="3" t="str">
        <x:v>Sports</x:v>
      </x:c>
      <x:c r="F1153" s="3" t="str">
        <x:v>Fitness</x:v>
      </x:c>
      <x:c r="G1153" s="3" t="str">
        <x:v>Adjustable Dumbbell 24kg</x:v>
      </x:c>
      <x:c r="H1153" s="3" t="n">
        <x:v>1</x:v>
      </x:c>
      <x:c r="I1153" s="7" t="n">
        <x:v>9853.65</x:v>
      </x:c>
      <x:c r="J1153" s="9" t="n">
        <x:v>0.05</x:v>
      </x:c>
      <x:c r="K1153" s="7" t="n">
        <x:v>9360.97</x:v>
      </x:c>
      <x:c r="L1153" s="7" t="n">
        <x:v>3252.34</x:v>
      </x:c>
      <x:c r="M1153" s="3" t="str">
        <x:v>Credit Card</x:v>
      </x:c>
      <x:c r="N1153" s="3"/>
      <x:c r="O1153" s="3"/>
      <x:c r="P1153" s="3"/>
      <x:c r="Q1153" s="3"/>
    </x:row>
    <x:row r="1154" ht="21" customHeight="1">
      <x:c r="A1154" s="3" t="str">
        <x:v>ORD-100796</x:v>
      </x:c>
      <x:c r="B1154" s="5" t="n">
        <x:v>45601</x:v>
      </x:c>
      <x:c r="C1154" s="3" t="str">
        <x:v>CUST-00595</x:v>
      </x:c>
      <x:c r="D1154" s="3" t="str">
        <x:v>North</x:v>
      </x:c>
      <x:c r="E1154" s="3" t="str">
        <x:v>Sports</x:v>
      </x:c>
      <x:c r="F1154" s="3" t="str">
        <x:v>Outdoor</x:v>
      </x:c>
      <x:c r="G1154" s="3" t="str">
        <x:v>AllWeather Tent 4P</x:v>
      </x:c>
      <x:c r="H1154" s="3" t="n">
        <x:v>1</x:v>
      </x:c>
      <x:c r="I1154" s="7" t="n">
        <x:v>11430.75</x:v>
      </x:c>
      <x:c r="J1154" s="9" t="n">
        <x:v>0.25</x:v>
      </x:c>
      <x:c r="K1154" s="7" t="n">
        <x:v>8573.06</x:v>
      </x:c>
      <x:c r="L1154" s="7" t="n">
        <x:v>975.97</x:v>
      </x:c>
      <x:c r="M1154" s="3" t="str">
        <x:v>UPI</x:v>
      </x:c>
      <x:c r="N1154" s="3"/>
      <x:c r="O1154" s="3"/>
      <x:c r="P1154" s="3"/>
      <x:c r="Q1154" s="3"/>
    </x:row>
    <x:row r="1155" ht="21" customHeight="1">
      <x:c r="A1155" s="3" t="str">
        <x:v>ORD-101422</x:v>
      </x:c>
      <x:c r="B1155" s="5" t="n">
        <x:v>45601</x:v>
      </x:c>
      <x:c r="C1155" s="3" t="str">
        <x:v>CUST-00187</x:v>
      </x:c>
      <x:c r="D1155" s="3" t="str">
        <x:v>South</x:v>
      </x:c>
      <x:c r="E1155" s="3" t="str">
        <x:v>Beauty</x:v>
      </x:c>
      <x:c r="F1155" s="3" t="str">
        <x:v>Skincare</x:v>
      </x:c>
      <x:c r="G1155" s="3" t="str">
        <x:v>HydraBoost Moisturizer</x:v>
      </x:c>
      <x:c r="H1155" s="3" t="n">
        <x:v>1</x:v>
      </x:c>
      <x:c r="I1155" s="7" t="n">
        <x:v>1156.15</x:v>
      </x:c>
      <x:c r="J1155" s="9" t="n">
        <x:v>0.05</x:v>
      </x:c>
      <x:c r="K1155" s="7" t="n">
        <x:v>1098.34</x:v>
      </x:c>
      <x:c r="L1155" s="7" t="n">
        <x:v>566.11</x:v>
      </x:c>
      <x:c r="M1155" s="3" t="str">
        <x:v>UPI</x:v>
      </x:c>
      <x:c r="N1155" s="3"/>
      <x:c r="O1155" s="3"/>
      <x:c r="P1155" s="3"/>
      <x:c r="Q1155" s="3"/>
    </x:row>
    <x:row r="1156" ht="21" customHeight="1">
      <x:c r="A1156" s="3" t="str">
        <x:v>ORD-101687</x:v>
      </x:c>
      <x:c r="B1156" s="5" t="n">
        <x:v>45601</x:v>
      </x:c>
      <x:c r="C1156" s="3" t="str">
        <x:v>CUST-00143</x:v>
      </x:c>
      <x:c r="D1156" s="3" t="str">
        <x:v>West</x:v>
      </x:c>
      <x:c r="E1156" s="3" t="str">
        <x:v>Beauty</x:v>
      </x:c>
      <x:c r="F1156" s="3" t="str">
        <x:v>Makeup</x:v>
      </x:c>
      <x:c r="G1156" s="3" t="str">
        <x:v>HD Foundation Kit</x:v>
      </x:c>
      <x:c r="H1156" s="3" t="n">
        <x:v>1</x:v>
      </x:c>
      <x:c r="I1156" s="7" t="n">
        <x:v>1543.79</x:v>
      </x:c>
      <x:c r="J1156" s="9" t="n">
        <x:v>0.2</x:v>
      </x:c>
      <x:c r="K1156" s="7" t="n">
        <x:v>1235.03</x:v>
      </x:c>
      <x:c r="L1156" s="7" t="n">
        <x:v>408.81</x:v>
      </x:c>
      <x:c r="M1156" s="3" t="str">
        <x:v>Debit Card</x:v>
      </x:c>
      <x:c r="N1156" s="3"/>
      <x:c r="O1156" s="3"/>
      <x:c r="P1156" s="3"/>
      <x:c r="Q1156" s="3"/>
    </x:row>
    <x:row r="1157" ht="21" customHeight="1">
      <x:c r="A1157" s="3" t="str">
        <x:v>ORD-101691</x:v>
      </x:c>
      <x:c r="B1157" s="5" t="n">
        <x:v>45601</x:v>
      </x:c>
      <x:c r="C1157" s="3" t="str">
        <x:v>CUST-00020</x:v>
      </x:c>
      <x:c r="D1157" s="3" t="str">
        <x:v>North</x:v>
      </x:c>
      <x:c r="E1157" s="3" t="str">
        <x:v>Electronics</x:v>
      </x:c>
      <x:c r="F1157" s="3" t="str">
        <x:v>Audio</x:v>
      </x:c>
      <x:c r="G1157" s="3" t="str">
        <x:v>BassBoom Speaker</x:v>
      </x:c>
      <x:c r="H1157" s="3" t="n">
        <x:v>3</x:v>
      </x:c>
      <x:c r="I1157" s="7" t="n">
        <x:v>8785.2</x:v>
      </x:c>
      <x:c r="J1157" s="9" t="n">
        <x:v>0.05</x:v>
      </x:c>
      <x:c r="K1157" s="7" t="n">
        <x:v>25037.82</x:v>
      </x:c>
      <x:c r="L1157" s="7" t="n">
        <x:v>2877.3</x:v>
      </x:c>
      <x:c r="M1157" s="3" t="str">
        <x:v>UPI</x:v>
      </x:c>
      <x:c r="N1157" s="3"/>
      <x:c r="O1157" s="3"/>
      <x:c r="P1157" s="3"/>
      <x:c r="Q1157" s="3"/>
    </x:row>
    <x:row r="1158" ht="21" customHeight="1">
      <x:c r="A1158" s="3" t="str">
        <x:v>ORD-101791</x:v>
      </x:c>
      <x:c r="B1158" s="5" t="n">
        <x:v>45601</x:v>
      </x:c>
      <x:c r="C1158" s="3" t="str">
        <x:v>CUST-00400</x:v>
      </x:c>
      <x:c r="D1158" s="3" t="str">
        <x:v>South</x:v>
      </x:c>
      <x:c r="E1158" s="3" t="str">
        <x:v>Beauty</x:v>
      </x:c>
      <x:c r="F1158" s="3" t="str">
        <x:v>Skincare</x:v>
      </x:c>
      <x:c r="G1158" s="3" t="str">
        <x:v>HydraBoost Moisturizer</x:v>
      </x:c>
      <x:c r="H1158" s="3" t="n">
        <x:v>2</x:v>
      </x:c>
      <x:c r="I1158" s="7" t="n">
        <x:v>1147</x:v>
      </x:c>
      <x:c r="J1158" s="9" t="n">
        <x:v>0.05</x:v>
      </x:c>
      <x:c r="K1158" s="7" t="n">
        <x:v>2179.3</x:v>
      </x:c>
      <x:c r="L1158" s="7" t="n">
        <x:v>1087.81</x:v>
      </x:c>
      <x:c r="M1158" s="3" t="str">
        <x:v>Credit Card</x:v>
      </x:c>
      <x:c r="N1158" s="3"/>
      <x:c r="O1158" s="3"/>
      <x:c r="P1158" s="3"/>
      <x:c r="Q1158" s="3"/>
    </x:row>
    <x:row r="1159" ht="21" customHeight="1">
      <x:c r="A1159" s="3" t="str">
        <x:v>ORD-100557</x:v>
      </x:c>
      <x:c r="B1159" s="5" t="n">
        <x:v>45602</x:v>
      </x:c>
      <x:c r="C1159" s="3" t="str">
        <x:v>CUST-00571</x:v>
      </x:c>
      <x:c r="D1159" s="3" t="str">
        <x:v>South</x:v>
      </x:c>
      <x:c r="E1159" s="3" t="str">
        <x:v>Electronics</x:v>
      </x:c>
      <x:c r="F1159" s="3" t="str">
        <x:v>Audio</x:v>
      </x:c>
      <x:c r="G1159" s="3" t="str">
        <x:v>BassBoom Speaker</x:v>
      </x:c>
      <x:c r="H1159" s="3" t="n">
        <x:v>1</x:v>
      </x:c>
      <x:c r="I1159" s="7" t="n">
        <x:v>9094.16</x:v>
      </x:c>
      <x:c r="J1159" s="9" t="n">
        <x:v>0</x:v>
      </x:c>
      <x:c r="K1159" s="7" t="n">
        <x:v>9094.16</x:v>
      </x:c>
      <x:c r="L1159" s="7" t="n">
        <x:v>1346.59</x:v>
      </x:c>
      <x:c r="M1159" s="3" t="str">
        <x:v>Cash on Delivery</x:v>
      </x:c>
      <x:c r="N1159" s="3"/>
      <x:c r="O1159" s="3"/>
      <x:c r="P1159" s="3"/>
      <x:c r="Q1159" s="3"/>
    </x:row>
    <x:row r="1160" ht="21" customHeight="1">
      <x:c r="A1160" s="3" t="str">
        <x:v>ORD-100591</x:v>
      </x:c>
      <x:c r="B1160" s="5" t="n">
        <x:v>45602</x:v>
      </x:c>
      <x:c r="C1160" s="3" t="str">
        <x:v>CUST-00227</x:v>
      </x:c>
      <x:c r="D1160" s="3" t="str">
        <x:v>South</x:v>
      </x:c>
      <x:c r="E1160" s="3" t="str">
        <x:v>Fashion</x:v>
      </x:c>
      <x:c r="F1160" s="3" t="str">
        <x:v>Women</x:v>
      </x:c>
      <x:c r="G1160" s="3" t="str">
        <x:v>Floral Summer Dress</x:v>
      </x:c>
      <x:c r="H1160" s="3" t="n">
        <x:v>1</x:v>
      </x:c>
      <x:c r="I1160" s="7" t="n">
        <x:v>1759.63</x:v>
      </x:c>
      <x:c r="J1160" s="9" t="n">
        <x:v>0</x:v>
      </x:c>
      <x:c r="K1160" s="7" t="n">
        <x:v>1759.63</x:v>
      </x:c>
      <x:c r="L1160" s="7" t="n">
        <x:v>798.37</x:v>
      </x:c>
      <x:c r="M1160" s="3" t="str">
        <x:v>UPI</x:v>
      </x:c>
      <x:c r="N1160" s="3"/>
      <x:c r="O1160" s="3"/>
      <x:c r="P1160" s="3"/>
      <x:c r="Q1160" s="3"/>
    </x:row>
    <x:row r="1161" ht="21" customHeight="1">
      <x:c r="A1161" s="3" t="str">
        <x:v>ORD-100643</x:v>
      </x:c>
      <x:c r="B1161" s="5" t="n">
        <x:v>45602</x:v>
      </x:c>
      <x:c r="C1161" s="3" t="str">
        <x:v>CUST-00460</x:v>
      </x:c>
      <x:c r="D1161" s="3" t="str">
        <x:v>South</x:v>
      </x:c>
      <x:c r="E1161" s="3" t="str">
        <x:v>Fashion</x:v>
      </x:c>
      <x:c r="F1161" s="3" t="str">
        <x:v>Men</x:v>
      </x:c>
      <x:c r="G1161" s="3" t="str">
        <x:v>SlimFit Denim Jeans</x:v>
      </x:c>
      <x:c r="H1161" s="3" t="n">
        <x:v>1</x:v>
      </x:c>
      <x:c r="I1161" s="7" t="n">
        <x:v>1931.87</x:v>
      </x:c>
      <x:c r="J1161" s="9" t="n">
        <x:v>0.05</x:v>
      </x:c>
      <x:c r="K1161" s="7" t="n">
        <x:v>1835.28</x:v>
      </x:c>
      <x:c r="L1161" s="7" t="n">
        <x:v>620.88</x:v>
      </x:c>
      <x:c r="M1161" s="3" t="str">
        <x:v>Credit Card</x:v>
      </x:c>
      <x:c r="N1161" s="3"/>
      <x:c r="O1161" s="3"/>
      <x:c r="P1161" s="3"/>
      <x:c r="Q1161" s="3"/>
    </x:row>
    <x:row r="1162" ht="21" customHeight="1">
      <x:c r="A1162" s="3" t="str">
        <x:v>ORD-100803</x:v>
      </x:c>
      <x:c r="B1162" s="5" t="n">
        <x:v>45602</x:v>
      </x:c>
      <x:c r="C1162" s="3" t="str">
        <x:v>CUST-00456</x:v>
      </x:c>
      <x:c r="D1162" s="3" t="str">
        <x:v>North</x:v>
      </x:c>
      <x:c r="E1162" s="3" t="str">
        <x:v>Sports</x:v>
      </x:c>
      <x:c r="F1162" s="3" t="str">
        <x:v>Outdoor</x:v>
      </x:c>
      <x:c r="G1162" s="3" t="str">
        <x:v>TrailHike Backpack 60L</x:v>
      </x:c>
      <x:c r="H1162" s="3" t="n">
        <x:v>1</x:v>
      </x:c>
      <x:c r="I1162" s="7" t="n">
        <x:v>3375.89</x:v>
      </x:c>
      <x:c r="J1162" s="9" t="n">
        <x:v>0.15</x:v>
      </x:c>
      <x:c r="K1162" s="7" t="n">
        <x:v>2869.51</x:v>
      </x:c>
      <x:c r="L1162" s="7" t="n">
        <x:v>545.71</x:v>
      </x:c>
      <x:c r="M1162" s="3" t="str">
        <x:v>UPI</x:v>
      </x:c>
      <x:c r="N1162" s="3"/>
      <x:c r="O1162" s="3"/>
      <x:c r="P1162" s="3"/>
      <x:c r="Q1162" s="3"/>
    </x:row>
    <x:row r="1163" ht="21" customHeight="1">
      <x:c r="A1163" s="3" t="str">
        <x:v>ORD-100053</x:v>
      </x:c>
      <x:c r="B1163" s="5" t="n">
        <x:v>45603</x:v>
      </x:c>
      <x:c r="C1163" s="3" t="str">
        <x:v>CUST-00255</x:v>
      </x:c>
      <x:c r="D1163" s="3" t="str">
        <x:v>North</x:v>
      </x:c>
      <x:c r="E1163" s="3" t="str">
        <x:v>Home &amp; Kitchen</x:v>
      </x:c>
      <x:c r="F1163" s="3" t="str">
        <x:v>Decor</x:v>
      </x:c>
      <x:c r="G1163" s="3" t="str">
        <x:v>Ceramic Vase Set</x:v>
      </x:c>
      <x:c r="H1163" s="3" t="n">
        <x:v>3</x:v>
      </x:c>
      <x:c r="I1163" s="7" t="n">
        <x:v>1435.15</x:v>
      </x:c>
      <x:c r="J1163" s="9" t="n">
        <x:v>0.05</x:v>
      </x:c>
      <x:c r="K1163" s="7" t="n">
        <x:v>4090.18</x:v>
      </x:c>
      <x:c r="L1163" s="7" t="n">
        <x:v>1156.93</x:v>
      </x:c>
      <x:c r="M1163" s="3" t="str">
        <x:v>UPI</x:v>
      </x:c>
      <x:c r="N1163" s="3"/>
      <x:c r="O1163" s="3"/>
      <x:c r="P1163" s="3"/>
      <x:c r="Q1163" s="3"/>
    </x:row>
    <x:row r="1164" ht="21" customHeight="1">
      <x:c r="A1164" s="3" t="str">
        <x:v>ORD-100371</x:v>
      </x:c>
      <x:c r="B1164" s="5" t="n">
        <x:v>45603</x:v>
      </x:c>
      <x:c r="C1164" s="3" t="str">
        <x:v>CUST-00222</x:v>
      </x:c>
      <x:c r="D1164" s="3" t="str">
        <x:v>South</x:v>
      </x:c>
      <x:c r="E1164" s="3" t="str">
        <x:v>Home &amp; Kitchen</x:v>
      </x:c>
      <x:c r="F1164" s="3" t="str">
        <x:v>Appliances</x:v>
      </x:c>
      <x:c r="G1164" s="3" t="str">
        <x:v>ColdBrew Coffee Maker</x:v>
      </x:c>
      <x:c r="H1164" s="3" t="n">
        <x:v>3</x:v>
      </x:c>
      <x:c r="I1164" s="7" t="n">
        <x:v>6211.94</x:v>
      </x:c>
      <x:c r="J1164" s="9" t="n">
        <x:v>0.15</x:v>
      </x:c>
      <x:c r="K1164" s="7" t="n">
        <x:v>15840.45</x:v>
      </x:c>
      <x:c r="L1164" s="7" t="n">
        <x:v>2643.05</x:v>
      </x:c>
      <x:c r="M1164" s="3" t="str">
        <x:v>Debit Card</x:v>
      </x:c>
      <x:c r="N1164" s="3"/>
      <x:c r="O1164" s="3"/>
      <x:c r="P1164" s="3"/>
      <x:c r="Q1164" s="3"/>
    </x:row>
    <x:row r="1165" ht="21" customHeight="1">
      <x:c r="A1165" s="3" t="str">
        <x:v>ORD-101643</x:v>
      </x:c>
      <x:c r="B1165" s="5" t="n">
        <x:v>45603</x:v>
      </x:c>
      <x:c r="C1165" s="3" t="str">
        <x:v>CUST-00211</x:v>
      </x:c>
      <x:c r="D1165" s="3" t="str">
        <x:v>East</x:v>
      </x:c>
      <x:c r="E1165" s="3" t="str">
        <x:v>Home &amp; Kitchen</x:v>
      </x:c>
      <x:c r="F1165" s="3" t="str">
        <x:v>Appliances</x:v>
      </x:c>
      <x:c r="G1165" s="3" t="str">
        <x:v>ColdBrew Coffee Maker</x:v>
      </x:c>
      <x:c r="H1165" s="3" t="n">
        <x:v>1</x:v>
      </x:c>
      <x:c r="I1165" s="7" t="n">
        <x:v>6641.02</x:v>
      </x:c>
      <x:c r="J1165" s="9" t="n">
        <x:v>0.2</x:v>
      </x:c>
      <x:c r="K1165" s="7" t="n">
        <x:v>5312.82</x:v>
      </x:c>
      <x:c r="L1165" s="7" t="n">
        <x:v>511.12</x:v>
      </x:c>
      <x:c r="M1165" s="3" t="str">
        <x:v>Debit Card</x:v>
      </x:c>
      <x:c r="N1165" s="3"/>
      <x:c r="O1165" s="3"/>
      <x:c r="P1165" s="3"/>
      <x:c r="Q1165" s="3"/>
    </x:row>
    <x:row r="1166" ht="21" customHeight="1">
      <x:c r="A1166" s="3" t="str">
        <x:v>ORD-101759</x:v>
      </x:c>
      <x:c r="B1166" s="5" t="n">
        <x:v>45603</x:v>
      </x:c>
      <x:c r="C1166" s="3" t="str">
        <x:v>CUST-00295</x:v>
      </x:c>
      <x:c r="D1166" s="3" t="str">
        <x:v>South</x:v>
      </x:c>
      <x:c r="E1166" s="3" t="str">
        <x:v>Electronics</x:v>
      </x:c>
      <x:c r="F1166" s="3" t="str">
        <x:v>Mobile</x:v>
      </x:c>
      <x:c r="G1166" s="3" t="str">
        <x:v>iPhone Zeta</x:v>
      </x:c>
      <x:c r="H1166" s="3" t="n">
        <x:v>1</x:v>
      </x:c>
      <x:c r="I1166" s="7" t="n">
        <x:v>72081.96</x:v>
      </x:c>
      <x:c r="J1166" s="9" t="n">
        <x:v>0</x:v>
      </x:c>
      <x:c r="K1166" s="7" t="n">
        <x:v>72081.96</x:v>
      </x:c>
      <x:c r="L1166" s="7" t="n">
        <x:v>12023.61</x:v>
      </x:c>
      <x:c r="M1166" s="3" t="str">
        <x:v>Credit Card</x:v>
      </x:c>
      <x:c r="N1166" s="3"/>
      <x:c r="O1166" s="3"/>
      <x:c r="P1166" s="3"/>
      <x:c r="Q1166" s="3"/>
    </x:row>
    <x:row r="1167" ht="21" customHeight="1">
      <x:c r="A1167" s="3" t="str">
        <x:v>ORD-100313</x:v>
      </x:c>
      <x:c r="B1167" s="5" t="n">
        <x:v>45604</x:v>
      </x:c>
      <x:c r="C1167" s="3" t="str">
        <x:v>CUST-00112</x:v>
      </x:c>
      <x:c r="D1167" s="3" t="str">
        <x:v>South</x:v>
      </x:c>
      <x:c r="E1167" s="3" t="str">
        <x:v>Fashion</x:v>
      </x:c>
      <x:c r="F1167" s="3" t="str">
        <x:v>Footwear</x:v>
      </x:c>
      <x:c r="G1167" s="3" t="str">
        <x:v>UrbanLoafers</x:v>
      </x:c>
      <x:c r="H1167" s="3" t="n">
        <x:v>1</x:v>
      </x:c>
      <x:c r="I1167" s="7" t="n">
        <x:v>3561.84</x:v>
      </x:c>
      <x:c r="J1167" s="9" t="n">
        <x:v>0.05</x:v>
      </x:c>
      <x:c r="K1167" s="7" t="n">
        <x:v>3383.75</x:v>
      </x:c>
      <x:c r="L1167" s="7" t="n">
        <x:v>1181.01</x:v>
      </x:c>
      <x:c r="M1167" s="3" t="str">
        <x:v>Credit Card</x:v>
      </x:c>
      <x:c r="N1167" s="3"/>
      <x:c r="O1167" s="3"/>
      <x:c r="P1167" s="3"/>
      <x:c r="Q1167" s="3"/>
    </x:row>
    <x:row r="1168" ht="21" customHeight="1">
      <x:c r="A1168" s="3" t="str">
        <x:v>ORD-100383</x:v>
      </x:c>
      <x:c r="B1168" s="5" t="n">
        <x:v>45604</x:v>
      </x:c>
      <x:c r="C1168" s="3" t="str">
        <x:v>CUST-00359</x:v>
      </x:c>
      <x:c r="D1168" s="3" t="str">
        <x:v>South</x:v>
      </x:c>
      <x:c r="E1168" s="3" t="str">
        <x:v>Home &amp; Kitchen</x:v>
      </x:c>
      <x:c r="F1168" s="3" t="str">
        <x:v>Appliances</x:v>
      </x:c>
      <x:c r="G1168" s="3" t="str">
        <x:v>AirFryer Deluxe</x:v>
      </x:c>
      <x:c r="H1168" s="3" t="n">
        <x:v>1</x:v>
      </x:c>
      <x:c r="I1168" s="7" t="n">
        <x:v>7891.23</x:v>
      </x:c>
      <x:c r="J1168" s="9" t="n">
        <x:v>0.05</x:v>
      </x:c>
      <x:c r="K1168" s="7" t="n">
        <x:v>7496.67</x:v>
      </x:c>
      <x:c r="L1168" s="7" t="n">
        <x:v>1857.22</x:v>
      </x:c>
      <x:c r="M1168" s="3" t="str">
        <x:v>Credit Card</x:v>
      </x:c>
      <x:c r="N1168" s="3"/>
      <x:c r="O1168" s="3"/>
      <x:c r="P1168" s="3"/>
      <x:c r="Q1168" s="3"/>
    </x:row>
    <x:row r="1169" ht="21" customHeight="1">
      <x:c r="A1169" s="3" t="str">
        <x:v>ORD-100782</x:v>
      </x:c>
      <x:c r="B1169" s="5" t="n">
        <x:v>45604</x:v>
      </x:c>
      <x:c r="C1169" s="3" t="str">
        <x:v>CUST-00245</x:v>
      </x:c>
      <x:c r="D1169" s="3" t="str">
        <x:v>West</x:v>
      </x:c>
      <x:c r="E1169" s="3" t="str">
        <x:v>Fashion</x:v>
      </x:c>
      <x:c r="F1169" s="3" t="str">
        <x:v>Women</x:v>
      </x:c>
      <x:c r="G1169" s="3" t="str">
        <x:v>Knit Winter Sweater</x:v>
      </x:c>
      <x:c r="H1169" s="3" t="n">
        <x:v>2</x:v>
      </x:c>
      <x:c r="I1169" s="7" t="n">
        <x:v>2089.73</x:v>
      </x:c>
      <x:c r="J1169" s="9" t="n">
        <x:v>0</x:v>
      </x:c>
      <x:c r="K1169" s="7" t="n">
        <x:v>4179.46</x:v>
      </x:c>
      <x:c r="L1169" s="7" t="n">
        <x:v>1650.08</x:v>
      </x:c>
      <x:c r="M1169" s="3" t="str">
        <x:v>Credit Card</x:v>
      </x:c>
      <x:c r="N1169" s="3"/>
      <x:c r="O1169" s="3"/>
      <x:c r="P1169" s="3"/>
      <x:c r="Q1169" s="3"/>
    </x:row>
    <x:row r="1170" ht="21" customHeight="1">
      <x:c r="A1170" s="3" t="str">
        <x:v>ORD-100794</x:v>
      </x:c>
      <x:c r="B1170" s="5" t="n">
        <x:v>45604</x:v>
      </x:c>
      <x:c r="C1170" s="3" t="str">
        <x:v>CUST-00581</x:v>
      </x:c>
      <x:c r="D1170" s="3" t="str">
        <x:v>South</x:v>
      </x:c>
      <x:c r="E1170" s="3" t="str">
        <x:v>Beauty</x:v>
      </x:c>
      <x:c r="F1170" s="3" t="str">
        <x:v>Makeup</x:v>
      </x:c>
      <x:c r="G1170" s="3" t="str">
        <x:v>HD Foundation Kit</x:v>
      </x:c>
      <x:c r="H1170" s="3" t="n">
        <x:v>3</x:v>
      </x:c>
      <x:c r="I1170" s="7" t="n">
        <x:v>1539.12</x:v>
      </x:c>
      <x:c r="J1170" s="9" t="n">
        <x:v>0</x:v>
      </x:c>
      <x:c r="K1170" s="7" t="n">
        <x:v>4617.36</x:v>
      </x:c>
      <x:c r="L1170" s="7" t="n">
        <x:v>2447.21</x:v>
      </x:c>
      <x:c r="M1170" s="3" t="str">
        <x:v>UPI</x:v>
      </x:c>
      <x:c r="N1170" s="3"/>
      <x:c r="O1170" s="3"/>
      <x:c r="P1170" s="3"/>
      <x:c r="Q1170" s="3"/>
    </x:row>
    <x:row r="1171" ht="21" customHeight="1">
      <x:c r="A1171" s="3" t="str">
        <x:v>ORD-101441</x:v>
      </x:c>
      <x:c r="B1171" s="5" t="n">
        <x:v>45604</x:v>
      </x:c>
      <x:c r="C1171" s="3" t="str">
        <x:v>CUST-00576</x:v>
      </x:c>
      <x:c r="D1171" s="3" t="str">
        <x:v>North</x:v>
      </x:c>
      <x:c r="E1171" s="3" t="str">
        <x:v>Beauty</x:v>
      </x:c>
      <x:c r="F1171" s="3" t="str">
        <x:v>Skincare</x:v>
      </x:c>
      <x:c r="G1171" s="3" t="str">
        <x:v>HydraBoost Moisturizer</x:v>
      </x:c>
      <x:c r="H1171" s="3" t="n">
        <x:v>1</x:v>
      </x:c>
      <x:c r="I1171" s="7" t="n">
        <x:v>1172.12</x:v>
      </x:c>
      <x:c r="J1171" s="9" t="n">
        <x:v>0.15</x:v>
      </x:c>
      <x:c r="K1171" s="7" t="n">
        <x:v>996.3</x:v>
      </x:c>
      <x:c r="L1171" s="7" t="n">
        <x:v>402.22</x:v>
      </x:c>
      <x:c r="M1171" s="3" t="str">
        <x:v>Credit Card</x:v>
      </x:c>
      <x:c r="N1171" s="3"/>
      <x:c r="O1171" s="3"/>
      <x:c r="P1171" s="3"/>
      <x:c r="Q1171" s="3"/>
    </x:row>
    <x:row r="1172" ht="21" customHeight="1">
      <x:c r="A1172" s="3" t="str">
        <x:v>ORD-101493</x:v>
      </x:c>
      <x:c r="B1172" s="5" t="n">
        <x:v>45604</x:v>
      </x:c>
      <x:c r="C1172" s="3" t="str">
        <x:v>CUST-00001</x:v>
      </x:c>
      <x:c r="D1172" s="3" t="str">
        <x:v>North</x:v>
      </x:c>
      <x:c r="E1172" s="3" t="str">
        <x:v>Home &amp; Kitchen</x:v>
      </x:c>
      <x:c r="F1172" s="3" t="str">
        <x:v>Furniture</x:v>
      </x:c>
      <x:c r="G1172" s="3" t="str">
        <x:v>Oakwood Study Desk</x:v>
      </x:c>
      <x:c r="H1172" s="3" t="n">
        <x:v>2</x:v>
      </x:c>
      <x:c r="I1172" s="7" t="n">
        <x:v>12773.75</x:v>
      </x:c>
      <x:c r="J1172" s="9" t="n">
        <x:v>0</x:v>
      </x:c>
      <x:c r="K1172" s="7" t="n">
        <x:v>25547.5</x:v>
      </x:c>
      <x:c r="L1172" s="7" t="n">
        <x:v>8545.68</x:v>
      </x:c>
      <x:c r="M1172" s="3" t="str">
        <x:v>UPI</x:v>
      </x:c>
      <x:c r="N1172" s="3"/>
      <x:c r="O1172" s="3"/>
      <x:c r="P1172" s="3"/>
      <x:c r="Q1172" s="3"/>
    </x:row>
    <x:row r="1173" ht="21" customHeight="1">
      <x:c r="A1173" s="3" t="str">
        <x:v>ORD-101712</x:v>
      </x:c>
      <x:c r="B1173" s="5" t="n">
        <x:v>45604</x:v>
      </x:c>
      <x:c r="C1173" s="3" t="str">
        <x:v>CUST-00233</x:v>
      </x:c>
      <x:c r="D1173" s="3" t="str">
        <x:v>North</x:v>
      </x:c>
      <x:c r="E1173" s="3" t="str">
        <x:v>Beauty</x:v>
      </x:c>
      <x:c r="F1173" s="3" t="str">
        <x:v>Skincare</x:v>
      </x:c>
      <x:c r="G1173" s="3" t="str">
        <x:v>Vitamin C Serum</x:v>
      </x:c>
      <x:c r="H1173" s="3" t="n">
        <x:v>1</x:v>
      </x:c>
      <x:c r="I1173" s="7" t="n">
        <x:v>854.93</x:v>
      </x:c>
      <x:c r="J1173" s="9" t="n">
        <x:v>0</x:v>
      </x:c>
      <x:c r="K1173" s="7" t="n">
        <x:v>854.93</x:v>
      </x:c>
      <x:c r="L1173" s="7" t="n">
        <x:v>436.32</x:v>
      </x:c>
      <x:c r="M1173" s="3" t="str">
        <x:v>UPI</x:v>
      </x:c>
      <x:c r="N1173" s="3"/>
      <x:c r="O1173" s="3"/>
      <x:c r="P1173" s="3"/>
      <x:c r="Q1173" s="3"/>
    </x:row>
    <x:row r="1174" ht="21" customHeight="1">
      <x:c r="A1174" s="3" t="str">
        <x:v>ORD-100478</x:v>
      </x:c>
      <x:c r="B1174" s="5" t="n">
        <x:v>45605</x:v>
      </x:c>
      <x:c r="C1174" s="3" t="str">
        <x:v>CUST-00267</x:v>
      </x:c>
      <x:c r="D1174" s="3" t="str">
        <x:v>South</x:v>
      </x:c>
      <x:c r="E1174" s="3" t="str">
        <x:v>Beauty</x:v>
      </x:c>
      <x:c r="F1174" s="3" t="str">
        <x:v>Makeup</x:v>
      </x:c>
      <x:c r="G1174" s="3" t="str">
        <x:v>HD Foundation Kit</x:v>
      </x:c>
      <x:c r="H1174" s="3" t="n">
        <x:v>1</x:v>
      </x:c>
      <x:c r="I1174" s="7" t="n">
        <x:v>1503.52</x:v>
      </x:c>
      <x:c r="J1174" s="9" t="n">
        <x:v>0.1</x:v>
      </x:c>
      <x:c r="K1174" s="7" t="n">
        <x:v>1353.17</x:v>
      </x:c>
      <x:c r="L1174" s="7" t="n">
        <x:v>593.88</x:v>
      </x:c>
      <x:c r="M1174" s="3" t="str">
        <x:v>Credit Card</x:v>
      </x:c>
      <x:c r="N1174" s="3"/>
      <x:c r="O1174" s="3"/>
      <x:c r="P1174" s="3"/>
      <x:c r="Q1174" s="3"/>
    </x:row>
    <x:row r="1175" ht="21" customHeight="1">
      <x:c r="A1175" s="3" t="str">
        <x:v>ORD-100700</x:v>
      </x:c>
      <x:c r="B1175" s="5" t="n">
        <x:v>45605</x:v>
      </x:c>
      <x:c r="C1175" s="3" t="str">
        <x:v>CUST-00237</x:v>
      </x:c>
      <x:c r="D1175" s="3" t="str">
        <x:v>North</x:v>
      </x:c>
      <x:c r="E1175" s="3" t="str">
        <x:v>Electronics</x:v>
      </x:c>
      <x:c r="F1175" s="3" t="str">
        <x:v>Laptop</x:v>
      </x:c>
      <x:c r="G1175" s="3" t="str">
        <x:v>ThinkPro 14</x:v>
      </x:c>
      <x:c r="H1175" s="3" t="n">
        <x:v>4</x:v>
      </x:c>
      <x:c r="I1175" s="7" t="n">
        <x:v>55639.56</x:v>
      </x:c>
      <x:c r="J1175" s="9" t="n">
        <x:v>0.05</x:v>
      </x:c>
      <x:c r="K1175" s="7" t="n">
        <x:v>211430.33</x:v>
      </x:c>
      <x:c r="L1175" s="7" t="n">
        <x:v>18981.12</x:v>
      </x:c>
      <x:c r="M1175" s="3" t="str">
        <x:v>UPI</x:v>
      </x:c>
      <x:c r="N1175" s="3"/>
      <x:c r="O1175" s="3"/>
      <x:c r="P1175" s="3"/>
      <x:c r="Q1175" s="3"/>
    </x:row>
    <x:row r="1176" ht="21" customHeight="1">
      <x:c r="A1176" s="3" t="str">
        <x:v>ORD-101259</x:v>
      </x:c>
      <x:c r="B1176" s="5" t="n">
        <x:v>45605</x:v>
      </x:c>
      <x:c r="C1176" s="3" t="str">
        <x:v>CUST-00123</x:v>
      </x:c>
      <x:c r="D1176" s="3" t="str">
        <x:v>North</x:v>
      </x:c>
      <x:c r="E1176" s="3" t="str">
        <x:v>Beauty</x:v>
      </x:c>
      <x:c r="F1176" s="3" t="str">
        <x:v>Makeup</x:v>
      </x:c>
      <x:c r="G1176" s="3" t="str">
        <x:v>Matte Lipstick Set</x:v>
      </x:c>
      <x:c r="H1176" s="3" t="n">
        <x:v>2</x:v>
      </x:c>
      <x:c r="I1176" s="7" t="n">
        <x:v>1026.27</x:v>
      </x:c>
      <x:c r="J1176" s="9" t="n">
        <x:v>0.15</x:v>
      </x:c>
      <x:c r="K1176" s="7" t="n">
        <x:v>1744.66</x:v>
      </x:c>
      <x:c r="L1176" s="7" t="n">
        <x:v>628.92</x:v>
      </x:c>
      <x:c r="M1176" s="3" t="str">
        <x:v>UPI</x:v>
      </x:c>
      <x:c r="N1176" s="3"/>
      <x:c r="O1176" s="3"/>
      <x:c r="P1176" s="3"/>
      <x:c r="Q1176" s="3"/>
    </x:row>
    <x:row r="1177" ht="21" customHeight="1">
      <x:c r="A1177" s="3" t="str">
        <x:v>ORD-101872</x:v>
      </x:c>
      <x:c r="B1177" s="5" t="n">
        <x:v>45605</x:v>
      </x:c>
      <x:c r="C1177" s="3" t="str">
        <x:v>CUST-00022</x:v>
      </x:c>
      <x:c r="D1177" s="3" t="str">
        <x:v>East</x:v>
      </x:c>
      <x:c r="E1177" s="3" t="str">
        <x:v>Sports</x:v>
      </x:c>
      <x:c r="F1177" s="3" t="str">
        <x:v>Fitness</x:v>
      </x:c>
      <x:c r="G1177" s="3" t="str">
        <x:v>Adjustable Dumbbell 24kg</x:v>
      </x:c>
      <x:c r="H1177" s="3" t="n">
        <x:v>3</x:v>
      </x:c>
      <x:c r="I1177" s="7" t="n">
        <x:v>10456.78</x:v>
      </x:c>
      <x:c r="J1177" s="9" t="n">
        <x:v>0.1</x:v>
      </x:c>
      <x:c r="K1177" s="7" t="n">
        <x:v>28233.31</x:v>
      </x:c>
      <x:c r="L1177" s="7" t="n">
        <x:v>8419.1</x:v>
      </x:c>
      <x:c r="M1177" s="3" t="str">
        <x:v>Credit Card</x:v>
      </x:c>
      <x:c r="N1177" s="3"/>
      <x:c r="O1177" s="3"/>
      <x:c r="P1177" s="3"/>
      <x:c r="Q1177" s="3"/>
    </x:row>
    <x:row r="1178" ht="21" customHeight="1">
      <x:c r="A1178" s="3" t="str">
        <x:v>ORD-100225</x:v>
      </x:c>
      <x:c r="B1178" s="5" t="n">
        <x:v>45606</x:v>
      </x:c>
      <x:c r="C1178" s="3" t="str">
        <x:v>CUST-00543</x:v>
      </x:c>
      <x:c r="D1178" s="3" t="str">
        <x:v>North</x:v>
      </x:c>
      <x:c r="E1178" s="3" t="str">
        <x:v>Electronics</x:v>
      </x:c>
      <x:c r="F1178" s="3" t="str">
        <x:v>Mobile</x:v>
      </x:c>
      <x:c r="G1178" s="3" t="str">
        <x:v>iPhone Zeta</x:v>
      </x:c>
      <x:c r="H1178" s="3" t="n">
        <x:v>1</x:v>
      </x:c>
      <x:c r="I1178" s="7" t="n">
        <x:v>72639.35</x:v>
      </x:c>
      <x:c r="J1178" s="9" t="n">
        <x:v>0.2</x:v>
      </x:c>
      <x:c r="K1178" s="7" t="n">
        <x:v>58111.48</x:v>
      </x:c>
      <x:c r="L1178" s="7" t="n">
        <x:v>-808.96</x:v>
      </x:c>
      <x:c r="M1178" s="3" t="str">
        <x:v>Credit Card</x:v>
      </x:c>
      <x:c r="N1178" s="3"/>
      <x:c r="O1178" s="3"/>
      <x:c r="P1178" s="3"/>
      <x:c r="Q1178" s="3"/>
    </x:row>
    <x:row r="1179" ht="21" customHeight="1">
      <x:c r="A1179" s="3" t="str">
        <x:v>ORD-101202</x:v>
      </x:c>
      <x:c r="B1179" s="5" t="n">
        <x:v>45606</x:v>
      </x:c>
      <x:c r="C1179" s="3" t="str">
        <x:v>CUST-00163</x:v>
      </x:c>
      <x:c r="D1179" s="3" t="str">
        <x:v>South</x:v>
      </x:c>
      <x:c r="E1179" s="3" t="str">
        <x:v>Fashion</x:v>
      </x:c>
      <x:c r="F1179" s="3" t="str">
        <x:v>Footwear</x:v>
      </x:c>
      <x:c r="G1179" s="3" t="str">
        <x:v>RunFlex Sneakers</x:v>
      </x:c>
      <x:c r="H1179" s="3" t="n">
        <x:v>1</x:v>
      </x:c>
      <x:c r="I1179" s="7" t="n">
        <x:v>3052.35</x:v>
      </x:c>
      <x:c r="J1179" s="9" t="n">
        <x:v>0.05</x:v>
      </x:c>
      <x:c r="K1179" s="7" t="n">
        <x:v>2899.73</x:v>
      </x:c>
      <x:c r="L1179" s="7" t="n">
        <x:v>1103.58</x:v>
      </x:c>
      <x:c r="M1179" s="3" t="str">
        <x:v>Credit Card</x:v>
      </x:c>
      <x:c r="N1179" s="3"/>
      <x:c r="O1179" s="3"/>
      <x:c r="P1179" s="3"/>
      <x:c r="Q1179" s="3"/>
    </x:row>
    <x:row r="1180" ht="21" customHeight="1">
      <x:c r="A1180" s="3" t="str">
        <x:v>ORD-101898</x:v>
      </x:c>
      <x:c r="B1180" s="5" t="n">
        <x:v>45606</x:v>
      </x:c>
      <x:c r="C1180" s="3" t="str">
        <x:v>CUST-00142</x:v>
      </x:c>
      <x:c r="D1180" s="3" t="str">
        <x:v>South</x:v>
      </x:c>
      <x:c r="E1180" s="3" t="str">
        <x:v>Beauty</x:v>
      </x:c>
      <x:c r="F1180" s="3" t="str">
        <x:v>Makeup</x:v>
      </x:c>
      <x:c r="G1180" s="3" t="str">
        <x:v>HD Foundation Kit</x:v>
      </x:c>
      <x:c r="H1180" s="3" t="n">
        <x:v>1</x:v>
      </x:c>
      <x:c r="I1180" s="7" t="n">
        <x:v>1544.3</x:v>
      </x:c>
      <x:c r="J1180" s="9" t="n">
        <x:v>0</x:v>
      </x:c>
      <x:c r="K1180" s="7" t="n">
        <x:v>1544.3</x:v>
      </x:c>
      <x:c r="L1180" s="7" t="n">
        <x:v>823.17</x:v>
      </x:c>
      <x:c r="M1180" s="3" t="str">
        <x:v>UPI</x:v>
      </x:c>
      <x:c r="N1180" s="3"/>
      <x:c r="O1180" s="3"/>
      <x:c r="P1180" s="3"/>
      <x:c r="Q1180" s="3"/>
    </x:row>
    <x:row r="1181" ht="21" customHeight="1">
      <x:c r="A1181" s="3" t="str">
        <x:v>ORD-100141</x:v>
      </x:c>
      <x:c r="B1181" s="5" t="n">
        <x:v>45607</x:v>
      </x:c>
      <x:c r="C1181" s="3" t="str">
        <x:v>CUST-00028</x:v>
      </x:c>
      <x:c r="D1181" s="3" t="str">
        <x:v>East</x:v>
      </x:c>
      <x:c r="E1181" s="3" t="str">
        <x:v>Beauty</x:v>
      </x:c>
      <x:c r="F1181" s="3" t="str">
        <x:v>Makeup</x:v>
      </x:c>
      <x:c r="G1181" s="3" t="str">
        <x:v>HD Foundation Kit</x:v>
      </x:c>
      <x:c r="H1181" s="3" t="n">
        <x:v>2</x:v>
      </x:c>
      <x:c r="I1181" s="7" t="n">
        <x:v>1546.33</x:v>
      </x:c>
      <x:c r="J1181" s="9" t="n">
        <x:v>0</x:v>
      </x:c>
      <x:c r="K1181" s="7" t="n">
        <x:v>3092.66</x:v>
      </x:c>
      <x:c r="L1181" s="7" t="n">
        <x:v>1668.39</x:v>
      </x:c>
      <x:c r="M1181" s="3" t="str">
        <x:v>Cash on Delivery</x:v>
      </x:c>
      <x:c r="N1181" s="3"/>
      <x:c r="O1181" s="3"/>
      <x:c r="P1181" s="3"/>
      <x:c r="Q1181" s="3"/>
    </x:row>
    <x:row r="1182" ht="21" customHeight="1">
      <x:c r="A1182" s="3" t="str">
        <x:v>ORD-100157</x:v>
      </x:c>
      <x:c r="B1182" s="5" t="n">
        <x:v>45607</x:v>
      </x:c>
      <x:c r="C1182" s="3" t="str">
        <x:v>CUST-00406</x:v>
      </x:c>
      <x:c r="D1182" s="3" t="str">
        <x:v>South</x:v>
      </x:c>
      <x:c r="E1182" s="3" t="str">
        <x:v>Beauty</x:v>
      </x:c>
      <x:c r="F1182" s="3" t="str">
        <x:v>Makeup</x:v>
      </x:c>
      <x:c r="G1182" s="3" t="str">
        <x:v>Matte Lipstick Set</x:v>
      </x:c>
      <x:c r="H1182" s="3" t="n">
        <x:v>4</x:v>
      </x:c>
      <x:c r="I1182" s="7" t="n">
        <x:v>954.61</x:v>
      </x:c>
      <x:c r="J1182" s="9" t="n">
        <x:v>0.05</x:v>
      </x:c>
      <x:c r="K1182" s="7" t="n">
        <x:v>3627.52</x:v>
      </x:c>
      <x:c r="L1182" s="7" t="n">
        <x:v>1679.74</x:v>
      </x:c>
      <x:c r="M1182" s="3" t="str">
        <x:v>Credit Card</x:v>
      </x:c>
      <x:c r="N1182" s="3"/>
      <x:c r="O1182" s="3"/>
      <x:c r="P1182" s="3"/>
      <x:c r="Q1182" s="3"/>
    </x:row>
    <x:row r="1183" ht="21" customHeight="1">
      <x:c r="A1183" s="3" t="str">
        <x:v>ORD-101050</x:v>
      </x:c>
      <x:c r="B1183" s="5" t="n">
        <x:v>45607</x:v>
      </x:c>
      <x:c r="C1183" s="3" t="str">
        <x:v>CUST-00347</x:v>
      </x:c>
      <x:c r="D1183" s="3" t="str">
        <x:v>North</x:v>
      </x:c>
      <x:c r="E1183" s="3" t="str">
        <x:v>Electronics</x:v>
      </x:c>
      <x:c r="F1183" s="3" t="str">
        <x:v>Laptop</x:v>
      </x:c>
      <x:c r="G1183" s="3" t="str">
        <x:v>AirBook Slim</x:v>
      </x:c>
      <x:c r="H1183" s="3" t="n">
        <x:v>2</x:v>
      </x:c>
      <x:c r="I1183" s="7" t="n">
        <x:v>79147.22</x:v>
      </x:c>
      <x:c r="J1183" s="9" t="n">
        <x:v>0</x:v>
      </x:c>
      <x:c r="K1183" s="7" t="n">
        <x:v>158294.44</x:v>
      </x:c>
      <x:c r="L1183" s="7" t="n">
        <x:v>28419.95</x:v>
      </x:c>
      <x:c r="M1183" s="3" t="str">
        <x:v>Credit Card</x:v>
      </x:c>
      <x:c r="N1183" s="3"/>
      <x:c r="O1183" s="3"/>
      <x:c r="P1183" s="3"/>
      <x:c r="Q1183" s="3"/>
    </x:row>
    <x:row r="1184" ht="21" customHeight="1">
      <x:c r="A1184" s="3" t="str">
        <x:v>ORD-101277</x:v>
      </x:c>
      <x:c r="B1184" s="5" t="n">
        <x:v>45607</x:v>
      </x:c>
      <x:c r="C1184" s="3" t="str">
        <x:v>CUST-00126</x:v>
      </x:c>
      <x:c r="D1184" s="3" t="str">
        <x:v>West</x:v>
      </x:c>
      <x:c r="E1184" s="3" t="str">
        <x:v>Fashion</x:v>
      </x:c>
      <x:c r="F1184" s="3" t="str">
        <x:v>Men</x:v>
      </x:c>
      <x:c r="G1184" s="3" t="str">
        <x:v>Oxford Casual Shirt</x:v>
      </x:c>
      <x:c r="H1184" s="3" t="n">
        <x:v>2</x:v>
      </x:c>
      <x:c r="I1184" s="7" t="n">
        <x:v>1265.81</x:v>
      </x:c>
      <x:c r="J1184" s="9" t="n">
        <x:v>0.15</x:v>
      </x:c>
      <x:c r="K1184" s="7" t="n">
        <x:v>2151.88</x:v>
      </x:c>
      <x:c r="L1184" s="7" t="n">
        <x:v>545.95</x:v>
      </x:c>
      <x:c r="M1184" s="3" t="str">
        <x:v>UPI</x:v>
      </x:c>
      <x:c r="N1184" s="3"/>
      <x:c r="O1184" s="3"/>
      <x:c r="P1184" s="3"/>
      <x:c r="Q1184" s="3"/>
    </x:row>
    <x:row r="1185" ht="21" customHeight="1">
      <x:c r="A1185" s="3" t="str">
        <x:v>ORD-101297</x:v>
      </x:c>
      <x:c r="B1185" s="5" t="n">
        <x:v>45607</x:v>
      </x:c>
      <x:c r="C1185" s="3" t="str">
        <x:v>CUST-00380</x:v>
      </x:c>
      <x:c r="D1185" s="3" t="str">
        <x:v>East</x:v>
      </x:c>
      <x:c r="E1185" s="3" t="str">
        <x:v>Electronics</x:v>
      </x:c>
      <x:c r="F1185" s="3" t="str">
        <x:v>Mobile</x:v>
      </x:c>
      <x:c r="G1185" s="3" t="str">
        <x:v>iPhone Zeta</x:v>
      </x:c>
      <x:c r="H1185" s="3" t="n">
        <x:v>1</x:v>
      </x:c>
      <x:c r="I1185" s="7" t="n">
        <x:v>73195.08</x:v>
      </x:c>
      <x:c r="J1185" s="9" t="n">
        <x:v>0.25</x:v>
      </x:c>
      <x:c r="K1185" s="7" t="n">
        <x:v>54896.31</x:v>
      </x:c>
      <x:c r="L1185" s="7" t="n">
        <x:v>-5618.4</x:v>
      </x:c>
      <x:c r="M1185" s="3" t="str">
        <x:v>Credit Card</x:v>
      </x:c>
      <x:c r="N1185" s="3"/>
      <x:c r="O1185" s="3"/>
      <x:c r="P1185" s="3"/>
      <x:c r="Q1185" s="3"/>
    </x:row>
    <x:row r="1186" ht="21" customHeight="1">
      <x:c r="A1186" s="3" t="str">
        <x:v>ORD-101682</x:v>
      </x:c>
      <x:c r="B1186" s="5" t="n">
        <x:v>45607</x:v>
      </x:c>
      <x:c r="C1186" s="3" t="str">
        <x:v>CUST-00466</x:v>
      </x:c>
      <x:c r="D1186" s="3" t="str">
        <x:v>North</x:v>
      </x:c>
      <x:c r="E1186" s="3" t="str">
        <x:v>Beauty</x:v>
      </x:c>
      <x:c r="F1186" s="3" t="str">
        <x:v>Skincare</x:v>
      </x:c>
      <x:c r="G1186" s="3" t="str">
        <x:v>Vitamin C Serum</x:v>
      </x:c>
      <x:c r="H1186" s="3" t="n">
        <x:v>1</x:v>
      </x:c>
      <x:c r="I1186" s="7" t="n">
        <x:v>916.6</x:v>
      </x:c>
      <x:c r="J1186" s="9" t="n">
        <x:v>0.05</x:v>
      </x:c>
      <x:c r="K1186" s="7" t="n">
        <x:v>870.77</x:v>
      </x:c>
      <x:c r="L1186" s="7" t="n">
        <x:v>434.21</x:v>
      </x:c>
      <x:c r="M1186" s="3" t="str">
        <x:v>Debit Card</x:v>
      </x:c>
      <x:c r="N1186" s="3"/>
      <x:c r="O1186" s="3"/>
      <x:c r="P1186" s="3"/>
      <x:c r="Q1186" s="3"/>
    </x:row>
    <x:row r="1187" ht="21" customHeight="1">
      <x:c r="A1187" s="3" t="str">
        <x:v>ORD-100392</x:v>
      </x:c>
      <x:c r="B1187" s="5" t="n">
        <x:v>45608</x:v>
      </x:c>
      <x:c r="C1187" s="3" t="str">
        <x:v>CUST-00537</x:v>
      </x:c>
      <x:c r="D1187" s="3" t="str">
        <x:v>West</x:v>
      </x:c>
      <x:c r="E1187" s="3" t="str">
        <x:v>Beauty</x:v>
      </x:c>
      <x:c r="F1187" s="3" t="str">
        <x:v>Makeup</x:v>
      </x:c>
      <x:c r="G1187" s="3" t="str">
        <x:v>HD Foundation Kit</x:v>
      </x:c>
      <x:c r="H1187" s="3" t="n">
        <x:v>1</x:v>
      </x:c>
      <x:c r="I1187" s="7" t="n">
        <x:v>1444.82</x:v>
      </x:c>
      <x:c r="J1187" s="9" t="n">
        <x:v>0</x:v>
      </x:c>
      <x:c r="K1187" s="7" t="n">
        <x:v>1444.82</x:v>
      </x:c>
      <x:c r="L1187" s="7" t="n">
        <x:v>799.43</x:v>
      </x:c>
      <x:c r="M1187" s="3" t="str">
        <x:v>Net Banking</x:v>
      </x:c>
      <x:c r="N1187" s="3"/>
      <x:c r="O1187" s="3"/>
      <x:c r="P1187" s="3"/>
      <x:c r="Q1187" s="3"/>
    </x:row>
    <x:row r="1188" ht="21" customHeight="1">
      <x:c r="A1188" s="3" t="str">
        <x:v>ORD-100666</x:v>
      </x:c>
      <x:c r="B1188" s="5" t="n">
        <x:v>45608</x:v>
      </x:c>
      <x:c r="C1188" s="3" t="str">
        <x:v>CUST-00127</x:v>
      </x:c>
      <x:c r="D1188" s="3" t="str">
        <x:v>South</x:v>
      </x:c>
      <x:c r="E1188" s="3" t="str">
        <x:v>Beauty</x:v>
      </x:c>
      <x:c r="F1188" s="3" t="str">
        <x:v>Makeup</x:v>
      </x:c>
      <x:c r="G1188" s="3" t="str">
        <x:v>HD Foundation Kit</x:v>
      </x:c>
      <x:c r="H1188" s="3" t="n">
        <x:v>1</x:v>
      </x:c>
      <x:c r="I1188" s="7" t="n">
        <x:v>1549.55</x:v>
      </x:c>
      <x:c r="J1188" s="9" t="n">
        <x:v>0.25</x:v>
      </x:c>
      <x:c r="K1188" s="7" t="n">
        <x:v>1162.16</x:v>
      </x:c>
      <x:c r="L1188" s="7" t="n">
        <x:v>305.05</x:v>
      </x:c>
      <x:c r="M1188" s="3" t="str">
        <x:v>Credit Card</x:v>
      </x:c>
      <x:c r="N1188" s="3"/>
      <x:c r="O1188" s="3"/>
      <x:c r="P1188" s="3"/>
      <x:c r="Q1188" s="3"/>
    </x:row>
    <x:row r="1189" ht="21" customHeight="1">
      <x:c r="A1189" s="3" t="str">
        <x:v>ORD-101448</x:v>
      </x:c>
      <x:c r="B1189" s="5" t="n">
        <x:v>45608</x:v>
      </x:c>
      <x:c r="C1189" s="3" t="str">
        <x:v>CUST-00094</x:v>
      </x:c>
      <x:c r="D1189" s="3" t="str">
        <x:v>South</x:v>
      </x:c>
      <x:c r="E1189" s="3" t="str">
        <x:v>Electronics</x:v>
      </x:c>
      <x:c r="F1189" s="3" t="str">
        <x:v>Laptop</x:v>
      </x:c>
      <x:c r="G1189" s="3" t="str">
        <x:v>AirBook Slim</x:v>
      </x:c>
      <x:c r="H1189" s="3" t="n">
        <x:v>2</x:v>
      </x:c>
      <x:c r="I1189" s="7" t="n">
        <x:v>79273.64</x:v>
      </x:c>
      <x:c r="J1189" s="9" t="n">
        <x:v>0.3</x:v>
      </x:c>
      <x:c r="K1189" s="7" t="n">
        <x:v>110983.1</x:v>
      </x:c>
      <x:c r="L1189" s="7" t="n">
        <x:v>-18532.81</x:v>
      </x:c>
      <x:c r="M1189" s="3" t="str">
        <x:v>UPI</x:v>
      </x:c>
      <x:c r="N1189" s="3"/>
      <x:c r="O1189" s="3"/>
      <x:c r="P1189" s="3"/>
      <x:c r="Q1189" s="3"/>
    </x:row>
    <x:row r="1190" ht="21" customHeight="1">
      <x:c r="A1190" s="3" t="str">
        <x:v>ORD-100575</x:v>
      </x:c>
      <x:c r="B1190" s="5" t="n">
        <x:v>45609</x:v>
      </x:c>
      <x:c r="C1190" s="3" t="str">
        <x:v>CUST-00346</x:v>
      </x:c>
      <x:c r="D1190" s="3" t="str">
        <x:v>West</x:v>
      </x:c>
      <x:c r="E1190" s="3" t="str">
        <x:v>Home &amp; Kitchen</x:v>
      </x:c>
      <x:c r="F1190" s="3" t="str">
        <x:v>Furniture</x:v>
      </x:c>
      <x:c r="G1190" s="3" t="str">
        <x:v>Oakwood Study Desk</x:v>
      </x:c>
      <x:c r="H1190" s="3" t="n">
        <x:v>3</x:v>
      </x:c>
      <x:c r="I1190" s="7" t="n">
        <x:v>12508.06</x:v>
      </x:c>
      <x:c r="J1190" s="9" t="n">
        <x:v>0.05</x:v>
      </x:c>
      <x:c r="K1190" s="7" t="n">
        <x:v>35647.97</x:v>
      </x:c>
      <x:c r="L1190" s="7" t="n">
        <x:v>9282.44</x:v>
      </x:c>
      <x:c r="M1190" s="3" t="str">
        <x:v>UPI</x:v>
      </x:c>
      <x:c r="N1190" s="3"/>
      <x:c r="O1190" s="3"/>
      <x:c r="P1190" s="3"/>
      <x:c r="Q1190" s="3"/>
    </x:row>
    <x:row r="1191" ht="21" customHeight="1">
      <x:c r="A1191" s="3" t="str">
        <x:v>ORD-100879</x:v>
      </x:c>
      <x:c r="B1191" s="5" t="n">
        <x:v>45609</x:v>
      </x:c>
      <x:c r="C1191" s="3" t="str">
        <x:v>CUST-00378</x:v>
      </x:c>
      <x:c r="D1191" s="3" t="str">
        <x:v>South</x:v>
      </x:c>
      <x:c r="E1191" s="3" t="str">
        <x:v>Beauty</x:v>
      </x:c>
      <x:c r="F1191" s="3" t="str">
        <x:v>Skincare</x:v>
      </x:c>
      <x:c r="G1191" s="3" t="str">
        <x:v>HydraBoost Moisturizer</x:v>
      </x:c>
      <x:c r="H1191" s="3" t="n">
        <x:v>1</x:v>
      </x:c>
      <x:c r="I1191" s="7" t="n">
        <x:v>1258.4</x:v>
      </x:c>
      <x:c r="J1191" s="9" t="n">
        <x:v>0.25</x:v>
      </x:c>
      <x:c r="K1191" s="7" t="n">
        <x:v>943.8</x:v>
      </x:c>
      <x:c r="L1191" s="7" t="n">
        <x:v>224.78</x:v>
      </x:c>
      <x:c r="M1191" s="3" t="str">
        <x:v>UPI</x:v>
      </x:c>
      <x:c r="N1191" s="3"/>
      <x:c r="O1191" s="3"/>
      <x:c r="P1191" s="3"/>
      <x:c r="Q1191" s="3"/>
    </x:row>
    <x:row r="1192" ht="21" customHeight="1">
      <x:c r="A1192" s="3" t="str">
        <x:v>ORD-101970</x:v>
      </x:c>
      <x:c r="B1192" s="5" t="n">
        <x:v>45610</x:v>
      </x:c>
      <x:c r="C1192" s="3" t="str">
        <x:v>CUST-00338</x:v>
      </x:c>
      <x:c r="D1192" s="3" t="str">
        <x:v>South</x:v>
      </x:c>
      <x:c r="E1192" s="3" t="str">
        <x:v>Electronics</x:v>
      </x:c>
      <x:c r="F1192" s="3" t="str">
        <x:v>Audio</x:v>
      </x:c>
      <x:c r="G1192" s="3" t="str">
        <x:v>BassBoom Speaker</x:v>
      </x:c>
      <x:c r="H1192" s="3" t="n">
        <x:v>1</x:v>
      </x:c>
      <x:c r="I1192" s="7" t="n">
        <x:v>8760.41</x:v>
      </x:c>
      <x:c r="J1192" s="9" t="n">
        <x:v>0.15</x:v>
      </x:c>
      <x:c r="K1192" s="7" t="n">
        <x:v>7446.35</x:v>
      </x:c>
      <x:c r="L1192" s="7" t="n">
        <x:v>126.42</x:v>
      </x:c>
      <x:c r="M1192" s="3" t="str">
        <x:v>UPI</x:v>
      </x:c>
      <x:c r="N1192" s="3"/>
      <x:c r="O1192" s="3"/>
      <x:c r="P1192" s="3"/>
      <x:c r="Q1192" s="3"/>
    </x:row>
    <x:row r="1193" ht="21" customHeight="1">
      <x:c r="A1193" s="3" t="str">
        <x:v>ORD-100421</x:v>
      </x:c>
      <x:c r="B1193" s="5" t="n">
        <x:v>45611</x:v>
      </x:c>
      <x:c r="C1193" s="3" t="str">
        <x:v>CUST-00203</x:v>
      </x:c>
      <x:c r="D1193" s="3" t="str">
        <x:v>East</x:v>
      </x:c>
      <x:c r="E1193" s="3" t="str">
        <x:v>Electronics</x:v>
      </x:c>
      <x:c r="F1193" s="3" t="str">
        <x:v>Laptop</x:v>
      </x:c>
      <x:c r="G1193" s="3" t="str">
        <x:v>AirBook Slim</x:v>
      </x:c>
      <x:c r="H1193" s="3" t="n">
        <x:v>1</x:v>
      </x:c>
      <x:c r="I1193" s="7" t="n">
        <x:v>79731.76</x:v>
      </x:c>
      <x:c r="J1193" s="9" t="n">
        <x:v>0.1</x:v>
      </x:c>
      <x:c r="K1193" s="7" t="n">
        <x:v>71758.58</x:v>
      </x:c>
      <x:c r="L1193" s="7" t="n">
        <x:v>6594.18</x:v>
      </x:c>
      <x:c r="M1193" s="3" t="str">
        <x:v>Credit Card</x:v>
      </x:c>
      <x:c r="N1193" s="3"/>
      <x:c r="O1193" s="3"/>
      <x:c r="P1193" s="3"/>
      <x:c r="Q1193" s="3"/>
    </x:row>
    <x:row r="1194" ht="21" customHeight="1">
      <x:c r="A1194" s="3" t="str">
        <x:v>ORD-100436</x:v>
      </x:c>
      <x:c r="B1194" s="5" t="n">
        <x:v>45611</x:v>
      </x:c>
      <x:c r="C1194" s="3" t="str">
        <x:v>CUST-00352</x:v>
      </x:c>
      <x:c r="D1194" s="3" t="str">
        <x:v>East</x:v>
      </x:c>
      <x:c r="E1194" s="3" t="str">
        <x:v>Beauty</x:v>
      </x:c>
      <x:c r="F1194" s="3" t="str">
        <x:v>Skincare</x:v>
      </x:c>
      <x:c r="G1194" s="3" t="str">
        <x:v>Vitamin C Serum</x:v>
      </x:c>
      <x:c r="H1194" s="3" t="n">
        <x:v>1</x:v>
      </x:c>
      <x:c r="I1194" s="7" t="n">
        <x:v>940.39</x:v>
      </x:c>
      <x:c r="J1194" s="9" t="n">
        <x:v>0.15</x:v>
      </x:c>
      <x:c r="K1194" s="7" t="n">
        <x:v>799.33</x:v>
      </x:c>
      <x:c r="L1194" s="7" t="n">
        <x:v>274.77</x:v>
      </x:c>
      <x:c r="M1194" s="3" t="str">
        <x:v>Debit Card</x:v>
      </x:c>
      <x:c r="N1194" s="3"/>
      <x:c r="O1194" s="3"/>
      <x:c r="P1194" s="3"/>
      <x:c r="Q1194" s="3"/>
    </x:row>
    <x:row r="1195" ht="21" customHeight="1">
      <x:c r="A1195" s="3" t="str">
        <x:v>ORD-100861</x:v>
      </x:c>
      <x:c r="B1195" s="5" t="n">
        <x:v>45611</x:v>
      </x:c>
      <x:c r="C1195" s="3" t="str">
        <x:v>CUST-00436</x:v>
      </x:c>
      <x:c r="D1195" s="3" t="str">
        <x:v>East</x:v>
      </x:c>
      <x:c r="E1195" s="3" t="str">
        <x:v>Electronics</x:v>
      </x:c>
      <x:c r="F1195" s="3" t="str">
        <x:v>Mobile</x:v>
      </x:c>
      <x:c r="G1195" s="3" t="str">
        <x:v>iPhone Zeta</x:v>
      </x:c>
      <x:c r="H1195" s="3" t="n">
        <x:v>3</x:v>
      </x:c>
      <x:c r="I1195" s="7" t="n">
        <x:v>67561.97</x:v>
      </x:c>
      <x:c r="J1195" s="9" t="n">
        <x:v>0.1</x:v>
      </x:c>
      <x:c r="K1195" s="7" t="n">
        <x:v>182417.32</x:v>
      </x:c>
      <x:c r="L1195" s="7" t="n">
        <x:v>15299.32</x:v>
      </x:c>
      <x:c r="M1195" s="3" t="str">
        <x:v>UPI</x:v>
      </x:c>
      <x:c r="N1195" s="3"/>
      <x:c r="O1195" s="3"/>
      <x:c r="P1195" s="3"/>
      <x:c r="Q1195" s="3"/>
    </x:row>
    <x:row r="1196" ht="21" customHeight="1">
      <x:c r="A1196" s="3" t="str">
        <x:v>ORD-100196</x:v>
      </x:c>
      <x:c r="B1196" s="5" t="n">
        <x:v>45612</x:v>
      </x:c>
      <x:c r="C1196" s="3" t="str">
        <x:v>CUST-00402</x:v>
      </x:c>
      <x:c r="D1196" s="3" t="str">
        <x:v>South</x:v>
      </x:c>
      <x:c r="E1196" s="3" t="str">
        <x:v>Beauty</x:v>
      </x:c>
      <x:c r="F1196" s="3" t="str">
        <x:v>Skincare</x:v>
      </x:c>
      <x:c r="G1196" s="3" t="str">
        <x:v>Vitamin C Serum</x:v>
      </x:c>
      <x:c r="H1196" s="3" t="n">
        <x:v>1</x:v>
      </x:c>
      <x:c r="I1196" s="7" t="n">
        <x:v>864.29</x:v>
      </x:c>
      <x:c r="J1196" s="9" t="n">
        <x:v>0</x:v>
      </x:c>
      <x:c r="K1196" s="7" t="n">
        <x:v>864.29</x:v>
      </x:c>
      <x:c r="L1196" s="7" t="n">
        <x:v>487.16</x:v>
      </x:c>
      <x:c r="M1196" s="3" t="str">
        <x:v>Cash on Delivery</x:v>
      </x:c>
      <x:c r="N1196" s="3"/>
      <x:c r="O1196" s="3"/>
      <x:c r="P1196" s="3"/>
      <x:c r="Q1196" s="3"/>
    </x:row>
    <x:row r="1197" ht="21" customHeight="1">
      <x:c r="A1197" s="3" t="str">
        <x:v>ORD-100197</x:v>
      </x:c>
      <x:c r="B1197" s="5" t="n">
        <x:v>45612</x:v>
      </x:c>
      <x:c r="C1197" s="3" t="str">
        <x:v>CUST-00313</x:v>
      </x:c>
      <x:c r="D1197" s="3" t="str">
        <x:v>West</x:v>
      </x:c>
      <x:c r="E1197" s="3" t="str">
        <x:v>Beauty</x:v>
      </x:c>
      <x:c r="F1197" s="3" t="str">
        <x:v>Skincare</x:v>
      </x:c>
      <x:c r="G1197" s="3" t="str">
        <x:v>HydraBoost Moisturizer</x:v>
      </x:c>
      <x:c r="H1197" s="3" t="n">
        <x:v>1</x:v>
      </x:c>
      <x:c r="I1197" s="7" t="n">
        <x:v>1159.74</x:v>
      </x:c>
      <x:c r="J1197" s="9" t="n">
        <x:v>0.05</x:v>
      </x:c>
      <x:c r="K1197" s="7" t="n">
        <x:v>1101.75</x:v>
      </x:c>
      <x:c r="L1197" s="7" t="n">
        <x:v>557.91</x:v>
      </x:c>
      <x:c r="M1197" s="3" t="str">
        <x:v>Net Banking</x:v>
      </x:c>
      <x:c r="N1197" s="3"/>
      <x:c r="O1197" s="3"/>
      <x:c r="P1197" s="3"/>
      <x:c r="Q1197" s="3"/>
    </x:row>
    <x:row r="1198" ht="21" customHeight="1">
      <x:c r="A1198" s="3" t="str">
        <x:v>ORD-100397</x:v>
      </x:c>
      <x:c r="B1198" s="5" t="n">
        <x:v>45612</x:v>
      </x:c>
      <x:c r="C1198" s="3" t="str">
        <x:v>CUST-00586</x:v>
      </x:c>
      <x:c r="D1198" s="3" t="str">
        <x:v>East</x:v>
      </x:c>
      <x:c r="E1198" s="3" t="str">
        <x:v>Beauty</x:v>
      </x:c>
      <x:c r="F1198" s="3" t="str">
        <x:v>Makeup</x:v>
      </x:c>
      <x:c r="G1198" s="3" t="str">
        <x:v>HD Foundation Kit</x:v>
      </x:c>
      <x:c r="H1198" s="3" t="n">
        <x:v>3</x:v>
      </x:c>
      <x:c r="I1198" s="7" t="n">
        <x:v>1488.14</x:v>
      </x:c>
      <x:c r="J1198" s="9" t="n">
        <x:v>0.2</x:v>
      </x:c>
      <x:c r="K1198" s="7" t="n">
        <x:v>3571.54</x:v>
      </x:c>
      <x:c r="L1198" s="7" t="n">
        <x:v>1221.81</x:v>
      </x:c>
      <x:c r="M1198" s="3" t="str">
        <x:v>Debit Card</x:v>
      </x:c>
      <x:c r="N1198" s="3"/>
      <x:c r="O1198" s="3"/>
      <x:c r="P1198" s="3"/>
      <x:c r="Q1198" s="3"/>
    </x:row>
    <x:row r="1199" ht="21" customHeight="1">
      <x:c r="A1199" s="3" t="str">
        <x:v>ORD-100834</x:v>
      </x:c>
      <x:c r="B1199" s="5" t="n">
        <x:v>45612</x:v>
      </x:c>
      <x:c r="C1199" s="3" t="str">
        <x:v>CUST-00521</x:v>
      </x:c>
      <x:c r="D1199" s="3" t="str">
        <x:v>North</x:v>
      </x:c>
      <x:c r="E1199" s="3" t="str">
        <x:v>Beauty</x:v>
      </x:c>
      <x:c r="F1199" s="3" t="str">
        <x:v>Skincare</x:v>
      </x:c>
      <x:c r="G1199" s="3" t="str">
        <x:v>Vitamin C Serum</x:v>
      </x:c>
      <x:c r="H1199" s="3" t="n">
        <x:v>1</x:v>
      </x:c>
      <x:c r="I1199" s="7" t="n">
        <x:v>867.54</x:v>
      </x:c>
      <x:c r="J1199" s="9" t="n">
        <x:v>0</x:v>
      </x:c>
      <x:c r="K1199" s="7" t="n">
        <x:v>867.54</x:v>
      </x:c>
      <x:c r="L1199" s="7" t="n">
        <x:v>483.48</x:v>
      </x:c>
      <x:c r="M1199" s="3" t="str">
        <x:v>UPI</x:v>
      </x:c>
      <x:c r="N1199" s="3"/>
      <x:c r="O1199" s="3"/>
      <x:c r="P1199" s="3"/>
      <x:c r="Q1199" s="3"/>
    </x:row>
    <x:row r="1200" ht="21" customHeight="1">
      <x:c r="A1200" s="3" t="str">
        <x:v>ORD-101195</x:v>
      </x:c>
      <x:c r="B1200" s="5" t="n">
        <x:v>45612</x:v>
      </x:c>
      <x:c r="C1200" s="3" t="str">
        <x:v>CUST-00118</x:v>
      </x:c>
      <x:c r="D1200" s="3" t="str">
        <x:v>East</x:v>
      </x:c>
      <x:c r="E1200" s="3" t="str">
        <x:v>Sports</x:v>
      </x:c>
      <x:c r="F1200" s="3" t="str">
        <x:v>Fitness</x:v>
      </x:c>
      <x:c r="G1200" s="3" t="str">
        <x:v>Adjustable Dumbbell 24kg</x:v>
      </x:c>
      <x:c r="H1200" s="3" t="n">
        <x:v>3</x:v>
      </x:c>
      <x:c r="I1200" s="7" t="n">
        <x:v>9870.55</x:v>
      </x:c>
      <x:c r="J1200" s="9" t="n">
        <x:v>0.1</x:v>
      </x:c>
      <x:c r="K1200" s="7" t="n">
        <x:v>26650.48</x:v>
      </x:c>
      <x:c r="L1200" s="7" t="n">
        <x:v>7675.27</x:v>
      </x:c>
      <x:c r="M1200" s="3" t="str">
        <x:v>Credit Card</x:v>
      </x:c>
      <x:c r="N1200" s="3"/>
      <x:c r="O1200" s="3"/>
      <x:c r="P1200" s="3"/>
      <x:c r="Q1200" s="3"/>
    </x:row>
    <x:row r="1201" ht="21" customHeight="1">
      <x:c r="A1201" s="3" t="str">
        <x:v>ORD-101545</x:v>
      </x:c>
      <x:c r="B1201" s="5" t="n">
        <x:v>45612</x:v>
      </x:c>
      <x:c r="C1201" s="3" t="str">
        <x:v>CUST-00552</x:v>
      </x:c>
      <x:c r="D1201" s="3" t="str">
        <x:v>West</x:v>
      </x:c>
      <x:c r="E1201" s="3" t="str">
        <x:v>Home &amp; Kitchen</x:v>
      </x:c>
      <x:c r="F1201" s="3" t="str">
        <x:v>Decor</x:v>
      </x:c>
      <x:c r="G1201" s="3" t="str">
        <x:v>Ceramic Vase Set</x:v>
      </x:c>
      <x:c r="H1201" s="3" t="n">
        <x:v>2</x:v>
      </x:c>
      <x:c r="I1201" s="7" t="n">
        <x:v>1487.45</x:v>
      </x:c>
      <x:c r="J1201" s="9" t="n">
        <x:v>0.05</x:v>
      </x:c>
      <x:c r="K1201" s="7" t="n">
        <x:v>2826.15</x:v>
      </x:c>
      <x:c r="L1201" s="7" t="n">
        <x:v>704.05</x:v>
      </x:c>
      <x:c r="M1201" s="3" t="str">
        <x:v>UPI</x:v>
      </x:c>
      <x:c r="N1201" s="3"/>
      <x:c r="O1201" s="3"/>
      <x:c r="P1201" s="3"/>
      <x:c r="Q1201" s="3"/>
    </x:row>
    <x:row r="1202" ht="21" customHeight="1">
      <x:c r="A1202" s="3" t="str">
        <x:v>ORD-100500</x:v>
      </x:c>
      <x:c r="B1202" s="5" t="n">
        <x:v>45613</x:v>
      </x:c>
      <x:c r="C1202" s="3" t="str">
        <x:v>CUST-00113</x:v>
      </x:c>
      <x:c r="D1202" s="3" t="str">
        <x:v>South</x:v>
      </x:c>
      <x:c r="E1202" s="3" t="str">
        <x:v>Sports</x:v>
      </x:c>
      <x:c r="F1202" s="3" t="str">
        <x:v>Fitness</x:v>
      </x:c>
      <x:c r="G1202" s="3" t="str">
        <x:v>ProYoga Mat</x:v>
      </x:c>
      <x:c r="H1202" s="3" t="n">
        <x:v>3</x:v>
      </x:c>
      <x:c r="I1202" s="7" t="n">
        <x:v>1289.14</x:v>
      </x:c>
      <x:c r="J1202" s="9" t="n">
        <x:v>0.4</x:v>
      </x:c>
      <x:c r="K1202" s="7" t="n">
        <x:v>2320.45</x:v>
      </x:c>
      <x:c r="L1202" s="7" t="n">
        <x:v>-182.99</x:v>
      </x:c>
      <x:c r="M1202" s="3" t="str">
        <x:v>Debit Card</x:v>
      </x:c>
      <x:c r="N1202" s="3"/>
      <x:c r="O1202" s="3"/>
      <x:c r="P1202" s="3"/>
      <x:c r="Q1202" s="3"/>
    </x:row>
    <x:row r="1203" ht="21" customHeight="1">
      <x:c r="A1203" s="3" t="str">
        <x:v>ORD-100845</x:v>
      </x:c>
      <x:c r="B1203" s="5" t="n">
        <x:v>45613</x:v>
      </x:c>
      <x:c r="C1203" s="3" t="str">
        <x:v>CUST-00292</x:v>
      </x:c>
      <x:c r="D1203" s="3" t="str">
        <x:v>South</x:v>
      </x:c>
      <x:c r="E1203" s="3" t="str">
        <x:v>Home &amp; Kitchen</x:v>
      </x:c>
      <x:c r="F1203" s="3" t="str">
        <x:v>Furniture</x:v>
      </x:c>
      <x:c r="G1203" s="3" t="str">
        <x:v>Oakwood Study Desk</x:v>
      </x:c>
      <x:c r="H1203" s="3" t="n">
        <x:v>1</x:v>
      </x:c>
      <x:c r="I1203" s="7" t="n">
        <x:v>13496.06</x:v>
      </x:c>
      <x:c r="J1203" s="9" t="n">
        <x:v>0.25</x:v>
      </x:c>
      <x:c r="K1203" s="7" t="n">
        <x:v>10122.05</x:v>
      </x:c>
      <x:c r="L1203" s="7" t="n">
        <x:v>617.23</x:v>
      </x:c>
      <x:c r="M1203" s="3" t="str">
        <x:v>UPI</x:v>
      </x:c>
      <x:c r="N1203" s="3"/>
      <x:c r="O1203" s="3"/>
      <x:c r="P1203" s="3"/>
      <x:c r="Q1203" s="3"/>
    </x:row>
    <x:row r="1204" ht="21" customHeight="1">
      <x:c r="A1204" s="3" t="str">
        <x:v>ORD-101058</x:v>
      </x:c>
      <x:c r="B1204" s="5" t="n">
        <x:v>45613</x:v>
      </x:c>
      <x:c r="C1204" s="3" t="str">
        <x:v>CUST-00281</x:v>
      </x:c>
      <x:c r="D1204" s="3" t="str">
        <x:v>North</x:v>
      </x:c>
      <x:c r="E1204" s="3" t="str">
        <x:v>Electronics</x:v>
      </x:c>
      <x:c r="F1204" s="3" t="str">
        <x:v>Laptop</x:v>
      </x:c>
      <x:c r="G1204" s="3" t="str">
        <x:v>AirBook Slim</x:v>
      </x:c>
      <x:c r="H1204" s="3" t="n">
        <x:v>3</x:v>
      </x:c>
      <x:c r="I1204" s="7" t="n">
        <x:v>78577.82</x:v>
      </x:c>
      <x:c r="J1204" s="9" t="n">
        <x:v>0.4</x:v>
      </x:c>
      <x:c r="K1204" s="7" t="n">
        <x:v>141440.08</x:v>
      </x:c>
      <x:c r="L1204" s="7" t="n">
        <x:v>-40938.2</x:v>
      </x:c>
      <x:c r="M1204" s="3" t="str">
        <x:v>Credit Card</x:v>
      </x:c>
      <x:c r="N1204" s="3"/>
      <x:c r="O1204" s="3"/>
      <x:c r="P1204" s="3"/>
      <x:c r="Q1204" s="3"/>
    </x:row>
    <x:row r="1205" ht="21" customHeight="1">
      <x:c r="A1205" s="3" t="str">
        <x:v>ORD-101467</x:v>
      </x:c>
      <x:c r="B1205" s="5" t="n">
        <x:v>45613</x:v>
      </x:c>
      <x:c r="C1205" s="3" t="str">
        <x:v>CUST-00145</x:v>
      </x:c>
      <x:c r="D1205" s="3" t="str">
        <x:v>West</x:v>
      </x:c>
      <x:c r="E1205" s="3" t="str">
        <x:v>Sports</x:v>
      </x:c>
      <x:c r="F1205" s="3" t="str">
        <x:v>Outdoor</x:v>
      </x:c>
      <x:c r="G1205" s="3" t="str">
        <x:v>AllWeather Tent 4P</x:v>
      </x:c>
      <x:c r="H1205" s="3" t="n">
        <x:v>3</x:v>
      </x:c>
      <x:c r="I1205" s="7" t="n">
        <x:v>11432.67</x:v>
      </x:c>
      <x:c r="J1205" s="9" t="n">
        <x:v>0.1</x:v>
      </x:c>
      <x:c r="K1205" s="7" t="n">
        <x:v>30868.21</x:v>
      </x:c>
      <x:c r="L1205" s="7" t="n">
        <x:v>8308.9</x:v>
      </x:c>
      <x:c r="M1205" s="3" t="str">
        <x:v>Cash on Delivery</x:v>
      </x:c>
      <x:c r="N1205" s="3"/>
      <x:c r="O1205" s="3"/>
      <x:c r="P1205" s="3"/>
      <x:c r="Q1205" s="3"/>
    </x:row>
    <x:row r="1206" ht="21" customHeight="1">
      <x:c r="A1206" s="3" t="str">
        <x:v>ORD-101494</x:v>
      </x:c>
      <x:c r="B1206" s="5" t="n">
        <x:v>45613</x:v>
      </x:c>
      <x:c r="C1206" s="3" t="str">
        <x:v>CUST-00398</x:v>
      </x:c>
      <x:c r="D1206" s="3" t="str">
        <x:v>South</x:v>
      </x:c>
      <x:c r="E1206" s="3" t="str">
        <x:v>Electronics</x:v>
      </x:c>
      <x:c r="F1206" s="3" t="str">
        <x:v>Laptop</x:v>
      </x:c>
      <x:c r="G1206" s="3" t="str">
        <x:v>ThinkPro 14</x:v>
      </x:c>
      <x:c r="H1206" s="3" t="n">
        <x:v>2</x:v>
      </x:c>
      <x:c r="I1206" s="7" t="n">
        <x:v>57377.37</x:v>
      </x:c>
      <x:c r="J1206" s="9" t="n">
        <x:v>0.05</x:v>
      </x:c>
      <x:c r="K1206" s="7" t="n">
        <x:v>109017</x:v>
      </x:c>
      <x:c r="L1206" s="7" t="n">
        <x:v>12850.87</x:v>
      </x:c>
      <x:c r="M1206" s="3" t="str">
        <x:v>UPI</x:v>
      </x:c>
      <x:c r="N1206" s="3"/>
      <x:c r="O1206" s="3"/>
      <x:c r="P1206" s="3"/>
      <x:c r="Q1206" s="3"/>
    </x:row>
    <x:row r="1207" ht="21" customHeight="1">
      <x:c r="A1207" s="3" t="str">
        <x:v>ORD-101632</x:v>
      </x:c>
      <x:c r="B1207" s="5" t="n">
        <x:v>45613</x:v>
      </x:c>
      <x:c r="C1207" s="3" t="str">
        <x:v>CUST-00330</x:v>
      </x:c>
      <x:c r="D1207" s="3" t="str">
        <x:v>East</x:v>
      </x:c>
      <x:c r="E1207" s="3" t="str">
        <x:v>Beauty</x:v>
      </x:c>
      <x:c r="F1207" s="3" t="str">
        <x:v>Skincare</x:v>
      </x:c>
      <x:c r="G1207" s="3" t="str">
        <x:v>HydraBoost Moisturizer</x:v>
      </x:c>
      <x:c r="H1207" s="3" t="n">
        <x:v>1</x:v>
      </x:c>
      <x:c r="I1207" s="7" t="n">
        <x:v>1149.1</x:v>
      </x:c>
      <x:c r="J1207" s="9" t="n">
        <x:v>0.05</x:v>
      </x:c>
      <x:c r="K1207" s="7" t="n">
        <x:v>1091.64</x:v>
      </x:c>
      <x:c r="L1207" s="7" t="n">
        <x:v>572.98</x:v>
      </x:c>
      <x:c r="M1207" s="3" t="str">
        <x:v>Credit Card</x:v>
      </x:c>
      <x:c r="N1207" s="3"/>
      <x:c r="O1207" s="3"/>
      <x:c r="P1207" s="3"/>
      <x:c r="Q1207" s="3"/>
    </x:row>
    <x:row r="1208" ht="21" customHeight="1">
      <x:c r="A1208" s="3" t="str">
        <x:v>ORD-101983</x:v>
      </x:c>
      <x:c r="B1208" s="5" t="n">
        <x:v>45613</x:v>
      </x:c>
      <x:c r="C1208" s="3" t="str">
        <x:v>CUST-00251</x:v>
      </x:c>
      <x:c r="D1208" s="3" t="str">
        <x:v>North</x:v>
      </x:c>
      <x:c r="E1208" s="3" t="str">
        <x:v>Beauty</x:v>
      </x:c>
      <x:c r="F1208" s="3" t="str">
        <x:v>Skincare</x:v>
      </x:c>
      <x:c r="G1208" s="3" t="str">
        <x:v>Vitamin C Serum</x:v>
      </x:c>
      <x:c r="H1208" s="3" t="n">
        <x:v>1</x:v>
      </x:c>
      <x:c r="I1208" s="7" t="n">
        <x:v>903.45</x:v>
      </x:c>
      <x:c r="J1208" s="9" t="n">
        <x:v>0</x:v>
      </x:c>
      <x:c r="K1208" s="7" t="n">
        <x:v>903.45</x:v>
      </x:c>
      <x:c r="L1208" s="7" t="n">
        <x:v>470.31</x:v>
      </x:c>
      <x:c r="M1208" s="3" t="str">
        <x:v>UPI</x:v>
      </x:c>
      <x:c r="N1208" s="3"/>
      <x:c r="O1208" s="3"/>
      <x:c r="P1208" s="3"/>
      <x:c r="Q1208" s="3"/>
    </x:row>
    <x:row r="1209" ht="21" customHeight="1">
      <x:c r="A1209" s="3" t="str">
        <x:v>ORD-100005</x:v>
      </x:c>
      <x:c r="B1209" s="5" t="n">
        <x:v>45614</x:v>
      </x:c>
      <x:c r="C1209" s="3" t="str">
        <x:v>CUST-00512</x:v>
      </x:c>
      <x:c r="D1209" s="3" t="str">
        <x:v>South</x:v>
      </x:c>
      <x:c r="E1209" s="3" t="str">
        <x:v>Beauty</x:v>
      </x:c>
      <x:c r="F1209" s="3" t="str">
        <x:v>Skincare</x:v>
      </x:c>
      <x:c r="G1209" s="3" t="str">
        <x:v>HydraBoost Moisturizer</x:v>
      </x:c>
      <x:c r="H1209" s="3" t="n">
        <x:v>3</x:v>
      </x:c>
      <x:c r="I1209" s="7" t="n">
        <x:v>1166.51</x:v>
      </x:c>
      <x:c r="J1209" s="9" t="n">
        <x:v>0.15</x:v>
      </x:c>
      <x:c r="K1209" s="7" t="n">
        <x:v>2974.6</x:v>
      </x:c>
      <x:c r="L1209" s="7" t="n">
        <x:v>1011.57</x:v>
      </x:c>
      <x:c r="M1209" s="3" t="str">
        <x:v>UPI</x:v>
      </x:c>
      <x:c r="N1209" s="3"/>
      <x:c r="O1209" s="3"/>
      <x:c r="P1209" s="3"/>
      <x:c r="Q1209" s="3"/>
    </x:row>
    <x:row r="1210" ht="21" customHeight="1">
      <x:c r="A1210" s="3" t="str">
        <x:v>ORD-100656</x:v>
      </x:c>
      <x:c r="B1210" s="5" t="n">
        <x:v>45614</x:v>
      </x:c>
      <x:c r="C1210" s="3" t="str">
        <x:v>CUST-00370</x:v>
      </x:c>
      <x:c r="D1210" s="3" t="str">
        <x:v>South</x:v>
      </x:c>
      <x:c r="E1210" s="3" t="str">
        <x:v>Electronics</x:v>
      </x:c>
      <x:c r="F1210" s="3" t="str">
        <x:v>Laptop</x:v>
      </x:c>
      <x:c r="G1210" s="3" t="str">
        <x:v>AirBook Slim</x:v>
      </x:c>
      <x:c r="H1210" s="3" t="n">
        <x:v>4</x:v>
      </x:c>
      <x:c r="I1210" s="7" t="n">
        <x:v>77711.55</x:v>
      </x:c>
      <x:c r="J1210" s="9" t="n">
        <x:v>0.05</x:v>
      </x:c>
      <x:c r="K1210" s="7" t="n">
        <x:v>295303.89</x:v>
      </x:c>
      <x:c r="L1210" s="7" t="n">
        <x:v>34508.12</x:v>
      </x:c>
      <x:c r="M1210" s="3" t="str">
        <x:v>Net Banking</x:v>
      </x:c>
      <x:c r="N1210" s="3"/>
      <x:c r="O1210" s="3"/>
      <x:c r="P1210" s="3"/>
      <x:c r="Q1210" s="3"/>
    </x:row>
    <x:row r="1211" ht="21" customHeight="1">
      <x:c r="A1211" s="3" t="str">
        <x:v>ORD-100996</x:v>
      </x:c>
      <x:c r="B1211" s="5" t="n">
        <x:v>45614</x:v>
      </x:c>
      <x:c r="C1211" s="3" t="str">
        <x:v>CUST-00055</x:v>
      </x:c>
      <x:c r="D1211" s="3" t="str">
        <x:v>East</x:v>
      </x:c>
      <x:c r="E1211" s="3" t="str">
        <x:v>Beauty</x:v>
      </x:c>
      <x:c r="F1211" s="3" t="str">
        <x:v>Makeup</x:v>
      </x:c>
      <x:c r="G1211" s="3" t="str">
        <x:v>HD Foundation Kit</x:v>
      </x:c>
      <x:c r="H1211" s="3" t="n">
        <x:v>1</x:v>
      </x:c>
      <x:c r="I1211" s="7" t="n">
        <x:v>1500.19</x:v>
      </x:c>
      <x:c r="J1211" s="9" t="n">
        <x:v>0.15</x:v>
      </x:c>
      <x:c r="K1211" s="7" t="n">
        <x:v>1275.16</x:v>
      </x:c>
      <x:c r="L1211" s="7" t="n">
        <x:v>471.9</x:v>
      </x:c>
      <x:c r="M1211" s="3" t="str">
        <x:v>Cash on Delivery</x:v>
      </x:c>
      <x:c r="N1211" s="3"/>
      <x:c r="O1211" s="3"/>
      <x:c r="P1211" s="3"/>
      <x:c r="Q1211" s="3"/>
    </x:row>
    <x:row r="1212" ht="21" customHeight="1">
      <x:c r="A1212" s="3" t="str">
        <x:v>ORD-101150</x:v>
      </x:c>
      <x:c r="B1212" s="5" t="n">
        <x:v>45614</x:v>
      </x:c>
      <x:c r="C1212" s="3" t="str">
        <x:v>CUST-00229</x:v>
      </x:c>
      <x:c r="D1212" s="3" t="str">
        <x:v>East</x:v>
      </x:c>
      <x:c r="E1212" s="3" t="str">
        <x:v>Electronics</x:v>
      </x:c>
      <x:c r="F1212" s="3" t="str">
        <x:v>Laptop</x:v>
      </x:c>
      <x:c r="G1212" s="3" t="str">
        <x:v>ThinkPro 14</x:v>
      </x:c>
      <x:c r="H1212" s="3" t="n">
        <x:v>1</x:v>
      </x:c>
      <x:c r="I1212" s="7" t="n">
        <x:v>57358.72</x:v>
      </x:c>
      <x:c r="J1212" s="9" t="n">
        <x:v>0.2</x:v>
      </x:c>
      <x:c r="K1212" s="7" t="n">
        <x:v>45886.98</x:v>
      </x:c>
      <x:c r="L1212" s="7" t="n">
        <x:v>-774.19</x:v>
      </x:c>
      <x:c r="M1212" s="3" t="str">
        <x:v>UPI</x:v>
      </x:c>
      <x:c r="N1212" s="3"/>
      <x:c r="O1212" s="3"/>
      <x:c r="P1212" s="3"/>
      <x:c r="Q1212" s="3"/>
    </x:row>
    <x:row r="1213" ht="21" customHeight="1">
      <x:c r="A1213" s="3" t="str">
        <x:v>ORD-101547</x:v>
      </x:c>
      <x:c r="B1213" s="5" t="n">
        <x:v>45614</x:v>
      </x:c>
      <x:c r="C1213" s="3" t="str">
        <x:v>CUST-00250</x:v>
      </x:c>
      <x:c r="D1213" s="3" t="str">
        <x:v>South</x:v>
      </x:c>
      <x:c r="E1213" s="3" t="str">
        <x:v>Beauty</x:v>
      </x:c>
      <x:c r="F1213" s="3" t="str">
        <x:v>Skincare</x:v>
      </x:c>
      <x:c r="G1213" s="3" t="str">
        <x:v>Vitamin C Serum</x:v>
      </x:c>
      <x:c r="H1213" s="3" t="n">
        <x:v>1</x:v>
      </x:c>
      <x:c r="I1213" s="7" t="n">
        <x:v>865.35</x:v>
      </x:c>
      <x:c r="J1213" s="9" t="n">
        <x:v>0.2</x:v>
      </x:c>
      <x:c r="K1213" s="7" t="n">
        <x:v>692.28</x:v>
      </x:c>
      <x:c r="L1213" s="7" t="n">
        <x:v>225.6</x:v>
      </x:c>
      <x:c r="M1213" s="3" t="str">
        <x:v>UPI</x:v>
      </x:c>
      <x:c r="N1213" s="3"/>
      <x:c r="O1213" s="3"/>
      <x:c r="P1213" s="3"/>
      <x:c r="Q1213" s="3"/>
    </x:row>
    <x:row r="1214" ht="21" customHeight="1">
      <x:c r="A1214" s="3" t="str">
        <x:v>ORD-101655</x:v>
      </x:c>
      <x:c r="B1214" s="5" t="n">
        <x:v>45614</x:v>
      </x:c>
      <x:c r="C1214" s="3" t="str">
        <x:v>CUST-00277</x:v>
      </x:c>
      <x:c r="D1214" s="3" t="str">
        <x:v>East</x:v>
      </x:c>
      <x:c r="E1214" s="3" t="str">
        <x:v>Electronics</x:v>
      </x:c>
      <x:c r="F1214" s="3" t="str">
        <x:v>Audio</x:v>
      </x:c>
      <x:c r="G1214" s="3" t="str">
        <x:v>BassBoom Speaker</x:v>
      </x:c>
      <x:c r="H1214" s="3" t="n">
        <x:v>1</x:v>
      </x:c>
      <x:c r="I1214" s="7" t="n">
        <x:v>8754.74</x:v>
      </x:c>
      <x:c r="J1214" s="9" t="n">
        <x:v>0.15</x:v>
      </x:c>
      <x:c r="K1214" s="7" t="n">
        <x:v>7441.53</x:v>
      </x:c>
      <x:c r="L1214" s="7" t="n">
        <x:v>-239.17</x:v>
      </x:c>
      <x:c r="M1214" s="3" t="str">
        <x:v>Credit Card</x:v>
      </x:c>
      <x:c r="N1214" s="3"/>
      <x:c r="O1214" s="3"/>
      <x:c r="P1214" s="3"/>
      <x:c r="Q1214" s="3"/>
    </x:row>
    <x:row r="1215" ht="21" customHeight="1">
      <x:c r="A1215" s="3" t="str">
        <x:v>ORD-101762</x:v>
      </x:c>
      <x:c r="B1215" s="5" t="n">
        <x:v>45614</x:v>
      </x:c>
      <x:c r="C1215" s="3" t="str">
        <x:v>CUST-00214</x:v>
      </x:c>
      <x:c r="D1215" s="3" t="str">
        <x:v>North</x:v>
      </x:c>
      <x:c r="E1215" s="3" t="str">
        <x:v>Beauty</x:v>
      </x:c>
      <x:c r="F1215" s="3" t="str">
        <x:v>Makeup</x:v>
      </x:c>
      <x:c r="G1215" s="3" t="str">
        <x:v>HD Foundation Kit</x:v>
      </x:c>
      <x:c r="H1215" s="3" t="n">
        <x:v>3</x:v>
      </x:c>
      <x:c r="I1215" s="7" t="n">
        <x:v>1565.84</x:v>
      </x:c>
      <x:c r="J1215" s="9" t="n">
        <x:v>0.15</x:v>
      </x:c>
      <x:c r="K1215" s="7" t="n">
        <x:v>3992.89</x:v>
      </x:c>
      <x:c r="L1215" s="7" t="n">
        <x:v>1580.44</x:v>
      </x:c>
      <x:c r="M1215" s="3" t="str">
        <x:v>Credit Card</x:v>
      </x:c>
      <x:c r="N1215" s="3"/>
      <x:c r="O1215" s="3"/>
      <x:c r="P1215" s="3"/>
      <x:c r="Q1215" s="3"/>
    </x:row>
    <x:row r="1216" ht="21" customHeight="1">
      <x:c r="A1216" s="3" t="str">
        <x:v>ORD-101960</x:v>
      </x:c>
      <x:c r="B1216" s="5" t="n">
        <x:v>45614</x:v>
      </x:c>
      <x:c r="C1216" s="3" t="str">
        <x:v>CUST-00354</x:v>
      </x:c>
      <x:c r="D1216" s="3" t="str">
        <x:v>South</x:v>
      </x:c>
      <x:c r="E1216" s="3" t="str">
        <x:v>Home &amp; Kitchen</x:v>
      </x:c>
      <x:c r="F1216" s="3" t="str">
        <x:v>Furniture</x:v>
      </x:c>
      <x:c r="G1216" s="3" t="str">
        <x:v>Oakwood Study Desk</x:v>
      </x:c>
      <x:c r="H1216" s="3" t="n">
        <x:v>2</x:v>
      </x:c>
      <x:c r="I1216" s="7" t="n">
        <x:v>12929.89</x:v>
      </x:c>
      <x:c r="J1216" s="9" t="n">
        <x:v>0.1</x:v>
      </x:c>
      <x:c r="K1216" s="7" t="n">
        <x:v>23273.8</x:v>
      </x:c>
      <x:c r="L1216" s="7" t="n">
        <x:v>5775.96</x:v>
      </x:c>
      <x:c r="M1216" s="3" t="str">
        <x:v>UPI</x:v>
      </x:c>
      <x:c r="N1216" s="3"/>
      <x:c r="O1216" s="3"/>
      <x:c r="P1216" s="3"/>
      <x:c r="Q1216" s="3"/>
    </x:row>
    <x:row r="1217" ht="21" customHeight="1">
      <x:c r="A1217" s="3" t="str">
        <x:v>ORD-100388</x:v>
      </x:c>
      <x:c r="B1217" s="5" t="n">
        <x:v>45615</x:v>
      </x:c>
      <x:c r="C1217" s="3" t="str">
        <x:v>CUST-00545</x:v>
      </x:c>
      <x:c r="D1217" s="3" t="str">
        <x:v>West</x:v>
      </x:c>
      <x:c r="E1217" s="3" t="str">
        <x:v>Electronics</x:v>
      </x:c>
      <x:c r="F1217" s="3" t="str">
        <x:v>Mobile</x:v>
      </x:c>
      <x:c r="G1217" s="3" t="str">
        <x:v>Pixel Aura 12</x:v>
      </x:c>
      <x:c r="H1217" s="3" t="n">
        <x:v>3</x:v>
      </x:c>
      <x:c r="I1217" s="7" t="n">
        <x:v>32111.88</x:v>
      </x:c>
      <x:c r="J1217" s="9" t="n">
        <x:v>0.1</x:v>
      </x:c>
      <x:c r="K1217" s="7" t="n">
        <x:v>86702.08</x:v>
      </x:c>
      <x:c r="L1217" s="7" t="n">
        <x:v>4808.16</x:v>
      </x:c>
      <x:c r="M1217" s="3" t="str">
        <x:v>UPI</x:v>
      </x:c>
      <x:c r="N1217" s="3"/>
      <x:c r="O1217" s="3"/>
      <x:c r="P1217" s="3"/>
      <x:c r="Q1217" s="3"/>
    </x:row>
    <x:row r="1218" ht="21" customHeight="1">
      <x:c r="A1218" s="3" t="str">
        <x:v>ORD-100887</x:v>
      </x:c>
      <x:c r="B1218" s="5" t="n">
        <x:v>45615</x:v>
      </x:c>
      <x:c r="C1218" s="3" t="str">
        <x:v>CUST-00193</x:v>
      </x:c>
      <x:c r="D1218" s="3" t="str">
        <x:v>North</x:v>
      </x:c>
      <x:c r="E1218" s="3" t="str">
        <x:v>Home &amp; Kitchen</x:v>
      </x:c>
      <x:c r="F1218" s="3" t="str">
        <x:v>Appliances</x:v>
      </x:c>
      <x:c r="G1218" s="3" t="str">
        <x:v>AirFryer Deluxe</x:v>
      </x:c>
      <x:c r="H1218" s="3" t="n">
        <x:v>2</x:v>
      </x:c>
      <x:c r="I1218" s="7" t="n">
        <x:v>7847.41</x:v>
      </x:c>
      <x:c r="J1218" s="9" t="n">
        <x:v>0.15</x:v>
      </x:c>
      <x:c r="K1218" s="7" t="n">
        <x:v>13340.6</x:v>
      </x:c>
      <x:c r="L1218" s="7" t="n">
        <x:v>1972.34</x:v>
      </x:c>
      <x:c r="M1218" s="3" t="str">
        <x:v>UPI</x:v>
      </x:c>
      <x:c r="N1218" s="3"/>
      <x:c r="O1218" s="3"/>
      <x:c r="P1218" s="3"/>
      <x:c r="Q1218" s="3"/>
    </x:row>
    <x:row r="1219" ht="21" customHeight="1">
      <x:c r="A1219" s="3" t="str">
        <x:v>ORD-101356</x:v>
      </x:c>
      <x:c r="B1219" s="5" t="n">
        <x:v>45615</x:v>
      </x:c>
      <x:c r="C1219" s="3" t="str">
        <x:v>CUST-00101</x:v>
      </x:c>
      <x:c r="D1219" s="3" t="str">
        <x:v>North</x:v>
      </x:c>
      <x:c r="E1219" s="3" t="str">
        <x:v>Beauty</x:v>
      </x:c>
      <x:c r="F1219" s="3" t="str">
        <x:v>Skincare</x:v>
      </x:c>
      <x:c r="G1219" s="3" t="str">
        <x:v>HydraBoost Moisturizer</x:v>
      </x:c>
      <x:c r="H1219" s="3" t="n">
        <x:v>1</x:v>
      </x:c>
      <x:c r="I1219" s="7" t="n">
        <x:v>1230.95</x:v>
      </x:c>
      <x:c r="J1219" s="9" t="n">
        <x:v>0.15</x:v>
      </x:c>
      <x:c r="K1219" s="7" t="n">
        <x:v>1046.31</x:v>
      </x:c>
      <x:c r="L1219" s="7" t="n">
        <x:v>399.2</x:v>
      </x:c>
      <x:c r="M1219" s="3" t="str">
        <x:v>UPI</x:v>
      </x:c>
      <x:c r="N1219" s="3"/>
      <x:c r="O1219" s="3"/>
      <x:c r="P1219" s="3"/>
      <x:c r="Q1219" s="3"/>
    </x:row>
    <x:row r="1220" ht="21" customHeight="1">
      <x:c r="A1220" s="3" t="str">
        <x:v>ORD-101620</x:v>
      </x:c>
      <x:c r="B1220" s="5" t="n">
        <x:v>45615</x:v>
      </x:c>
      <x:c r="C1220" s="3" t="str">
        <x:v>CUST-00048</x:v>
      </x:c>
      <x:c r="D1220" s="3" t="str">
        <x:v>North</x:v>
      </x:c>
      <x:c r="E1220" s="3" t="str">
        <x:v>Electronics</x:v>
      </x:c>
      <x:c r="F1220" s="3" t="str">
        <x:v>Audio</x:v>
      </x:c>
      <x:c r="G1220" s="3" t="str">
        <x:v>SoundPods Pro</x:v>
      </x:c>
      <x:c r="H1220" s="3" t="n">
        <x:v>2</x:v>
      </x:c>
      <x:c r="I1220" s="7" t="n">
        <x:v>5176.6</x:v>
      </x:c>
      <x:c r="J1220" s="9" t="n">
        <x:v>0</x:v>
      </x:c>
      <x:c r="K1220" s="7" t="n">
        <x:v>10353.2</x:v>
      </x:c>
      <x:c r="L1220" s="7" t="n">
        <x:v>1866.38</x:v>
      </x:c>
      <x:c r="M1220" s="3" t="str">
        <x:v>UPI</x:v>
      </x:c>
      <x:c r="N1220" s="3"/>
      <x:c r="O1220" s="3"/>
      <x:c r="P1220" s="3"/>
      <x:c r="Q1220" s="3"/>
    </x:row>
    <x:row r="1221" ht="21" customHeight="1">
      <x:c r="A1221" s="3" t="str">
        <x:v>ORD-100241</x:v>
      </x:c>
      <x:c r="B1221" s="5" t="n">
        <x:v>45616</x:v>
      </x:c>
      <x:c r="C1221" s="3" t="str">
        <x:v>CUST-00576</x:v>
      </x:c>
      <x:c r="D1221" s="3" t="str">
        <x:v>East</x:v>
      </x:c>
      <x:c r="E1221" s="3" t="str">
        <x:v>Beauty</x:v>
      </x:c>
      <x:c r="F1221" s="3" t="str">
        <x:v>Skincare</x:v>
      </x:c>
      <x:c r="G1221" s="3" t="str">
        <x:v>HydraBoost Moisturizer</x:v>
      </x:c>
      <x:c r="H1221" s="3" t="n">
        <x:v>1</x:v>
      </x:c>
      <x:c r="I1221" s="7" t="n">
        <x:v>1157.93</x:v>
      </x:c>
      <x:c r="J1221" s="9" t="n">
        <x:v>0</x:v>
      </x:c>
      <x:c r="K1221" s="7" t="n">
        <x:v>1157.93</x:v>
      </x:c>
      <x:c r="L1221" s="7" t="n">
        <x:v>678.43</x:v>
      </x:c>
      <x:c r="M1221" s="3" t="str">
        <x:v>Cash on Delivery</x:v>
      </x:c>
      <x:c r="N1221" s="3"/>
      <x:c r="O1221" s="3"/>
      <x:c r="P1221" s="3"/>
      <x:c r="Q1221" s="3"/>
    </x:row>
    <x:row r="1222" ht="21" customHeight="1">
      <x:c r="A1222" s="3" t="str">
        <x:v>ORD-100745</x:v>
      </x:c>
      <x:c r="B1222" s="5" t="n">
        <x:v>45616</x:v>
      </x:c>
      <x:c r="C1222" s="3" t="str">
        <x:v>CUST-00470</x:v>
      </x:c>
      <x:c r="D1222" s="3" t="str">
        <x:v>West</x:v>
      </x:c>
      <x:c r="E1222" s="3" t="str">
        <x:v>Sports</x:v>
      </x:c>
      <x:c r="F1222" s="3" t="str">
        <x:v>Fitness</x:v>
      </x:c>
      <x:c r="G1222" s="3" t="str">
        <x:v>ProYoga Mat</x:v>
      </x:c>
      <x:c r="H1222" s="3" t="n">
        <x:v>1</x:v>
      </x:c>
      <x:c r="I1222" s="7" t="n">
        <x:v>1314.13</x:v>
      </x:c>
      <x:c r="J1222" s="9" t="n">
        <x:v>0.1</x:v>
      </x:c>
      <x:c r="K1222" s="7" t="n">
        <x:v>1182.72</x:v>
      </x:c>
      <x:c r="L1222" s="7" t="n">
        <x:v>296.74</x:v>
      </x:c>
      <x:c r="M1222" s="3" t="str">
        <x:v>Cash on Delivery</x:v>
      </x:c>
      <x:c r="N1222" s="3"/>
      <x:c r="O1222" s="3"/>
      <x:c r="P1222" s="3"/>
      <x:c r="Q1222" s="3"/>
    </x:row>
    <x:row r="1223" ht="21" customHeight="1">
      <x:c r="A1223" s="3" t="str">
        <x:v>ORD-100769</x:v>
      </x:c>
      <x:c r="B1223" s="5" t="n">
        <x:v>45616</x:v>
      </x:c>
      <x:c r="C1223" s="3" t="str">
        <x:v>CUST-00410</x:v>
      </x:c>
      <x:c r="D1223" s="3" t="str">
        <x:v>South</x:v>
      </x:c>
      <x:c r="E1223" s="3" t="str">
        <x:v>Electronics</x:v>
      </x:c>
      <x:c r="F1223" s="3" t="str">
        <x:v>Audio</x:v>
      </x:c>
      <x:c r="G1223" s="3" t="str">
        <x:v>SoundPods Pro</x:v>
      </x:c>
      <x:c r="H1223" s="3" t="n">
        <x:v>1</x:v>
      </x:c>
      <x:c r="I1223" s="7" t="n">
        <x:v>4983.95</x:v>
      </x:c>
      <x:c r="J1223" s="9" t="n">
        <x:v>0</x:v>
      </x:c>
      <x:c r="K1223" s="7" t="n">
        <x:v>4983.95</x:v>
      </x:c>
      <x:c r="L1223" s="7" t="n">
        <x:v>1028.63</x:v>
      </x:c>
      <x:c r="M1223" s="3" t="str">
        <x:v>UPI</x:v>
      </x:c>
      <x:c r="N1223" s="3"/>
      <x:c r="O1223" s="3"/>
      <x:c r="P1223" s="3"/>
      <x:c r="Q1223" s="3"/>
    </x:row>
    <x:row r="1224" ht="21" customHeight="1">
      <x:c r="A1224" s="3" t="str">
        <x:v>ORD-101161</x:v>
      </x:c>
      <x:c r="B1224" s="5" t="n">
        <x:v>45616</x:v>
      </x:c>
      <x:c r="C1224" s="3" t="str">
        <x:v>CUST-00550</x:v>
      </x:c>
      <x:c r="D1224" s="3" t="str">
        <x:v>North</x:v>
      </x:c>
      <x:c r="E1224" s="3" t="str">
        <x:v>Beauty</x:v>
      </x:c>
      <x:c r="F1224" s="3" t="str">
        <x:v>Skincare</x:v>
      </x:c>
      <x:c r="G1224" s="3" t="str">
        <x:v>Vitamin C Serum</x:v>
      </x:c>
      <x:c r="H1224" s="3" t="n">
        <x:v>1</x:v>
      </x:c>
      <x:c r="I1224" s="7" t="n">
        <x:v>903.64</x:v>
      </x:c>
      <x:c r="J1224" s="9" t="n">
        <x:v>0.1</x:v>
      </x:c>
      <x:c r="K1224" s="7" t="n">
        <x:v>813.28</x:v>
      </x:c>
      <x:c r="L1224" s="7" t="n">
        <x:v>370.8</x:v>
      </x:c>
      <x:c r="M1224" s="3" t="str">
        <x:v>Debit Card</x:v>
      </x:c>
      <x:c r="N1224" s="3"/>
      <x:c r="O1224" s="3"/>
      <x:c r="P1224" s="3"/>
      <x:c r="Q1224" s="3"/>
    </x:row>
    <x:row r="1225" ht="21" customHeight="1">
      <x:c r="A1225" s="3" t="str">
        <x:v>ORD-101819</x:v>
      </x:c>
      <x:c r="B1225" s="5" t="n">
        <x:v>45616</x:v>
      </x:c>
      <x:c r="C1225" s="3" t="str">
        <x:v>CUST-00138</x:v>
      </x:c>
      <x:c r="D1225" s="3" t="str">
        <x:v>South</x:v>
      </x:c>
      <x:c r="E1225" s="3" t="str">
        <x:v>Home &amp; Kitchen</x:v>
      </x:c>
      <x:c r="F1225" s="3" t="str">
        <x:v>Appliances</x:v>
      </x:c>
      <x:c r="G1225" s="3" t="str">
        <x:v>AirFryer Deluxe</x:v>
      </x:c>
      <x:c r="H1225" s="3" t="n">
        <x:v>1</x:v>
      </x:c>
      <x:c r="I1225" s="7" t="n">
        <x:v>7807.6</x:v>
      </x:c>
      <x:c r="J1225" s="9" t="n">
        <x:v>0</x:v>
      </x:c>
      <x:c r="K1225" s="7" t="n">
        <x:v>7807.6</x:v>
      </x:c>
      <x:c r="L1225" s="7" t="n">
        <x:v>2752.44</x:v>
      </x:c>
      <x:c r="M1225" s="3" t="str">
        <x:v>Credit Card</x:v>
      </x:c>
      <x:c r="N1225" s="3"/>
      <x:c r="O1225" s="3"/>
      <x:c r="P1225" s="3"/>
      <x:c r="Q1225" s="3"/>
    </x:row>
    <x:row r="1226" ht="21" customHeight="1">
      <x:c r="A1226" s="3" t="str">
        <x:v>ORD-100855</x:v>
      </x:c>
      <x:c r="B1226" s="5" t="n">
        <x:v>45617</x:v>
      </x:c>
      <x:c r="C1226" s="3" t="str">
        <x:v>CUST-00453</x:v>
      </x:c>
      <x:c r="D1226" s="3" t="str">
        <x:v>East</x:v>
      </x:c>
      <x:c r="E1226" s="3" t="str">
        <x:v>Electronics</x:v>
      </x:c>
      <x:c r="F1226" s="3" t="str">
        <x:v>Laptop</x:v>
      </x:c>
      <x:c r="G1226" s="3" t="str">
        <x:v>AirBook Slim</x:v>
      </x:c>
      <x:c r="H1226" s="3" t="n">
        <x:v>1</x:v>
      </x:c>
      <x:c r="I1226" s="7" t="n">
        <x:v>81233.31</x:v>
      </x:c>
      <x:c r="J1226" s="9" t="n">
        <x:v>0.2</x:v>
      </x:c>
      <x:c r="K1226" s="7" t="n">
        <x:v>64986.65</x:v>
      </x:c>
      <x:c r="L1226" s="7" t="n">
        <x:v>-5532.69</x:v>
      </x:c>
      <x:c r="M1226" s="3" t="str">
        <x:v>UPI</x:v>
      </x:c>
      <x:c r="N1226" s="3"/>
      <x:c r="O1226" s="3"/>
      <x:c r="P1226" s="3"/>
      <x:c r="Q1226" s="3"/>
    </x:row>
    <x:row r="1227" ht="21" customHeight="1">
      <x:c r="A1227" s="3" t="str">
        <x:v>ORD-100911</x:v>
      </x:c>
      <x:c r="B1227" s="5" t="n">
        <x:v>45617</x:v>
      </x:c>
      <x:c r="C1227" s="3" t="str">
        <x:v>CUST-00231</x:v>
      </x:c>
      <x:c r="D1227" s="3" t="str">
        <x:v>East</x:v>
      </x:c>
      <x:c r="E1227" s="3" t="str">
        <x:v>Electronics</x:v>
      </x:c>
      <x:c r="F1227" s="3" t="str">
        <x:v>Laptop</x:v>
      </x:c>
      <x:c r="G1227" s="3" t="str">
        <x:v>ThinkPro 14</x:v>
      </x:c>
      <x:c r="H1227" s="3" t="n">
        <x:v>1</x:v>
      </x:c>
      <x:c r="I1227" s="7" t="n">
        <x:v>52962.76</x:v>
      </x:c>
      <x:c r="J1227" s="9" t="n">
        <x:v>0.05</x:v>
      </x:c>
      <x:c r="K1227" s="7" t="n">
        <x:v>50314.62</x:v>
      </x:c>
      <x:c r="L1227" s="7" t="n">
        <x:v>5225.89</x:v>
      </x:c>
      <x:c r="M1227" s="3" t="str">
        <x:v>Cash on Delivery</x:v>
      </x:c>
      <x:c r="N1227" s="3"/>
      <x:c r="O1227" s="3"/>
      <x:c r="P1227" s="3"/>
      <x:c r="Q1227" s="3"/>
    </x:row>
    <x:row r="1228" ht="21" customHeight="1">
      <x:c r="A1228" s="3" t="str">
        <x:v>ORD-100917</x:v>
      </x:c>
      <x:c r="B1228" s="5" t="n">
        <x:v>45617</x:v>
      </x:c>
      <x:c r="C1228" s="3" t="str">
        <x:v>CUST-00546</x:v>
      </x:c>
      <x:c r="D1228" s="3" t="str">
        <x:v>South</x:v>
      </x:c>
      <x:c r="E1228" s="3" t="str">
        <x:v>Sports</x:v>
      </x:c>
      <x:c r="F1228" s="3" t="str">
        <x:v>Outdoor</x:v>
      </x:c>
      <x:c r="G1228" s="3" t="str">
        <x:v>AllWeather Tent 4P</x:v>
      </x:c>
      <x:c r="H1228" s="3" t="n">
        <x:v>2</x:v>
      </x:c>
      <x:c r="I1228" s="7" t="n">
        <x:v>12118.09</x:v>
      </x:c>
      <x:c r="J1228" s="9" t="n">
        <x:v>0.05</x:v>
      </x:c>
      <x:c r="K1228" s="7" t="n">
        <x:v>23024.37</x:v>
      </x:c>
      <x:c r="L1228" s="7" t="n">
        <x:v>7092.71</x:v>
      </x:c>
      <x:c r="M1228" s="3" t="str">
        <x:v>UPI</x:v>
      </x:c>
      <x:c r="N1228" s="3"/>
      <x:c r="O1228" s="3"/>
      <x:c r="P1228" s="3"/>
      <x:c r="Q1228" s="3"/>
    </x:row>
    <x:row r="1229" ht="21" customHeight="1">
      <x:c r="A1229" s="3" t="str">
        <x:v>ORD-101016</x:v>
      </x:c>
      <x:c r="B1229" s="5" t="n">
        <x:v>45617</x:v>
      </x:c>
      <x:c r="C1229" s="3" t="str">
        <x:v>CUST-00015</x:v>
      </x:c>
      <x:c r="D1229" s="3" t="str">
        <x:v>North</x:v>
      </x:c>
      <x:c r="E1229" s="3" t="str">
        <x:v>Sports</x:v>
      </x:c>
      <x:c r="F1229" s="3" t="str">
        <x:v>Fitness</x:v>
      </x:c>
      <x:c r="G1229" s="3" t="str">
        <x:v>Adjustable Dumbbell 24kg</x:v>
      </x:c>
      <x:c r="H1229" s="3" t="n">
        <x:v>2</x:v>
      </x:c>
      <x:c r="I1229" s="7" t="n">
        <x:v>10432.57</x:v>
      </x:c>
      <x:c r="J1229" s="9" t="n">
        <x:v>0</x:v>
      </x:c>
      <x:c r="K1229" s="7" t="n">
        <x:v>20865.14</x:v>
      </x:c>
      <x:c r="L1229" s="7" t="n">
        <x:v>8374.08</x:v>
      </x:c>
      <x:c r="M1229" s="3" t="str">
        <x:v>UPI</x:v>
      </x:c>
      <x:c r="N1229" s="3"/>
      <x:c r="O1229" s="3"/>
      <x:c r="P1229" s="3"/>
      <x:c r="Q1229" s="3"/>
    </x:row>
    <x:row r="1230" ht="21" customHeight="1">
      <x:c r="A1230" s="3" t="str">
        <x:v>ORD-101775</x:v>
      </x:c>
      <x:c r="B1230" s="5" t="n">
        <x:v>45617</x:v>
      </x:c>
      <x:c r="C1230" s="3" t="str">
        <x:v>CUST-00043</x:v>
      </x:c>
      <x:c r="D1230" s="3" t="str">
        <x:v>South</x:v>
      </x:c>
      <x:c r="E1230" s="3" t="str">
        <x:v>Home &amp; Kitchen</x:v>
      </x:c>
      <x:c r="F1230" s="3" t="str">
        <x:v>Furniture</x:v>
      </x:c>
      <x:c r="G1230" s="3" t="str">
        <x:v>Oakwood Study Desk</x:v>
      </x:c>
      <x:c r="H1230" s="3" t="n">
        <x:v>3</x:v>
      </x:c>
      <x:c r="I1230" s="7" t="n">
        <x:v>12611.1</x:v>
      </x:c>
      <x:c r="J1230" s="9" t="n">
        <x:v>0.2</x:v>
      </x:c>
      <x:c r="K1230" s="7" t="n">
        <x:v>30266.64</x:v>
      </x:c>
      <x:c r="L1230" s="7" t="n">
        <x:v>2800.36</x:v>
      </x:c>
      <x:c r="M1230" s="3" t="str">
        <x:v>Credit Card</x:v>
      </x:c>
      <x:c r="N1230" s="3"/>
      <x:c r="O1230" s="3"/>
      <x:c r="P1230" s="3"/>
      <x:c r="Q1230" s="3"/>
    </x:row>
    <x:row r="1231" ht="21" customHeight="1">
      <x:c r="A1231" s="3" t="str">
        <x:v>ORD-100140</x:v>
      </x:c>
      <x:c r="B1231" s="5" t="n">
        <x:v>45618</x:v>
      </x:c>
      <x:c r="C1231" s="3" t="str">
        <x:v>CUST-00307</x:v>
      </x:c>
      <x:c r="D1231" s="3" t="str">
        <x:v>South</x:v>
      </x:c>
      <x:c r="E1231" s="3" t="str">
        <x:v>Electronics</x:v>
      </x:c>
      <x:c r="F1231" s="3" t="str">
        <x:v>Mobile</x:v>
      </x:c>
      <x:c r="G1231" s="3" t="str">
        <x:v>iPhone Zeta</x:v>
      </x:c>
      <x:c r="H1231" s="3" t="n">
        <x:v>1</x:v>
      </x:c>
      <x:c r="I1231" s="7" t="n">
        <x:v>69697.92</x:v>
      </x:c>
      <x:c r="J1231" s="9" t="n">
        <x:v>0.05</x:v>
      </x:c>
      <x:c r="K1231" s="7" t="n">
        <x:v>66213.02</x:v>
      </x:c>
      <x:c r="L1231" s="7" t="n">
        <x:v>8673.96</x:v>
      </x:c>
      <x:c r="M1231" s="3" t="str">
        <x:v>UPI</x:v>
      </x:c>
      <x:c r="N1231" s="3"/>
      <x:c r="O1231" s="3"/>
      <x:c r="P1231" s="3"/>
      <x:c r="Q1231" s="3"/>
    </x:row>
    <x:row r="1232" ht="21" customHeight="1">
      <x:c r="A1232" s="3" t="str">
        <x:v>ORD-100419</x:v>
      </x:c>
      <x:c r="B1232" s="5" t="n">
        <x:v>45618</x:v>
      </x:c>
      <x:c r="C1232" s="3" t="str">
        <x:v>CUST-00291</x:v>
      </x:c>
      <x:c r="D1232" s="3" t="str">
        <x:v>North</x:v>
      </x:c>
      <x:c r="E1232" s="3" t="str">
        <x:v>Electronics</x:v>
      </x:c>
      <x:c r="F1232" s="3" t="str">
        <x:v>Laptop</x:v>
      </x:c>
      <x:c r="G1232" s="3" t="str">
        <x:v>ThinkPro 14</x:v>
      </x:c>
      <x:c r="H1232" s="3" t="n">
        <x:v>1</x:v>
      </x:c>
      <x:c r="I1232" s="7" t="n">
        <x:v>57519.59</x:v>
      </x:c>
      <x:c r="J1232" s="9" t="n">
        <x:v>0</x:v>
      </x:c>
      <x:c r="K1232" s="7" t="n">
        <x:v>57519.59</x:v>
      </x:c>
      <x:c r="L1232" s="7" t="n">
        <x:v>10627.9</x:v>
      </x:c>
      <x:c r="M1232" s="3" t="str">
        <x:v>Credit Card</x:v>
      </x:c>
      <x:c r="N1232" s="3"/>
      <x:c r="O1232" s="3"/>
      <x:c r="P1232" s="3"/>
      <x:c r="Q1232" s="3"/>
    </x:row>
    <x:row r="1233" ht="21" customHeight="1">
      <x:c r="A1233" s="3" t="str">
        <x:v>ORD-101037</x:v>
      </x:c>
      <x:c r="B1233" s="5" t="n">
        <x:v>45618</x:v>
      </x:c>
      <x:c r="C1233" s="3" t="str">
        <x:v>CUST-00117</x:v>
      </x:c>
      <x:c r="D1233" s="3" t="str">
        <x:v>North</x:v>
      </x:c>
      <x:c r="E1233" s="3" t="str">
        <x:v>Sports</x:v>
      </x:c>
      <x:c r="F1233" s="3" t="str">
        <x:v>Outdoor</x:v>
      </x:c>
      <x:c r="G1233" s="3" t="str">
        <x:v>AllWeather Tent 4P</x:v>
      </x:c>
      <x:c r="H1233" s="3" t="n">
        <x:v>1</x:v>
      </x:c>
      <x:c r="I1233" s="7" t="n">
        <x:v>11712.93</x:v>
      </x:c>
      <x:c r="J1233" s="9" t="n">
        <x:v>0.05</x:v>
      </x:c>
      <x:c r="K1233" s="7" t="n">
        <x:v>11127.28</x:v>
      </x:c>
      <x:c r="L1233" s="7" t="n">
        <x:v>3315.18</x:v>
      </x:c>
      <x:c r="M1233" s="3" t="str">
        <x:v>UPI</x:v>
      </x:c>
      <x:c r="N1233" s="3"/>
      <x:c r="O1233" s="3"/>
      <x:c r="P1233" s="3"/>
      <x:c r="Q1233" s="3"/>
    </x:row>
    <x:row r="1234" ht="21" customHeight="1">
      <x:c r="A1234" s="3" t="str">
        <x:v>ORD-101045</x:v>
      </x:c>
      <x:c r="B1234" s="5" t="n">
        <x:v>45618</x:v>
      </x:c>
      <x:c r="C1234" s="3" t="str">
        <x:v>CUST-00492</x:v>
      </x:c>
      <x:c r="D1234" s="3" t="str">
        <x:v>East</x:v>
      </x:c>
      <x:c r="E1234" s="3" t="str">
        <x:v>Electronics</x:v>
      </x:c>
      <x:c r="F1234" s="3" t="str">
        <x:v>Audio</x:v>
      </x:c>
      <x:c r="G1234" s="3" t="str">
        <x:v>SoundPods Pro</x:v>
      </x:c>
      <x:c r="H1234" s="3" t="n">
        <x:v>1</x:v>
      </x:c>
      <x:c r="I1234" s="7" t="n">
        <x:v>5206.2</x:v>
      </x:c>
      <x:c r="J1234" s="9" t="n">
        <x:v>0.15</x:v>
      </x:c>
      <x:c r="K1234" s="7" t="n">
        <x:v>4425.27</x:v>
      </x:c>
      <x:c r="L1234" s="7" t="n">
        <x:v>103.31</x:v>
      </x:c>
      <x:c r="M1234" s="3" t="str">
        <x:v>Cash on Delivery</x:v>
      </x:c>
      <x:c r="N1234" s="3"/>
      <x:c r="O1234" s="3"/>
      <x:c r="P1234" s="3"/>
      <x:c r="Q1234" s="3"/>
    </x:row>
    <x:row r="1235" ht="21" customHeight="1">
      <x:c r="A1235" s="3" t="str">
        <x:v>ORD-100126</x:v>
      </x:c>
      <x:c r="B1235" s="5" t="n">
        <x:v>45619</x:v>
      </x:c>
      <x:c r="C1235" s="3" t="str">
        <x:v>CUST-00067</x:v>
      </x:c>
      <x:c r="D1235" s="3" t="str">
        <x:v>West</x:v>
      </x:c>
      <x:c r="E1235" s="3" t="str">
        <x:v>Sports</x:v>
      </x:c>
      <x:c r="F1235" s="3" t="str">
        <x:v>Fitness</x:v>
      </x:c>
      <x:c r="G1235" s="3" t="str">
        <x:v>ProYoga Mat</x:v>
      </x:c>
      <x:c r="H1235" s="3" t="n">
        <x:v>1</x:v>
      </x:c>
      <x:c r="I1235" s="7" t="n">
        <x:v>1256.48</x:v>
      </x:c>
      <x:c r="J1235" s="9" t="n">
        <x:v>0</x:v>
      </x:c>
      <x:c r="K1235" s="7" t="n">
        <x:v>1256.48</x:v>
      </x:c>
      <x:c r="L1235" s="7" t="n">
        <x:v>498.91</x:v>
      </x:c>
      <x:c r="M1235" s="3" t="str">
        <x:v>Debit Card</x:v>
      </x:c>
      <x:c r="N1235" s="3"/>
      <x:c r="O1235" s="3"/>
      <x:c r="P1235" s="3"/>
      <x:c r="Q1235" s="3"/>
    </x:row>
    <x:row r="1236" ht="21" customHeight="1">
      <x:c r="A1236" s="3" t="str">
        <x:v>ORD-100169</x:v>
      </x:c>
      <x:c r="B1236" s="5" t="n">
        <x:v>45619</x:v>
      </x:c>
      <x:c r="C1236" s="3" t="str">
        <x:v>CUST-00380</x:v>
      </x:c>
      <x:c r="D1236" s="3" t="str">
        <x:v>East</x:v>
      </x:c>
      <x:c r="E1236" s="3" t="str">
        <x:v>Home &amp; Kitchen</x:v>
      </x:c>
      <x:c r="F1236" s="3" t="str">
        <x:v>Decor</x:v>
      </x:c>
      <x:c r="G1236" s="3" t="str">
        <x:v>LED Wall Lamp</x:v>
      </x:c>
      <x:c r="H1236" s="3" t="n">
        <x:v>1</x:v>
      </x:c>
      <x:c r="I1236" s="7" t="n">
        <x:v>995.6</x:v>
      </x:c>
      <x:c r="J1236" s="9" t="n">
        <x:v>0.2</x:v>
      </x:c>
      <x:c r="K1236" s="7" t="n">
        <x:v>796.48</x:v>
      </x:c>
      <x:c r="L1236" s="7" t="n">
        <x:v>98.94</x:v>
      </x:c>
      <x:c r="M1236" s="3" t="str">
        <x:v>Debit Card</x:v>
      </x:c>
      <x:c r="N1236" s="3"/>
      <x:c r="O1236" s="3"/>
      <x:c r="P1236" s="3"/>
      <x:c r="Q1236" s="3"/>
    </x:row>
    <x:row r="1237" ht="21" customHeight="1">
      <x:c r="A1237" s="3" t="str">
        <x:v>ORD-100528</x:v>
      </x:c>
      <x:c r="B1237" s="5" t="n">
        <x:v>45619</x:v>
      </x:c>
      <x:c r="C1237" s="3" t="str">
        <x:v>CUST-00137</x:v>
      </x:c>
      <x:c r="D1237" s="3" t="str">
        <x:v>South</x:v>
      </x:c>
      <x:c r="E1237" s="3" t="str">
        <x:v>Electronics</x:v>
      </x:c>
      <x:c r="F1237" s="3" t="str">
        <x:v>Laptop</x:v>
      </x:c>
      <x:c r="G1237" s="3" t="str">
        <x:v>ThinkPro 14</x:v>
      </x:c>
      <x:c r="H1237" s="3" t="n">
        <x:v>2</x:v>
      </x:c>
      <x:c r="I1237" s="7" t="n">
        <x:v>52701.32</x:v>
      </x:c>
      <x:c r="J1237" s="9" t="n">
        <x:v>0.05</x:v>
      </x:c>
      <x:c r="K1237" s="7" t="n">
        <x:v>100132.51</x:v>
      </x:c>
      <x:c r="L1237" s="7" t="n">
        <x:v>9525.18</x:v>
      </x:c>
      <x:c r="M1237" s="3" t="str">
        <x:v>Cash on Delivery</x:v>
      </x:c>
      <x:c r="N1237" s="3"/>
      <x:c r="O1237" s="3"/>
      <x:c r="P1237" s="3"/>
      <x:c r="Q1237" s="3"/>
    </x:row>
    <x:row r="1238" ht="21" customHeight="1">
      <x:c r="A1238" s="3" t="str">
        <x:v>ORD-101558</x:v>
      </x:c>
      <x:c r="B1238" s="5" t="n">
        <x:v>45619</x:v>
      </x:c>
      <x:c r="C1238" s="3" t="str">
        <x:v>CUST-00360</x:v>
      </x:c>
      <x:c r="D1238" s="3" t="str">
        <x:v>South</x:v>
      </x:c>
      <x:c r="E1238" s="3" t="str">
        <x:v>Beauty</x:v>
      </x:c>
      <x:c r="F1238" s="3" t="str">
        <x:v>Skincare</x:v>
      </x:c>
      <x:c r="G1238" s="3" t="str">
        <x:v>Vitamin C Serum</x:v>
      </x:c>
      <x:c r="H1238" s="3" t="n">
        <x:v>1</x:v>
      </x:c>
      <x:c r="I1238" s="7" t="n">
        <x:v>879.06</x:v>
      </x:c>
      <x:c r="J1238" s="9" t="n">
        <x:v>0.15</x:v>
      </x:c>
      <x:c r="K1238" s="7" t="n">
        <x:v>747.2</x:v>
      </x:c>
      <x:c r="L1238" s="7" t="n">
        <x:v>288.86</x:v>
      </x:c>
      <x:c r="M1238" s="3" t="str">
        <x:v>UPI</x:v>
      </x:c>
      <x:c r="N1238" s="3"/>
      <x:c r="O1238" s="3"/>
      <x:c r="P1238" s="3"/>
      <x:c r="Q1238" s="3"/>
    </x:row>
    <x:row r="1239" ht="21" customHeight="1">
      <x:c r="A1239" s="3" t="str">
        <x:v>ORD-101822</x:v>
      </x:c>
      <x:c r="B1239" s="5" t="n">
        <x:v>45619</x:v>
      </x:c>
      <x:c r="C1239" s="3" t="str">
        <x:v>CUST-00132</x:v>
      </x:c>
      <x:c r="D1239" s="3" t="str">
        <x:v>South</x:v>
      </x:c>
      <x:c r="E1239" s="3" t="str">
        <x:v>Sports</x:v>
      </x:c>
      <x:c r="F1239" s="3" t="str">
        <x:v>Fitness</x:v>
      </x:c>
      <x:c r="G1239" s="3" t="str">
        <x:v>ProYoga Mat</x:v>
      </x:c>
      <x:c r="H1239" s="3" t="n">
        <x:v>4</x:v>
      </x:c>
      <x:c r="I1239" s="7" t="n">
        <x:v>1337.77</x:v>
      </x:c>
      <x:c r="J1239" s="9" t="n">
        <x:v>0</x:v>
      </x:c>
      <x:c r="K1239" s="7" t="n">
        <x:v>5351.08</x:v>
      </x:c>
      <x:c r="L1239" s="7" t="n">
        <x:v>1852.59</x:v>
      </x:c>
      <x:c r="M1239" s="3" t="str">
        <x:v>UPI</x:v>
      </x:c>
      <x:c r="N1239" s="3"/>
      <x:c r="O1239" s="3"/>
      <x:c r="P1239" s="3"/>
      <x:c r="Q1239" s="3"/>
    </x:row>
    <x:row r="1240" ht="21" customHeight="1">
      <x:c r="A1240" s="3" t="str">
        <x:v>ORD-101933</x:v>
      </x:c>
      <x:c r="B1240" s="5" t="n">
        <x:v>45619</x:v>
      </x:c>
      <x:c r="C1240" s="3" t="str">
        <x:v>CUST-00025</x:v>
      </x:c>
      <x:c r="D1240" s="3" t="str">
        <x:v>East</x:v>
      </x:c>
      <x:c r="E1240" s="3" t="str">
        <x:v>Electronics</x:v>
      </x:c>
      <x:c r="F1240" s="3" t="str">
        <x:v>Audio</x:v>
      </x:c>
      <x:c r="G1240" s="3" t="str">
        <x:v>SoundPods Pro</x:v>
      </x:c>
      <x:c r="H1240" s="3" t="n">
        <x:v>1</x:v>
      </x:c>
      <x:c r="I1240" s="7" t="n">
        <x:v>4773.86</x:v>
      </x:c>
      <x:c r="J1240" s="9" t="n">
        <x:v>0.05</x:v>
      </x:c>
      <x:c r="K1240" s="7" t="n">
        <x:v>4535.17</x:v>
      </x:c>
      <x:c r="L1240" s="7" t="n">
        <x:v>484.52</x:v>
      </x:c>
      <x:c r="M1240" s="3" t="str">
        <x:v>Debit Card</x:v>
      </x:c>
      <x:c r="N1240" s="3"/>
      <x:c r="O1240" s="3"/>
      <x:c r="P1240" s="3"/>
      <x:c r="Q1240" s="3"/>
    </x:row>
    <x:row r="1241" ht="21" customHeight="1">
      <x:c r="A1241" s="3" t="str">
        <x:v>ORD-101934</x:v>
      </x:c>
      <x:c r="B1241" s="5" t="n">
        <x:v>45619</x:v>
      </x:c>
      <x:c r="C1241" s="3" t="str">
        <x:v>CUST-00223</x:v>
      </x:c>
      <x:c r="D1241" s="3" t="str">
        <x:v>East</x:v>
      </x:c>
      <x:c r="E1241" s="3" t="str">
        <x:v>Beauty</x:v>
      </x:c>
      <x:c r="F1241" s="3" t="str">
        <x:v>Makeup</x:v>
      </x:c>
      <x:c r="G1241" s="3" t="str">
        <x:v>HD Foundation Kit</x:v>
      </x:c>
      <x:c r="H1241" s="3" t="n">
        <x:v>1</x:v>
      </x:c>
      <x:c r="I1241" s="7" t="n">
        <x:v>1555.57</x:v>
      </x:c>
      <x:c r="J1241" s="9" t="n">
        <x:v>0</x:v>
      </x:c>
      <x:c r="K1241" s="7" t="n">
        <x:v>1555.57</x:v>
      </x:c>
      <x:c r="L1241" s="7" t="n">
        <x:v>843.2</x:v>
      </x:c>
      <x:c r="M1241" s="3" t="str">
        <x:v>Debit Card</x:v>
      </x:c>
      <x:c r="N1241" s="3"/>
      <x:c r="O1241" s="3"/>
      <x:c r="P1241" s="3"/>
      <x:c r="Q1241" s="3"/>
    </x:row>
    <x:row r="1242" ht="21" customHeight="1">
      <x:c r="A1242" s="3" t="str">
        <x:v>ORD-100257</x:v>
      </x:c>
      <x:c r="B1242" s="5" t="n">
        <x:v>45620</x:v>
      </x:c>
      <x:c r="C1242" s="3" t="str">
        <x:v>CUST-00427</x:v>
      </x:c>
      <x:c r="D1242" s="3" t="str">
        <x:v>South</x:v>
      </x:c>
      <x:c r="E1242" s="3" t="str">
        <x:v>Home &amp; Kitchen</x:v>
      </x:c>
      <x:c r="F1242" s="3" t="str">
        <x:v>Decor</x:v>
      </x:c>
      <x:c r="G1242" s="3" t="str">
        <x:v>LED Wall Lamp</x:v>
      </x:c>
      <x:c r="H1242" s="3" t="n">
        <x:v>3</x:v>
      </x:c>
      <x:c r="I1242" s="7" t="n">
        <x:v>1046.2</x:v>
      </x:c>
      <x:c r="J1242" s="9" t="n">
        <x:v>0.1</x:v>
      </x:c>
      <x:c r="K1242" s="7" t="n">
        <x:v>2824.74</x:v>
      </x:c>
      <x:c r="L1242" s="7" t="n">
        <x:v>545.84</x:v>
      </x:c>
      <x:c r="M1242" s="3" t="str">
        <x:v>Debit Card</x:v>
      </x:c>
      <x:c r="N1242" s="3"/>
      <x:c r="O1242" s="3"/>
      <x:c r="P1242" s="3"/>
      <x:c r="Q1242" s="3"/>
    </x:row>
    <x:row r="1243" ht="21" customHeight="1">
      <x:c r="A1243" s="3" t="str">
        <x:v>ORD-100302</x:v>
      </x:c>
      <x:c r="B1243" s="5" t="n">
        <x:v>45620</x:v>
      </x:c>
      <x:c r="C1243" s="3" t="str">
        <x:v>CUST-00117</x:v>
      </x:c>
      <x:c r="D1243" s="3" t="str">
        <x:v>North</x:v>
      </x:c>
      <x:c r="E1243" s="3" t="str">
        <x:v>Electronics</x:v>
      </x:c>
      <x:c r="F1243" s="3" t="str">
        <x:v>Mobile</x:v>
      </x:c>
      <x:c r="G1243" s="3" t="str">
        <x:v>iPhone Zeta</x:v>
      </x:c>
      <x:c r="H1243" s="3" t="n">
        <x:v>1</x:v>
      </x:c>
      <x:c r="I1243" s="7" t="n">
        <x:v>70994.84</x:v>
      </x:c>
      <x:c r="J1243" s="9" t="n">
        <x:v>0</x:v>
      </x:c>
      <x:c r="K1243" s="7" t="n">
        <x:v>70994.84</x:v>
      </x:c>
      <x:c r="L1243" s="7" t="n">
        <x:v>15156.59</x:v>
      </x:c>
      <x:c r="M1243" s="3" t="str">
        <x:v>UPI</x:v>
      </x:c>
      <x:c r="N1243" s="3"/>
      <x:c r="O1243" s="3"/>
      <x:c r="P1243" s="3"/>
      <x:c r="Q1243" s="3"/>
    </x:row>
    <x:row r="1244" ht="21" customHeight="1">
      <x:c r="A1244" s="3" t="str">
        <x:v>ORD-101004</x:v>
      </x:c>
      <x:c r="B1244" s="5" t="n">
        <x:v>45620</x:v>
      </x:c>
      <x:c r="C1244" s="3" t="str">
        <x:v>CUST-00577</x:v>
      </x:c>
      <x:c r="D1244" s="3" t="str">
        <x:v>West</x:v>
      </x:c>
      <x:c r="E1244" s="3" t="str">
        <x:v>Fashion</x:v>
      </x:c>
      <x:c r="F1244" s="3" t="str">
        <x:v>Men</x:v>
      </x:c>
      <x:c r="G1244" s="3" t="str">
        <x:v>Oxford Casual Shirt</x:v>
      </x:c>
      <x:c r="H1244" s="3" t="n">
        <x:v>1</x:v>
      </x:c>
      <x:c r="I1244" s="7" t="n">
        <x:v>1280.6</x:v>
      </x:c>
      <x:c r="J1244" s="9" t="n">
        <x:v>0.05</x:v>
      </x:c>
      <x:c r="K1244" s="7" t="n">
        <x:v>1216.57</x:v>
      </x:c>
      <x:c r="L1244" s="7" t="n">
        <x:v>481.55</x:v>
      </x:c>
      <x:c r="M1244" s="3" t="str">
        <x:v>Debit Card</x:v>
      </x:c>
      <x:c r="N1244" s="3"/>
      <x:c r="O1244" s="3"/>
      <x:c r="P1244" s="3"/>
      <x:c r="Q1244" s="3"/>
    </x:row>
    <x:row r="1245" ht="21" customHeight="1">
      <x:c r="A1245" s="3" t="str">
        <x:v>ORD-101324</x:v>
      </x:c>
      <x:c r="B1245" s="5" t="n">
        <x:v>45620</x:v>
      </x:c>
      <x:c r="C1245" s="3" t="str">
        <x:v>CUST-00097</x:v>
      </x:c>
      <x:c r="D1245" s="3" t="str">
        <x:v>South</x:v>
      </x:c>
      <x:c r="E1245" s="3" t="str">
        <x:v>Fashion</x:v>
      </x:c>
      <x:c r="F1245" s="3" t="str">
        <x:v>Footwear</x:v>
      </x:c>
      <x:c r="G1245" s="3" t="str">
        <x:v>UrbanLoafers</x:v>
      </x:c>
      <x:c r="H1245" s="3" t="n">
        <x:v>1</x:v>
      </x:c>
      <x:c r="I1245" s="7" t="n">
        <x:v>3575.88</x:v>
      </x:c>
      <x:c r="J1245" s="9" t="n">
        <x:v>0</x:v>
      </x:c>
      <x:c r="K1245" s="7" t="n">
        <x:v>3575.88</x:v>
      </x:c>
      <x:c r="L1245" s="7" t="n">
        <x:v>1614.71</x:v>
      </x:c>
      <x:c r="M1245" s="3" t="str">
        <x:v>Cash on Delivery</x:v>
      </x:c>
      <x:c r="N1245" s="3"/>
      <x:c r="O1245" s="3"/>
      <x:c r="P1245" s="3"/>
      <x:c r="Q1245" s="3"/>
    </x:row>
    <x:row r="1246" ht="21" customHeight="1">
      <x:c r="A1246" s="3" t="str">
        <x:v>ORD-101349</x:v>
      </x:c>
      <x:c r="B1246" s="5" t="n">
        <x:v>45620</x:v>
      </x:c>
      <x:c r="C1246" s="3" t="str">
        <x:v>CUST-00127</x:v>
      </x:c>
      <x:c r="D1246" s="3" t="str">
        <x:v>East</x:v>
      </x:c>
      <x:c r="E1246" s="3" t="str">
        <x:v>Beauty</x:v>
      </x:c>
      <x:c r="F1246" s="3" t="str">
        <x:v>Skincare</x:v>
      </x:c>
      <x:c r="G1246" s="3" t="str">
        <x:v>HydraBoost Moisturizer</x:v>
      </x:c>
      <x:c r="H1246" s="3" t="n">
        <x:v>2</x:v>
      </x:c>
      <x:c r="I1246" s="7" t="n">
        <x:v>1213.33</x:v>
      </x:c>
      <x:c r="J1246" s="9" t="n">
        <x:v>0.05</x:v>
      </x:c>
      <x:c r="K1246" s="7" t="n">
        <x:v>2305.33</x:v>
      </x:c>
      <x:c r="L1246" s="7" t="n">
        <x:v>1126.22</x:v>
      </x:c>
      <x:c r="M1246" s="3" t="str">
        <x:v>UPI</x:v>
      </x:c>
      <x:c r="N1246" s="3"/>
      <x:c r="O1246" s="3"/>
      <x:c r="P1246" s="3"/>
      <x:c r="Q1246" s="3"/>
    </x:row>
    <x:row r="1247" ht="21" customHeight="1">
      <x:c r="A1247" s="3" t="str">
        <x:v>ORD-101527</x:v>
      </x:c>
      <x:c r="B1247" s="5" t="n">
        <x:v>45620</x:v>
      </x:c>
      <x:c r="C1247" s="3" t="str">
        <x:v>CUST-00176</x:v>
      </x:c>
      <x:c r="D1247" s="3" t="str">
        <x:v>East</x:v>
      </x:c>
      <x:c r="E1247" s="3" t="str">
        <x:v>Sports</x:v>
      </x:c>
      <x:c r="F1247" s="3" t="str">
        <x:v>Outdoor</x:v>
      </x:c>
      <x:c r="G1247" s="3" t="str">
        <x:v>TrailHike Backpack 60L</x:v>
      </x:c>
      <x:c r="H1247" s="3" t="n">
        <x:v>1</x:v>
      </x:c>
      <x:c r="I1247" s="7" t="n">
        <x:v>3548.87</x:v>
      </x:c>
      <x:c r="J1247" s="9" t="n">
        <x:v>0</x:v>
      </x:c>
      <x:c r="K1247" s="7" t="n">
        <x:v>3548.87</x:v>
      </x:c>
      <x:c r="L1247" s="7" t="n">
        <x:v>1414.3</x:v>
      </x:c>
      <x:c r="M1247" s="3" t="str">
        <x:v>Credit Card</x:v>
      </x:c>
      <x:c r="N1247" s="3"/>
      <x:c r="O1247" s="3"/>
      <x:c r="P1247" s="3"/>
      <x:c r="Q1247" s="3"/>
    </x:row>
    <x:row r="1248" ht="21" customHeight="1">
      <x:c r="A1248" s="3" t="str">
        <x:v>ORD-101889</x:v>
      </x:c>
      <x:c r="B1248" s="5" t="n">
        <x:v>45620</x:v>
      </x:c>
      <x:c r="C1248" s="3" t="str">
        <x:v>CUST-00057</x:v>
      </x:c>
      <x:c r="D1248" s="3" t="str">
        <x:v>East</x:v>
      </x:c>
      <x:c r="E1248" s="3" t="str">
        <x:v>Fashion</x:v>
      </x:c>
      <x:c r="F1248" s="3" t="str">
        <x:v>Footwear</x:v>
      </x:c>
      <x:c r="G1248" s="3" t="str">
        <x:v>UrbanLoafers</x:v>
      </x:c>
      <x:c r="H1248" s="3" t="n">
        <x:v>2</x:v>
      </x:c>
      <x:c r="I1248" s="7" t="n">
        <x:v>3347.46</x:v>
      </x:c>
      <x:c r="J1248" s="9" t="n">
        <x:v>0.15</x:v>
      </x:c>
      <x:c r="K1248" s="7" t="n">
        <x:v>5690.68</x:v>
      </x:c>
      <x:c r="L1248" s="7" t="n">
        <x:v>1192.88</x:v>
      </x:c>
      <x:c r="M1248" s="3" t="str">
        <x:v>Credit Card</x:v>
      </x:c>
      <x:c r="N1248" s="3"/>
      <x:c r="O1248" s="3"/>
      <x:c r="P1248" s="3"/>
      <x:c r="Q1248" s="3"/>
    </x:row>
    <x:row r="1249" ht="21" customHeight="1">
      <x:c r="A1249" s="3" t="str">
        <x:v>ORD-100031</x:v>
      </x:c>
      <x:c r="B1249" s="5" t="n">
        <x:v>45621</x:v>
      </x:c>
      <x:c r="C1249" s="3" t="str">
        <x:v>CUST-00453</x:v>
      </x:c>
      <x:c r="D1249" s="3" t="str">
        <x:v>North</x:v>
      </x:c>
      <x:c r="E1249" s="3" t="str">
        <x:v>Sports</x:v>
      </x:c>
      <x:c r="F1249" s="3" t="str">
        <x:v>Outdoor</x:v>
      </x:c>
      <x:c r="G1249" s="3" t="str">
        <x:v>TrailHike Backpack 60L</x:v>
      </x:c>
      <x:c r="H1249" s="3" t="n">
        <x:v>2</x:v>
      </x:c>
      <x:c r="I1249" s="7" t="n">
        <x:v>3515.77</x:v>
      </x:c>
      <x:c r="J1249" s="9" t="n">
        <x:v>0.05</x:v>
      </x:c>
      <x:c r="K1249" s="7" t="n">
        <x:v>6679.96</x:v>
      </x:c>
      <x:c r="L1249" s="7" t="n">
        <x:v>1887.31</x:v>
      </x:c>
      <x:c r="M1249" s="3" t="str">
        <x:v>Credit Card</x:v>
      </x:c>
      <x:c r="N1249" s="3"/>
      <x:c r="O1249" s="3"/>
      <x:c r="P1249" s="3"/>
      <x:c r="Q1249" s="3"/>
    </x:row>
    <x:row r="1250" ht="21" customHeight="1">
      <x:c r="A1250" s="3" t="str">
        <x:v>ORD-100658</x:v>
      </x:c>
      <x:c r="B1250" s="5" t="n">
        <x:v>45621</x:v>
      </x:c>
      <x:c r="C1250" s="3" t="str">
        <x:v>CUST-00369</x:v>
      </x:c>
      <x:c r="D1250" s="3" t="str">
        <x:v>South</x:v>
      </x:c>
      <x:c r="E1250" s="3" t="str">
        <x:v>Beauty</x:v>
      </x:c>
      <x:c r="F1250" s="3" t="str">
        <x:v>Makeup</x:v>
      </x:c>
      <x:c r="G1250" s="3" t="str">
        <x:v>Matte Lipstick Set</x:v>
      </x:c>
      <x:c r="H1250" s="3" t="n">
        <x:v>1</x:v>
      </x:c>
      <x:c r="I1250" s="7" t="n">
        <x:v>1014.87</x:v>
      </x:c>
      <x:c r="J1250" s="9" t="n">
        <x:v>0.1</x:v>
      </x:c>
      <x:c r="K1250" s="7" t="n">
        <x:v>913.38</x:v>
      </x:c>
      <x:c r="L1250" s="7" t="n">
        <x:v>395.51</x:v>
      </x:c>
      <x:c r="M1250" s="3" t="str">
        <x:v>UPI</x:v>
      </x:c>
      <x:c r="N1250" s="3"/>
      <x:c r="O1250" s="3"/>
      <x:c r="P1250" s="3"/>
      <x:c r="Q1250" s="3"/>
    </x:row>
    <x:row r="1251" ht="21" customHeight="1">
      <x:c r="A1251" s="3" t="str">
        <x:v>ORD-100984</x:v>
      </x:c>
      <x:c r="B1251" s="5" t="n">
        <x:v>45621</x:v>
      </x:c>
      <x:c r="C1251" s="3" t="str">
        <x:v>CUST-00357</x:v>
      </x:c>
      <x:c r="D1251" s="3" t="str">
        <x:v>North</x:v>
      </x:c>
      <x:c r="E1251" s="3" t="str">
        <x:v>Home &amp; Kitchen</x:v>
      </x:c>
      <x:c r="F1251" s="3" t="str">
        <x:v>Decor</x:v>
      </x:c>
      <x:c r="G1251" s="3" t="str">
        <x:v>Ceramic Vase Set</x:v>
      </x:c>
      <x:c r="H1251" s="3" t="n">
        <x:v>1</x:v>
      </x:c>
      <x:c r="I1251" s="7" t="n">
        <x:v>1519.21</x:v>
      </x:c>
      <x:c r="J1251" s="9" t="n">
        <x:v>0.1</x:v>
      </x:c>
      <x:c r="K1251" s="7" t="n">
        <x:v>1367.29</x:v>
      </x:c>
      <x:c r="L1251" s="7" t="n">
        <x:v>323.35</x:v>
      </x:c>
      <x:c r="M1251" s="3" t="str">
        <x:v>Credit Card</x:v>
      </x:c>
      <x:c r="N1251" s="3"/>
      <x:c r="O1251" s="3"/>
      <x:c r="P1251" s="3"/>
      <x:c r="Q1251" s="3"/>
    </x:row>
    <x:row r="1252" ht="21" customHeight="1">
      <x:c r="A1252" s="3" t="str">
        <x:v>ORD-101019</x:v>
      </x:c>
      <x:c r="B1252" s="5" t="n">
        <x:v>45621</x:v>
      </x:c>
      <x:c r="C1252" s="3" t="str">
        <x:v>CUST-00147</x:v>
      </x:c>
      <x:c r="D1252" s="3" t="str">
        <x:v>East</x:v>
      </x:c>
      <x:c r="E1252" s="3" t="str">
        <x:v>Beauty</x:v>
      </x:c>
      <x:c r="F1252" s="3" t="str">
        <x:v>Makeup</x:v>
      </x:c>
      <x:c r="G1252" s="3" t="str">
        <x:v>Matte Lipstick Set</x:v>
      </x:c>
      <x:c r="H1252" s="3" t="n">
        <x:v>1</x:v>
      </x:c>
      <x:c r="I1252" s="7" t="n">
        <x:v>1000.8</x:v>
      </x:c>
      <x:c r="J1252" s="9" t="n">
        <x:v>0</x:v>
      </x:c>
      <x:c r="K1252" s="7" t="n">
        <x:v>1000.8</x:v>
      </x:c>
      <x:c r="L1252" s="7" t="n">
        <x:v>511.81</x:v>
      </x:c>
      <x:c r="M1252" s="3" t="str">
        <x:v>Debit Card</x:v>
      </x:c>
      <x:c r="N1252" s="3"/>
      <x:c r="O1252" s="3"/>
      <x:c r="P1252" s="3"/>
      <x:c r="Q1252" s="3"/>
    </x:row>
    <x:row r="1253" ht="21" customHeight="1">
      <x:c r="A1253" s="3" t="str">
        <x:v>ORD-101233</x:v>
      </x:c>
      <x:c r="B1253" s="5" t="n">
        <x:v>45621</x:v>
      </x:c>
      <x:c r="C1253" s="3" t="str">
        <x:v>CUST-00418</x:v>
      </x:c>
      <x:c r="D1253" s="3" t="str">
        <x:v>East</x:v>
      </x:c>
      <x:c r="E1253" s="3" t="str">
        <x:v>Electronics</x:v>
      </x:c>
      <x:c r="F1253" s="3" t="str">
        <x:v>Mobile</x:v>
      </x:c>
      <x:c r="G1253" s="3" t="str">
        <x:v>Pixel Aura 12</x:v>
      </x:c>
      <x:c r="H1253" s="3" t="n">
        <x:v>1</x:v>
      </x:c>
      <x:c r="I1253" s="7" t="n">
        <x:v>32270.54</x:v>
      </x:c>
      <x:c r="J1253" s="9" t="n">
        <x:v>0.1</x:v>
      </x:c>
      <x:c r="K1253" s="7" t="n">
        <x:v>29043.49</x:v>
      </x:c>
      <x:c r="L1253" s="7" t="n">
        <x:v>1406.95</x:v>
      </x:c>
      <x:c r="M1253" s="3" t="str">
        <x:v>Net Banking</x:v>
      </x:c>
      <x:c r="N1253" s="3"/>
      <x:c r="O1253" s="3"/>
      <x:c r="P1253" s="3"/>
      <x:c r="Q1253" s="3"/>
    </x:row>
    <x:row r="1254" ht="21" customHeight="1">
      <x:c r="A1254" s="3" t="str">
        <x:v>ORD-101658</x:v>
      </x:c>
      <x:c r="B1254" s="5" t="n">
        <x:v>45621</x:v>
      </x:c>
      <x:c r="C1254" s="3" t="str">
        <x:v>CUST-00553</x:v>
      </x:c>
      <x:c r="D1254" s="3" t="str">
        <x:v>East</x:v>
      </x:c>
      <x:c r="E1254" s="3" t="str">
        <x:v>Home &amp; Kitchen</x:v>
      </x:c>
      <x:c r="F1254" s="3" t="str">
        <x:v>Appliances</x:v>
      </x:c>
      <x:c r="G1254" s="3" t="str">
        <x:v>ColdBrew Coffee Maker</x:v>
      </x:c>
      <x:c r="H1254" s="3" t="n">
        <x:v>3</x:v>
      </x:c>
      <x:c r="I1254" s="7" t="n">
        <x:v>6234.77</x:v>
      </x:c>
      <x:c r="J1254" s="9" t="n">
        <x:v>0</x:v>
      </x:c>
      <x:c r="K1254" s="7" t="n">
        <x:v>18704.31</x:v>
      </x:c>
      <x:c r="L1254" s="7" t="n">
        <x:v>6240.14</x:v>
      </x:c>
      <x:c r="M1254" s="3" t="str">
        <x:v>UPI</x:v>
      </x:c>
      <x:c r="N1254" s="3"/>
      <x:c r="O1254" s="3"/>
      <x:c r="P1254" s="3"/>
      <x:c r="Q1254" s="3"/>
    </x:row>
    <x:row r="1255" ht="21" customHeight="1">
      <x:c r="A1255" s="3" t="str">
        <x:v>ORD-101727</x:v>
      </x:c>
      <x:c r="B1255" s="5" t="n">
        <x:v>45621</x:v>
      </x:c>
      <x:c r="C1255" s="3" t="str">
        <x:v>CUST-00347</x:v>
      </x:c>
      <x:c r="D1255" s="3" t="str">
        <x:v>South</x:v>
      </x:c>
      <x:c r="E1255" s="3" t="str">
        <x:v>Beauty</x:v>
      </x:c>
      <x:c r="F1255" s="3" t="str">
        <x:v>Makeup</x:v>
      </x:c>
      <x:c r="G1255" s="3" t="str">
        <x:v>HD Foundation Kit</x:v>
      </x:c>
      <x:c r="H1255" s="3" t="n">
        <x:v>2</x:v>
      </x:c>
      <x:c r="I1255" s="7" t="n">
        <x:v>1427.2</x:v>
      </x:c>
      <x:c r="J1255" s="9" t="n">
        <x:v>0.1</x:v>
      </x:c>
      <x:c r="K1255" s="7" t="n">
        <x:v>2568.96</x:v>
      </x:c>
      <x:c r="L1255" s="7" t="n">
        <x:v>1106.16</x:v>
      </x:c>
      <x:c r="M1255" s="3" t="str">
        <x:v>UPI</x:v>
      </x:c>
      <x:c r="N1255" s="3"/>
      <x:c r="O1255" s="3"/>
      <x:c r="P1255" s="3"/>
      <x:c r="Q1255" s="3"/>
    </x:row>
    <x:row r="1256" ht="21" customHeight="1">
      <x:c r="A1256" s="3" t="str">
        <x:v>ORD-100058</x:v>
      </x:c>
      <x:c r="B1256" s="5" t="n">
        <x:v>45622</x:v>
      </x:c>
      <x:c r="C1256" s="3" t="str">
        <x:v>CUST-00027</x:v>
      </x:c>
      <x:c r="D1256" s="3" t="str">
        <x:v>North</x:v>
      </x:c>
      <x:c r="E1256" s="3" t="str">
        <x:v>Home &amp; Kitchen</x:v>
      </x:c>
      <x:c r="F1256" s="3" t="str">
        <x:v>Appliances</x:v>
      </x:c>
      <x:c r="G1256" s="3" t="str">
        <x:v>ColdBrew Coffee Maker</x:v>
      </x:c>
      <x:c r="H1256" s="3" t="n">
        <x:v>4</x:v>
      </x:c>
      <x:c r="I1256" s="7" t="n">
        <x:v>6494.97</x:v>
      </x:c>
      <x:c r="J1256" s="9" t="n">
        <x:v>0.05</x:v>
      </x:c>
      <x:c r="K1256" s="7" t="n">
        <x:v>24680.89</x:v>
      </x:c>
      <x:c r="L1256" s="7" t="n">
        <x:v>5897.14</x:v>
      </x:c>
      <x:c r="M1256" s="3" t="str">
        <x:v>Credit Card</x:v>
      </x:c>
      <x:c r="N1256" s="3"/>
      <x:c r="O1256" s="3"/>
      <x:c r="P1256" s="3"/>
      <x:c r="Q1256" s="3"/>
    </x:row>
    <x:row r="1257" ht="21" customHeight="1">
      <x:c r="A1257" s="3" t="str">
        <x:v>ORD-100406</x:v>
      </x:c>
      <x:c r="B1257" s="5" t="n">
        <x:v>45622</x:v>
      </x:c>
      <x:c r="C1257" s="3" t="str">
        <x:v>CUST-00389</x:v>
      </x:c>
      <x:c r="D1257" s="3" t="str">
        <x:v>East</x:v>
      </x:c>
      <x:c r="E1257" s="3" t="str">
        <x:v>Electronics</x:v>
      </x:c>
      <x:c r="F1257" s="3" t="str">
        <x:v>Mobile</x:v>
      </x:c>
      <x:c r="G1257" s="3" t="str">
        <x:v>Pixel Aura 12</x:v>
      </x:c>
      <x:c r="H1257" s="3" t="n">
        <x:v>5</x:v>
      </x:c>
      <x:c r="I1257" s="7" t="n">
        <x:v>32287.48</x:v>
      </x:c>
      <x:c r="J1257" s="9" t="n">
        <x:v>0</x:v>
      </x:c>
      <x:c r="K1257" s="7" t="n">
        <x:v>161437.4</x:v>
      </x:c>
      <x:c r="L1257" s="7" t="n">
        <x:v>31137.07</x:v>
      </x:c>
      <x:c r="M1257" s="3" t="str">
        <x:v>Credit Card</x:v>
      </x:c>
      <x:c r="N1257" s="3"/>
      <x:c r="O1257" s="3"/>
      <x:c r="P1257" s="3"/>
      <x:c r="Q1257" s="3"/>
    </x:row>
    <x:row r="1258" ht="21" customHeight="1">
      <x:c r="A1258" s="3" t="str">
        <x:v>ORD-101797</x:v>
      </x:c>
      <x:c r="B1258" s="5" t="n">
        <x:v>45622</x:v>
      </x:c>
      <x:c r="C1258" s="3" t="str">
        <x:v>CUST-00044</x:v>
      </x:c>
      <x:c r="D1258" s="3" t="str">
        <x:v>West</x:v>
      </x:c>
      <x:c r="E1258" s="3" t="str">
        <x:v>Electronics</x:v>
      </x:c>
      <x:c r="F1258" s="3" t="str">
        <x:v>Laptop</x:v>
      </x:c>
      <x:c r="G1258" s="3" t="str">
        <x:v>AirBook Slim</x:v>
      </x:c>
      <x:c r="H1258" s="3" t="n">
        <x:v>1</x:v>
      </x:c>
      <x:c r="I1258" s="7" t="n">
        <x:v>76398.42</x:v>
      </x:c>
      <x:c r="J1258" s="9" t="n">
        <x:v>0</x:v>
      </x:c>
      <x:c r="K1258" s="7" t="n">
        <x:v>76398.42</x:v>
      </x:c>
      <x:c r="L1258" s="7" t="n">
        <x:v>15618.23</x:v>
      </x:c>
      <x:c r="M1258" s="3" t="str">
        <x:v>UPI</x:v>
      </x:c>
      <x:c r="N1258" s="3"/>
      <x:c r="O1258" s="3"/>
      <x:c r="P1258" s="3"/>
      <x:c r="Q1258" s="3"/>
    </x:row>
    <x:row r="1259" ht="21" customHeight="1">
      <x:c r="A1259" s="3" t="str">
        <x:v>ORD-101799</x:v>
      </x:c>
      <x:c r="B1259" s="5" t="n">
        <x:v>45622</x:v>
      </x:c>
      <x:c r="C1259" s="3" t="str">
        <x:v>CUST-00204</x:v>
      </x:c>
      <x:c r="D1259" s="3" t="str">
        <x:v>South</x:v>
      </x:c>
      <x:c r="E1259" s="3" t="str">
        <x:v>Home &amp; Kitchen</x:v>
      </x:c>
      <x:c r="F1259" s="3" t="str">
        <x:v>Furniture</x:v>
      </x:c>
      <x:c r="G1259" s="3" t="str">
        <x:v>ErgoComfort Chair</x:v>
      </x:c>
      <x:c r="H1259" s="3" t="n">
        <x:v>1</x:v>
      </x:c>
      <x:c r="I1259" s="7" t="n">
        <x:v>8737.34</x:v>
      </x:c>
      <x:c r="J1259" s="9" t="n">
        <x:v>0.05</x:v>
      </x:c>
      <x:c r="K1259" s="7" t="n">
        <x:v>8300.47</x:v>
      </x:c>
      <x:c r="L1259" s="7" t="n">
        <x:v>2575.21</x:v>
      </x:c>
      <x:c r="M1259" s="3" t="str">
        <x:v>UPI</x:v>
      </x:c>
      <x:c r="N1259" s="3"/>
      <x:c r="O1259" s="3"/>
      <x:c r="P1259" s="3"/>
      <x:c r="Q1259" s="3"/>
    </x:row>
    <x:row r="1260" ht="21" customHeight="1">
      <x:c r="A1260" s="3" t="str">
        <x:v>ORD-100374</x:v>
      </x:c>
      <x:c r="B1260" s="5" t="n">
        <x:v>45623</x:v>
      </x:c>
      <x:c r="C1260" s="3" t="str">
        <x:v>CUST-00577</x:v>
      </x:c>
      <x:c r="D1260" s="3" t="str">
        <x:v>South</x:v>
      </x:c>
      <x:c r="E1260" s="3" t="str">
        <x:v>Beauty</x:v>
      </x:c>
      <x:c r="F1260" s="3" t="str">
        <x:v>Makeup</x:v>
      </x:c>
      <x:c r="G1260" s="3" t="str">
        <x:v>HD Foundation Kit</x:v>
      </x:c>
      <x:c r="H1260" s="3" t="n">
        <x:v>4</x:v>
      </x:c>
      <x:c r="I1260" s="7" t="n">
        <x:v>1573.48</x:v>
      </x:c>
      <x:c r="J1260" s="9" t="n">
        <x:v>0.1</x:v>
      </x:c>
      <x:c r="K1260" s="7" t="n">
        <x:v>5664.53</x:v>
      </x:c>
      <x:c r="L1260" s="7" t="n">
        <x:v>2620.35</x:v>
      </x:c>
      <x:c r="M1260" s="3" t="str">
        <x:v>Credit Card</x:v>
      </x:c>
      <x:c r="N1260" s="3"/>
      <x:c r="O1260" s="3"/>
      <x:c r="P1260" s="3"/>
      <x:c r="Q1260" s="3"/>
    </x:row>
    <x:row r="1261" ht="21" customHeight="1">
      <x:c r="A1261" s="3" t="str">
        <x:v>ORD-100635</x:v>
      </x:c>
      <x:c r="B1261" s="5" t="n">
        <x:v>45623</x:v>
      </x:c>
      <x:c r="C1261" s="3" t="str">
        <x:v>CUST-00412</x:v>
      </x:c>
      <x:c r="D1261" s="3" t="str">
        <x:v>North</x:v>
      </x:c>
      <x:c r="E1261" s="3" t="str">
        <x:v>Home &amp; Kitchen</x:v>
      </x:c>
      <x:c r="F1261" s="3" t="str">
        <x:v>Appliances</x:v>
      </x:c>
      <x:c r="G1261" s="3" t="str">
        <x:v>AirFryer Deluxe</x:v>
      </x:c>
      <x:c r="H1261" s="3" t="n">
        <x:v>2</x:v>
      </x:c>
      <x:c r="I1261" s="7" t="n">
        <x:v>7915.06</x:v>
      </x:c>
      <x:c r="J1261" s="9" t="n">
        <x:v>0.25</x:v>
      </x:c>
      <x:c r="K1261" s="7" t="n">
        <x:v>11872.59</x:v>
      </x:c>
      <x:c r="L1261" s="7" t="n">
        <x:v>436.09</x:v>
      </x:c>
      <x:c r="M1261" s="3" t="str">
        <x:v>UPI</x:v>
      </x:c>
      <x:c r="N1261" s="3"/>
      <x:c r="O1261" s="3"/>
      <x:c r="P1261" s="3"/>
      <x:c r="Q1261" s="3"/>
    </x:row>
    <x:row r="1262" ht="21" customHeight="1">
      <x:c r="A1262" s="3" t="str">
        <x:v>ORD-101060</x:v>
      </x:c>
      <x:c r="B1262" s="5" t="n">
        <x:v>45623</x:v>
      </x:c>
      <x:c r="C1262" s="3" t="str">
        <x:v>CUST-00583</x:v>
      </x:c>
      <x:c r="D1262" s="3" t="str">
        <x:v>South</x:v>
      </x:c>
      <x:c r="E1262" s="3" t="str">
        <x:v>Fashion</x:v>
      </x:c>
      <x:c r="F1262" s="3" t="str">
        <x:v>Women</x:v>
      </x:c>
      <x:c r="G1262" s="3" t="str">
        <x:v>Knit Winter Sweater</x:v>
      </x:c>
      <x:c r="H1262" s="3" t="n">
        <x:v>2</x:v>
      </x:c>
      <x:c r="I1262" s="7" t="n">
        <x:v>2231.18</x:v>
      </x:c>
      <x:c r="J1262" s="9" t="n">
        <x:v>0.1</x:v>
      </x:c>
      <x:c r="K1262" s="7" t="n">
        <x:v>4016.12</x:v>
      </x:c>
      <x:c r="L1262" s="7" t="n">
        <x:v>1191.35</x:v>
      </x:c>
      <x:c r="M1262" s="3" t="str">
        <x:v>Debit Card</x:v>
      </x:c>
      <x:c r="N1262" s="3"/>
      <x:c r="O1262" s="3"/>
      <x:c r="P1262" s="3"/>
      <x:c r="Q1262" s="3"/>
    </x:row>
    <x:row r="1263" ht="21" customHeight="1">
      <x:c r="A1263" s="3" t="str">
        <x:v>ORD-101100</x:v>
      </x:c>
      <x:c r="B1263" s="5" t="n">
        <x:v>45623</x:v>
      </x:c>
      <x:c r="C1263" s="3" t="str">
        <x:v>CUST-00580</x:v>
      </x:c>
      <x:c r="D1263" s="3" t="str">
        <x:v>South</x:v>
      </x:c>
      <x:c r="E1263" s="3" t="str">
        <x:v>Sports</x:v>
      </x:c>
      <x:c r="F1263" s="3" t="str">
        <x:v>Outdoor</x:v>
      </x:c>
      <x:c r="G1263" s="3" t="str">
        <x:v>TrailHike Backpack 60L</x:v>
      </x:c>
      <x:c r="H1263" s="3" t="n">
        <x:v>1</x:v>
      </x:c>
      <x:c r="I1263" s="7" t="n">
        <x:v>3418.96</x:v>
      </x:c>
      <x:c r="J1263" s="9" t="n">
        <x:v>0</x:v>
      </x:c>
      <x:c r="K1263" s="7" t="n">
        <x:v>3418.96</x:v>
      </x:c>
      <x:c r="L1263" s="7" t="n">
        <x:v>1241.48</x:v>
      </x:c>
      <x:c r="M1263" s="3" t="str">
        <x:v>UPI</x:v>
      </x:c>
      <x:c r="N1263" s="3"/>
      <x:c r="O1263" s="3"/>
      <x:c r="P1263" s="3"/>
      <x:c r="Q1263" s="3"/>
    </x:row>
    <x:row r="1264" ht="21" customHeight="1">
      <x:c r="A1264" s="3" t="str">
        <x:v>ORD-101145</x:v>
      </x:c>
      <x:c r="B1264" s="5" t="n">
        <x:v>45623</x:v>
      </x:c>
      <x:c r="C1264" s="3" t="str">
        <x:v>CUST-00335</x:v>
      </x:c>
      <x:c r="D1264" s="3" t="str">
        <x:v>West</x:v>
      </x:c>
      <x:c r="E1264" s="3" t="str">
        <x:v>Fashion</x:v>
      </x:c>
      <x:c r="F1264" s="3" t="str">
        <x:v>Women</x:v>
      </x:c>
      <x:c r="G1264" s="3" t="str">
        <x:v>Floral Summer Dress</x:v>
      </x:c>
      <x:c r="H1264" s="3" t="n">
        <x:v>1</x:v>
      </x:c>
      <x:c r="I1264" s="7" t="n">
        <x:v>1853.62</x:v>
      </x:c>
      <x:c r="J1264" s="9" t="n">
        <x:v>0.2</x:v>
      </x:c>
      <x:c r="K1264" s="7" t="n">
        <x:v>1482.9</x:v>
      </x:c>
      <x:c r="L1264" s="7" t="n">
        <x:v>268.65</x:v>
      </x:c>
      <x:c r="M1264" s="3" t="str">
        <x:v>Credit Card</x:v>
      </x:c>
      <x:c r="N1264" s="3"/>
      <x:c r="O1264" s="3"/>
      <x:c r="P1264" s="3"/>
      <x:c r="Q1264" s="3"/>
    </x:row>
    <x:row r="1265" ht="21" customHeight="1">
      <x:c r="A1265" s="3" t="str">
        <x:v>ORD-101554</x:v>
      </x:c>
      <x:c r="B1265" s="5" t="n">
        <x:v>45623</x:v>
      </x:c>
      <x:c r="C1265" s="3" t="str">
        <x:v>CUST-00210</x:v>
      </x:c>
      <x:c r="D1265" s="3" t="str">
        <x:v>East</x:v>
      </x:c>
      <x:c r="E1265" s="3" t="str">
        <x:v>Home &amp; Kitchen</x:v>
      </x:c>
      <x:c r="F1265" s="3" t="str">
        <x:v>Decor</x:v>
      </x:c>
      <x:c r="G1265" s="3" t="str">
        <x:v>Ceramic Vase Set</x:v>
      </x:c>
      <x:c r="H1265" s="3" t="n">
        <x:v>3</x:v>
      </x:c>
      <x:c r="I1265" s="7" t="n">
        <x:v>1435.52</x:v>
      </x:c>
      <x:c r="J1265" s="9" t="n">
        <x:v>0.1</x:v>
      </x:c>
      <x:c r="K1265" s="7" t="n">
        <x:v>3875.9</x:v>
      </x:c>
      <x:c r="L1265" s="7" t="n">
        <x:v>955.27</x:v>
      </x:c>
      <x:c r="M1265" s="3" t="str">
        <x:v>Credit Card</x:v>
      </x:c>
      <x:c r="N1265" s="3"/>
      <x:c r="O1265" s="3"/>
      <x:c r="P1265" s="3"/>
      <x:c r="Q1265" s="3"/>
    </x:row>
    <x:row r="1266" ht="21" customHeight="1">
      <x:c r="A1266" s="3" t="str">
        <x:v>ORD-101816</x:v>
      </x:c>
      <x:c r="B1266" s="5" t="n">
        <x:v>45623</x:v>
      </x:c>
      <x:c r="C1266" s="3" t="str">
        <x:v>CUST-00184</x:v>
      </x:c>
      <x:c r="D1266" s="3" t="str">
        <x:v>North</x:v>
      </x:c>
      <x:c r="E1266" s="3" t="str">
        <x:v>Fashion</x:v>
      </x:c>
      <x:c r="F1266" s="3" t="str">
        <x:v>Women</x:v>
      </x:c>
      <x:c r="G1266" s="3" t="str">
        <x:v>Knit Winter Sweater</x:v>
      </x:c>
      <x:c r="H1266" s="3" t="n">
        <x:v>1</x:v>
      </x:c>
      <x:c r="I1266" s="7" t="n">
        <x:v>2267.59</x:v>
      </x:c>
      <x:c r="J1266" s="9" t="n">
        <x:v>0.2</x:v>
      </x:c>
      <x:c r="K1266" s="7" t="n">
        <x:v>1814.07</x:v>
      </x:c>
      <x:c r="L1266" s="7" t="n">
        <x:v>315.45</x:v>
      </x:c>
      <x:c r="M1266" s="3" t="str">
        <x:v>UPI</x:v>
      </x:c>
      <x:c r="N1266" s="3"/>
      <x:c r="O1266" s="3"/>
      <x:c r="P1266" s="3"/>
      <x:c r="Q1266" s="3"/>
    </x:row>
    <x:row r="1267" ht="21" customHeight="1">
      <x:c r="A1267" s="3" t="str">
        <x:v>ORD-101641</x:v>
      </x:c>
      <x:c r="B1267" s="5" t="n">
        <x:v>45624</x:v>
      </x:c>
      <x:c r="C1267" s="3" t="str">
        <x:v>CUST-00225</x:v>
      </x:c>
      <x:c r="D1267" s="3" t="str">
        <x:v>East</x:v>
      </x:c>
      <x:c r="E1267" s="3" t="str">
        <x:v>Electronics</x:v>
      </x:c>
      <x:c r="F1267" s="3" t="str">
        <x:v>Audio</x:v>
      </x:c>
      <x:c r="G1267" s="3" t="str">
        <x:v>BassBoom Speaker</x:v>
      </x:c>
      <x:c r="H1267" s="3" t="n">
        <x:v>2</x:v>
      </x:c>
      <x:c r="I1267" s="7" t="n">
        <x:v>8603.82</x:v>
      </x:c>
      <x:c r="J1267" s="9" t="n">
        <x:v>0.05</x:v>
      </x:c>
      <x:c r="K1267" s="7" t="n">
        <x:v>16347.26</x:v>
      </x:c>
      <x:c r="L1267" s="7" t="n">
        <x:v>2500.77</x:v>
      </x:c>
      <x:c r="M1267" s="3" t="str">
        <x:v>Credit Card</x:v>
      </x:c>
      <x:c r="N1267" s="3"/>
      <x:c r="O1267" s="3"/>
      <x:c r="P1267" s="3"/>
      <x:c r="Q1267" s="3"/>
    </x:row>
    <x:row r="1268" ht="21" customHeight="1">
      <x:c r="A1268" s="3" t="str">
        <x:v>ORD-101769</x:v>
      </x:c>
      <x:c r="B1268" s="5" t="n">
        <x:v>45624</x:v>
      </x:c>
      <x:c r="C1268" s="3" t="str">
        <x:v>CUST-00455</x:v>
      </x:c>
      <x:c r="D1268" s="3" t="str">
        <x:v>West</x:v>
      </x:c>
      <x:c r="E1268" s="3" t="str">
        <x:v>Beauty</x:v>
      </x:c>
      <x:c r="F1268" s="3" t="str">
        <x:v>Makeup</x:v>
      </x:c>
      <x:c r="G1268" s="3" t="str">
        <x:v>HD Foundation Kit</x:v>
      </x:c>
      <x:c r="H1268" s="3" t="n">
        <x:v>1</x:v>
      </x:c>
      <x:c r="I1268" s="7" t="n">
        <x:v>1510.24</x:v>
      </x:c>
      <x:c r="J1268" s="9" t="n">
        <x:v>0.15</x:v>
      </x:c>
      <x:c r="K1268" s="7" t="n">
        <x:v>1283.7</x:v>
      </x:c>
      <x:c r="L1268" s="7" t="n">
        <x:v>488.34</x:v>
      </x:c>
      <x:c r="M1268" s="3" t="str">
        <x:v>UPI</x:v>
      </x:c>
      <x:c r="N1268" s="3"/>
      <x:c r="O1268" s="3"/>
      <x:c r="P1268" s="3"/>
      <x:c r="Q1268" s="3"/>
    </x:row>
    <x:row r="1269" ht="21" customHeight="1">
      <x:c r="A1269" s="3" t="str">
        <x:v>ORD-100576</x:v>
      </x:c>
      <x:c r="B1269" s="5" t="n">
        <x:v>45625</x:v>
      </x:c>
      <x:c r="C1269" s="3" t="str">
        <x:v>CUST-00420</x:v>
      </x:c>
      <x:c r="D1269" s="3" t="str">
        <x:v>South</x:v>
      </x:c>
      <x:c r="E1269" s="3" t="str">
        <x:v>Sports</x:v>
      </x:c>
      <x:c r="F1269" s="3" t="str">
        <x:v>Outdoor</x:v>
      </x:c>
      <x:c r="G1269" s="3" t="str">
        <x:v>TrailHike Backpack 60L</x:v>
      </x:c>
      <x:c r="H1269" s="3" t="n">
        <x:v>2</x:v>
      </x:c>
      <x:c r="I1269" s="7" t="n">
        <x:v>3485.33</x:v>
      </x:c>
      <x:c r="J1269" s="9" t="n">
        <x:v>0.05</x:v>
      </x:c>
      <x:c r="K1269" s="7" t="n">
        <x:v>6622.13</x:v>
      </x:c>
      <x:c r="L1269" s="7" t="n">
        <x:v>2109.11</x:v>
      </x:c>
      <x:c r="M1269" s="3" t="str">
        <x:v>Net Banking</x:v>
      </x:c>
      <x:c r="N1269" s="3"/>
      <x:c r="O1269" s="3"/>
      <x:c r="P1269" s="3"/>
      <x:c r="Q1269" s="3"/>
    </x:row>
    <x:row r="1270" ht="21" customHeight="1">
      <x:c r="A1270" s="3" t="str">
        <x:v>ORD-100628</x:v>
      </x:c>
      <x:c r="B1270" s="5" t="n">
        <x:v>45625</x:v>
      </x:c>
      <x:c r="C1270" s="3" t="str">
        <x:v>CUST-00169</x:v>
      </x:c>
      <x:c r="D1270" s="3" t="str">
        <x:v>West</x:v>
      </x:c>
      <x:c r="E1270" s="3" t="str">
        <x:v>Beauty</x:v>
      </x:c>
      <x:c r="F1270" s="3" t="str">
        <x:v>Skincare</x:v>
      </x:c>
      <x:c r="G1270" s="3" t="str">
        <x:v>HydraBoost Moisturizer</x:v>
      </x:c>
      <x:c r="H1270" s="3" t="n">
        <x:v>2</x:v>
      </x:c>
      <x:c r="I1270" s="7" t="n">
        <x:v>1245.23</x:v>
      </x:c>
      <x:c r="J1270" s="9" t="n">
        <x:v>0</x:v>
      </x:c>
      <x:c r="K1270" s="7" t="n">
        <x:v>2490.46</x:v>
      </x:c>
      <x:c r="L1270" s="7" t="n">
        <x:v>1301.6</x:v>
      </x:c>
      <x:c r="M1270" s="3" t="str">
        <x:v>Credit Card</x:v>
      </x:c>
      <x:c r="N1270" s="3"/>
      <x:c r="O1270" s="3"/>
      <x:c r="P1270" s="3"/>
      <x:c r="Q1270" s="3"/>
    </x:row>
    <x:row r="1271" ht="21" customHeight="1">
      <x:c r="A1271" s="3" t="str">
        <x:v>ORD-100483</x:v>
      </x:c>
      <x:c r="B1271" s="5" t="n">
        <x:v>45626</x:v>
      </x:c>
      <x:c r="C1271" s="3" t="str">
        <x:v>CUST-00200</x:v>
      </x:c>
      <x:c r="D1271" s="3" t="str">
        <x:v>North</x:v>
      </x:c>
      <x:c r="E1271" s="3" t="str">
        <x:v>Sports</x:v>
      </x:c>
      <x:c r="F1271" s="3" t="str">
        <x:v>Fitness</x:v>
      </x:c>
      <x:c r="G1271" s="3" t="str">
        <x:v>ProYoga Mat</x:v>
      </x:c>
      <x:c r="H1271" s="3" t="n">
        <x:v>2</x:v>
      </x:c>
      <x:c r="I1271" s="7" t="n">
        <x:v>1237.27</x:v>
      </x:c>
      <x:c r="J1271" s="9" t="n">
        <x:v>0</x:v>
      </x:c>
      <x:c r="K1271" s="7" t="n">
        <x:v>2474.54</x:v>
      </x:c>
      <x:c r="L1271" s="7" t="n">
        <x:v>963.59</x:v>
      </x:c>
      <x:c r="M1271" s="3" t="str">
        <x:v>UPI</x:v>
      </x:c>
      <x:c r="N1271" s="3"/>
      <x:c r="O1271" s="3"/>
      <x:c r="P1271" s="3"/>
      <x:c r="Q1271" s="3"/>
    </x:row>
    <x:row r="1272" ht="21" customHeight="1">
      <x:c r="A1272" s="3" t="str">
        <x:v>ORD-100661</x:v>
      </x:c>
      <x:c r="B1272" s="5" t="n">
        <x:v>45626</x:v>
      </x:c>
      <x:c r="C1272" s="3" t="str">
        <x:v>CUST-00288</x:v>
      </x:c>
      <x:c r="D1272" s="3" t="str">
        <x:v>East</x:v>
      </x:c>
      <x:c r="E1272" s="3" t="str">
        <x:v>Fashion</x:v>
      </x:c>
      <x:c r="F1272" s="3" t="str">
        <x:v>Men</x:v>
      </x:c>
      <x:c r="G1272" s="3" t="str">
        <x:v>SlimFit Denim Jeans</x:v>
      </x:c>
      <x:c r="H1272" s="3" t="n">
        <x:v>2</x:v>
      </x:c>
      <x:c r="I1272" s="7" t="n">
        <x:v>1916.93</x:v>
      </x:c>
      <x:c r="J1272" s="9" t="n">
        <x:v>0.1</x:v>
      </x:c>
      <x:c r="K1272" s="7" t="n">
        <x:v>3450.47</x:v>
      </x:c>
      <x:c r="L1272" s="7" t="n">
        <x:v>1034.42</x:v>
      </x:c>
      <x:c r="M1272" s="3" t="str">
        <x:v>UPI</x:v>
      </x:c>
      <x:c r="N1272" s="3"/>
      <x:c r="O1272" s="3"/>
      <x:c r="P1272" s="3"/>
      <x:c r="Q1272" s="3"/>
    </x:row>
    <x:row r="1273" ht="21" customHeight="1">
      <x:c r="A1273" s="3" t="str">
        <x:v>ORD-101059</x:v>
      </x:c>
      <x:c r="B1273" s="5" t="n">
        <x:v>45626</x:v>
      </x:c>
      <x:c r="C1273" s="3" t="str">
        <x:v>CUST-00378</x:v>
      </x:c>
      <x:c r="D1273" s="3" t="str">
        <x:v>West</x:v>
      </x:c>
      <x:c r="E1273" s="3" t="str">
        <x:v>Sports</x:v>
      </x:c>
      <x:c r="F1273" s="3" t="str">
        <x:v>Outdoor</x:v>
      </x:c>
      <x:c r="G1273" s="3" t="str">
        <x:v>TrailHike Backpack 60L</x:v>
      </x:c>
      <x:c r="H1273" s="3" t="n">
        <x:v>2</x:v>
      </x:c>
      <x:c r="I1273" s="7" t="n">
        <x:v>3381.05</x:v>
      </x:c>
      <x:c r="J1273" s="9" t="n">
        <x:v>0.05</x:v>
      </x:c>
      <x:c r="K1273" s="7" t="n">
        <x:v>6423.99</x:v>
      </x:c>
      <x:c r="L1273" s="7" t="n">
        <x:v>1880.83</x:v>
      </x:c>
      <x:c r="M1273" s="3" t="str">
        <x:v>UPI</x:v>
      </x:c>
      <x:c r="N1273" s="3"/>
      <x:c r="O1273" s="3"/>
      <x:c r="P1273" s="3"/>
      <x:c r="Q1273" s="3"/>
    </x:row>
    <x:row r="1274" ht="21" customHeight="1">
      <x:c r="A1274" s="3" t="str">
        <x:v>ORD-101066</x:v>
      </x:c>
      <x:c r="B1274" s="5" t="n">
        <x:v>45626</x:v>
      </x:c>
      <x:c r="C1274" s="3" t="str">
        <x:v>CUST-00403</x:v>
      </x:c>
      <x:c r="D1274" s="3" t="str">
        <x:v>East</x:v>
      </x:c>
      <x:c r="E1274" s="3" t="str">
        <x:v>Beauty</x:v>
      </x:c>
      <x:c r="F1274" s="3" t="str">
        <x:v>Makeup</x:v>
      </x:c>
      <x:c r="G1274" s="3" t="str">
        <x:v>HD Foundation Kit</x:v>
      </x:c>
      <x:c r="H1274" s="3" t="n">
        <x:v>2</x:v>
      </x:c>
      <x:c r="I1274" s="7" t="n">
        <x:v>1448.01</x:v>
      </x:c>
      <x:c r="J1274" s="9" t="n">
        <x:v>0.05</x:v>
      </x:c>
      <x:c r="K1274" s="7" t="n">
        <x:v>2751.22</x:v>
      </x:c>
      <x:c r="L1274" s="7" t="n">
        <x:v>1289.3</x:v>
      </x:c>
      <x:c r="M1274" s="3" t="str">
        <x:v>UPI</x:v>
      </x:c>
      <x:c r="N1274" s="3"/>
      <x:c r="O1274" s="3"/>
      <x:c r="P1274" s="3"/>
      <x:c r="Q1274" s="3"/>
    </x:row>
    <x:row r="1275" ht="21" customHeight="1">
      <x:c r="A1275" s="3" t="str">
        <x:v>ORD-101327</x:v>
      </x:c>
      <x:c r="B1275" s="5" t="n">
        <x:v>45626</x:v>
      </x:c>
      <x:c r="C1275" s="3" t="str">
        <x:v>CUST-00404</x:v>
      </x:c>
      <x:c r="D1275" s="3" t="str">
        <x:v>West</x:v>
      </x:c>
      <x:c r="E1275" s="3" t="str">
        <x:v>Sports</x:v>
      </x:c>
      <x:c r="F1275" s="3" t="str">
        <x:v>Outdoor</x:v>
      </x:c>
      <x:c r="G1275" s="3" t="str">
        <x:v>TrailHike Backpack 60L</x:v>
      </x:c>
      <x:c r="H1275" s="3" t="n">
        <x:v>1</x:v>
      </x:c>
      <x:c r="I1275" s="7" t="n">
        <x:v>3418.83</x:v>
      </x:c>
      <x:c r="J1275" s="9" t="n">
        <x:v>0</x:v>
      </x:c>
      <x:c r="K1275" s="7" t="n">
        <x:v>3418.83</x:v>
      </x:c>
      <x:c r="L1275" s="7" t="n">
        <x:v>1303.8</x:v>
      </x:c>
      <x:c r="M1275" s="3" t="str">
        <x:v>Debit Card</x:v>
      </x:c>
      <x:c r="N1275" s="3"/>
      <x:c r="O1275" s="3"/>
      <x:c r="P1275" s="3"/>
      <x:c r="Q1275" s="3"/>
    </x:row>
    <x:row r="1276" ht="21" customHeight="1">
      <x:c r="A1276" s="3" t="str">
        <x:v>ORD-101069</x:v>
      </x:c>
      <x:c r="B1276" s="5" t="n">
        <x:v>45627</x:v>
      </x:c>
      <x:c r="C1276" s="3" t="str">
        <x:v>CUST-00401</x:v>
      </x:c>
      <x:c r="D1276" s="3" t="str">
        <x:v>South</x:v>
      </x:c>
      <x:c r="E1276" s="3" t="str">
        <x:v>Fashion</x:v>
      </x:c>
      <x:c r="F1276" s="3" t="str">
        <x:v>Footwear</x:v>
      </x:c>
      <x:c r="G1276" s="3" t="str">
        <x:v>RunFlex Sneakers</x:v>
      </x:c>
      <x:c r="H1276" s="3" t="n">
        <x:v>1</x:v>
      </x:c>
      <x:c r="I1276" s="7" t="n">
        <x:v>2903.31</x:v>
      </x:c>
      <x:c r="J1276" s="9" t="n">
        <x:v>0</x:v>
      </x:c>
      <x:c r="K1276" s="7" t="n">
        <x:v>2903.31</x:v>
      </x:c>
      <x:c r="L1276" s="7" t="n">
        <x:v>1180.82</x:v>
      </x:c>
      <x:c r="M1276" s="3" t="str">
        <x:v>Debit Card</x:v>
      </x:c>
      <x:c r="N1276" s="3"/>
      <x:c r="O1276" s="3"/>
      <x:c r="P1276" s="3"/>
      <x:c r="Q1276" s="3"/>
    </x:row>
    <x:row r="1277" ht="21" customHeight="1">
      <x:c r="A1277" s="3" t="str">
        <x:v>ORD-101534</x:v>
      </x:c>
      <x:c r="B1277" s="5" t="n">
        <x:v>45627</x:v>
      </x:c>
      <x:c r="C1277" s="3" t="str">
        <x:v>CUST-00495</x:v>
      </x:c>
      <x:c r="D1277" s="3" t="str">
        <x:v>West</x:v>
      </x:c>
      <x:c r="E1277" s="3" t="str">
        <x:v>Fashion</x:v>
      </x:c>
      <x:c r="F1277" s="3" t="str">
        <x:v>Women</x:v>
      </x:c>
      <x:c r="G1277" s="3" t="str">
        <x:v>Floral Summer Dress</x:v>
      </x:c>
      <x:c r="H1277" s="3" t="n">
        <x:v>1</x:v>
      </x:c>
      <x:c r="I1277" s="7" t="n">
        <x:v>1833.45</x:v>
      </x:c>
      <x:c r="J1277" s="9" t="n">
        <x:v>0</x:v>
      </x:c>
      <x:c r="K1277" s="7" t="n">
        <x:v>1833.45</x:v>
      </x:c>
      <x:c r="L1277" s="7" t="n">
        <x:v>756.64</x:v>
      </x:c>
      <x:c r="M1277" s="3" t="str">
        <x:v>UPI</x:v>
      </x:c>
      <x:c r="N1277" s="3"/>
      <x:c r="O1277" s="3"/>
      <x:c r="P1277" s="3"/>
      <x:c r="Q1277" s="3"/>
    </x:row>
    <x:row r="1278" ht="21" customHeight="1">
      <x:c r="A1278" s="3" t="str">
        <x:v>ORD-100068</x:v>
      </x:c>
      <x:c r="B1278" s="5" t="n">
        <x:v>45628</x:v>
      </x:c>
      <x:c r="C1278" s="3" t="str">
        <x:v>CUST-00547</x:v>
      </x:c>
      <x:c r="D1278" s="3" t="str">
        <x:v>West</x:v>
      </x:c>
      <x:c r="E1278" s="3" t="str">
        <x:v>Electronics</x:v>
      </x:c>
      <x:c r="F1278" s="3" t="str">
        <x:v>Audio</x:v>
      </x:c>
      <x:c r="G1278" s="3" t="str">
        <x:v>SoundPods Pro</x:v>
      </x:c>
      <x:c r="H1278" s="3" t="n">
        <x:v>1</x:v>
      </x:c>
      <x:c r="I1278" s="7" t="n">
        <x:v>4826.22</x:v>
      </x:c>
      <x:c r="J1278" s="9" t="n">
        <x:v>0.1</x:v>
      </x:c>
      <x:c r="K1278" s="7" t="n">
        <x:v>4343.6</x:v>
      </x:c>
      <x:c r="L1278" s="7" t="n">
        <x:v>271.73</x:v>
      </x:c>
      <x:c r="M1278" s="3" t="str">
        <x:v>UPI</x:v>
      </x:c>
      <x:c r="N1278" s="3"/>
      <x:c r="O1278" s="3"/>
      <x:c r="P1278" s="3"/>
      <x:c r="Q1278" s="3"/>
    </x:row>
    <x:row r="1279" ht="21" customHeight="1">
      <x:c r="A1279" s="3" t="str">
        <x:v>ORD-100106</x:v>
      </x:c>
      <x:c r="B1279" s="5" t="n">
        <x:v>45628</x:v>
      </x:c>
      <x:c r="C1279" s="3" t="str">
        <x:v>CUST-00540</x:v>
      </x:c>
      <x:c r="D1279" s="3" t="str">
        <x:v>West</x:v>
      </x:c>
      <x:c r="E1279" s="3" t="str">
        <x:v>Fashion</x:v>
      </x:c>
      <x:c r="F1279" s="3" t="str">
        <x:v>Women</x:v>
      </x:c>
      <x:c r="G1279" s="3" t="str">
        <x:v>Knit Winter Sweater</x:v>
      </x:c>
      <x:c r="H1279" s="3" t="n">
        <x:v>5</x:v>
      </x:c>
      <x:c r="I1279" s="7" t="n">
        <x:v>2175.24</x:v>
      </x:c>
      <x:c r="J1279" s="9" t="n">
        <x:v>0.1</x:v>
      </x:c>
      <x:c r="K1279" s="7" t="n">
        <x:v>9788.58</x:v>
      </x:c>
      <x:c r="L1279" s="7" t="n">
        <x:v>3059.94</x:v>
      </x:c>
      <x:c r="M1279" s="3" t="str">
        <x:v>UPI</x:v>
      </x:c>
      <x:c r="N1279" s="3"/>
      <x:c r="O1279" s="3"/>
      <x:c r="P1279" s="3"/>
      <x:c r="Q1279" s="3"/>
    </x:row>
    <x:row r="1280" ht="21" customHeight="1">
      <x:c r="A1280" s="3" t="str">
        <x:v>ORD-100540</x:v>
      </x:c>
      <x:c r="B1280" s="5" t="n">
        <x:v>45628</x:v>
      </x:c>
      <x:c r="C1280" s="3" t="str">
        <x:v>CUST-00125</x:v>
      </x:c>
      <x:c r="D1280" s="3" t="str">
        <x:v>East</x:v>
      </x:c>
      <x:c r="E1280" s="3" t="str">
        <x:v>Fashion</x:v>
      </x:c>
      <x:c r="F1280" s="3" t="str">
        <x:v>Footwear</x:v>
      </x:c>
      <x:c r="G1280" s="3" t="str">
        <x:v>RunFlex Sneakers</x:v>
      </x:c>
      <x:c r="H1280" s="3" t="n">
        <x:v>1</x:v>
      </x:c>
      <x:c r="I1280" s="7" t="n">
        <x:v>2973.93</x:v>
      </x:c>
      <x:c r="J1280" s="9" t="n">
        <x:v>0.1</x:v>
      </x:c>
      <x:c r="K1280" s="7" t="n">
        <x:v>2676.54</x:v>
      </x:c>
      <x:c r="L1280" s="7" t="n">
        <x:v>725.74</x:v>
      </x:c>
      <x:c r="M1280" s="3" t="str">
        <x:v>Credit Card</x:v>
      </x:c>
      <x:c r="N1280" s="3"/>
      <x:c r="O1280" s="3"/>
      <x:c r="P1280" s="3"/>
      <x:c r="Q1280" s="3"/>
    </x:row>
    <x:row r="1281" ht="21" customHeight="1">
      <x:c r="A1281" s="3" t="str">
        <x:v>ORD-100588</x:v>
      </x:c>
      <x:c r="B1281" s="5" t="n">
        <x:v>45628</x:v>
      </x:c>
      <x:c r="C1281" s="3" t="str">
        <x:v>CUST-00137</x:v>
      </x:c>
      <x:c r="D1281" s="3" t="str">
        <x:v>South</x:v>
      </x:c>
      <x:c r="E1281" s="3" t="str">
        <x:v>Home &amp; Kitchen</x:v>
      </x:c>
      <x:c r="F1281" s="3" t="str">
        <x:v>Appliances</x:v>
      </x:c>
      <x:c r="G1281" s="3" t="str">
        <x:v>ColdBrew Coffee Maker</x:v>
      </x:c>
      <x:c r="H1281" s="3" t="n">
        <x:v>5</x:v>
      </x:c>
      <x:c r="I1281" s="7" t="n">
        <x:v>6351.48</x:v>
      </x:c>
      <x:c r="J1281" s="9" t="n">
        <x:v>0.15</x:v>
      </x:c>
      <x:c r="K1281" s="7" t="n">
        <x:v>26993.79</x:v>
      </x:c>
      <x:c r="L1281" s="7" t="n">
        <x:v>4601.96</x:v>
      </x:c>
      <x:c r="M1281" s="3" t="str">
        <x:v>UPI</x:v>
      </x:c>
      <x:c r="N1281" s="3"/>
      <x:c r="O1281" s="3"/>
      <x:c r="P1281" s="3"/>
      <x:c r="Q1281" s="3"/>
    </x:row>
    <x:row r="1282" ht="21" customHeight="1">
      <x:c r="A1282" s="3" t="str">
        <x:v>ORD-100912</x:v>
      </x:c>
      <x:c r="B1282" s="5" t="n">
        <x:v>45628</x:v>
      </x:c>
      <x:c r="C1282" s="3" t="str">
        <x:v>CUST-00488</x:v>
      </x:c>
      <x:c r="D1282" s="3" t="str">
        <x:v>South</x:v>
      </x:c>
      <x:c r="E1282" s="3" t="str">
        <x:v>Electronics</x:v>
      </x:c>
      <x:c r="F1282" s="3" t="str">
        <x:v>Audio</x:v>
      </x:c>
      <x:c r="G1282" s="3" t="str">
        <x:v>BassBoom Speaker</x:v>
      </x:c>
      <x:c r="H1282" s="3" t="n">
        <x:v>1</x:v>
      </x:c>
      <x:c r="I1282" s="7" t="n">
        <x:v>9204.32</x:v>
      </x:c>
      <x:c r="J1282" s="9" t="n">
        <x:v>0.1</x:v>
      </x:c>
      <x:c r="K1282" s="7" t="n">
        <x:v>8283.89</x:v>
      </x:c>
      <x:c r="L1282" s="7" t="n">
        <x:v>610.9</x:v>
      </x:c>
      <x:c r="M1282" s="3" t="str">
        <x:v>Credit Card</x:v>
      </x:c>
      <x:c r="N1282" s="3"/>
      <x:c r="O1282" s="3"/>
      <x:c r="P1282" s="3"/>
      <x:c r="Q1282" s="3"/>
    </x:row>
    <x:row r="1283" ht="21" customHeight="1">
      <x:c r="A1283" s="3" t="str">
        <x:v>ORD-101153</x:v>
      </x:c>
      <x:c r="B1283" s="5" t="n">
        <x:v>45628</x:v>
      </x:c>
      <x:c r="C1283" s="3" t="str">
        <x:v>CUST-00206</x:v>
      </x:c>
      <x:c r="D1283" s="3" t="str">
        <x:v>North</x:v>
      </x:c>
      <x:c r="E1283" s="3" t="str">
        <x:v>Beauty</x:v>
      </x:c>
      <x:c r="F1283" s="3" t="str">
        <x:v>Skincare</x:v>
      </x:c>
      <x:c r="G1283" s="3" t="str">
        <x:v>HydraBoost Moisturizer</x:v>
      </x:c>
      <x:c r="H1283" s="3" t="n">
        <x:v>5</x:v>
      </x:c>
      <x:c r="I1283" s="7" t="n">
        <x:v>1218.34</x:v>
      </x:c>
      <x:c r="J1283" s="9" t="n">
        <x:v>0</x:v>
      </x:c>
      <x:c r="K1283" s="7" t="n">
        <x:v>6091.7</x:v>
      </x:c>
      <x:c r="L1283" s="7" t="n">
        <x:v>3246.9</x:v>
      </x:c>
      <x:c r="M1283" s="3" t="str">
        <x:v>UPI</x:v>
      </x:c>
      <x:c r="N1283" s="3"/>
      <x:c r="O1283" s="3"/>
      <x:c r="P1283" s="3"/>
      <x:c r="Q1283" s="3"/>
    </x:row>
    <x:row r="1284" ht="21" customHeight="1">
      <x:c r="A1284" s="3" t="str">
        <x:v>ORD-101648</x:v>
      </x:c>
      <x:c r="B1284" s="5" t="n">
        <x:v>45628</x:v>
      </x:c>
      <x:c r="C1284" s="3" t="str">
        <x:v>CUST-00035</x:v>
      </x:c>
      <x:c r="D1284" s="3" t="str">
        <x:v>North</x:v>
      </x:c>
      <x:c r="E1284" s="3" t="str">
        <x:v>Fashion</x:v>
      </x:c>
      <x:c r="F1284" s="3" t="str">
        <x:v>Women</x:v>
      </x:c>
      <x:c r="G1284" s="3" t="str">
        <x:v>Knit Winter Sweater</x:v>
      </x:c>
      <x:c r="H1284" s="3" t="n">
        <x:v>1</x:v>
      </x:c>
      <x:c r="I1284" s="7" t="n">
        <x:v>2114.01</x:v>
      </x:c>
      <x:c r="J1284" s="9" t="n">
        <x:v>0.3</x:v>
      </x:c>
      <x:c r="K1284" s="7" t="n">
        <x:v>1479.81</x:v>
      </x:c>
      <x:c r="L1284" s="7" t="n">
        <x:v>156.53</x:v>
      </x:c>
      <x:c r="M1284" s="3" t="str">
        <x:v>UPI</x:v>
      </x:c>
      <x:c r="N1284" s="3"/>
      <x:c r="O1284" s="3"/>
      <x:c r="P1284" s="3"/>
      <x:c r="Q1284" s="3"/>
    </x:row>
    <x:row r="1285" ht="21" customHeight="1">
      <x:c r="A1285" s="3" t="str">
        <x:v>ORD-101928</x:v>
      </x:c>
      <x:c r="B1285" s="5" t="n">
        <x:v>45628</x:v>
      </x:c>
      <x:c r="C1285" s="3" t="str">
        <x:v>CUST-00099</x:v>
      </x:c>
      <x:c r="D1285" s="3" t="str">
        <x:v>North</x:v>
      </x:c>
      <x:c r="E1285" s="3" t="str">
        <x:v>Sports</x:v>
      </x:c>
      <x:c r="F1285" s="3" t="str">
        <x:v>Fitness</x:v>
      </x:c>
      <x:c r="G1285" s="3" t="str">
        <x:v>Adjustable Dumbbell 24kg</x:v>
      </x:c>
      <x:c r="H1285" s="3" t="n">
        <x:v>1</x:v>
      </x:c>
      <x:c r="I1285" s="7" t="n">
        <x:v>9991.84</x:v>
      </x:c>
      <x:c r="J1285" s="9" t="n">
        <x:v>0</x:v>
      </x:c>
      <x:c r="K1285" s="7" t="n">
        <x:v>9991.84</x:v>
      </x:c>
      <x:c r="L1285" s="7" t="n">
        <x:v>3909.24</x:v>
      </x:c>
      <x:c r="M1285" s="3" t="str">
        <x:v>Net Banking</x:v>
      </x:c>
      <x:c r="N1285" s="3"/>
      <x:c r="O1285" s="3"/>
      <x:c r="P1285" s="3"/>
      <x:c r="Q1285" s="3"/>
    </x:row>
    <x:row r="1286" ht="21" customHeight="1">
      <x:c r="A1286" s="3" t="str">
        <x:v>ORD-101188</x:v>
      </x:c>
      <x:c r="B1286" s="5" t="n">
        <x:v>45629</x:v>
      </x:c>
      <x:c r="C1286" s="3" t="str">
        <x:v>CUST-00162</x:v>
      </x:c>
      <x:c r="D1286" s="3" t="str">
        <x:v>West</x:v>
      </x:c>
      <x:c r="E1286" s="3" t="str">
        <x:v>Fashion</x:v>
      </x:c>
      <x:c r="F1286" s="3" t="str">
        <x:v>Footwear</x:v>
      </x:c>
      <x:c r="G1286" s="3" t="str">
        <x:v>RunFlex Sneakers</x:v>
      </x:c>
      <x:c r="H1286" s="3" t="n">
        <x:v>1</x:v>
      </x:c>
      <x:c r="I1286" s="7" t="n">
        <x:v>3015.49</x:v>
      </x:c>
      <x:c r="J1286" s="9" t="n">
        <x:v>0.1</x:v>
      </x:c>
      <x:c r="K1286" s="7" t="n">
        <x:v>2713.94</x:v>
      </x:c>
      <x:c r="L1286" s="7" t="n">
        <x:v>866.21</x:v>
      </x:c>
      <x:c r="M1286" s="3" t="str">
        <x:v>Cash on Delivery</x:v>
      </x:c>
      <x:c r="N1286" s="3"/>
      <x:c r="O1286" s="3"/>
      <x:c r="P1286" s="3"/>
      <x:c r="Q1286" s="3"/>
    </x:row>
    <x:row r="1287" ht="21" customHeight="1">
      <x:c r="A1287" s="3" t="str">
        <x:v>ORD-101868</x:v>
      </x:c>
      <x:c r="B1287" s="5" t="n">
        <x:v>45629</x:v>
      </x:c>
      <x:c r="C1287" s="3" t="str">
        <x:v>CUST-00080</x:v>
      </x:c>
      <x:c r="D1287" s="3" t="str">
        <x:v>West</x:v>
      </x:c>
      <x:c r="E1287" s="3" t="str">
        <x:v>Fashion</x:v>
      </x:c>
      <x:c r="F1287" s="3" t="str">
        <x:v>Footwear</x:v>
      </x:c>
      <x:c r="G1287" s="3" t="str">
        <x:v>RunFlex Sneakers</x:v>
      </x:c>
      <x:c r="H1287" s="3" t="n">
        <x:v>3</x:v>
      </x:c>
      <x:c r="I1287" s="7" t="n">
        <x:v>2939.05</x:v>
      </x:c>
      <x:c r="J1287" s="9" t="n">
        <x:v>0</x:v>
      </x:c>
      <x:c r="K1287" s="7" t="n">
        <x:v>8817.15</x:v>
      </x:c>
      <x:c r="L1287" s="7" t="n">
        <x:v>3789.3</x:v>
      </x:c>
      <x:c r="M1287" s="3" t="str">
        <x:v>Debit Card</x:v>
      </x:c>
      <x:c r="N1287" s="3"/>
      <x:c r="O1287" s="3"/>
      <x:c r="P1287" s="3"/>
      <x:c r="Q1287" s="3"/>
    </x:row>
    <x:row r="1288" ht="21" customHeight="1">
      <x:c r="A1288" s="3" t="str">
        <x:v>ORD-100013</x:v>
      </x:c>
      <x:c r="B1288" s="5" t="n">
        <x:v>45630</x:v>
      </x:c>
      <x:c r="C1288" s="3" t="str">
        <x:v>CUST-00244</x:v>
      </x:c>
      <x:c r="D1288" s="3" t="str">
        <x:v>North</x:v>
      </x:c>
      <x:c r="E1288" s="3" t="str">
        <x:v>Electronics</x:v>
      </x:c>
      <x:c r="F1288" s="3" t="str">
        <x:v>Audio</x:v>
      </x:c>
      <x:c r="G1288" s="3" t="str">
        <x:v>SoundPods Pro</x:v>
      </x:c>
      <x:c r="H1288" s="3" t="n">
        <x:v>2</x:v>
      </x:c>
      <x:c r="I1288" s="7" t="n">
        <x:v>5102.9</x:v>
      </x:c>
      <x:c r="J1288" s="9" t="n">
        <x:v>0</x:v>
      </x:c>
      <x:c r="K1288" s="7" t="n">
        <x:v>10205.8</x:v>
      </x:c>
      <x:c r="L1288" s="7" t="n">
        <x:v>1476.88</x:v>
      </x:c>
      <x:c r="M1288" s="3" t="str">
        <x:v>UPI</x:v>
      </x:c>
      <x:c r="N1288" s="3"/>
      <x:c r="O1288" s="3"/>
      <x:c r="P1288" s="3"/>
      <x:c r="Q1288" s="3"/>
    </x:row>
    <x:row r="1289" ht="21" customHeight="1">
      <x:c r="A1289" s="3" t="str">
        <x:v>ORD-100870</x:v>
      </x:c>
      <x:c r="B1289" s="5" t="n">
        <x:v>45630</x:v>
      </x:c>
      <x:c r="C1289" s="3" t="str">
        <x:v>CUST-00139</x:v>
      </x:c>
      <x:c r="D1289" s="3" t="str">
        <x:v>South</x:v>
      </x:c>
      <x:c r="E1289" s="3" t="str">
        <x:v>Fashion</x:v>
      </x:c>
      <x:c r="F1289" s="3" t="str">
        <x:v>Women</x:v>
      </x:c>
      <x:c r="G1289" s="3" t="str">
        <x:v>Floral Summer Dress</x:v>
      </x:c>
      <x:c r="H1289" s="3" t="n">
        <x:v>3</x:v>
      </x:c>
      <x:c r="I1289" s="7" t="n">
        <x:v>1775.84</x:v>
      </x:c>
      <x:c r="J1289" s="9" t="n">
        <x:v>0.3</x:v>
      </x:c>
      <x:c r="K1289" s="7" t="n">
        <x:v>3729.26</x:v>
      </x:c>
      <x:c r="L1289" s="7" t="n">
        <x:v>310.88</x:v>
      </x:c>
      <x:c r="M1289" s="3" t="str">
        <x:v>UPI</x:v>
      </x:c>
      <x:c r="N1289" s="3"/>
      <x:c r="O1289" s="3"/>
      <x:c r="P1289" s="3"/>
      <x:c r="Q1289" s="3"/>
    </x:row>
    <x:row r="1290" ht="21" customHeight="1">
      <x:c r="A1290" s="3" t="str">
        <x:v>ORD-100874</x:v>
      </x:c>
      <x:c r="B1290" s="5" t="n">
        <x:v>45630</x:v>
      </x:c>
      <x:c r="C1290" s="3" t="str">
        <x:v>CUST-00284</x:v>
      </x:c>
      <x:c r="D1290" s="3" t="str">
        <x:v>East</x:v>
      </x:c>
      <x:c r="E1290" s="3" t="str">
        <x:v>Electronics</x:v>
      </x:c>
      <x:c r="F1290" s="3" t="str">
        <x:v>Audio</x:v>
      </x:c>
      <x:c r="G1290" s="3" t="str">
        <x:v>SoundPods Pro</x:v>
      </x:c>
      <x:c r="H1290" s="3" t="n">
        <x:v>1</x:v>
      </x:c>
      <x:c r="I1290" s="7" t="n">
        <x:v>4800.2</x:v>
      </x:c>
      <x:c r="J1290" s="9" t="n">
        <x:v>0</x:v>
      </x:c>
      <x:c r="K1290" s="7" t="n">
        <x:v>4800.2</x:v>
      </x:c>
      <x:c r="L1290" s="7" t="n">
        <x:v>978.04</x:v>
      </x:c>
      <x:c r="M1290" s="3" t="str">
        <x:v>Debit Card</x:v>
      </x:c>
      <x:c r="N1290" s="3"/>
      <x:c r="O1290" s="3"/>
      <x:c r="P1290" s="3"/>
      <x:c r="Q1290" s="3"/>
    </x:row>
    <x:row r="1291" ht="21" customHeight="1">
      <x:c r="A1291" s="3" t="str">
        <x:v>ORD-100926</x:v>
      </x:c>
      <x:c r="B1291" s="5" t="n">
        <x:v>45630</x:v>
      </x:c>
      <x:c r="C1291" s="3" t="str">
        <x:v>CUST-00265</x:v>
      </x:c>
      <x:c r="D1291" s="3" t="str">
        <x:v>South</x:v>
      </x:c>
      <x:c r="E1291" s="3" t="str">
        <x:v>Home &amp; Kitchen</x:v>
      </x:c>
      <x:c r="F1291" s="3" t="str">
        <x:v>Appliances</x:v>
      </x:c>
      <x:c r="G1291" s="3" t="str">
        <x:v>AirFryer Deluxe</x:v>
      </x:c>
      <x:c r="H1291" s="3" t="n">
        <x:v>1</x:v>
      </x:c>
      <x:c r="I1291" s="7" t="n">
        <x:v>8200.98</x:v>
      </x:c>
      <x:c r="J1291" s="9" t="n">
        <x:v>0.15</x:v>
      </x:c>
      <x:c r="K1291" s="7" t="n">
        <x:v>6970.83</x:v>
      </x:c>
      <x:c r="L1291" s="7" t="n">
        <x:v>1241.22</x:v>
      </x:c>
      <x:c r="M1291" s="3" t="str">
        <x:v>Credit Card</x:v>
      </x:c>
      <x:c r="N1291" s="3"/>
      <x:c r="O1291" s="3"/>
      <x:c r="P1291" s="3"/>
      <x:c r="Q1291" s="3"/>
    </x:row>
    <x:row r="1292" ht="21" customHeight="1">
      <x:c r="A1292" s="3" t="str">
        <x:v>ORD-101133</x:v>
      </x:c>
      <x:c r="B1292" s="5" t="n">
        <x:v>45630</x:v>
      </x:c>
      <x:c r="C1292" s="3" t="str">
        <x:v>CUST-00335</x:v>
      </x:c>
      <x:c r="D1292" s="3" t="str">
        <x:v>West</x:v>
      </x:c>
      <x:c r="E1292" s="3" t="str">
        <x:v>Home &amp; Kitchen</x:v>
      </x:c>
      <x:c r="F1292" s="3" t="str">
        <x:v>Appliances</x:v>
      </x:c>
      <x:c r="G1292" s="3" t="str">
        <x:v>ColdBrew Coffee Maker</x:v>
      </x:c>
      <x:c r="H1292" s="3" t="n">
        <x:v>3</x:v>
      </x:c>
      <x:c r="I1292" s="7" t="n">
        <x:v>6341.78</x:v>
      </x:c>
      <x:c r="J1292" s="9" t="n">
        <x:v>0.3</x:v>
      </x:c>
      <x:c r="K1292" s="7" t="n">
        <x:v>13317.74</x:v>
      </x:c>
      <x:c r="L1292" s="7" t="n">
        <x:v>-137.37</x:v>
      </x:c>
      <x:c r="M1292" s="3" t="str">
        <x:v>Debit Card</x:v>
      </x:c>
      <x:c r="N1292" s="3"/>
      <x:c r="O1292" s="3"/>
      <x:c r="P1292" s="3"/>
      <x:c r="Q1292" s="3"/>
    </x:row>
    <x:row r="1293" ht="21" customHeight="1">
      <x:c r="A1293" s="3" t="str">
        <x:v>ORD-101183</x:v>
      </x:c>
      <x:c r="B1293" s="5" t="n">
        <x:v>45630</x:v>
      </x:c>
      <x:c r="C1293" s="3" t="str">
        <x:v>CUST-00516</x:v>
      </x:c>
      <x:c r="D1293" s="3" t="str">
        <x:v>East</x:v>
      </x:c>
      <x:c r="E1293" s="3" t="str">
        <x:v>Home &amp; Kitchen</x:v>
      </x:c>
      <x:c r="F1293" s="3" t="str">
        <x:v>Appliances</x:v>
      </x:c>
      <x:c r="G1293" s="3" t="str">
        <x:v>AirFryer Deluxe</x:v>
      </x:c>
      <x:c r="H1293" s="3" t="n">
        <x:v>1</x:v>
      </x:c>
      <x:c r="I1293" s="7" t="n">
        <x:v>8031.86</x:v>
      </x:c>
      <x:c r="J1293" s="9" t="n">
        <x:v>0.1</x:v>
      </x:c>
      <x:c r="K1293" s="7" t="n">
        <x:v>7228.67</x:v>
      </x:c>
      <x:c r="L1293" s="7" t="n">
        <x:v>1645.13</x:v>
      </x:c>
      <x:c r="M1293" s="3" t="str">
        <x:v>UPI</x:v>
      </x:c>
      <x:c r="N1293" s="3"/>
      <x:c r="O1293" s="3"/>
      <x:c r="P1293" s="3"/>
      <x:c r="Q1293" s="3"/>
    </x:row>
    <x:row r="1294" ht="21" customHeight="1">
      <x:c r="A1294" s="3" t="str">
        <x:v>ORD-101419</x:v>
      </x:c>
      <x:c r="B1294" s="5" t="n">
        <x:v>45630</x:v>
      </x:c>
      <x:c r="C1294" s="3" t="str">
        <x:v>CUST-00412</x:v>
      </x:c>
      <x:c r="D1294" s="3" t="str">
        <x:v>South</x:v>
      </x:c>
      <x:c r="E1294" s="3" t="str">
        <x:v>Home &amp; Kitchen</x:v>
      </x:c>
      <x:c r="F1294" s="3" t="str">
        <x:v>Appliances</x:v>
      </x:c>
      <x:c r="G1294" s="3" t="str">
        <x:v>ColdBrew Coffee Maker</x:v>
      </x:c>
      <x:c r="H1294" s="3" t="n">
        <x:v>1</x:v>
      </x:c>
      <x:c r="I1294" s="7" t="n">
        <x:v>6647.02</x:v>
      </x:c>
      <x:c r="J1294" s="9" t="n">
        <x:v>0.05</x:v>
      </x:c>
      <x:c r="K1294" s="7" t="n">
        <x:v>6314.67</x:v>
      </x:c>
      <x:c r="L1294" s="7" t="n">
        <x:v>1930.97</x:v>
      </x:c>
      <x:c r="M1294" s="3" t="str">
        <x:v>UPI</x:v>
      </x:c>
      <x:c r="N1294" s="3"/>
      <x:c r="O1294" s="3"/>
      <x:c r="P1294" s="3"/>
      <x:c r="Q1294" s="3"/>
    </x:row>
    <x:row r="1295" ht="21" customHeight="1">
      <x:c r="A1295" s="3" t="str">
        <x:v>ORD-101911</x:v>
      </x:c>
      <x:c r="B1295" s="5" t="n">
        <x:v>45630</x:v>
      </x:c>
      <x:c r="C1295" s="3" t="str">
        <x:v>CUST-00106</x:v>
      </x:c>
      <x:c r="D1295" s="3" t="str">
        <x:v>South</x:v>
      </x:c>
      <x:c r="E1295" s="3" t="str">
        <x:v>Electronics</x:v>
      </x:c>
      <x:c r="F1295" s="3" t="str">
        <x:v>Laptop</x:v>
      </x:c>
      <x:c r="G1295" s="3" t="str">
        <x:v>ThinkPro 14</x:v>
      </x:c>
      <x:c r="H1295" s="3" t="n">
        <x:v>1</x:v>
      </x:c>
      <x:c r="I1295" s="7" t="n">
        <x:v>54480.18</x:v>
      </x:c>
      <x:c r="J1295" s="9" t="n">
        <x:v>0</x:v>
      </x:c>
      <x:c r="K1295" s="7" t="n">
        <x:v>54480.18</x:v>
      </x:c>
      <x:c r="L1295" s="7" t="n">
        <x:v>11522.01</x:v>
      </x:c>
      <x:c r="M1295" s="3" t="str">
        <x:v>Credit Card</x:v>
      </x:c>
      <x:c r="N1295" s="3"/>
      <x:c r="O1295" s="3"/>
      <x:c r="P1295" s="3"/>
      <x:c r="Q1295" s="3"/>
    </x:row>
    <x:row r="1296" ht="21" customHeight="1">
      <x:c r="A1296" s="3" t="str">
        <x:v>ORD-100027</x:v>
      </x:c>
      <x:c r="B1296" s="5" t="n">
        <x:v>45631</x:v>
      </x:c>
      <x:c r="C1296" s="3" t="str">
        <x:v>CUST-00119</x:v>
      </x:c>
      <x:c r="D1296" s="3" t="str">
        <x:v>South</x:v>
      </x:c>
      <x:c r="E1296" s="3" t="str">
        <x:v>Fashion</x:v>
      </x:c>
      <x:c r="F1296" s="3" t="str">
        <x:v>Men</x:v>
      </x:c>
      <x:c r="G1296" s="3" t="str">
        <x:v>SlimFit Denim Jeans</x:v>
      </x:c>
      <x:c r="H1296" s="3" t="n">
        <x:v>1</x:v>
      </x:c>
      <x:c r="I1296" s="7" t="n">
        <x:v>1912.93</x:v>
      </x:c>
      <x:c r="J1296" s="9" t="n">
        <x:v>0</x:v>
      </x:c>
      <x:c r="K1296" s="7" t="n">
        <x:v>1912.93</x:v>
      </x:c>
      <x:c r="L1296" s="7" t="n">
        <x:v>845.26</x:v>
      </x:c>
      <x:c r="M1296" s="3" t="str">
        <x:v>Credit Card</x:v>
      </x:c>
      <x:c r="N1296" s="3"/>
      <x:c r="O1296" s="3"/>
      <x:c r="P1296" s="3"/>
      <x:c r="Q1296" s="3"/>
    </x:row>
    <x:row r="1297" ht="21" customHeight="1">
      <x:c r="A1297" s="3" t="str">
        <x:v>ORD-100190</x:v>
      </x:c>
      <x:c r="B1297" s="5" t="n">
        <x:v>45631</x:v>
      </x:c>
      <x:c r="C1297" s="3" t="str">
        <x:v>CUST-00441</x:v>
      </x:c>
      <x:c r="D1297" s="3" t="str">
        <x:v>North</x:v>
      </x:c>
      <x:c r="E1297" s="3" t="str">
        <x:v>Beauty</x:v>
      </x:c>
      <x:c r="F1297" s="3" t="str">
        <x:v>Skincare</x:v>
      </x:c>
      <x:c r="G1297" s="3" t="str">
        <x:v>Vitamin C Serum</x:v>
      </x:c>
      <x:c r="H1297" s="3" t="n">
        <x:v>2</x:v>
      </x:c>
      <x:c r="I1297" s="7" t="n">
        <x:v>885.97</x:v>
      </x:c>
      <x:c r="J1297" s="9" t="n">
        <x:v>0.1</x:v>
      </x:c>
      <x:c r="K1297" s="7" t="n">
        <x:v>1594.75</x:v>
      </x:c>
      <x:c r="L1297" s="7" t="n">
        <x:v>712.47</x:v>
      </x:c>
      <x:c r="M1297" s="3" t="str">
        <x:v>Cash on Delivery</x:v>
      </x:c>
      <x:c r="N1297" s="3"/>
      <x:c r="O1297" s="3"/>
      <x:c r="P1297" s="3"/>
      <x:c r="Q1297" s="3"/>
    </x:row>
    <x:row r="1298" ht="21" customHeight="1">
      <x:c r="A1298" s="3" t="str">
        <x:v>ORD-100232</x:v>
      </x:c>
      <x:c r="B1298" s="5" t="n">
        <x:v>45631</x:v>
      </x:c>
      <x:c r="C1298" s="3" t="str">
        <x:v>CUST-00473</x:v>
      </x:c>
      <x:c r="D1298" s="3" t="str">
        <x:v>North</x:v>
      </x:c>
      <x:c r="E1298" s="3" t="str">
        <x:v>Home &amp; Kitchen</x:v>
      </x:c>
      <x:c r="F1298" s="3" t="str">
        <x:v>Appliances</x:v>
      </x:c>
      <x:c r="G1298" s="3" t="str">
        <x:v>AirFryer Deluxe</x:v>
      </x:c>
      <x:c r="H1298" s="3" t="n">
        <x:v>2</x:v>
      </x:c>
      <x:c r="I1298" s="7" t="n">
        <x:v>8249.17</x:v>
      </x:c>
      <x:c r="J1298" s="9" t="n">
        <x:v>0</x:v>
      </x:c>
      <x:c r="K1298" s="7" t="n">
        <x:v>16498.34</x:v>
      </x:c>
      <x:c r="L1298" s="7" t="n">
        <x:v>4813.29</x:v>
      </x:c>
      <x:c r="M1298" s="3" t="str">
        <x:v>Net Banking</x:v>
      </x:c>
      <x:c r="N1298" s="3"/>
      <x:c r="O1298" s="3"/>
      <x:c r="P1298" s="3"/>
      <x:c r="Q1298" s="3"/>
    </x:row>
    <x:row r="1299" ht="21" customHeight="1">
      <x:c r="A1299" s="3" t="str">
        <x:v>ORD-100287</x:v>
      </x:c>
      <x:c r="B1299" s="5" t="n">
        <x:v>45631</x:v>
      </x:c>
      <x:c r="C1299" s="3" t="str">
        <x:v>CUST-00485</x:v>
      </x:c>
      <x:c r="D1299" s="3" t="str">
        <x:v>West</x:v>
      </x:c>
      <x:c r="E1299" s="3" t="str">
        <x:v>Electronics</x:v>
      </x:c>
      <x:c r="F1299" s="3" t="str">
        <x:v>Audio</x:v>
      </x:c>
      <x:c r="G1299" s="3" t="str">
        <x:v>SoundPods Pro</x:v>
      </x:c>
      <x:c r="H1299" s="3" t="n">
        <x:v>3</x:v>
      </x:c>
      <x:c r="I1299" s="7" t="n">
        <x:v>5230.54</x:v>
      </x:c>
      <x:c r="J1299" s="9" t="n">
        <x:v>0.15</x:v>
      </x:c>
      <x:c r="K1299" s="7" t="n">
        <x:v>13337.88</x:v>
      </x:c>
      <x:c r="L1299" s="7" t="n">
        <x:v>246.79</x:v>
      </x:c>
      <x:c r="M1299" s="3" t="str">
        <x:v>Credit Card</x:v>
      </x:c>
      <x:c r="N1299" s="3"/>
      <x:c r="O1299" s="3"/>
      <x:c r="P1299" s="3"/>
      <x:c r="Q1299" s="3"/>
    </x:row>
    <x:row r="1300" ht="21" customHeight="1">
      <x:c r="A1300" s="3" t="str">
        <x:v>ORD-100922</x:v>
      </x:c>
      <x:c r="B1300" s="5" t="n">
        <x:v>45631</x:v>
      </x:c>
      <x:c r="C1300" s="3" t="str">
        <x:v>CUST-00164</x:v>
      </x:c>
      <x:c r="D1300" s="3" t="str">
        <x:v>North</x:v>
      </x:c>
      <x:c r="E1300" s="3" t="str">
        <x:v>Fashion</x:v>
      </x:c>
      <x:c r="F1300" s="3" t="str">
        <x:v>Footwear</x:v>
      </x:c>
      <x:c r="G1300" s="3" t="str">
        <x:v>UrbanLoafers</x:v>
      </x:c>
      <x:c r="H1300" s="3" t="n">
        <x:v>1</x:v>
      </x:c>
      <x:c r="I1300" s="7" t="n">
        <x:v>3479.28</x:v>
      </x:c>
      <x:c r="J1300" s="9" t="n">
        <x:v>0.1</x:v>
      </x:c>
      <x:c r="K1300" s="7" t="n">
        <x:v>3131.35</x:v>
      </x:c>
      <x:c r="L1300" s="7" t="n">
        <x:v>890.4</x:v>
      </x:c>
      <x:c r="M1300" s="3" t="str">
        <x:v>Credit Card</x:v>
      </x:c>
      <x:c r="N1300" s="3"/>
      <x:c r="O1300" s="3"/>
      <x:c r="P1300" s="3"/>
      <x:c r="Q1300" s="3"/>
    </x:row>
    <x:row r="1301" ht="21" customHeight="1">
      <x:c r="A1301" s="3" t="str">
        <x:v>ORD-100997</x:v>
      </x:c>
      <x:c r="B1301" s="5" t="n">
        <x:v>45631</x:v>
      </x:c>
      <x:c r="C1301" s="3" t="str">
        <x:v>CUST-00414</x:v>
      </x:c>
      <x:c r="D1301" s="3" t="str">
        <x:v>North</x:v>
      </x:c>
      <x:c r="E1301" s="3" t="str">
        <x:v>Home &amp; Kitchen</x:v>
      </x:c>
      <x:c r="F1301" s="3" t="str">
        <x:v>Appliances</x:v>
      </x:c>
      <x:c r="G1301" s="3" t="str">
        <x:v>AirFryer Deluxe</x:v>
      </x:c>
      <x:c r="H1301" s="3" t="n">
        <x:v>3</x:v>
      </x:c>
      <x:c r="I1301" s="7" t="n">
        <x:v>7649.95</x:v>
      </x:c>
      <x:c r="J1301" s="9" t="n">
        <x:v>0</x:v>
      </x:c>
      <x:c r="K1301" s="7" t="n">
        <x:v>22949.85</x:v>
      </x:c>
      <x:c r="L1301" s="7" t="n">
        <x:v>7415.03</x:v>
      </x:c>
      <x:c r="M1301" s="3" t="str">
        <x:v>UPI</x:v>
      </x:c>
      <x:c r="N1301" s="3"/>
      <x:c r="O1301" s="3"/>
      <x:c r="P1301" s="3"/>
      <x:c r="Q1301" s="3"/>
    </x:row>
    <x:row r="1302" ht="21" customHeight="1">
      <x:c r="A1302" s="3" t="str">
        <x:v>ORD-101755</x:v>
      </x:c>
      <x:c r="B1302" s="5" t="n">
        <x:v>45631</x:v>
      </x:c>
      <x:c r="C1302" s="3" t="str">
        <x:v>CUST-00087</x:v>
      </x:c>
      <x:c r="D1302" s="3" t="str">
        <x:v>North</x:v>
      </x:c>
      <x:c r="E1302" s="3" t="str">
        <x:v>Fashion</x:v>
      </x:c>
      <x:c r="F1302" s="3" t="str">
        <x:v>Women</x:v>
      </x:c>
      <x:c r="G1302" s="3" t="str">
        <x:v>Knit Winter Sweater</x:v>
      </x:c>
      <x:c r="H1302" s="3" t="n">
        <x:v>2</x:v>
      </x:c>
      <x:c r="I1302" s="7" t="n">
        <x:v>2204.56</x:v>
      </x:c>
      <x:c r="J1302" s="9" t="n">
        <x:v>0.1</x:v>
      </x:c>
      <x:c r="K1302" s="7" t="n">
        <x:v>3968.21</x:v>
      </x:c>
      <x:c r="L1302" s="7" t="n">
        <x:v>1333.94</x:v>
      </x:c>
      <x:c r="M1302" s="3" t="str">
        <x:v>Credit Card</x:v>
      </x:c>
      <x:c r="N1302" s="3"/>
      <x:c r="O1302" s="3"/>
      <x:c r="P1302" s="3"/>
      <x:c r="Q1302" s="3"/>
    </x:row>
    <x:row r="1303" ht="21" customHeight="1">
      <x:c r="A1303" s="3" t="str">
        <x:v>ORD-100185</x:v>
      </x:c>
      <x:c r="B1303" s="5" t="n">
        <x:v>45632</x:v>
      </x:c>
      <x:c r="C1303" s="3" t="str">
        <x:v>CUST-00390</x:v>
      </x:c>
      <x:c r="D1303" s="3" t="str">
        <x:v>South</x:v>
      </x:c>
      <x:c r="E1303" s="3" t="str">
        <x:v>Electronics</x:v>
      </x:c>
      <x:c r="F1303" s="3" t="str">
        <x:v>Laptop</x:v>
      </x:c>
      <x:c r="G1303" s="3" t="str">
        <x:v>AirBook Slim</x:v>
      </x:c>
      <x:c r="H1303" s="3" t="n">
        <x:v>4</x:v>
      </x:c>
      <x:c r="I1303" s="7" t="n">
        <x:v>78965.84</x:v>
      </x:c>
      <x:c r="J1303" s="9" t="n">
        <x:v>0.15</x:v>
      </x:c>
      <x:c r="K1303" s="7" t="n">
        <x:v>268483.86</x:v>
      </x:c>
      <x:c r="L1303" s="7" t="n">
        <x:v>4519.52</x:v>
      </x:c>
      <x:c r="M1303" s="3" t="str">
        <x:v>UPI</x:v>
      </x:c>
      <x:c r="N1303" s="3"/>
      <x:c r="O1303" s="3"/>
      <x:c r="P1303" s="3"/>
      <x:c r="Q1303" s="3"/>
    </x:row>
    <x:row r="1304" ht="21" customHeight="1">
      <x:c r="A1304" s="3" t="str">
        <x:v>ORD-100526</x:v>
      </x:c>
      <x:c r="B1304" s="5" t="n">
        <x:v>45632</x:v>
      </x:c>
      <x:c r="C1304" s="3" t="str">
        <x:v>CUST-00103</x:v>
      </x:c>
      <x:c r="D1304" s="3" t="str">
        <x:v>South</x:v>
      </x:c>
      <x:c r="E1304" s="3" t="str">
        <x:v>Sports</x:v>
      </x:c>
      <x:c r="F1304" s="3" t="str">
        <x:v>Outdoor</x:v>
      </x:c>
      <x:c r="G1304" s="3" t="str">
        <x:v>AllWeather Tent 4P</x:v>
      </x:c>
      <x:c r="H1304" s="3" t="n">
        <x:v>3</x:v>
      </x:c>
      <x:c r="I1304" s="7" t="n">
        <x:v>11495.16</x:v>
      </x:c>
      <x:c r="J1304" s="9" t="n">
        <x:v>0</x:v>
      </x:c>
      <x:c r="K1304" s="7" t="n">
        <x:v>34485.48</x:v>
      </x:c>
      <x:c r="L1304" s="7" t="n">
        <x:v>13875.46</x:v>
      </x:c>
      <x:c r="M1304" s="3" t="str">
        <x:v>Debit Card</x:v>
      </x:c>
      <x:c r="N1304" s="3"/>
      <x:c r="O1304" s="3"/>
      <x:c r="P1304" s="3"/>
      <x:c r="Q1304" s="3"/>
    </x:row>
    <x:row r="1305" ht="21" customHeight="1">
      <x:c r="A1305" s="3" t="str">
        <x:v>ORD-101035</x:v>
      </x:c>
      <x:c r="B1305" s="5" t="n">
        <x:v>45632</x:v>
      </x:c>
      <x:c r="C1305" s="3" t="str">
        <x:v>CUST-00134</x:v>
      </x:c>
      <x:c r="D1305" s="3" t="str">
        <x:v>North</x:v>
      </x:c>
      <x:c r="E1305" s="3" t="str">
        <x:v>Electronics</x:v>
      </x:c>
      <x:c r="F1305" s="3" t="str">
        <x:v>Audio</x:v>
      </x:c>
      <x:c r="G1305" s="3" t="str">
        <x:v>SoundPods Pro</x:v>
      </x:c>
      <x:c r="H1305" s="3" t="n">
        <x:v>2</x:v>
      </x:c>
      <x:c r="I1305" s="7" t="n">
        <x:v>5247.03</x:v>
      </x:c>
      <x:c r="J1305" s="9" t="n">
        <x:v>0</x:v>
      </x:c>
      <x:c r="K1305" s="7" t="n">
        <x:v>10494.06</x:v>
      </x:c>
      <x:c r="L1305" s="7" t="n">
        <x:v>1752.52</x:v>
      </x:c>
      <x:c r="M1305" s="3" t="str">
        <x:v>Cash on Delivery</x:v>
      </x:c>
      <x:c r="N1305" s="3"/>
      <x:c r="O1305" s="3"/>
      <x:c r="P1305" s="3"/>
      <x:c r="Q1305" s="3"/>
    </x:row>
    <x:row r="1306" ht="21" customHeight="1">
      <x:c r="A1306" s="3" t="str">
        <x:v>ORD-100389</x:v>
      </x:c>
      <x:c r="B1306" s="5" t="n">
        <x:v>45633</x:v>
      </x:c>
      <x:c r="C1306" s="3" t="str">
        <x:v>CUST-00161</x:v>
      </x:c>
      <x:c r="D1306" s="3" t="str">
        <x:v>North</x:v>
      </x:c>
      <x:c r="E1306" s="3" t="str">
        <x:v>Electronics</x:v>
      </x:c>
      <x:c r="F1306" s="3" t="str">
        <x:v>Mobile</x:v>
      </x:c>
      <x:c r="G1306" s="3" t="str">
        <x:v>Galaxy Nova X5</x:v>
      </x:c>
      <x:c r="H1306" s="3" t="n">
        <x:v>1</x:v>
      </x:c>
      <x:c r="I1306" s="7" t="n">
        <x:v>26064.83</x:v>
      </x:c>
      <x:c r="J1306" s="9" t="n">
        <x:v>0.05</x:v>
      </x:c>
      <x:c r="K1306" s="7" t="n">
        <x:v>24761.59</x:v>
      </x:c>
      <x:c r="L1306" s="7" t="n">
        <x:v>2085.4</x:v>
      </x:c>
      <x:c r="M1306" s="3" t="str">
        <x:v>Credit Card</x:v>
      </x:c>
      <x:c r="N1306" s="3"/>
      <x:c r="O1306" s="3"/>
      <x:c r="P1306" s="3"/>
      <x:c r="Q1306" s="3"/>
    </x:row>
    <x:row r="1307" ht="21" customHeight="1">
      <x:c r="A1307" s="3" t="str">
        <x:v>ORD-100722</x:v>
      </x:c>
      <x:c r="B1307" s="5" t="n">
        <x:v>45633</x:v>
      </x:c>
      <x:c r="C1307" s="3" t="str">
        <x:v>CUST-00252</x:v>
      </x:c>
      <x:c r="D1307" s="3" t="str">
        <x:v>South</x:v>
      </x:c>
      <x:c r="E1307" s="3" t="str">
        <x:v>Fashion</x:v>
      </x:c>
      <x:c r="F1307" s="3" t="str">
        <x:v>Men</x:v>
      </x:c>
      <x:c r="G1307" s="3" t="str">
        <x:v>Oxford Casual Shirt</x:v>
      </x:c>
      <x:c r="H1307" s="3" t="n">
        <x:v>5</x:v>
      </x:c>
      <x:c r="I1307" s="7" t="n">
        <x:v>1284.06</x:v>
      </x:c>
      <x:c r="J1307" s="9" t="n">
        <x:v>0</x:v>
      </x:c>
      <x:c r="K1307" s="7" t="n">
        <x:v>6420.3</x:v>
      </x:c>
      <x:c r="L1307" s="7" t="n">
        <x:v>2603.72</x:v>
      </x:c>
      <x:c r="M1307" s="3" t="str">
        <x:v>Credit Card</x:v>
      </x:c>
      <x:c r="N1307" s="3"/>
      <x:c r="O1307" s="3"/>
      <x:c r="P1307" s="3"/>
      <x:c r="Q1307" s="3"/>
    </x:row>
    <x:row r="1308" ht="21" customHeight="1">
      <x:c r="A1308" s="3" t="str">
        <x:v>ORD-101660</x:v>
      </x:c>
      <x:c r="B1308" s="5" t="n">
        <x:v>45633</x:v>
      </x:c>
      <x:c r="C1308" s="3" t="str">
        <x:v>CUST-00368</x:v>
      </x:c>
      <x:c r="D1308" s="3" t="str">
        <x:v>North</x:v>
      </x:c>
      <x:c r="E1308" s="3" t="str">
        <x:v>Beauty</x:v>
      </x:c>
      <x:c r="F1308" s="3" t="str">
        <x:v>Skincare</x:v>
      </x:c>
      <x:c r="G1308" s="3" t="str">
        <x:v>Vitamin C Serum</x:v>
      </x:c>
      <x:c r="H1308" s="3" t="n">
        <x:v>1</x:v>
      </x:c>
      <x:c r="I1308" s="7" t="n">
        <x:v>913.88</x:v>
      </x:c>
      <x:c r="J1308" s="9" t="n">
        <x:v>0.15</x:v>
      </x:c>
      <x:c r="K1308" s="7" t="n">
        <x:v>776.8</x:v>
      </x:c>
      <x:c r="L1308" s="7" t="n">
        <x:v>321.83</x:v>
      </x:c>
      <x:c r="M1308" s="3" t="str">
        <x:v>Net Banking</x:v>
      </x:c>
      <x:c r="N1308" s="3"/>
      <x:c r="O1308" s="3"/>
      <x:c r="P1308" s="3"/>
      <x:c r="Q1308" s="3"/>
    </x:row>
    <x:row r="1309" ht="21" customHeight="1">
      <x:c r="A1309" s="3" t="str">
        <x:v>ORD-100346</x:v>
      </x:c>
      <x:c r="B1309" s="5" t="n">
        <x:v>45634</x:v>
      </x:c>
      <x:c r="C1309" s="3" t="str">
        <x:v>CUST-00369</x:v>
      </x:c>
      <x:c r="D1309" s="3" t="str">
        <x:v>East</x:v>
      </x:c>
      <x:c r="E1309" s="3" t="str">
        <x:v>Electronics</x:v>
      </x:c>
      <x:c r="F1309" s="3" t="str">
        <x:v>Laptop</x:v>
      </x:c>
      <x:c r="G1309" s="3" t="str">
        <x:v>ThinkPro 14</x:v>
      </x:c>
      <x:c r="H1309" s="3" t="n">
        <x:v>2</x:v>
      </x:c>
      <x:c r="I1309" s="7" t="n">
        <x:v>56724.97</x:v>
      </x:c>
      <x:c r="J1309" s="9" t="n">
        <x:v>0</x:v>
      </x:c>
      <x:c r="K1309" s="7" t="n">
        <x:v>113449.94</x:v>
      </x:c>
      <x:c r="L1309" s="7" t="n">
        <x:v>20208.06</x:v>
      </x:c>
      <x:c r="M1309" s="3" t="str">
        <x:v>Credit Card</x:v>
      </x:c>
      <x:c r="N1309" s="3"/>
      <x:c r="O1309" s="3"/>
      <x:c r="P1309" s="3"/>
      <x:c r="Q1309" s="3"/>
    </x:row>
    <x:row r="1310" ht="21" customHeight="1">
      <x:c r="A1310" s="3" t="str">
        <x:v>ORD-100566</x:v>
      </x:c>
      <x:c r="B1310" s="5" t="n">
        <x:v>45634</x:v>
      </x:c>
      <x:c r="C1310" s="3" t="str">
        <x:v>CUST-00130</x:v>
      </x:c>
      <x:c r="D1310" s="3" t="str">
        <x:v>South</x:v>
      </x:c>
      <x:c r="E1310" s="3" t="str">
        <x:v>Beauty</x:v>
      </x:c>
      <x:c r="F1310" s="3" t="str">
        <x:v>Makeup</x:v>
      </x:c>
      <x:c r="G1310" s="3" t="str">
        <x:v>HD Foundation Kit</x:v>
      </x:c>
      <x:c r="H1310" s="3" t="n">
        <x:v>3</x:v>
      </x:c>
      <x:c r="I1310" s="7" t="n">
        <x:v>1484.69</x:v>
      </x:c>
      <x:c r="J1310" s="9" t="n">
        <x:v>0.15</x:v>
      </x:c>
      <x:c r="K1310" s="7" t="n">
        <x:v>3785.96</x:v>
      </x:c>
      <x:c r="L1310" s="7" t="n">
        <x:v>1337.52</x:v>
      </x:c>
      <x:c r="M1310" s="3" t="str">
        <x:v>UPI</x:v>
      </x:c>
      <x:c r="N1310" s="3"/>
      <x:c r="O1310" s="3"/>
      <x:c r="P1310" s="3"/>
      <x:c r="Q1310" s="3"/>
    </x:row>
    <x:row r="1311" ht="21" customHeight="1">
      <x:c r="A1311" s="3" t="str">
        <x:v>ORD-101167</x:v>
      </x:c>
      <x:c r="B1311" s="5" t="n">
        <x:v>45634</x:v>
      </x:c>
      <x:c r="C1311" s="3" t="str">
        <x:v>CUST-00583</x:v>
      </x:c>
      <x:c r="D1311" s="3" t="str">
        <x:v>West</x:v>
      </x:c>
      <x:c r="E1311" s="3" t="str">
        <x:v>Electronics</x:v>
      </x:c>
      <x:c r="F1311" s="3" t="str">
        <x:v>Laptop</x:v>
      </x:c>
      <x:c r="G1311" s="3" t="str">
        <x:v>AirBook Slim</x:v>
      </x:c>
      <x:c r="H1311" s="3" t="n">
        <x:v>1</x:v>
      </x:c>
      <x:c r="I1311" s="7" t="n">
        <x:v>76303.61</x:v>
      </x:c>
      <x:c r="J1311" s="9" t="n">
        <x:v>0</x:v>
      </x:c>
      <x:c r="K1311" s="7" t="n">
        <x:v>76303.61</x:v>
      </x:c>
      <x:c r="L1311" s="7" t="n">
        <x:v>16418.44</x:v>
      </x:c>
      <x:c r="M1311" s="3" t="str">
        <x:v>UPI</x:v>
      </x:c>
      <x:c r="N1311" s="3"/>
      <x:c r="O1311" s="3"/>
      <x:c r="P1311" s="3"/>
      <x:c r="Q1311" s="3"/>
    </x:row>
    <x:row r="1312" ht="21" customHeight="1">
      <x:c r="A1312" s="3" t="str">
        <x:v>ORD-101232</x:v>
      </x:c>
      <x:c r="B1312" s="5" t="n">
        <x:v>45634</x:v>
      </x:c>
      <x:c r="C1312" s="3" t="str">
        <x:v>CUST-00027</x:v>
      </x:c>
      <x:c r="D1312" s="3" t="str">
        <x:v>North</x:v>
      </x:c>
      <x:c r="E1312" s="3" t="str">
        <x:v>Sports</x:v>
      </x:c>
      <x:c r="F1312" s="3" t="str">
        <x:v>Fitness</x:v>
      </x:c>
      <x:c r="G1312" s="3" t="str">
        <x:v>ProYoga Mat</x:v>
      </x:c>
      <x:c r="H1312" s="3" t="n">
        <x:v>1</x:v>
      </x:c>
      <x:c r="I1312" s="7" t="n">
        <x:v>1284.35</x:v>
      </x:c>
      <x:c r="J1312" s="9" t="n">
        <x:v>0.3</x:v>
      </x:c>
      <x:c r="K1312" s="7" t="n">
        <x:v>899.04</x:v>
      </x:c>
      <x:c r="L1312" s="7" t="n">
        <x:v>10.04</x:v>
      </x:c>
      <x:c r="M1312" s="3" t="str">
        <x:v>UPI</x:v>
      </x:c>
      <x:c r="N1312" s="3"/>
      <x:c r="O1312" s="3"/>
      <x:c r="P1312" s="3"/>
      <x:c r="Q1312" s="3"/>
    </x:row>
    <x:row r="1313" ht="21" customHeight="1">
      <x:c r="A1313" s="3" t="str">
        <x:v>ORD-101391</x:v>
      </x:c>
      <x:c r="B1313" s="5" t="n">
        <x:v>45634</x:v>
      </x:c>
      <x:c r="C1313" s="3" t="str">
        <x:v>CUST-00224</x:v>
      </x:c>
      <x:c r="D1313" s="3" t="str">
        <x:v>East</x:v>
      </x:c>
      <x:c r="E1313" s="3" t="str">
        <x:v>Home &amp; Kitchen</x:v>
      </x:c>
      <x:c r="F1313" s="3" t="str">
        <x:v>Decor</x:v>
      </x:c>
      <x:c r="G1313" s="3" t="str">
        <x:v>LED Wall Lamp</x:v>
      </x:c>
      <x:c r="H1313" s="3" t="n">
        <x:v>3</x:v>
      </x:c>
      <x:c r="I1313" s="7" t="n">
        <x:v>988.27</x:v>
      </x:c>
      <x:c r="J1313" s="9" t="n">
        <x:v>0</x:v>
      </x:c>
      <x:c r="K1313" s="7" t="n">
        <x:v>2964.81</x:v>
      </x:c>
      <x:c r="L1313" s="7" t="n">
        <x:v>968.54</x:v>
      </x:c>
      <x:c r="M1313" s="3" t="str">
        <x:v>Debit Card</x:v>
      </x:c>
      <x:c r="N1313" s="3"/>
      <x:c r="O1313" s="3"/>
      <x:c r="P1313" s="3"/>
      <x:c r="Q1313" s="3"/>
    </x:row>
    <x:row r="1314" ht="21" customHeight="1">
      <x:c r="A1314" s="3" t="str">
        <x:v>ORD-101815</x:v>
      </x:c>
      <x:c r="B1314" s="5" t="n">
        <x:v>45634</x:v>
      </x:c>
      <x:c r="C1314" s="3" t="str">
        <x:v>CUST-00162</x:v>
      </x:c>
      <x:c r="D1314" s="3" t="str">
        <x:v>East</x:v>
      </x:c>
      <x:c r="E1314" s="3" t="str">
        <x:v>Fashion</x:v>
      </x:c>
      <x:c r="F1314" s="3" t="str">
        <x:v>Women</x:v>
      </x:c>
      <x:c r="G1314" s="3" t="str">
        <x:v>Floral Summer Dress</x:v>
      </x:c>
      <x:c r="H1314" s="3" t="n">
        <x:v>1</x:v>
      </x:c>
      <x:c r="I1314" s="7" t="n">
        <x:v>1814.21</x:v>
      </x:c>
      <x:c r="J1314" s="9" t="n">
        <x:v>0</x:v>
      </x:c>
      <x:c r="K1314" s="7" t="n">
        <x:v>1814.21</x:v>
      </x:c>
      <x:c r="L1314" s="7" t="n">
        <x:v>798.32</x:v>
      </x:c>
      <x:c r="M1314" s="3" t="str">
        <x:v>Credit Card</x:v>
      </x:c>
      <x:c r="N1314" s="3"/>
      <x:c r="O1314" s="3"/>
      <x:c r="P1314" s="3"/>
      <x:c r="Q1314" s="3"/>
    </x:row>
    <x:row r="1315" ht="21" customHeight="1">
      <x:c r="A1315" s="3" t="str">
        <x:v>ORD-100032</x:v>
      </x:c>
      <x:c r="B1315" s="5" t="n">
        <x:v>45635</x:v>
      </x:c>
      <x:c r="C1315" s="3" t="str">
        <x:v>CUST-00241</x:v>
      </x:c>
      <x:c r="D1315" s="3" t="str">
        <x:v>North</x:v>
      </x:c>
      <x:c r="E1315" s="3" t="str">
        <x:v>Fashion</x:v>
      </x:c>
      <x:c r="F1315" s="3" t="str">
        <x:v>Footwear</x:v>
      </x:c>
      <x:c r="G1315" s="3" t="str">
        <x:v>UrbanLoafers</x:v>
      </x:c>
      <x:c r="H1315" s="3" t="n">
        <x:v>3</x:v>
      </x:c>
      <x:c r="I1315" s="7" t="n">
        <x:v>3581.56</x:v>
      </x:c>
      <x:c r="J1315" s="9" t="n">
        <x:v>0.3</x:v>
      </x:c>
      <x:c r="K1315" s="7" t="n">
        <x:v>7521.28</x:v>
      </x:c>
      <x:c r="L1315" s="7" t="n">
        <x:v>659.68</x:v>
      </x:c>
      <x:c r="M1315" s="3" t="str">
        <x:v>Credit Card</x:v>
      </x:c>
      <x:c r="N1315" s="3"/>
      <x:c r="O1315" s="3"/>
      <x:c r="P1315" s="3"/>
      <x:c r="Q1315" s="3"/>
    </x:row>
    <x:row r="1316" ht="21" customHeight="1">
      <x:c r="A1316" s="3" t="str">
        <x:v>ORD-100150</x:v>
      </x:c>
      <x:c r="B1316" s="5" t="n">
        <x:v>45635</x:v>
      </x:c>
      <x:c r="C1316" s="3" t="str">
        <x:v>CUST-00557</x:v>
      </x:c>
      <x:c r="D1316" s="3" t="str">
        <x:v>North</x:v>
      </x:c>
      <x:c r="E1316" s="3" t="str">
        <x:v>Electronics</x:v>
      </x:c>
      <x:c r="F1316" s="3" t="str">
        <x:v>Laptop</x:v>
      </x:c>
      <x:c r="G1316" s="3" t="str">
        <x:v>AirBook Slim</x:v>
      </x:c>
      <x:c r="H1316" s="3" t="n">
        <x:v>1</x:v>
      </x:c>
      <x:c r="I1316" s="7" t="n">
        <x:v>81940.06</x:v>
      </x:c>
      <x:c r="J1316" s="9" t="n">
        <x:v>0.15</x:v>
      </x:c>
      <x:c r="K1316" s="7" t="n">
        <x:v>69649.05</x:v>
      </x:c>
      <x:c r="L1316" s="7" t="n">
        <x:v>-650.71</x:v>
      </x:c>
      <x:c r="M1316" s="3" t="str">
        <x:v>UPI</x:v>
      </x:c>
      <x:c r="N1316" s="3"/>
      <x:c r="O1316" s="3"/>
      <x:c r="P1316" s="3"/>
      <x:c r="Q1316" s="3"/>
    </x:row>
    <x:row r="1317" ht="21" customHeight="1">
      <x:c r="A1317" s="3" t="str">
        <x:v>ORD-100243</x:v>
      </x:c>
      <x:c r="B1317" s="5" t="n">
        <x:v>45635</x:v>
      </x:c>
      <x:c r="C1317" s="3" t="str">
        <x:v>CUST-00272</x:v>
      </x:c>
      <x:c r="D1317" s="3" t="str">
        <x:v>West</x:v>
      </x:c>
      <x:c r="E1317" s="3" t="str">
        <x:v>Beauty</x:v>
      </x:c>
      <x:c r="F1317" s="3" t="str">
        <x:v>Skincare</x:v>
      </x:c>
      <x:c r="G1317" s="3" t="str">
        <x:v>Vitamin C Serum</x:v>
      </x:c>
      <x:c r="H1317" s="3" t="n">
        <x:v>4</x:v>
      </x:c>
      <x:c r="I1317" s="7" t="n">
        <x:v>921.06</x:v>
      </x:c>
      <x:c r="J1317" s="9" t="n">
        <x:v>0</x:v>
      </x:c>
      <x:c r="K1317" s="7" t="n">
        <x:v>3684.24</x:v>
      </x:c>
      <x:c r="L1317" s="7" t="n">
        <x:v>1949.11</x:v>
      </x:c>
      <x:c r="M1317" s="3" t="str">
        <x:v>UPI</x:v>
      </x:c>
      <x:c r="N1317" s="3"/>
      <x:c r="O1317" s="3"/>
      <x:c r="P1317" s="3"/>
      <x:c r="Q1317" s="3"/>
    </x:row>
    <x:row r="1318" ht="21" customHeight="1">
      <x:c r="A1318" s="3" t="str">
        <x:v>ORD-100268</x:v>
      </x:c>
      <x:c r="B1318" s="5" t="n">
        <x:v>45635</x:v>
      </x:c>
      <x:c r="C1318" s="3" t="str">
        <x:v>CUST-00228</x:v>
      </x:c>
      <x:c r="D1318" s="3" t="str">
        <x:v>East</x:v>
      </x:c>
      <x:c r="E1318" s="3" t="str">
        <x:v>Beauty</x:v>
      </x:c>
      <x:c r="F1318" s="3" t="str">
        <x:v>Skincare</x:v>
      </x:c>
      <x:c r="G1318" s="3" t="str">
        <x:v>HydraBoost Moisturizer</x:v>
      </x:c>
      <x:c r="H1318" s="3" t="n">
        <x:v>1</x:v>
      </x:c>
      <x:c r="I1318" s="7" t="n">
        <x:v>1170.06</x:v>
      </x:c>
      <x:c r="J1318" s="9" t="n">
        <x:v>0</x:v>
      </x:c>
      <x:c r="K1318" s="7" t="n">
        <x:v>1170.06</x:v>
      </x:c>
      <x:c r="L1318" s="7" t="n">
        <x:v>672.4</x:v>
      </x:c>
      <x:c r="M1318" s="3" t="str">
        <x:v>UPI</x:v>
      </x:c>
      <x:c r="N1318" s="3"/>
      <x:c r="O1318" s="3"/>
      <x:c r="P1318" s="3"/>
      <x:c r="Q1318" s="3"/>
    </x:row>
    <x:row r="1319" ht="21" customHeight="1">
      <x:c r="A1319" s="3" t="str">
        <x:v>ORD-100730</x:v>
      </x:c>
      <x:c r="B1319" s="5" t="n">
        <x:v>45635</x:v>
      </x:c>
      <x:c r="C1319" s="3" t="str">
        <x:v>CUST-00289</x:v>
      </x:c>
      <x:c r="D1319" s="3" t="str">
        <x:v>North</x:v>
      </x:c>
      <x:c r="E1319" s="3" t="str">
        <x:v>Sports</x:v>
      </x:c>
      <x:c r="F1319" s="3" t="str">
        <x:v>Fitness</x:v>
      </x:c>
      <x:c r="G1319" s="3" t="str">
        <x:v>ProYoga Mat</x:v>
      </x:c>
      <x:c r="H1319" s="3" t="n">
        <x:v>3</x:v>
      </x:c>
      <x:c r="I1319" s="7" t="n">
        <x:v>1259.35</x:v>
      </x:c>
      <x:c r="J1319" s="9" t="n">
        <x:v>0.1</x:v>
      </x:c>
      <x:c r="K1319" s="7" t="n">
        <x:v>3400.24</x:v>
      </x:c>
      <x:c r="L1319" s="7" t="n">
        <x:v>794.54</x:v>
      </x:c>
      <x:c r="M1319" s="3" t="str">
        <x:v>Credit Card</x:v>
      </x:c>
      <x:c r="N1319" s="3"/>
      <x:c r="O1319" s="3"/>
      <x:c r="P1319" s="3"/>
      <x:c r="Q1319" s="3"/>
    </x:row>
    <x:row r="1320" ht="21" customHeight="1">
      <x:c r="A1320" s="3" t="str">
        <x:v>ORD-100849</x:v>
      </x:c>
      <x:c r="B1320" s="5" t="n">
        <x:v>45635</x:v>
      </x:c>
      <x:c r="C1320" s="3" t="str">
        <x:v>CUST-00526</x:v>
      </x:c>
      <x:c r="D1320" s="3" t="str">
        <x:v>North</x:v>
      </x:c>
      <x:c r="E1320" s="3" t="str">
        <x:v>Home &amp; Kitchen</x:v>
      </x:c>
      <x:c r="F1320" s="3" t="str">
        <x:v>Appliances</x:v>
      </x:c>
      <x:c r="G1320" s="3" t="str">
        <x:v>AirFryer Deluxe</x:v>
      </x:c>
      <x:c r="H1320" s="3" t="n">
        <x:v>5</x:v>
      </x:c>
      <x:c r="I1320" s="7" t="n">
        <x:v>8194.4</x:v>
      </x:c>
      <x:c r="J1320" s="9" t="n">
        <x:v>0.15</x:v>
      </x:c>
      <x:c r="K1320" s="7" t="n">
        <x:v>34826.2</x:v>
      </x:c>
      <x:c r="L1320" s="7" t="n">
        <x:v>4711.82</x:v>
      </x:c>
      <x:c r="M1320" s="3" t="str">
        <x:v>UPI</x:v>
      </x:c>
      <x:c r="N1320" s="3"/>
      <x:c r="O1320" s="3"/>
      <x:c r="P1320" s="3"/>
      <x:c r="Q1320" s="3"/>
    </x:row>
    <x:row r="1321" ht="21" customHeight="1">
      <x:c r="A1321" s="3" t="str">
        <x:v>ORD-101455</x:v>
      </x:c>
      <x:c r="B1321" s="5" t="n">
        <x:v>45635</x:v>
      </x:c>
      <x:c r="C1321" s="3" t="str">
        <x:v>CUST-00358</x:v>
      </x:c>
      <x:c r="D1321" s="3" t="str">
        <x:v>West</x:v>
      </x:c>
      <x:c r="E1321" s="3" t="str">
        <x:v>Electronics</x:v>
      </x:c>
      <x:c r="F1321" s="3" t="str">
        <x:v>Mobile</x:v>
      </x:c>
      <x:c r="G1321" s="3" t="str">
        <x:v>iPhone Zeta</x:v>
      </x:c>
      <x:c r="H1321" s="3" t="n">
        <x:v>1</x:v>
      </x:c>
      <x:c r="I1321" s="7" t="n">
        <x:v>67943.62</x:v>
      </x:c>
      <x:c r="J1321" s="9" t="n">
        <x:v>0.05</x:v>
      </x:c>
      <x:c r="K1321" s="7" t="n">
        <x:v>64546.44</x:v>
      </x:c>
      <x:c r="L1321" s="7" t="n">
        <x:v>6872.7</x:v>
      </x:c>
      <x:c r="M1321" s="3" t="str">
        <x:v>Net Banking</x:v>
      </x:c>
      <x:c r="N1321" s="3"/>
      <x:c r="O1321" s="3"/>
      <x:c r="P1321" s="3"/>
      <x:c r="Q1321" s="3"/>
    </x:row>
    <x:row r="1322" ht="21" customHeight="1">
      <x:c r="A1322" s="3" t="str">
        <x:v>ORD-101856</x:v>
      </x:c>
      <x:c r="B1322" s="5" t="n">
        <x:v>45635</x:v>
      </x:c>
      <x:c r="C1322" s="3" t="str">
        <x:v>CUST-00053</x:v>
      </x:c>
      <x:c r="D1322" s="3" t="str">
        <x:v>East</x:v>
      </x:c>
      <x:c r="E1322" s="3" t="str">
        <x:v>Home &amp; Kitchen</x:v>
      </x:c>
      <x:c r="F1322" s="3" t="str">
        <x:v>Furniture</x:v>
      </x:c>
      <x:c r="G1322" s="3" t="str">
        <x:v>Oakwood Study Desk</x:v>
      </x:c>
      <x:c r="H1322" s="3" t="n">
        <x:v>2</x:v>
      </x:c>
      <x:c r="I1322" s="7" t="n">
        <x:v>12718.17</x:v>
      </x:c>
      <x:c r="J1322" s="9" t="n">
        <x:v>0</x:v>
      </x:c>
      <x:c r="K1322" s="7" t="n">
        <x:v>25436.34</x:v>
      </x:c>
      <x:c r="L1322" s="7" t="n">
        <x:v>7473.98</x:v>
      </x:c>
      <x:c r="M1322" s="3" t="str">
        <x:v>UPI</x:v>
      </x:c>
      <x:c r="N1322" s="3"/>
      <x:c r="O1322" s="3"/>
      <x:c r="P1322" s="3"/>
      <x:c r="Q1322" s="3"/>
    </x:row>
    <x:row r="1323" ht="21" customHeight="1">
      <x:c r="A1323" s="3" t="str">
        <x:v>ORD-101917</x:v>
      </x:c>
      <x:c r="B1323" s="5" t="n">
        <x:v>45635</x:v>
      </x:c>
      <x:c r="C1323" s="3" t="str">
        <x:v>CUST-00069</x:v>
      </x:c>
      <x:c r="D1323" s="3" t="str">
        <x:v>West</x:v>
      </x:c>
      <x:c r="E1323" s="3" t="str">
        <x:v>Fashion</x:v>
      </x:c>
      <x:c r="F1323" s="3" t="str">
        <x:v>Footwear</x:v>
      </x:c>
      <x:c r="G1323" s="3" t="str">
        <x:v>RunFlex Sneakers</x:v>
      </x:c>
      <x:c r="H1323" s="3" t="n">
        <x:v>1</x:v>
      </x:c>
      <x:c r="I1323" s="7" t="n">
        <x:v>3046.82</x:v>
      </x:c>
      <x:c r="J1323" s="9" t="n">
        <x:v>0.05</x:v>
      </x:c>
      <x:c r="K1323" s="7" t="n">
        <x:v>2894.48</x:v>
      </x:c>
      <x:c r="L1323" s="7" t="n">
        <x:v>955.3</x:v>
      </x:c>
      <x:c r="M1323" s="3" t="str">
        <x:v>Debit Card</x:v>
      </x:c>
      <x:c r="N1323" s="3"/>
      <x:c r="O1323" s="3"/>
      <x:c r="P1323" s="3"/>
      <x:c r="Q1323" s="3"/>
    </x:row>
    <x:row r="1324" ht="21" customHeight="1">
      <x:c r="A1324" s="3" t="str">
        <x:v>ORD-100108</x:v>
      </x:c>
      <x:c r="B1324" s="5" t="n">
        <x:v>45636</x:v>
      </x:c>
      <x:c r="C1324" s="3" t="str">
        <x:v>CUST-00135</x:v>
      </x:c>
      <x:c r="D1324" s="3" t="str">
        <x:v>West</x:v>
      </x:c>
      <x:c r="E1324" s="3" t="str">
        <x:v>Fashion</x:v>
      </x:c>
      <x:c r="F1324" s="3" t="str">
        <x:v>Men</x:v>
      </x:c>
      <x:c r="G1324" s="3" t="str">
        <x:v>Oxford Casual Shirt</x:v>
      </x:c>
      <x:c r="H1324" s="3" t="n">
        <x:v>3</x:v>
      </x:c>
      <x:c r="I1324" s="7" t="n">
        <x:v>1334.19</x:v>
      </x:c>
      <x:c r="J1324" s="9" t="n">
        <x:v>0</x:v>
      </x:c>
      <x:c r="K1324" s="7" t="n">
        <x:v>4002.57</x:v>
      </x:c>
      <x:c r="L1324" s="7" t="n">
        <x:v>1788.39</x:v>
      </x:c>
      <x:c r="M1324" s="3" t="str">
        <x:v>UPI</x:v>
      </x:c>
      <x:c r="N1324" s="3"/>
      <x:c r="O1324" s="3"/>
      <x:c r="P1324" s="3"/>
      <x:c r="Q1324" s="3"/>
    </x:row>
    <x:row r="1325" ht="21" customHeight="1">
      <x:c r="A1325" s="3" t="str">
        <x:v>ORD-100825</x:v>
      </x:c>
      <x:c r="B1325" s="5" t="n">
        <x:v>45636</x:v>
      </x:c>
      <x:c r="C1325" s="3" t="str">
        <x:v>CUST-00269</x:v>
      </x:c>
      <x:c r="D1325" s="3" t="str">
        <x:v>South</x:v>
      </x:c>
      <x:c r="E1325" s="3" t="str">
        <x:v>Fashion</x:v>
      </x:c>
      <x:c r="F1325" s="3" t="str">
        <x:v>Men</x:v>
      </x:c>
      <x:c r="G1325" s="3" t="str">
        <x:v>Oxford Casual Shirt</x:v>
      </x:c>
      <x:c r="H1325" s="3" t="n">
        <x:v>1</x:v>
      </x:c>
      <x:c r="I1325" s="7" t="n">
        <x:v>1240.84</x:v>
      </x:c>
      <x:c r="J1325" s="9" t="n">
        <x:v>0.05</x:v>
      </x:c>
      <x:c r="K1325" s="7" t="n">
        <x:v>1178.8</x:v>
      </x:c>
      <x:c r="L1325" s="7" t="n">
        <x:v>408.94</x:v>
      </x:c>
      <x:c r="M1325" s="3" t="str">
        <x:v>UPI</x:v>
      </x:c>
      <x:c r="N1325" s="3"/>
      <x:c r="O1325" s="3"/>
      <x:c r="P1325" s="3"/>
      <x:c r="Q1325" s="3"/>
    </x:row>
    <x:row r="1326" ht="21" customHeight="1">
      <x:c r="A1326" s="3" t="str">
        <x:v>ORD-101780</x:v>
      </x:c>
      <x:c r="B1326" s="5" t="n">
        <x:v>45636</x:v>
      </x:c>
      <x:c r="C1326" s="3" t="str">
        <x:v>CUST-00562</x:v>
      </x:c>
      <x:c r="D1326" s="3" t="str">
        <x:v>North</x:v>
      </x:c>
      <x:c r="E1326" s="3" t="str">
        <x:v>Sports</x:v>
      </x:c>
      <x:c r="F1326" s="3" t="str">
        <x:v>Outdoor</x:v>
      </x:c>
      <x:c r="G1326" s="3" t="str">
        <x:v>TrailHike Backpack 60L</x:v>
      </x:c>
      <x:c r="H1326" s="3" t="n">
        <x:v>2</x:v>
      </x:c>
      <x:c r="I1326" s="7" t="n">
        <x:v>3547.69</x:v>
      </x:c>
      <x:c r="J1326" s="9" t="n">
        <x:v>0.05</x:v>
      </x:c>
      <x:c r="K1326" s="7" t="n">
        <x:v>6740.61</x:v>
      </x:c>
      <x:c r="L1326" s="7" t="n">
        <x:v>2024.35</x:v>
      </x:c>
      <x:c r="M1326" s="3" t="str">
        <x:v>UPI</x:v>
      </x:c>
      <x:c r="N1326" s="3"/>
      <x:c r="O1326" s="3"/>
      <x:c r="P1326" s="3"/>
      <x:c r="Q1326" s="3"/>
    </x:row>
    <x:row r="1327" ht="21" customHeight="1">
      <x:c r="A1327" s="3" t="str">
        <x:v>ORD-100131</x:v>
      </x:c>
      <x:c r="B1327" s="5" t="n">
        <x:v>45637</x:v>
      </x:c>
      <x:c r="C1327" s="3" t="str">
        <x:v>CUST-00578</x:v>
      </x:c>
      <x:c r="D1327" s="3" t="str">
        <x:v>East</x:v>
      </x:c>
      <x:c r="E1327" s="3" t="str">
        <x:v>Home &amp; Kitchen</x:v>
      </x:c>
      <x:c r="F1327" s="3" t="str">
        <x:v>Furniture</x:v>
      </x:c>
      <x:c r="G1327" s="3" t="str">
        <x:v>ErgoComfort Chair</x:v>
      </x:c>
      <x:c r="H1327" s="3" t="n">
        <x:v>2</x:v>
      </x:c>
      <x:c r="I1327" s="7" t="n">
        <x:v>9125.87</x:v>
      </x:c>
      <x:c r="J1327" s="9" t="n">
        <x:v>0</x:v>
      </x:c>
      <x:c r="K1327" s="7" t="n">
        <x:v>18251.74</x:v>
      </x:c>
      <x:c r="L1327" s="7" t="n">
        <x:v>6157.13</x:v>
      </x:c>
      <x:c r="M1327" s="3" t="str">
        <x:v>UPI</x:v>
      </x:c>
      <x:c r="N1327" s="3"/>
      <x:c r="O1327" s="3"/>
      <x:c r="P1327" s="3"/>
      <x:c r="Q1327" s="3"/>
    </x:row>
    <x:row r="1328" ht="21" customHeight="1">
      <x:c r="A1328" s="3" t="str">
        <x:v>ORD-100348</x:v>
      </x:c>
      <x:c r="B1328" s="5" t="n">
        <x:v>45637</x:v>
      </x:c>
      <x:c r="C1328" s="3" t="str">
        <x:v>CUST-00586</x:v>
      </x:c>
      <x:c r="D1328" s="3" t="str">
        <x:v>North</x:v>
      </x:c>
      <x:c r="E1328" s="3" t="str">
        <x:v>Sports</x:v>
      </x:c>
      <x:c r="F1328" s="3" t="str">
        <x:v>Outdoor</x:v>
      </x:c>
      <x:c r="G1328" s="3" t="str">
        <x:v>TrailHike Backpack 60L</x:v>
      </x:c>
      <x:c r="H1328" s="3" t="n">
        <x:v>1</x:v>
      </x:c>
      <x:c r="I1328" s="7" t="n">
        <x:v>3545.09</x:v>
      </x:c>
      <x:c r="J1328" s="9" t="n">
        <x:v>0</x:v>
      </x:c>
      <x:c r="K1328" s="7" t="n">
        <x:v>3545.09</x:v>
      </x:c>
      <x:c r="L1328" s="7" t="n">
        <x:v>1246.41</x:v>
      </x:c>
      <x:c r="M1328" s="3" t="str">
        <x:v>Debit Card</x:v>
      </x:c>
      <x:c r="N1328" s="3"/>
      <x:c r="O1328" s="3"/>
      <x:c r="P1328" s="3"/>
      <x:c r="Q1328" s="3"/>
    </x:row>
    <x:row r="1329" ht="21" customHeight="1">
      <x:c r="A1329" s="3" t="str">
        <x:v>ORD-101156</x:v>
      </x:c>
      <x:c r="B1329" s="5" t="n">
        <x:v>45637</x:v>
      </x:c>
      <x:c r="C1329" s="3" t="str">
        <x:v>CUST-00548</x:v>
      </x:c>
      <x:c r="D1329" s="3" t="str">
        <x:v>North</x:v>
      </x:c>
      <x:c r="E1329" s="3" t="str">
        <x:v>Electronics</x:v>
      </x:c>
      <x:c r="F1329" s="3" t="str">
        <x:v>Mobile</x:v>
      </x:c>
      <x:c r="G1329" s="3" t="str">
        <x:v>Galaxy Nova X5</x:v>
      </x:c>
      <x:c r="H1329" s="3" t="n">
        <x:v>1</x:v>
      </x:c>
      <x:c r="I1329" s="7" t="n">
        <x:v>25645.09</x:v>
      </x:c>
      <x:c r="J1329" s="9" t="n">
        <x:v>0.15</x:v>
      </x:c>
      <x:c r="K1329" s="7" t="n">
        <x:v>21798.33</x:v>
      </x:c>
      <x:c r="L1329" s="7" t="n">
        <x:v>-237.51</x:v>
      </x:c>
      <x:c r="M1329" s="3" t="str">
        <x:v>Debit Card</x:v>
      </x:c>
      <x:c r="N1329" s="3"/>
      <x:c r="O1329" s="3"/>
      <x:c r="P1329" s="3"/>
      <x:c r="Q1329" s="3"/>
    </x:row>
    <x:row r="1330" ht="21" customHeight="1">
      <x:c r="A1330" s="3" t="str">
        <x:v>ORD-101384</x:v>
      </x:c>
      <x:c r="B1330" s="5" t="n">
        <x:v>45637</x:v>
      </x:c>
      <x:c r="C1330" s="3" t="str">
        <x:v>CUST-00188</x:v>
      </x:c>
      <x:c r="D1330" s="3" t="str">
        <x:v>North</x:v>
      </x:c>
      <x:c r="E1330" s="3" t="str">
        <x:v>Beauty</x:v>
      </x:c>
      <x:c r="F1330" s="3" t="str">
        <x:v>Makeup</x:v>
      </x:c>
      <x:c r="G1330" s="3" t="str">
        <x:v>Matte Lipstick Set</x:v>
      </x:c>
      <x:c r="H1330" s="3" t="n">
        <x:v>1</x:v>
      </x:c>
      <x:c r="I1330" s="7" t="n">
        <x:v>1024.93</x:v>
      </x:c>
      <x:c r="J1330" s="9" t="n">
        <x:v>0.2</x:v>
      </x:c>
      <x:c r="K1330" s="7" t="n">
        <x:v>819.94</x:v>
      </x:c>
      <x:c r="L1330" s="7" t="n">
        <x:v>275.48</x:v>
      </x:c>
      <x:c r="M1330" s="3" t="str">
        <x:v>UPI</x:v>
      </x:c>
      <x:c r="N1330" s="3"/>
      <x:c r="O1330" s="3"/>
      <x:c r="P1330" s="3"/>
      <x:c r="Q1330" s="3"/>
    </x:row>
    <x:row r="1331" ht="21" customHeight="1">
      <x:c r="A1331" s="3" t="str">
        <x:v>ORD-101463</x:v>
      </x:c>
      <x:c r="B1331" s="5" t="n">
        <x:v>45637</x:v>
      </x:c>
      <x:c r="C1331" s="3" t="str">
        <x:v>CUST-00483</x:v>
      </x:c>
      <x:c r="D1331" s="3" t="str">
        <x:v>South</x:v>
      </x:c>
      <x:c r="E1331" s="3" t="str">
        <x:v>Fashion</x:v>
      </x:c>
      <x:c r="F1331" s="3" t="str">
        <x:v>Footwear</x:v>
      </x:c>
      <x:c r="G1331" s="3" t="str">
        <x:v>UrbanLoafers</x:v>
      </x:c>
      <x:c r="H1331" s="3" t="n">
        <x:v>1</x:v>
      </x:c>
      <x:c r="I1331" s="7" t="n">
        <x:v>3448.7</x:v>
      </x:c>
      <x:c r="J1331" s="9" t="n">
        <x:v>0.05</x:v>
      </x:c>
      <x:c r="K1331" s="7" t="n">
        <x:v>3276.26</x:v>
      </x:c>
      <x:c r="L1331" s="7" t="n">
        <x:v>1241.89</x:v>
      </x:c>
      <x:c r="M1331" s="3" t="str">
        <x:v>UPI</x:v>
      </x:c>
      <x:c r="N1331" s="3"/>
      <x:c r="O1331" s="3"/>
      <x:c r="P1331" s="3"/>
      <x:c r="Q1331" s="3"/>
    </x:row>
    <x:row r="1332" ht="21" customHeight="1">
      <x:c r="A1332" s="3" t="str">
        <x:v>ORD-100283</x:v>
      </x:c>
      <x:c r="B1332" s="5" t="n">
        <x:v>45638</x:v>
      </x:c>
      <x:c r="C1332" s="3" t="str">
        <x:v>CUST-00098</x:v>
      </x:c>
      <x:c r="D1332" s="3" t="str">
        <x:v>East</x:v>
      </x:c>
      <x:c r="E1332" s="3" t="str">
        <x:v>Electronics</x:v>
      </x:c>
      <x:c r="F1332" s="3" t="str">
        <x:v>Laptop</x:v>
      </x:c>
      <x:c r="G1332" s="3" t="str">
        <x:v>AirBook Slim</x:v>
      </x:c>
      <x:c r="H1332" s="3" t="n">
        <x:v>1</x:v>
      </x:c>
      <x:c r="I1332" s="7" t="n">
        <x:v>77531.5</x:v>
      </x:c>
      <x:c r="J1332" s="9" t="n">
        <x:v>0</x:v>
      </x:c>
      <x:c r="K1332" s="7" t="n">
        <x:v>77531.5</x:v>
      </x:c>
      <x:c r="L1332" s="7" t="n">
        <x:v>15224.51</x:v>
      </x:c>
      <x:c r="M1332" s="3" t="str">
        <x:v>Debit Card</x:v>
      </x:c>
      <x:c r="N1332" s="3"/>
      <x:c r="O1332" s="3"/>
      <x:c r="P1332" s="3"/>
      <x:c r="Q1332" s="3"/>
    </x:row>
    <x:row r="1333" ht="21" customHeight="1">
      <x:c r="A1333" s="3" t="str">
        <x:v>ORD-100015</x:v>
      </x:c>
      <x:c r="B1333" s="5" t="n">
        <x:v>45639</x:v>
      </x:c>
      <x:c r="C1333" s="3" t="str">
        <x:v>CUST-00112</x:v>
      </x:c>
      <x:c r="D1333" s="3" t="str">
        <x:v>East</x:v>
      </x:c>
      <x:c r="E1333" s="3" t="str">
        <x:v>Sports</x:v>
      </x:c>
      <x:c r="F1333" s="3" t="str">
        <x:v>Outdoor</x:v>
      </x:c>
      <x:c r="G1333" s="3" t="str">
        <x:v>AllWeather Tent 4P</x:v>
      </x:c>
      <x:c r="H1333" s="3" t="n">
        <x:v>1</x:v>
      </x:c>
      <x:c r="I1333" s="7" t="n">
        <x:v>11464.05</x:v>
      </x:c>
      <x:c r="J1333" s="9" t="n">
        <x:v>0.2</x:v>
      </x:c>
      <x:c r="K1333" s="7" t="n">
        <x:v>9171.24</x:v>
      </x:c>
      <x:c r="L1333" s="7" t="n">
        <x:v>1488.28</x:v>
      </x:c>
      <x:c r="M1333" s="3" t="str">
        <x:v>UPI</x:v>
      </x:c>
      <x:c r="N1333" s="3"/>
      <x:c r="O1333" s="3"/>
      <x:c r="P1333" s="3"/>
      <x:c r="Q1333" s="3"/>
    </x:row>
    <x:row r="1334" ht="21" customHeight="1">
      <x:c r="A1334" s="3" t="str">
        <x:v>ORD-100555</x:v>
      </x:c>
      <x:c r="B1334" s="5" t="n">
        <x:v>45639</x:v>
      </x:c>
      <x:c r="C1334" s="3" t="str">
        <x:v>CUST-00480</x:v>
      </x:c>
      <x:c r="D1334" s="3" t="str">
        <x:v>South</x:v>
      </x:c>
      <x:c r="E1334" s="3" t="str">
        <x:v>Sports</x:v>
      </x:c>
      <x:c r="F1334" s="3" t="str">
        <x:v>Outdoor</x:v>
      </x:c>
      <x:c r="G1334" s="3" t="str">
        <x:v>TrailHike Backpack 60L</x:v>
      </x:c>
      <x:c r="H1334" s="3" t="n">
        <x:v>1</x:v>
      </x:c>
      <x:c r="I1334" s="7" t="n">
        <x:v>3488.24</x:v>
      </x:c>
      <x:c r="J1334" s="9" t="n">
        <x:v>0.15</x:v>
      </x:c>
      <x:c r="K1334" s="7" t="n">
        <x:v>2965</x:v>
      </x:c>
      <x:c r="L1334" s="7" t="n">
        <x:v>600.56</x:v>
      </x:c>
      <x:c r="M1334" s="3" t="str">
        <x:v>Credit Card</x:v>
      </x:c>
      <x:c r="N1334" s="3"/>
      <x:c r="O1334" s="3"/>
      <x:c r="P1334" s="3"/>
      <x:c r="Q1334" s="3"/>
    </x:row>
    <x:row r="1335" ht="21" customHeight="1">
      <x:c r="A1335" s="3" t="str">
        <x:v>ORD-100607</x:v>
      </x:c>
      <x:c r="B1335" s="5" t="n">
        <x:v>45639</x:v>
      </x:c>
      <x:c r="C1335" s="3" t="str">
        <x:v>CUST-00252</x:v>
      </x:c>
      <x:c r="D1335" s="3" t="str">
        <x:v>West</x:v>
      </x:c>
      <x:c r="E1335" s="3" t="str">
        <x:v>Fashion</x:v>
      </x:c>
      <x:c r="F1335" s="3" t="str">
        <x:v>Footwear</x:v>
      </x:c>
      <x:c r="G1335" s="3" t="str">
        <x:v>UrbanLoafers</x:v>
      </x:c>
      <x:c r="H1335" s="3" t="n">
        <x:v>1</x:v>
      </x:c>
      <x:c r="I1335" s="7" t="n">
        <x:v>3393.27</x:v>
      </x:c>
      <x:c r="J1335" s="9" t="n">
        <x:v>0</x:v>
      </x:c>
      <x:c r="K1335" s="7" t="n">
        <x:v>3393.27</x:v>
      </x:c>
      <x:c r="L1335" s="7" t="n">
        <x:v>1336.72</x:v>
      </x:c>
      <x:c r="M1335" s="3" t="str">
        <x:v>Debit Card</x:v>
      </x:c>
      <x:c r="N1335" s="3"/>
      <x:c r="O1335" s="3"/>
      <x:c r="P1335" s="3"/>
      <x:c r="Q1335" s="3"/>
    </x:row>
    <x:row r="1336" ht="21" customHeight="1">
      <x:c r="A1336" s="3" t="str">
        <x:v>ORD-101490</x:v>
      </x:c>
      <x:c r="B1336" s="5" t="n">
        <x:v>45639</x:v>
      </x:c>
      <x:c r="C1336" s="3" t="str">
        <x:v>CUST-00210</x:v>
      </x:c>
      <x:c r="D1336" s="3" t="str">
        <x:v>South</x:v>
      </x:c>
      <x:c r="E1336" s="3" t="str">
        <x:v>Beauty</x:v>
      </x:c>
      <x:c r="F1336" s="3" t="str">
        <x:v>Makeup</x:v>
      </x:c>
      <x:c r="G1336" s="3" t="str">
        <x:v>Matte Lipstick Set</x:v>
      </x:c>
      <x:c r="H1336" s="3" t="n">
        <x:v>1</x:v>
      </x:c>
      <x:c r="I1336" s="7" t="n">
        <x:v>982.54</x:v>
      </x:c>
      <x:c r="J1336" s="9" t="n">
        <x:v>0.05</x:v>
      </x:c>
      <x:c r="K1336" s="7" t="n">
        <x:v>933.41</x:v>
      </x:c>
      <x:c r="L1336" s="7" t="n">
        <x:v>441.72</x:v>
      </x:c>
      <x:c r="M1336" s="3" t="str">
        <x:v>Credit Card</x:v>
      </x:c>
      <x:c r="N1336" s="3"/>
      <x:c r="O1336" s="3"/>
      <x:c r="P1336" s="3"/>
      <x:c r="Q1336" s="3"/>
    </x:row>
    <x:row r="1337" ht="21" customHeight="1">
      <x:c r="A1337" s="3" t="str">
        <x:v>ORD-100052</x:v>
      </x:c>
      <x:c r="B1337" s="5" t="n">
        <x:v>45640</x:v>
      </x:c>
      <x:c r="C1337" s="3" t="str">
        <x:v>CUST-00053</x:v>
      </x:c>
      <x:c r="D1337" s="3" t="str">
        <x:v>North</x:v>
      </x:c>
      <x:c r="E1337" s="3" t="str">
        <x:v>Beauty</x:v>
      </x:c>
      <x:c r="F1337" s="3" t="str">
        <x:v>Makeup</x:v>
      </x:c>
      <x:c r="G1337" s="3" t="str">
        <x:v>Matte Lipstick Set</x:v>
      </x:c>
      <x:c r="H1337" s="3" t="n">
        <x:v>2</x:v>
      </x:c>
      <x:c r="I1337" s="7" t="n">
        <x:v>959.3</x:v>
      </x:c>
      <x:c r="J1337" s="9" t="n">
        <x:v>0.15</x:v>
      </x:c>
      <x:c r="K1337" s="7" t="n">
        <x:v>1630.81</x:v>
      </x:c>
      <x:c r="L1337" s="7" t="n">
        <x:v>552</x:v>
      </x:c>
      <x:c r="M1337" s="3" t="str">
        <x:v>Credit Card</x:v>
      </x:c>
      <x:c r="N1337" s="3"/>
      <x:c r="O1337" s="3"/>
      <x:c r="P1337" s="3"/>
      <x:c r="Q1337" s="3"/>
    </x:row>
    <x:row r="1338" ht="21" customHeight="1">
      <x:c r="A1338" s="3" t="str">
        <x:v>ORD-100425</x:v>
      </x:c>
      <x:c r="B1338" s="5" t="n">
        <x:v>45640</x:v>
      </x:c>
      <x:c r="C1338" s="3" t="str">
        <x:v>CUST-00442</x:v>
      </x:c>
      <x:c r="D1338" s="3" t="str">
        <x:v>West</x:v>
      </x:c>
      <x:c r="E1338" s="3" t="str">
        <x:v>Home &amp; Kitchen</x:v>
      </x:c>
      <x:c r="F1338" s="3" t="str">
        <x:v>Appliances</x:v>
      </x:c>
      <x:c r="G1338" s="3" t="str">
        <x:v>ColdBrew Coffee Maker</x:v>
      </x:c>
      <x:c r="H1338" s="3" t="n">
        <x:v>1</x:v>
      </x:c>
      <x:c r="I1338" s="7" t="n">
        <x:v>6577.56</x:v>
      </x:c>
      <x:c r="J1338" s="9" t="n">
        <x:v>0.05</x:v>
      </x:c>
      <x:c r="K1338" s="7" t="n">
        <x:v>6248.68</x:v>
      </x:c>
      <x:c r="L1338" s="7" t="n">
        <x:v>1726.73</x:v>
      </x:c>
      <x:c r="M1338" s="3" t="str">
        <x:v>UPI</x:v>
      </x:c>
      <x:c r="N1338" s="3"/>
      <x:c r="O1338" s="3"/>
      <x:c r="P1338" s="3"/>
      <x:c r="Q1338" s="3"/>
    </x:row>
    <x:row r="1339" ht="21" customHeight="1">
      <x:c r="A1339" s="3" t="str">
        <x:v>ORD-101052</x:v>
      </x:c>
      <x:c r="B1339" s="5" t="n">
        <x:v>45640</x:v>
      </x:c>
      <x:c r="C1339" s="3" t="str">
        <x:v>CUST-00340</x:v>
      </x:c>
      <x:c r="D1339" s="3" t="str">
        <x:v>West</x:v>
      </x:c>
      <x:c r="E1339" s="3" t="str">
        <x:v>Electronics</x:v>
      </x:c>
      <x:c r="F1339" s="3" t="str">
        <x:v>Mobile</x:v>
      </x:c>
      <x:c r="G1339" s="3" t="str">
        <x:v>Pixel Aura 12</x:v>
      </x:c>
      <x:c r="H1339" s="3" t="n">
        <x:v>1</x:v>
      </x:c>
      <x:c r="I1339" s="7" t="n">
        <x:v>34466.06</x:v>
      </x:c>
      <x:c r="J1339" s="9" t="n">
        <x:v>0</x:v>
      </x:c>
      <x:c r="K1339" s="7" t="n">
        <x:v>34466.06</x:v>
      </x:c>
      <x:c r="L1339" s="7" t="n">
        <x:v>6723.04</x:v>
      </x:c>
      <x:c r="M1339" s="3" t="str">
        <x:v>Net Banking</x:v>
      </x:c>
      <x:c r="N1339" s="3"/>
      <x:c r="O1339" s="3"/>
      <x:c r="P1339" s="3"/>
      <x:c r="Q1339" s="3"/>
    </x:row>
    <x:row r="1340" ht="21" customHeight="1">
      <x:c r="A1340" s="3" t="str">
        <x:v>ORD-101673</x:v>
      </x:c>
      <x:c r="B1340" s="5" t="n">
        <x:v>45640</x:v>
      </x:c>
      <x:c r="C1340" s="3" t="str">
        <x:v>CUST-00564</x:v>
      </x:c>
      <x:c r="D1340" s="3" t="str">
        <x:v>West</x:v>
      </x:c>
      <x:c r="E1340" s="3" t="str">
        <x:v>Home &amp; Kitchen</x:v>
      </x:c>
      <x:c r="F1340" s="3" t="str">
        <x:v>Appliances</x:v>
      </x:c>
      <x:c r="G1340" s="3" t="str">
        <x:v>ColdBrew Coffee Maker</x:v>
      </x:c>
      <x:c r="H1340" s="3" t="n">
        <x:v>1</x:v>
      </x:c>
      <x:c r="I1340" s="7" t="n">
        <x:v>6706.18</x:v>
      </x:c>
      <x:c r="J1340" s="9" t="n">
        <x:v>0.3</x:v>
      </x:c>
      <x:c r="K1340" s="7" t="n">
        <x:v>4694.33</x:v>
      </x:c>
      <x:c r="L1340" s="7" t="n">
        <x:v>72.29</x:v>
      </x:c>
      <x:c r="M1340" s="3" t="str">
        <x:v>Credit Card</x:v>
      </x:c>
      <x:c r="N1340" s="3"/>
      <x:c r="O1340" s="3"/>
      <x:c r="P1340" s="3"/>
      <x:c r="Q1340" s="3"/>
    </x:row>
    <x:row r="1341" ht="21" customHeight="1">
      <x:c r="A1341" s="3" t="str">
        <x:v>ORD-101692</x:v>
      </x:c>
      <x:c r="B1341" s="5" t="n">
        <x:v>45640</x:v>
      </x:c>
      <x:c r="C1341" s="3" t="str">
        <x:v>CUST-00450</x:v>
      </x:c>
      <x:c r="D1341" s="3" t="str">
        <x:v>South</x:v>
      </x:c>
      <x:c r="E1341" s="3" t="str">
        <x:v>Electronics</x:v>
      </x:c>
      <x:c r="F1341" s="3" t="str">
        <x:v>Laptop</x:v>
      </x:c>
      <x:c r="G1341" s="3" t="str">
        <x:v>AirBook Slim</x:v>
      </x:c>
      <x:c r="H1341" s="3" t="n">
        <x:v>3</x:v>
      </x:c>
      <x:c r="I1341" s="7" t="n">
        <x:v>78355.53</x:v>
      </x:c>
      <x:c r="J1341" s="9" t="n">
        <x:v>0.1</x:v>
      </x:c>
      <x:c r="K1341" s="7" t="n">
        <x:v>211559.93</x:v>
      </x:c>
      <x:c r="L1341" s="7" t="n">
        <x:v>5742.31</x:v>
      </x:c>
      <x:c r="M1341" s="3" t="str">
        <x:v>UPI</x:v>
      </x:c>
      <x:c r="N1341" s="3"/>
      <x:c r="O1341" s="3"/>
      <x:c r="P1341" s="3"/>
      <x:c r="Q1341" s="3"/>
    </x:row>
    <x:row r="1342" ht="21" customHeight="1">
      <x:c r="A1342" s="3" t="str">
        <x:v>ORD-101787</x:v>
      </x:c>
      <x:c r="B1342" s="5" t="n">
        <x:v>45640</x:v>
      </x:c>
      <x:c r="C1342" s="3" t="str">
        <x:v>CUST-00425</x:v>
      </x:c>
      <x:c r="D1342" s="3" t="str">
        <x:v>South</x:v>
      </x:c>
      <x:c r="E1342" s="3" t="str">
        <x:v>Home &amp; Kitchen</x:v>
      </x:c>
      <x:c r="F1342" s="3" t="str">
        <x:v>Furniture</x:v>
      </x:c>
      <x:c r="G1342" s="3" t="str">
        <x:v>Oakwood Study Desk</x:v>
      </x:c>
      <x:c r="H1342" s="3" t="n">
        <x:v>1</x:v>
      </x:c>
      <x:c r="I1342" s="7" t="n">
        <x:v>12732.39</x:v>
      </x:c>
      <x:c r="J1342" s="9" t="n">
        <x:v>0.05</x:v>
      </x:c>
      <x:c r="K1342" s="7" t="n">
        <x:v>12095.77</x:v>
      </x:c>
      <x:c r="L1342" s="7" t="n">
        <x:v>2954.2</x:v>
      </x:c>
      <x:c r="M1342" s="3" t="str">
        <x:v>UPI</x:v>
      </x:c>
      <x:c r="N1342" s="3"/>
      <x:c r="O1342" s="3"/>
      <x:c r="P1342" s="3"/>
      <x:c r="Q1342" s="3"/>
    </x:row>
    <x:row r="1343" ht="21" customHeight="1">
      <x:c r="A1343" s="3" t="str">
        <x:v>ORD-100510</x:v>
      </x:c>
      <x:c r="B1343" s="5" t="n">
        <x:v>45641</x:v>
      </x:c>
      <x:c r="C1343" s="3" t="str">
        <x:v>CUST-00439</x:v>
      </x:c>
      <x:c r="D1343" s="3" t="str">
        <x:v>South</x:v>
      </x:c>
      <x:c r="E1343" s="3" t="str">
        <x:v>Beauty</x:v>
      </x:c>
      <x:c r="F1343" s="3" t="str">
        <x:v>Makeup</x:v>
      </x:c>
      <x:c r="G1343" s="3" t="str">
        <x:v>HD Foundation Kit</x:v>
      </x:c>
      <x:c r="H1343" s="3" t="n">
        <x:v>1</x:v>
      </x:c>
      <x:c r="I1343" s="7" t="n">
        <x:v>1430.81</x:v>
      </x:c>
      <x:c r="J1343" s="9" t="n">
        <x:v>0</x:v>
      </x:c>
      <x:c r="K1343" s="7" t="n">
        <x:v>1430.81</x:v>
      </x:c>
      <x:c r="L1343" s="7" t="n">
        <x:v>825.51</x:v>
      </x:c>
      <x:c r="M1343" s="3" t="str">
        <x:v>Debit Card</x:v>
      </x:c>
      <x:c r="N1343" s="3"/>
      <x:c r="O1343" s="3"/>
      <x:c r="P1343" s="3"/>
      <x:c r="Q1343" s="3"/>
    </x:row>
    <x:row r="1344" ht="21" customHeight="1">
      <x:c r="A1344" s="3" t="str">
        <x:v>ORD-100604</x:v>
      </x:c>
      <x:c r="B1344" s="5" t="n">
        <x:v>45641</x:v>
      </x:c>
      <x:c r="C1344" s="3" t="str">
        <x:v>CUST-00488</x:v>
      </x:c>
      <x:c r="D1344" s="3" t="str">
        <x:v>West</x:v>
      </x:c>
      <x:c r="E1344" s="3" t="str">
        <x:v>Electronics</x:v>
      </x:c>
      <x:c r="F1344" s="3" t="str">
        <x:v>Mobile</x:v>
      </x:c>
      <x:c r="G1344" s="3" t="str">
        <x:v>iPhone Zeta</x:v>
      </x:c>
      <x:c r="H1344" s="3" t="n">
        <x:v>3</x:v>
      </x:c>
      <x:c r="I1344" s="7" t="n">
        <x:v>66881.3</x:v>
      </x:c>
      <x:c r="J1344" s="9" t="n">
        <x:v>0.1</x:v>
      </x:c>
      <x:c r="K1344" s="7" t="n">
        <x:v>180579.51</x:v>
      </x:c>
      <x:c r="L1344" s="7" t="n">
        <x:v>9481.38</x:v>
      </x:c>
      <x:c r="M1344" s="3" t="str">
        <x:v>Credit Card</x:v>
      </x:c>
      <x:c r="N1344" s="3"/>
      <x:c r="O1344" s="3"/>
      <x:c r="P1344" s="3"/>
      <x:c r="Q1344" s="3"/>
    </x:row>
    <x:row r="1345" ht="21" customHeight="1">
      <x:c r="A1345" s="3" t="str">
        <x:v>ORD-100968</x:v>
      </x:c>
      <x:c r="B1345" s="5" t="n">
        <x:v>45641</x:v>
      </x:c>
      <x:c r="C1345" s="3" t="str">
        <x:v>CUST-00500</x:v>
      </x:c>
      <x:c r="D1345" s="3" t="str">
        <x:v>West</x:v>
      </x:c>
      <x:c r="E1345" s="3" t="str">
        <x:v>Beauty</x:v>
      </x:c>
      <x:c r="F1345" s="3" t="str">
        <x:v>Makeup</x:v>
      </x:c>
      <x:c r="G1345" s="3" t="str">
        <x:v>Matte Lipstick Set</x:v>
      </x:c>
      <x:c r="H1345" s="3" t="n">
        <x:v>2</x:v>
      </x:c>
      <x:c r="I1345" s="7" t="n">
        <x:v>1000.45</x:v>
      </x:c>
      <x:c r="J1345" s="9" t="n">
        <x:v>0.1</x:v>
      </x:c>
      <x:c r="K1345" s="7" t="n">
        <x:v>1800.81</x:v>
      </x:c>
      <x:c r="L1345" s="7" t="n">
        <x:v>759.92</x:v>
      </x:c>
      <x:c r="M1345" s="3" t="str">
        <x:v>UPI</x:v>
      </x:c>
      <x:c r="N1345" s="3"/>
      <x:c r="O1345" s="3"/>
      <x:c r="P1345" s="3"/>
      <x:c r="Q1345" s="3"/>
    </x:row>
    <x:row r="1346" ht="21" customHeight="1">
      <x:c r="A1346" s="3" t="str">
        <x:v>ORD-100977</x:v>
      </x:c>
      <x:c r="B1346" s="5" t="n">
        <x:v>45641</x:v>
      </x:c>
      <x:c r="C1346" s="3" t="str">
        <x:v>CUST-00042</x:v>
      </x:c>
      <x:c r="D1346" s="3" t="str">
        <x:v>North</x:v>
      </x:c>
      <x:c r="E1346" s="3" t="str">
        <x:v>Fashion</x:v>
      </x:c>
      <x:c r="F1346" s="3" t="str">
        <x:v>Footwear</x:v>
      </x:c>
      <x:c r="G1346" s="3" t="str">
        <x:v>UrbanLoafers</x:v>
      </x:c>
      <x:c r="H1346" s="3" t="n">
        <x:v>1</x:v>
      </x:c>
      <x:c r="I1346" s="7" t="n">
        <x:v>3583.99</x:v>
      </x:c>
      <x:c r="J1346" s="9" t="n">
        <x:v>0</x:v>
      </x:c>
      <x:c r="K1346" s="7" t="n">
        <x:v>3583.99</x:v>
      </x:c>
      <x:c r="L1346" s="7" t="n">
        <x:v>1492.19</x:v>
      </x:c>
      <x:c r="M1346" s="3" t="str">
        <x:v>Cash on Delivery</x:v>
      </x:c>
      <x:c r="N1346" s="3"/>
      <x:c r="O1346" s="3"/>
      <x:c r="P1346" s="3"/>
      <x:c r="Q1346" s="3"/>
    </x:row>
    <x:row r="1347" ht="21" customHeight="1">
      <x:c r="A1347" s="3" t="str">
        <x:v>ORD-100144</x:v>
      </x:c>
      <x:c r="B1347" s="5" t="n">
        <x:v>45642</x:v>
      </x:c>
      <x:c r="C1347" s="3" t="str">
        <x:v>CUST-00271</x:v>
      </x:c>
      <x:c r="D1347" s="3" t="str">
        <x:v>South</x:v>
      </x:c>
      <x:c r="E1347" s="3" t="str">
        <x:v>Electronics</x:v>
      </x:c>
      <x:c r="F1347" s="3" t="str">
        <x:v>Audio</x:v>
      </x:c>
      <x:c r="G1347" s="3" t="str">
        <x:v>SoundPods Pro</x:v>
      </x:c>
      <x:c r="H1347" s="3" t="n">
        <x:v>1</x:v>
      </x:c>
      <x:c r="I1347" s="7" t="n">
        <x:v>5248.01</x:v>
      </x:c>
      <x:c r="J1347" s="9" t="n">
        <x:v>0.1</x:v>
      </x:c>
      <x:c r="K1347" s="7" t="n">
        <x:v>4723.21</x:v>
      </x:c>
      <x:c r="L1347" s="7" t="n">
        <x:v>298.84</x:v>
      </x:c>
      <x:c r="M1347" s="3" t="str">
        <x:v>Cash on Delivery</x:v>
      </x:c>
      <x:c r="N1347" s="3"/>
      <x:c r="O1347" s="3"/>
      <x:c r="P1347" s="3"/>
      <x:c r="Q1347" s="3"/>
    </x:row>
    <x:row r="1348" ht="21" customHeight="1">
      <x:c r="A1348" s="3" t="str">
        <x:v>ORD-100245</x:v>
      </x:c>
      <x:c r="B1348" s="5" t="n">
        <x:v>45642</x:v>
      </x:c>
      <x:c r="C1348" s="3" t="str">
        <x:v>CUST-00385</x:v>
      </x:c>
      <x:c r="D1348" s="3" t="str">
        <x:v>North</x:v>
      </x:c>
      <x:c r="E1348" s="3" t="str">
        <x:v>Sports</x:v>
      </x:c>
      <x:c r="F1348" s="3" t="str">
        <x:v>Fitness</x:v>
      </x:c>
      <x:c r="G1348" s="3" t="str">
        <x:v>ProYoga Mat</x:v>
      </x:c>
      <x:c r="H1348" s="3" t="n">
        <x:v>1</x:v>
      </x:c>
      <x:c r="I1348" s="7" t="n">
        <x:v>1238.39</x:v>
      </x:c>
      <x:c r="J1348" s="9" t="n">
        <x:v>0.15</x:v>
      </x:c>
      <x:c r="K1348" s="7" t="n">
        <x:v>1052.63</x:v>
      </x:c>
      <x:c r="L1348" s="7" t="n">
        <x:v>178.01</x:v>
      </x:c>
      <x:c r="M1348" s="3" t="str">
        <x:v>UPI</x:v>
      </x:c>
      <x:c r="N1348" s="3"/>
      <x:c r="O1348" s="3"/>
      <x:c r="P1348" s="3"/>
      <x:c r="Q1348" s="3"/>
    </x:row>
    <x:row r="1349" ht="21" customHeight="1">
      <x:c r="A1349" s="3" t="str">
        <x:v>ORD-100495</x:v>
      </x:c>
      <x:c r="B1349" s="5" t="n">
        <x:v>45642</x:v>
      </x:c>
      <x:c r="C1349" s="3" t="str">
        <x:v>CUST-00312</x:v>
      </x:c>
      <x:c r="D1349" s="3" t="str">
        <x:v>East</x:v>
      </x:c>
      <x:c r="E1349" s="3" t="str">
        <x:v>Sports</x:v>
      </x:c>
      <x:c r="F1349" s="3" t="str">
        <x:v>Outdoor</x:v>
      </x:c>
      <x:c r="G1349" s="3" t="str">
        <x:v>TrailHike Backpack 60L</x:v>
      </x:c>
      <x:c r="H1349" s="3" t="n">
        <x:v>1</x:v>
      </x:c>
      <x:c r="I1349" s="7" t="n">
        <x:v>3330.13</x:v>
      </x:c>
      <x:c r="J1349" s="9" t="n">
        <x:v>0</x:v>
      </x:c>
      <x:c r="K1349" s="7" t="n">
        <x:v>3330.13</x:v>
      </x:c>
      <x:c r="L1349" s="7" t="n">
        <x:v>1225.01</x:v>
      </x:c>
      <x:c r="M1349" s="3" t="str">
        <x:v>UPI</x:v>
      </x:c>
      <x:c r="N1349" s="3"/>
      <x:c r="O1349" s="3"/>
      <x:c r="P1349" s="3"/>
      <x:c r="Q1349" s="3"/>
    </x:row>
    <x:row r="1350" ht="21" customHeight="1">
      <x:c r="A1350" s="3" t="str">
        <x:v>ORD-101220</x:v>
      </x:c>
      <x:c r="B1350" s="5" t="n">
        <x:v>45642</x:v>
      </x:c>
      <x:c r="C1350" s="3" t="str">
        <x:v>CUST-00489</x:v>
      </x:c>
      <x:c r="D1350" s="3" t="str">
        <x:v>West</x:v>
      </x:c>
      <x:c r="E1350" s="3" t="str">
        <x:v>Home &amp; Kitchen</x:v>
      </x:c>
      <x:c r="F1350" s="3" t="str">
        <x:v>Decor</x:v>
      </x:c>
      <x:c r="G1350" s="3" t="str">
        <x:v>Ceramic Vase Set</x:v>
      </x:c>
      <x:c r="H1350" s="3" t="n">
        <x:v>1</x:v>
      </x:c>
      <x:c r="I1350" s="7" t="n">
        <x:v>1507.17</x:v>
      </x:c>
      <x:c r="J1350" s="9" t="n">
        <x:v>0.05</x:v>
      </x:c>
      <x:c r="K1350" s="7" t="n">
        <x:v>1431.81</x:v>
      </x:c>
      <x:c r="L1350" s="7" t="n">
        <x:v>423.82</x:v>
      </x:c>
      <x:c r="M1350" s="3" t="str">
        <x:v>Debit Card</x:v>
      </x:c>
      <x:c r="N1350" s="3"/>
      <x:c r="O1350" s="3"/>
      <x:c r="P1350" s="3"/>
      <x:c r="Q1350" s="3"/>
    </x:row>
    <x:row r="1351" ht="21" customHeight="1">
      <x:c r="A1351" s="3" t="str">
        <x:v>ORD-101340</x:v>
      </x:c>
      <x:c r="B1351" s="5" t="n">
        <x:v>45642</x:v>
      </x:c>
      <x:c r="C1351" s="3" t="str">
        <x:v>CUST-00355</x:v>
      </x:c>
      <x:c r="D1351" s="3" t="str">
        <x:v>East</x:v>
      </x:c>
      <x:c r="E1351" s="3" t="str">
        <x:v>Electronics</x:v>
      </x:c>
      <x:c r="F1351" s="3" t="str">
        <x:v>Mobile</x:v>
      </x:c>
      <x:c r="G1351" s="3" t="str">
        <x:v>iPhone Zeta</x:v>
      </x:c>
      <x:c r="H1351" s="3" t="n">
        <x:v>1</x:v>
      </x:c>
      <x:c r="I1351" s="7" t="n">
        <x:v>67926.27</x:v>
      </x:c>
      <x:c r="J1351" s="9" t="n">
        <x:v>0</x:v>
      </x:c>
      <x:c r="K1351" s="7" t="n">
        <x:v>67926.27</x:v>
      </x:c>
      <x:c r="L1351" s="7" t="n">
        <x:v>10874.88</x:v>
      </x:c>
      <x:c r="M1351" s="3" t="str">
        <x:v>Net Banking</x:v>
      </x:c>
      <x:c r="N1351" s="3"/>
      <x:c r="O1351" s="3"/>
      <x:c r="P1351" s="3"/>
      <x:c r="Q1351" s="3"/>
    </x:row>
    <x:row r="1352" ht="21" customHeight="1">
      <x:c r="A1352" s="3" t="str">
        <x:v>ORD-101078</x:v>
      </x:c>
      <x:c r="B1352" s="5" t="n">
        <x:v>45643</x:v>
      </x:c>
      <x:c r="C1352" s="3" t="str">
        <x:v>CUST-00149</x:v>
      </x:c>
      <x:c r="D1352" s="3" t="str">
        <x:v>East</x:v>
      </x:c>
      <x:c r="E1352" s="3" t="str">
        <x:v>Electronics</x:v>
      </x:c>
      <x:c r="F1352" s="3" t="str">
        <x:v>Audio</x:v>
      </x:c>
      <x:c r="G1352" s="3" t="str">
        <x:v>BassBoom Speaker</x:v>
      </x:c>
      <x:c r="H1352" s="3" t="n">
        <x:v>3</x:v>
      </x:c>
      <x:c r="I1352" s="7" t="n">
        <x:v>8871.82</x:v>
      </x:c>
      <x:c r="J1352" s="9" t="n">
        <x:v>0.05</x:v>
      </x:c>
      <x:c r="K1352" s="7" t="n">
        <x:v>25284.69</x:v>
      </x:c>
      <x:c r="L1352" s="7" t="n">
        <x:v>3029.72</x:v>
      </x:c>
      <x:c r="M1352" s="3" t="str">
        <x:v>Net Banking</x:v>
      </x:c>
      <x:c r="N1352" s="3"/>
      <x:c r="O1352" s="3"/>
      <x:c r="P1352" s="3"/>
      <x:c r="Q1352" s="3"/>
    </x:row>
    <x:row r="1353" ht="21" customHeight="1">
      <x:c r="A1353" s="3" t="str">
        <x:v>ORD-101147</x:v>
      </x:c>
      <x:c r="B1353" s="5" t="n">
        <x:v>45643</x:v>
      </x:c>
      <x:c r="C1353" s="3" t="str">
        <x:v>CUST-00382</x:v>
      </x:c>
      <x:c r="D1353" s="3" t="str">
        <x:v>East</x:v>
      </x:c>
      <x:c r="E1353" s="3" t="str">
        <x:v>Fashion</x:v>
      </x:c>
      <x:c r="F1353" s="3" t="str">
        <x:v>Footwear</x:v>
      </x:c>
      <x:c r="G1353" s="3" t="str">
        <x:v>UrbanLoafers</x:v>
      </x:c>
      <x:c r="H1353" s="3" t="n">
        <x:v>4</x:v>
      </x:c>
      <x:c r="I1353" s="7" t="n">
        <x:v>3576.25</x:v>
      </x:c>
      <x:c r="J1353" s="9" t="n">
        <x:v>0.25</x:v>
      </x:c>
      <x:c r="K1353" s="7" t="n">
        <x:v>10728.75</x:v>
      </x:c>
      <x:c r="L1353" s="7" t="n">
        <x:v>1351.07</x:v>
      </x:c>
      <x:c r="M1353" s="3" t="str">
        <x:v>Credit Card</x:v>
      </x:c>
      <x:c r="N1353" s="3"/>
      <x:c r="O1353" s="3"/>
      <x:c r="P1353" s="3"/>
      <x:c r="Q1353" s="3"/>
    </x:row>
    <x:row r="1354" ht="21" customHeight="1">
      <x:c r="A1354" s="3" t="str">
        <x:v>ORD-100309</x:v>
      </x:c>
      <x:c r="B1354" s="5" t="n">
        <x:v>45644</x:v>
      </x:c>
      <x:c r="C1354" s="3" t="str">
        <x:v>CUST-00525</x:v>
      </x:c>
      <x:c r="D1354" s="3" t="str">
        <x:v>South</x:v>
      </x:c>
      <x:c r="E1354" s="3" t="str">
        <x:v>Fashion</x:v>
      </x:c>
      <x:c r="F1354" s="3" t="str">
        <x:v>Men</x:v>
      </x:c>
      <x:c r="G1354" s="3" t="str">
        <x:v>SlimFit Denim Jeans</x:v>
      </x:c>
      <x:c r="H1354" s="3" t="n">
        <x:v>1</x:v>
      </x:c>
      <x:c r="I1354" s="7" t="n">
        <x:v>2006.43</x:v>
      </x:c>
      <x:c r="J1354" s="9" t="n">
        <x:v>0.1</x:v>
      </x:c>
      <x:c r="K1354" s="7" t="n">
        <x:v>1805.79</x:v>
      </x:c>
      <x:c r="L1354" s="7" t="n">
        <x:v>615.34</x:v>
      </x:c>
      <x:c r="M1354" s="3" t="str">
        <x:v>Debit Card</x:v>
      </x:c>
      <x:c r="N1354" s="3"/>
      <x:c r="O1354" s="3"/>
      <x:c r="P1354" s="3"/>
      <x:c r="Q1354" s="3"/>
    </x:row>
    <x:row r="1355" ht="21" customHeight="1">
      <x:c r="A1355" s="3" t="str">
        <x:v>ORD-100354</x:v>
      </x:c>
      <x:c r="B1355" s="5" t="n">
        <x:v>45644</x:v>
      </x:c>
      <x:c r="C1355" s="3" t="str">
        <x:v>CUST-00548</x:v>
      </x:c>
      <x:c r="D1355" s="3" t="str">
        <x:v>West</x:v>
      </x:c>
      <x:c r="E1355" s="3" t="str">
        <x:v>Electronics</x:v>
      </x:c>
      <x:c r="F1355" s="3" t="str">
        <x:v>Laptop</x:v>
      </x:c>
      <x:c r="G1355" s="3" t="str">
        <x:v>AirBook Slim</x:v>
      </x:c>
      <x:c r="H1355" s="3" t="n">
        <x:v>1</x:v>
      </x:c>
      <x:c r="I1355" s="7" t="n">
        <x:v>77447.25</x:v>
      </x:c>
      <x:c r="J1355" s="9" t="n">
        <x:v>0</x:v>
      </x:c>
      <x:c r="K1355" s="7" t="n">
        <x:v>77447.25</x:v>
      </x:c>
      <x:c r="L1355" s="7" t="n">
        <x:v>10843.19</x:v>
      </x:c>
      <x:c r="M1355" s="3" t="str">
        <x:v>Debit Card</x:v>
      </x:c>
      <x:c r="N1355" s="3"/>
      <x:c r="O1355" s="3"/>
      <x:c r="P1355" s="3"/>
      <x:c r="Q1355" s="3"/>
    </x:row>
    <x:row r="1356" ht="21" customHeight="1">
      <x:c r="A1356" s="3" t="str">
        <x:v>ORD-100429</x:v>
      </x:c>
      <x:c r="B1356" s="5" t="n">
        <x:v>45644</x:v>
      </x:c>
      <x:c r="C1356" s="3" t="str">
        <x:v>CUST-00597</x:v>
      </x:c>
      <x:c r="D1356" s="3" t="str">
        <x:v>South</x:v>
      </x:c>
      <x:c r="E1356" s="3" t="str">
        <x:v>Sports</x:v>
      </x:c>
      <x:c r="F1356" s="3" t="str">
        <x:v>Fitness</x:v>
      </x:c>
      <x:c r="G1356" s="3" t="str">
        <x:v>ProYoga Mat</x:v>
      </x:c>
      <x:c r="H1356" s="3" t="n">
        <x:v>2</x:v>
      </x:c>
      <x:c r="I1356" s="7" t="n">
        <x:v>1308.13</x:v>
      </x:c>
      <x:c r="J1356" s="9" t="n">
        <x:v>0.05</x:v>
      </x:c>
      <x:c r="K1356" s="7" t="n">
        <x:v>2485.45</x:v>
      </x:c>
      <x:c r="L1356" s="7" t="n">
        <x:v>883.72</x:v>
      </x:c>
      <x:c r="M1356" s="3" t="str">
        <x:v>Cash on Delivery</x:v>
      </x:c>
      <x:c r="N1356" s="3"/>
      <x:c r="O1356" s="3"/>
      <x:c r="P1356" s="3"/>
      <x:c r="Q1356" s="3"/>
    </x:row>
    <x:row r="1357" ht="21" customHeight="1">
      <x:c r="A1357" s="3" t="str">
        <x:v>ORD-100983</x:v>
      </x:c>
      <x:c r="B1357" s="5" t="n">
        <x:v>45644</x:v>
      </x:c>
      <x:c r="C1357" s="3" t="str">
        <x:v>CUST-00255</x:v>
      </x:c>
      <x:c r="D1357" s="3" t="str">
        <x:v>West</x:v>
      </x:c>
      <x:c r="E1357" s="3" t="str">
        <x:v>Electronics</x:v>
      </x:c>
      <x:c r="F1357" s="3" t="str">
        <x:v>Audio</x:v>
      </x:c>
      <x:c r="G1357" s="3" t="str">
        <x:v>BassBoom Speaker</x:v>
      </x:c>
      <x:c r="H1357" s="3" t="n">
        <x:v>1</x:v>
      </x:c>
      <x:c r="I1357" s="7" t="n">
        <x:v>9270.68</x:v>
      </x:c>
      <x:c r="J1357" s="9" t="n">
        <x:v>0.25</x:v>
      </x:c>
      <x:c r="K1357" s="7" t="n">
        <x:v>6953.01</x:v>
      </x:c>
      <x:c r="L1357" s="7" t="n">
        <x:v>-620.04</x:v>
      </x:c>
      <x:c r="M1357" s="3" t="str">
        <x:v>UPI</x:v>
      </x:c>
      <x:c r="N1357" s="3"/>
      <x:c r="O1357" s="3"/>
      <x:c r="P1357" s="3"/>
      <x:c r="Q1357" s="3"/>
    </x:row>
    <x:row r="1358" ht="21" customHeight="1">
      <x:c r="A1358" s="3" t="str">
        <x:v>ORD-101227</x:v>
      </x:c>
      <x:c r="B1358" s="5" t="n">
        <x:v>45644</x:v>
      </x:c>
      <x:c r="C1358" s="3" t="str">
        <x:v>CUST-00121</x:v>
      </x:c>
      <x:c r="D1358" s="3" t="str">
        <x:v>North</x:v>
      </x:c>
      <x:c r="E1358" s="3" t="str">
        <x:v>Fashion</x:v>
      </x:c>
      <x:c r="F1358" s="3" t="str">
        <x:v>Footwear</x:v>
      </x:c>
      <x:c r="G1358" s="3" t="str">
        <x:v>RunFlex Sneakers</x:v>
      </x:c>
      <x:c r="H1358" s="3" t="n">
        <x:v>2</x:v>
      </x:c>
      <x:c r="I1358" s="7" t="n">
        <x:v>2854.3</x:v>
      </x:c>
      <x:c r="J1358" s="9" t="n">
        <x:v>0.1</x:v>
      </x:c>
      <x:c r="K1358" s="7" t="n">
        <x:v>5137.74</x:v>
      </x:c>
      <x:c r="L1358" s="7" t="n">
        <x:v>1698.03</x:v>
      </x:c>
      <x:c r="M1358" s="3" t="str">
        <x:v>UPI</x:v>
      </x:c>
      <x:c r="N1358" s="3"/>
      <x:c r="O1358" s="3"/>
      <x:c r="P1358" s="3"/>
      <x:c r="Q1358" s="3"/>
    </x:row>
    <x:row r="1359" ht="21" customHeight="1">
      <x:c r="A1359" s="3" t="str">
        <x:v>ORD-101522</x:v>
      </x:c>
      <x:c r="B1359" s="5" t="n">
        <x:v>45644</x:v>
      </x:c>
      <x:c r="C1359" s="3" t="str">
        <x:v>CUST-00447</x:v>
      </x:c>
      <x:c r="D1359" s="3" t="str">
        <x:v>North</x:v>
      </x:c>
      <x:c r="E1359" s="3" t="str">
        <x:v>Sports</x:v>
      </x:c>
      <x:c r="F1359" s="3" t="str">
        <x:v>Outdoor</x:v>
      </x:c>
      <x:c r="G1359" s="3" t="str">
        <x:v>AllWeather Tent 4P</x:v>
      </x:c>
      <x:c r="H1359" s="3" t="n">
        <x:v>1</x:v>
      </x:c>
      <x:c r="I1359" s="7" t="n">
        <x:v>11852.41</x:v>
      </x:c>
      <x:c r="J1359" s="9" t="n">
        <x:v>0.25</x:v>
      </x:c>
      <x:c r="K1359" s="7" t="n">
        <x:v>8889.31</x:v>
      </x:c>
      <x:c r="L1359" s="7" t="n">
        <x:v>1026.64</x:v>
      </x:c>
      <x:c r="M1359" s="3" t="str">
        <x:v>UPI</x:v>
      </x:c>
      <x:c r="N1359" s="3"/>
      <x:c r="O1359" s="3"/>
      <x:c r="P1359" s="3"/>
      <x:c r="Q1359" s="3"/>
    </x:row>
    <x:row r="1360" ht="21" customHeight="1">
      <x:c r="A1360" s="3" t="str">
        <x:v>ORD-101870</x:v>
      </x:c>
      <x:c r="B1360" s="5" t="n">
        <x:v>45644</x:v>
      </x:c>
      <x:c r="C1360" s="3" t="str">
        <x:v>CUST-00573</x:v>
      </x:c>
      <x:c r="D1360" s="3" t="str">
        <x:v>North</x:v>
      </x:c>
      <x:c r="E1360" s="3" t="str">
        <x:v>Beauty</x:v>
      </x:c>
      <x:c r="F1360" s="3" t="str">
        <x:v>Skincare</x:v>
      </x:c>
      <x:c r="G1360" s="3" t="str">
        <x:v>Vitamin C Serum</x:v>
      </x:c>
      <x:c r="H1360" s="3" t="n">
        <x:v>1</x:v>
      </x:c>
      <x:c r="I1360" s="7" t="n">
        <x:v>903.99</x:v>
      </x:c>
      <x:c r="J1360" s="9" t="n">
        <x:v>0.05</x:v>
      </x:c>
      <x:c r="K1360" s="7" t="n">
        <x:v>858.79</x:v>
      </x:c>
      <x:c r="L1360" s="7" t="n">
        <x:v>430.53</x:v>
      </x:c>
      <x:c r="M1360" s="3" t="str">
        <x:v>UPI</x:v>
      </x:c>
      <x:c r="N1360" s="3"/>
      <x:c r="O1360" s="3"/>
      <x:c r="P1360" s="3"/>
      <x:c r="Q1360" s="3"/>
    </x:row>
    <x:row r="1361" ht="21" customHeight="1">
      <x:c r="A1361" s="3" t="str">
        <x:v>ORD-101964</x:v>
      </x:c>
      <x:c r="B1361" s="5" t="n">
        <x:v>45644</x:v>
      </x:c>
      <x:c r="C1361" s="3" t="str">
        <x:v>CUST-00053</x:v>
      </x:c>
      <x:c r="D1361" s="3" t="str">
        <x:v>East</x:v>
      </x:c>
      <x:c r="E1361" s="3" t="str">
        <x:v>Sports</x:v>
      </x:c>
      <x:c r="F1361" s="3" t="str">
        <x:v>Outdoor</x:v>
      </x:c>
      <x:c r="G1361" s="3" t="str">
        <x:v>TrailHike Backpack 60L</x:v>
      </x:c>
      <x:c r="H1361" s="3" t="n">
        <x:v>3</x:v>
      </x:c>
      <x:c r="I1361" s="7" t="n">
        <x:v>3376.18</x:v>
      </x:c>
      <x:c r="J1361" s="9" t="n">
        <x:v>0.15</x:v>
      </x:c>
      <x:c r="K1361" s="7" t="n">
        <x:v>8609.26</x:v>
      </x:c>
      <x:c r="L1361" s="7" t="n">
        <x:v>1741.05</x:v>
      </x:c>
      <x:c r="M1361" s="3" t="str">
        <x:v>Net Banking</x:v>
      </x:c>
      <x:c r="N1361" s="3"/>
      <x:c r="O1361" s="3"/>
      <x:c r="P1361" s="3"/>
      <x:c r="Q1361" s="3"/>
    </x:row>
    <x:row r="1362" ht="21" customHeight="1">
      <x:c r="A1362" s="3" t="str">
        <x:v>ORD-100293</x:v>
      </x:c>
      <x:c r="B1362" s="5" t="n">
        <x:v>45645</x:v>
      </x:c>
      <x:c r="C1362" s="3" t="str">
        <x:v>CUST-00136</x:v>
      </x:c>
      <x:c r="D1362" s="3" t="str">
        <x:v>East</x:v>
      </x:c>
      <x:c r="E1362" s="3" t="str">
        <x:v>Home &amp; Kitchen</x:v>
      </x:c>
      <x:c r="F1362" s="3" t="str">
        <x:v>Appliances</x:v>
      </x:c>
      <x:c r="G1362" s="3" t="str">
        <x:v>ColdBrew Coffee Maker</x:v>
      </x:c>
      <x:c r="H1362" s="3" t="n">
        <x:v>2</x:v>
      </x:c>
      <x:c r="I1362" s="7" t="n">
        <x:v>6585.17</x:v>
      </x:c>
      <x:c r="J1362" s="9" t="n">
        <x:v>0.25</x:v>
      </x:c>
      <x:c r="K1362" s="7" t="n">
        <x:v>9877.76</x:v>
      </x:c>
      <x:c r="L1362" s="7" t="n">
        <x:v>183.44</x:v>
      </x:c>
      <x:c r="M1362" s="3" t="str">
        <x:v>UPI</x:v>
      </x:c>
      <x:c r="N1362" s="3"/>
      <x:c r="O1362" s="3"/>
      <x:c r="P1362" s="3"/>
      <x:c r="Q1362" s="3"/>
    </x:row>
    <x:row r="1363" ht="21" customHeight="1">
      <x:c r="A1363" s="3" t="str">
        <x:v>ORD-100688</x:v>
      </x:c>
      <x:c r="B1363" s="5" t="n">
        <x:v>45645</x:v>
      </x:c>
      <x:c r="C1363" s="3" t="str">
        <x:v>CUST-00541</x:v>
      </x:c>
      <x:c r="D1363" s="3" t="str">
        <x:v>South</x:v>
      </x:c>
      <x:c r="E1363" s="3" t="str">
        <x:v>Beauty</x:v>
      </x:c>
      <x:c r="F1363" s="3" t="str">
        <x:v>Skincare</x:v>
      </x:c>
      <x:c r="G1363" s="3" t="str">
        <x:v>HydraBoost Moisturizer</x:v>
      </x:c>
      <x:c r="H1363" s="3" t="n">
        <x:v>1</x:v>
      </x:c>
      <x:c r="I1363" s="7" t="n">
        <x:v>1238.73</x:v>
      </x:c>
      <x:c r="J1363" s="9" t="n">
        <x:v>0</x:v>
      </x:c>
      <x:c r="K1363" s="7" t="n">
        <x:v>1238.73</x:v>
      </x:c>
      <x:c r="L1363" s="7" t="n">
        <x:v>632.47</x:v>
      </x:c>
      <x:c r="M1363" s="3" t="str">
        <x:v>Credit Card</x:v>
      </x:c>
      <x:c r="N1363" s="3"/>
      <x:c r="O1363" s="3"/>
      <x:c r="P1363" s="3"/>
      <x:c r="Q1363" s="3"/>
    </x:row>
    <x:row r="1364" ht="21" customHeight="1">
      <x:c r="A1364" s="3" t="str">
        <x:v>ORD-100872</x:v>
      </x:c>
      <x:c r="B1364" s="5" t="n">
        <x:v>45645</x:v>
      </x:c>
      <x:c r="C1364" s="3" t="str">
        <x:v>CUST-00198</x:v>
      </x:c>
      <x:c r="D1364" s="3" t="str">
        <x:v>East</x:v>
      </x:c>
      <x:c r="E1364" s="3" t="str">
        <x:v>Beauty</x:v>
      </x:c>
      <x:c r="F1364" s="3" t="str">
        <x:v>Makeup</x:v>
      </x:c>
      <x:c r="G1364" s="3" t="str">
        <x:v>HD Foundation Kit</x:v>
      </x:c>
      <x:c r="H1364" s="3" t="n">
        <x:v>1</x:v>
      </x:c>
      <x:c r="I1364" s="7" t="n">
        <x:v>1513.16</x:v>
      </x:c>
      <x:c r="J1364" s="9" t="n">
        <x:v>0.1</x:v>
      </x:c>
      <x:c r="K1364" s="7" t="n">
        <x:v>1361.84</x:v>
      </x:c>
      <x:c r="L1364" s="7" t="n">
        <x:v>545.2</x:v>
      </x:c>
      <x:c r="M1364" s="3" t="str">
        <x:v>Net Banking</x:v>
      </x:c>
      <x:c r="N1364" s="3"/>
      <x:c r="O1364" s="3"/>
      <x:c r="P1364" s="3"/>
      <x:c r="Q1364" s="3"/>
    </x:row>
    <x:row r="1365" ht="21" customHeight="1">
      <x:c r="A1365" s="3" t="str">
        <x:v>ORD-101043</x:v>
      </x:c>
      <x:c r="B1365" s="5" t="n">
        <x:v>45645</x:v>
      </x:c>
      <x:c r="C1365" s="3" t="str">
        <x:v>CUST-00544</x:v>
      </x:c>
      <x:c r="D1365" s="3" t="str">
        <x:v>North</x:v>
      </x:c>
      <x:c r="E1365" s="3" t="str">
        <x:v>Fashion</x:v>
      </x:c>
      <x:c r="F1365" s="3" t="str">
        <x:v>Men</x:v>
      </x:c>
      <x:c r="G1365" s="3" t="str">
        <x:v>Oxford Casual Shirt</x:v>
      </x:c>
      <x:c r="H1365" s="3" t="n">
        <x:v>2</x:v>
      </x:c>
      <x:c r="I1365" s="7" t="n">
        <x:v>1312.19</x:v>
      </x:c>
      <x:c r="J1365" s="9" t="n">
        <x:v>0.1</x:v>
      </x:c>
      <x:c r="K1365" s="7" t="n">
        <x:v>2361.94</x:v>
      </x:c>
      <x:c r="L1365" s="7" t="n">
        <x:v>721.65</x:v>
      </x:c>
      <x:c r="M1365" s="3" t="str">
        <x:v>Credit Card</x:v>
      </x:c>
      <x:c r="N1365" s="3"/>
      <x:c r="O1365" s="3"/>
      <x:c r="P1365" s="3"/>
      <x:c r="Q1365" s="3"/>
    </x:row>
    <x:row r="1366" ht="21" customHeight="1">
      <x:c r="A1366" s="3" t="str">
        <x:v>ORD-100179</x:v>
      </x:c>
      <x:c r="B1366" s="5" t="n">
        <x:v>45646</x:v>
      </x:c>
      <x:c r="C1366" s="3" t="str">
        <x:v>CUST-00448</x:v>
      </x:c>
      <x:c r="D1366" s="3" t="str">
        <x:v>North</x:v>
      </x:c>
      <x:c r="E1366" s="3" t="str">
        <x:v>Beauty</x:v>
      </x:c>
      <x:c r="F1366" s="3" t="str">
        <x:v>Makeup</x:v>
      </x:c>
      <x:c r="G1366" s="3" t="str">
        <x:v>HD Foundation Kit</x:v>
      </x:c>
      <x:c r="H1366" s="3" t="n">
        <x:v>1</x:v>
      </x:c>
      <x:c r="I1366" s="7" t="n">
        <x:v>1542.55</x:v>
      </x:c>
      <x:c r="J1366" s="9" t="n">
        <x:v>0.15</x:v>
      </x:c>
      <x:c r="K1366" s="7" t="n">
        <x:v>1311.17</x:v>
      </x:c>
      <x:c r="L1366" s="7" t="n">
        <x:v>514.82</x:v>
      </x:c>
      <x:c r="M1366" s="3" t="str">
        <x:v>Debit Card</x:v>
      </x:c>
      <x:c r="N1366" s="3"/>
      <x:c r="O1366" s="3"/>
      <x:c r="P1366" s="3"/>
      <x:c r="Q1366" s="3"/>
    </x:row>
    <x:row r="1367" ht="21" customHeight="1">
      <x:c r="A1367" s="3" t="str">
        <x:v>ORD-100878</x:v>
      </x:c>
      <x:c r="B1367" s="5" t="n">
        <x:v>45646</x:v>
      </x:c>
      <x:c r="C1367" s="3" t="str">
        <x:v>CUST-00219</x:v>
      </x:c>
      <x:c r="D1367" s="3" t="str">
        <x:v>East</x:v>
      </x:c>
      <x:c r="E1367" s="3" t="str">
        <x:v>Beauty</x:v>
      </x:c>
      <x:c r="F1367" s="3" t="str">
        <x:v>Makeup</x:v>
      </x:c>
      <x:c r="G1367" s="3" t="str">
        <x:v>HD Foundation Kit</x:v>
      </x:c>
      <x:c r="H1367" s="3" t="n">
        <x:v>2</x:v>
      </x:c>
      <x:c r="I1367" s="7" t="n">
        <x:v>1442.07</x:v>
      </x:c>
      <x:c r="J1367" s="9" t="n">
        <x:v>0</x:v>
      </x:c>
      <x:c r="K1367" s="7" t="n">
        <x:v>2884.14</x:v>
      </x:c>
      <x:c r="L1367" s="7" t="n">
        <x:v>1678.51</x:v>
      </x:c>
      <x:c r="M1367" s="3" t="str">
        <x:v>UPI</x:v>
      </x:c>
      <x:c r="N1367" s="3"/>
      <x:c r="O1367" s="3"/>
      <x:c r="P1367" s="3"/>
      <x:c r="Q1367" s="3"/>
    </x:row>
    <x:row r="1368" ht="21" customHeight="1">
      <x:c r="A1368" s="3" t="str">
        <x:v>ORD-100341</x:v>
      </x:c>
      <x:c r="B1368" s="5" t="n">
        <x:v>45647</x:v>
      </x:c>
      <x:c r="C1368" s="3" t="str">
        <x:v>CUST-00179</x:v>
      </x:c>
      <x:c r="D1368" s="3" t="str">
        <x:v>West</x:v>
      </x:c>
      <x:c r="E1368" s="3" t="str">
        <x:v>Home &amp; Kitchen</x:v>
      </x:c>
      <x:c r="F1368" s="3" t="str">
        <x:v>Decor</x:v>
      </x:c>
      <x:c r="G1368" s="3" t="str">
        <x:v>Ceramic Vase Set</x:v>
      </x:c>
      <x:c r="H1368" s="3" t="n">
        <x:v>2</x:v>
      </x:c>
      <x:c r="I1368" s="7" t="n">
        <x:v>1502.86</x:v>
      </x:c>
      <x:c r="J1368" s="9" t="n">
        <x:v>0</x:v>
      </x:c>
      <x:c r="K1368" s="7" t="n">
        <x:v>3005.72</x:v>
      </x:c>
      <x:c r="L1368" s="7" t="n">
        <x:v>973.41</x:v>
      </x:c>
      <x:c r="M1368" s="3" t="str">
        <x:v>UPI</x:v>
      </x:c>
      <x:c r="N1368" s="3"/>
      <x:c r="O1368" s="3"/>
      <x:c r="P1368" s="3"/>
      <x:c r="Q1368" s="3"/>
    </x:row>
    <x:row r="1369" ht="21" customHeight="1">
      <x:c r="A1369" s="3" t="str">
        <x:v>ORD-100353</x:v>
      </x:c>
      <x:c r="B1369" s="5" t="n">
        <x:v>45647</x:v>
      </x:c>
      <x:c r="C1369" s="3" t="str">
        <x:v>CUST-00233</x:v>
      </x:c>
      <x:c r="D1369" s="3" t="str">
        <x:v>East</x:v>
      </x:c>
      <x:c r="E1369" s="3" t="str">
        <x:v>Beauty</x:v>
      </x:c>
      <x:c r="F1369" s="3" t="str">
        <x:v>Skincare</x:v>
      </x:c>
      <x:c r="G1369" s="3" t="str">
        <x:v>HydraBoost Moisturizer</x:v>
      </x:c>
      <x:c r="H1369" s="3" t="n">
        <x:v>2</x:v>
      </x:c>
      <x:c r="I1369" s="7" t="n">
        <x:v>1206.67</x:v>
      </x:c>
      <x:c r="J1369" s="9" t="n">
        <x:v>0.1</x:v>
      </x:c>
      <x:c r="K1369" s="7" t="n">
        <x:v>2172.01</x:v>
      </x:c>
      <x:c r="L1369" s="7" t="n">
        <x:v>948.9</x:v>
      </x:c>
      <x:c r="M1369" s="3" t="str">
        <x:v>UPI</x:v>
      </x:c>
      <x:c r="N1369" s="3"/>
      <x:c r="O1369" s="3"/>
      <x:c r="P1369" s="3"/>
      <x:c r="Q1369" s="3"/>
    </x:row>
    <x:row r="1370" ht="21" customHeight="1">
      <x:c r="A1370" s="3" t="str">
        <x:v>ORD-101335</x:v>
      </x:c>
      <x:c r="B1370" s="5" t="n">
        <x:v>45647</x:v>
      </x:c>
      <x:c r="C1370" s="3" t="str">
        <x:v>CUST-00055</x:v>
      </x:c>
      <x:c r="D1370" s="3" t="str">
        <x:v>East</x:v>
      </x:c>
      <x:c r="E1370" s="3" t="str">
        <x:v>Sports</x:v>
      </x:c>
      <x:c r="F1370" s="3" t="str">
        <x:v>Fitness</x:v>
      </x:c>
      <x:c r="G1370" s="3" t="str">
        <x:v>ProYoga Mat</x:v>
      </x:c>
      <x:c r="H1370" s="3" t="n">
        <x:v>3</x:v>
      </x:c>
      <x:c r="I1370" s="7" t="n">
        <x:v>1271.62</x:v>
      </x:c>
      <x:c r="J1370" s="9" t="n">
        <x:v>0.05</x:v>
      </x:c>
      <x:c r="K1370" s="7" t="n">
        <x:v>3624.12</x:v>
      </x:c>
      <x:c r="L1370" s="7" t="n">
        <x:v>1055.24</x:v>
      </x:c>
      <x:c r="M1370" s="3" t="str">
        <x:v>Credit Card</x:v>
      </x:c>
      <x:c r="N1370" s="3"/>
      <x:c r="O1370" s="3"/>
      <x:c r="P1370" s="3"/>
      <x:c r="Q1370" s="3"/>
    </x:row>
    <x:row r="1371" ht="21" customHeight="1">
      <x:c r="A1371" s="3" t="str">
        <x:v>ORD-101551</x:v>
      </x:c>
      <x:c r="B1371" s="5" t="n">
        <x:v>45647</x:v>
      </x:c>
      <x:c r="C1371" s="3" t="str">
        <x:v>CUST-00119</x:v>
      </x:c>
      <x:c r="D1371" s="3" t="str">
        <x:v>South</x:v>
      </x:c>
      <x:c r="E1371" s="3" t="str">
        <x:v>Sports</x:v>
      </x:c>
      <x:c r="F1371" s="3" t="str">
        <x:v>Fitness</x:v>
      </x:c>
      <x:c r="G1371" s="3" t="str">
        <x:v>ProYoga Mat</x:v>
      </x:c>
      <x:c r="H1371" s="3" t="n">
        <x:v>2</x:v>
      </x:c>
      <x:c r="I1371" s="7" t="n">
        <x:v>1340.62</x:v>
      </x:c>
      <x:c r="J1371" s="9" t="n">
        <x:v>0.2</x:v>
      </x:c>
      <x:c r="K1371" s="7" t="n">
        <x:v>2144.99</x:v>
      </x:c>
      <x:c r="L1371" s="7" t="n">
        <x:v>277.03</x:v>
      </x:c>
      <x:c r="M1371" s="3" t="str">
        <x:v>UPI</x:v>
      </x:c>
      <x:c r="N1371" s="3"/>
      <x:c r="O1371" s="3"/>
      <x:c r="P1371" s="3"/>
      <x:c r="Q1371" s="3"/>
    </x:row>
    <x:row r="1372" ht="21" customHeight="1">
      <x:c r="A1372" s="3" t="str">
        <x:v>ORD-101722</x:v>
      </x:c>
      <x:c r="B1372" s="5" t="n">
        <x:v>45647</x:v>
      </x:c>
      <x:c r="C1372" s="3" t="str">
        <x:v>CUST-00361</x:v>
      </x:c>
      <x:c r="D1372" s="3" t="str">
        <x:v>West</x:v>
      </x:c>
      <x:c r="E1372" s="3" t="str">
        <x:v>Beauty</x:v>
      </x:c>
      <x:c r="F1372" s="3" t="str">
        <x:v>Skincare</x:v>
      </x:c>
      <x:c r="G1372" s="3" t="str">
        <x:v>HydraBoost Moisturizer</x:v>
      </x:c>
      <x:c r="H1372" s="3" t="n">
        <x:v>2</x:v>
      </x:c>
      <x:c r="I1372" s="7" t="n">
        <x:v>1221.55</x:v>
      </x:c>
      <x:c r="J1372" s="9" t="n">
        <x:v>0.3</x:v>
      </x:c>
      <x:c r="K1372" s="7" t="n">
        <x:v>1710.17</x:v>
      </x:c>
      <x:c r="L1372" s="7" t="n">
        <x:v>398.93</x:v>
      </x:c>
      <x:c r="M1372" s="3" t="str">
        <x:v>UPI</x:v>
      </x:c>
      <x:c r="N1372" s="3"/>
      <x:c r="O1372" s="3"/>
      <x:c r="P1372" s="3"/>
      <x:c r="Q1372" s="3"/>
    </x:row>
    <x:row r="1373" ht="21" customHeight="1">
      <x:c r="A1373" s="3" t="str">
        <x:v>ORD-100192</x:v>
      </x:c>
      <x:c r="B1373" s="5" t="n">
        <x:v>45648</x:v>
      </x:c>
      <x:c r="C1373" s="3" t="str">
        <x:v>CUST-00467</x:v>
      </x:c>
      <x:c r="D1373" s="3" t="str">
        <x:v>West</x:v>
      </x:c>
      <x:c r="E1373" s="3" t="str">
        <x:v>Fashion</x:v>
      </x:c>
      <x:c r="F1373" s="3" t="str">
        <x:v>Women</x:v>
      </x:c>
      <x:c r="G1373" s="3" t="str">
        <x:v>Floral Summer Dress</x:v>
      </x:c>
      <x:c r="H1373" s="3" t="n">
        <x:v>1</x:v>
      </x:c>
      <x:c r="I1373" s="7" t="n">
        <x:v>1874.66</x:v>
      </x:c>
      <x:c r="J1373" s="9" t="n">
        <x:v>0</x:v>
      </x:c>
      <x:c r="K1373" s="7" t="n">
        <x:v>1874.66</x:v>
      </x:c>
      <x:c r="L1373" s="7" t="n">
        <x:v>725.25</x:v>
      </x:c>
      <x:c r="M1373" s="3" t="str">
        <x:v>Debit Card</x:v>
      </x:c>
      <x:c r="N1373" s="3"/>
      <x:c r="O1373" s="3"/>
      <x:c r="P1373" s="3"/>
      <x:c r="Q1373" s="3"/>
    </x:row>
    <x:row r="1374" ht="21" customHeight="1">
      <x:c r="A1374" s="3" t="str">
        <x:v>ORD-100498</x:v>
      </x:c>
      <x:c r="B1374" s="5" t="n">
        <x:v>45648</x:v>
      </x:c>
      <x:c r="C1374" s="3" t="str">
        <x:v>CUST-00513</x:v>
      </x:c>
      <x:c r="D1374" s="3" t="str">
        <x:v>North</x:v>
      </x:c>
      <x:c r="E1374" s="3" t="str">
        <x:v>Electronics</x:v>
      </x:c>
      <x:c r="F1374" s="3" t="str">
        <x:v>Mobile</x:v>
      </x:c>
      <x:c r="G1374" s="3" t="str">
        <x:v>iPhone Zeta</x:v>
      </x:c>
      <x:c r="H1374" s="3" t="n">
        <x:v>1</x:v>
      </x:c>
      <x:c r="I1374" s="7" t="n">
        <x:v>67792.5</x:v>
      </x:c>
      <x:c r="J1374" s="9" t="n">
        <x:v>0.25</x:v>
      </x:c>
      <x:c r="K1374" s="7" t="n">
        <x:v>50844.38</x:v>
      </x:c>
      <x:c r="L1374" s="7" t="n">
        <x:v>-6069.67</x:v>
      </x:c>
      <x:c r="M1374" s="3" t="str">
        <x:v>Debit Card</x:v>
      </x:c>
      <x:c r="N1374" s="3"/>
      <x:c r="O1374" s="3"/>
      <x:c r="P1374" s="3"/>
      <x:c r="Q1374" s="3"/>
    </x:row>
    <x:row r="1375" ht="21" customHeight="1">
      <x:c r="A1375" s="3" t="str">
        <x:v>ORD-100953</x:v>
      </x:c>
      <x:c r="B1375" s="5" t="n">
        <x:v>45648</x:v>
      </x:c>
      <x:c r="C1375" s="3" t="str">
        <x:v>CUST-00336</x:v>
      </x:c>
      <x:c r="D1375" s="3" t="str">
        <x:v>West</x:v>
      </x:c>
      <x:c r="E1375" s="3" t="str">
        <x:v>Fashion</x:v>
      </x:c>
      <x:c r="F1375" s="3" t="str">
        <x:v>Men</x:v>
      </x:c>
      <x:c r="G1375" s="3" t="str">
        <x:v>SlimFit Denim Jeans</x:v>
      </x:c>
      <x:c r="H1375" s="3" t="n">
        <x:v>1</x:v>
      </x:c>
      <x:c r="I1375" s="7" t="n">
        <x:v>1904.29</x:v>
      </x:c>
      <x:c r="J1375" s="9" t="n">
        <x:v>0</x:v>
      </x:c>
      <x:c r="K1375" s="7" t="n">
        <x:v>1904.29</x:v>
      </x:c>
      <x:c r="L1375" s="7" t="n">
        <x:v>815.33</x:v>
      </x:c>
      <x:c r="M1375" s="3" t="str">
        <x:v>Debit Card</x:v>
      </x:c>
      <x:c r="N1375" s="3"/>
      <x:c r="O1375" s="3"/>
      <x:c r="P1375" s="3"/>
      <x:c r="Q1375" s="3"/>
    </x:row>
    <x:row r="1376" ht="21" customHeight="1">
      <x:c r="A1376" s="3" t="str">
        <x:v>ORD-101525</x:v>
      </x:c>
      <x:c r="B1376" s="5" t="n">
        <x:v>45648</x:v>
      </x:c>
      <x:c r="C1376" s="3" t="str">
        <x:v>CUST-00171</x:v>
      </x:c>
      <x:c r="D1376" s="3" t="str">
        <x:v>North</x:v>
      </x:c>
      <x:c r="E1376" s="3" t="str">
        <x:v>Fashion</x:v>
      </x:c>
      <x:c r="F1376" s="3" t="str">
        <x:v>Men</x:v>
      </x:c>
      <x:c r="G1376" s="3" t="str">
        <x:v>SlimFit Denim Jeans</x:v>
      </x:c>
      <x:c r="H1376" s="3" t="n">
        <x:v>1</x:v>
      </x:c>
      <x:c r="I1376" s="7" t="n">
        <x:v>1996.82</x:v>
      </x:c>
      <x:c r="J1376" s="9" t="n">
        <x:v>0.05</x:v>
      </x:c>
      <x:c r="K1376" s="7" t="n">
        <x:v>1896.98</x:v>
      </x:c>
      <x:c r="L1376" s="7" t="n">
        <x:v>624.2</x:v>
      </x:c>
      <x:c r="M1376" s="3" t="str">
        <x:v>UPI</x:v>
      </x:c>
      <x:c r="N1376" s="3"/>
      <x:c r="O1376" s="3"/>
      <x:c r="P1376" s="3"/>
      <x:c r="Q1376" s="3"/>
    </x:row>
    <x:row r="1377" ht="21" customHeight="1">
      <x:c r="A1377" s="3" t="str">
        <x:v>ORD-101809</x:v>
      </x:c>
      <x:c r="B1377" s="5" t="n">
        <x:v>45648</x:v>
      </x:c>
      <x:c r="C1377" s="3" t="str">
        <x:v>CUST-00031</x:v>
      </x:c>
      <x:c r="D1377" s="3" t="str">
        <x:v>West</x:v>
      </x:c>
      <x:c r="E1377" s="3" t="str">
        <x:v>Beauty</x:v>
      </x:c>
      <x:c r="F1377" s="3" t="str">
        <x:v>Skincare</x:v>
      </x:c>
      <x:c r="G1377" s="3" t="str">
        <x:v>HydraBoost Moisturizer</x:v>
      </x:c>
      <x:c r="H1377" s="3" t="n">
        <x:v>1</x:v>
      </x:c>
      <x:c r="I1377" s="7" t="n">
        <x:v>1167.99</x:v>
      </x:c>
      <x:c r="J1377" s="9" t="n">
        <x:v>0.1</x:v>
      </x:c>
      <x:c r="K1377" s="7" t="n">
        <x:v>1051.19</x:v>
      </x:c>
      <x:c r="L1377" s="7" t="n">
        <x:v>432.15</x:v>
      </x:c>
      <x:c r="M1377" s="3" t="str">
        <x:v>Debit Card</x:v>
      </x:c>
      <x:c r="N1377" s="3"/>
      <x:c r="O1377" s="3"/>
      <x:c r="P1377" s="3"/>
      <x:c r="Q1377" s="3"/>
    </x:row>
    <x:row r="1378" ht="21" customHeight="1">
      <x:c r="A1378" s="3" t="str">
        <x:v>ORD-101291</x:v>
      </x:c>
      <x:c r="B1378" s="5" t="n">
        <x:v>45650</x:v>
      </x:c>
      <x:c r="C1378" s="3" t="str">
        <x:v>CUST-00068</x:v>
      </x:c>
      <x:c r="D1378" s="3" t="str">
        <x:v>West</x:v>
      </x:c>
      <x:c r="E1378" s="3" t="str">
        <x:v>Fashion</x:v>
      </x:c>
      <x:c r="F1378" s="3" t="str">
        <x:v>Men</x:v>
      </x:c>
      <x:c r="G1378" s="3" t="str">
        <x:v>Oxford Casual Shirt</x:v>
      </x:c>
      <x:c r="H1378" s="3" t="n">
        <x:v>1</x:v>
      </x:c>
      <x:c r="I1378" s="7" t="n">
        <x:v>1340.99</x:v>
      </x:c>
      <x:c r="J1378" s="9" t="n">
        <x:v>0</x:v>
      </x:c>
      <x:c r="K1378" s="7" t="n">
        <x:v>1340.99</x:v>
      </x:c>
      <x:c r="L1378" s="7" t="n">
        <x:v>530.35</x:v>
      </x:c>
      <x:c r="M1378" s="3" t="str">
        <x:v>Cash on Delivery</x:v>
      </x:c>
      <x:c r="N1378" s="3"/>
      <x:c r="O1378" s="3"/>
      <x:c r="P1378" s="3"/>
      <x:c r="Q1378" s="3"/>
    </x:row>
    <x:row r="1379" ht="21" customHeight="1">
      <x:c r="A1379" s="3" t="str">
        <x:v>ORD-101507</x:v>
      </x:c>
      <x:c r="B1379" s="5" t="n">
        <x:v>45650</x:v>
      </x:c>
      <x:c r="C1379" s="3" t="str">
        <x:v>CUST-00183</x:v>
      </x:c>
      <x:c r="D1379" s="3" t="str">
        <x:v>North</x:v>
      </x:c>
      <x:c r="E1379" s="3" t="str">
        <x:v>Electronics</x:v>
      </x:c>
      <x:c r="F1379" s="3" t="str">
        <x:v>Laptop</x:v>
      </x:c>
      <x:c r="G1379" s="3" t="str">
        <x:v>ThinkPro 14</x:v>
      </x:c>
      <x:c r="H1379" s="3" t="n">
        <x:v>1</x:v>
      </x:c>
      <x:c r="I1379" s="7" t="n">
        <x:v>55436.55</x:v>
      </x:c>
      <x:c r="J1379" s="9" t="n">
        <x:v>0.1</x:v>
      </x:c>
      <x:c r="K1379" s="7" t="n">
        <x:v>49892.9</x:v>
      </x:c>
      <x:c r="L1379" s="7" t="n">
        <x:v>3375.72</x:v>
      </x:c>
      <x:c r="M1379" s="3" t="str">
        <x:v>Credit Card</x:v>
      </x:c>
      <x:c r="N1379" s="3"/>
      <x:c r="O1379" s="3"/>
      <x:c r="P1379" s="3"/>
      <x:c r="Q1379" s="3"/>
    </x:row>
    <x:row r="1380" ht="21" customHeight="1">
      <x:c r="A1380" s="3" t="str">
        <x:v>ORD-100099</x:v>
      </x:c>
      <x:c r="B1380" s="5" t="n">
        <x:v>45651</x:v>
      </x:c>
      <x:c r="C1380" s="3" t="str">
        <x:v>CUST-00152</x:v>
      </x:c>
      <x:c r="D1380" s="3" t="str">
        <x:v>North</x:v>
      </x:c>
      <x:c r="E1380" s="3" t="str">
        <x:v>Home &amp; Kitchen</x:v>
      </x:c>
      <x:c r="F1380" s="3" t="str">
        <x:v>Furniture</x:v>
      </x:c>
      <x:c r="G1380" s="3" t="str">
        <x:v>ErgoComfort Chair</x:v>
      </x:c>
      <x:c r="H1380" s="3" t="n">
        <x:v>3</x:v>
      </x:c>
      <x:c r="I1380" s="7" t="n">
        <x:v>9118.89</x:v>
      </x:c>
      <x:c r="J1380" s="9" t="n">
        <x:v>0</x:v>
      </x:c>
      <x:c r="K1380" s="7" t="n">
        <x:v>27356.67</x:v>
      </x:c>
      <x:c r="L1380" s="7" t="n">
        <x:v>9094.68</x:v>
      </x:c>
      <x:c r="M1380" s="3" t="str">
        <x:v>Debit Card</x:v>
      </x:c>
      <x:c r="N1380" s="3"/>
      <x:c r="O1380" s="3"/>
      <x:c r="P1380" s="3"/>
      <x:c r="Q1380" s="3"/>
    </x:row>
    <x:row r="1381" ht="21" customHeight="1">
      <x:c r="A1381" s="3" t="str">
        <x:v>ORD-100244</x:v>
      </x:c>
      <x:c r="B1381" s="5" t="n">
        <x:v>45651</x:v>
      </x:c>
      <x:c r="C1381" s="3" t="str">
        <x:v>CUST-00104</x:v>
      </x:c>
      <x:c r="D1381" s="3" t="str">
        <x:v>South</x:v>
      </x:c>
      <x:c r="E1381" s="3" t="str">
        <x:v>Fashion</x:v>
      </x:c>
      <x:c r="F1381" s="3" t="str">
        <x:v>Men</x:v>
      </x:c>
      <x:c r="G1381" s="3" t="str">
        <x:v>SlimFit Denim Jeans</x:v>
      </x:c>
      <x:c r="H1381" s="3" t="n">
        <x:v>1</x:v>
      </x:c>
      <x:c r="I1381" s="7" t="n">
        <x:v>2043.06</x:v>
      </x:c>
      <x:c r="J1381" s="9" t="n">
        <x:v>0.15</x:v>
      </x:c>
      <x:c r="K1381" s="7" t="n">
        <x:v>1736.6</x:v>
      </x:c>
      <x:c r="L1381" s="7" t="n">
        <x:v>367.03</x:v>
      </x:c>
      <x:c r="M1381" s="3" t="str">
        <x:v>UPI</x:v>
      </x:c>
      <x:c r="N1381" s="3"/>
      <x:c r="O1381" s="3"/>
      <x:c r="P1381" s="3"/>
      <x:c r="Q1381" s="3"/>
    </x:row>
    <x:row r="1382" ht="21" customHeight="1">
      <x:c r="A1382" s="3" t="str">
        <x:v>ORD-100586</x:v>
      </x:c>
      <x:c r="B1382" s="5" t="n">
        <x:v>45651</x:v>
      </x:c>
      <x:c r="C1382" s="3" t="str">
        <x:v>CUST-00218</x:v>
      </x:c>
      <x:c r="D1382" s="3" t="str">
        <x:v>West</x:v>
      </x:c>
      <x:c r="E1382" s="3" t="str">
        <x:v>Beauty</x:v>
      </x:c>
      <x:c r="F1382" s="3" t="str">
        <x:v>Makeup</x:v>
      </x:c>
      <x:c r="G1382" s="3" t="str">
        <x:v>Matte Lipstick Set</x:v>
      </x:c>
      <x:c r="H1382" s="3" t="n">
        <x:v>1</x:v>
      </x:c>
      <x:c r="I1382" s="7" t="n">
        <x:v>997.22</x:v>
      </x:c>
      <x:c r="J1382" s="9" t="n">
        <x:v>0.25</x:v>
      </x:c>
      <x:c r="K1382" s="7" t="n">
        <x:v>747.91</x:v>
      </x:c>
      <x:c r="L1382" s="7" t="n">
        <x:v>202.18</x:v>
      </x:c>
      <x:c r="M1382" s="3" t="str">
        <x:v>UPI</x:v>
      </x:c>
      <x:c r="N1382" s="3"/>
      <x:c r="O1382" s="3"/>
      <x:c r="P1382" s="3"/>
      <x:c r="Q1382" s="3"/>
    </x:row>
    <x:row r="1383" ht="21" customHeight="1">
      <x:c r="A1383" s="3" t="str">
        <x:v>ORD-100701</x:v>
      </x:c>
      <x:c r="B1383" s="5" t="n">
        <x:v>45651</x:v>
      </x:c>
      <x:c r="C1383" s="3" t="str">
        <x:v>CUST-00253</x:v>
      </x:c>
      <x:c r="D1383" s="3" t="str">
        <x:v>North</x:v>
      </x:c>
      <x:c r="E1383" s="3" t="str">
        <x:v>Fashion</x:v>
      </x:c>
      <x:c r="F1383" s="3" t="str">
        <x:v>Women</x:v>
      </x:c>
      <x:c r="G1383" s="3" t="str">
        <x:v>Knit Winter Sweater</x:v>
      </x:c>
      <x:c r="H1383" s="3" t="n">
        <x:v>1</x:v>
      </x:c>
      <x:c r="I1383" s="7" t="n">
        <x:v>2230.64</x:v>
      </x:c>
      <x:c r="J1383" s="9" t="n">
        <x:v>0.05</x:v>
      </x:c>
      <x:c r="K1383" s="7" t="n">
        <x:v>2119.11</x:v>
      </x:c>
      <x:c r="L1383" s="7" t="n">
        <x:v>735</x:v>
      </x:c>
      <x:c r="M1383" s="3" t="str">
        <x:v>UPI</x:v>
      </x:c>
      <x:c r="N1383" s="3"/>
      <x:c r="O1383" s="3"/>
      <x:c r="P1383" s="3"/>
      <x:c r="Q1383" s="3"/>
    </x:row>
    <x:row r="1384" ht="21" customHeight="1">
      <x:c r="A1384" s="3" t="str">
        <x:v>ORD-101085</x:v>
      </x:c>
      <x:c r="B1384" s="5" t="n">
        <x:v>45651</x:v>
      </x:c>
      <x:c r="C1384" s="3" t="str">
        <x:v>CUST-00503</x:v>
      </x:c>
      <x:c r="D1384" s="3" t="str">
        <x:v>East</x:v>
      </x:c>
      <x:c r="E1384" s="3" t="str">
        <x:v>Electronics</x:v>
      </x:c>
      <x:c r="F1384" s="3" t="str">
        <x:v>Laptop</x:v>
      </x:c>
      <x:c r="G1384" s="3" t="str">
        <x:v>AirBook Slim</x:v>
      </x:c>
      <x:c r="H1384" s="3" t="n">
        <x:v>3</x:v>
      </x:c>
      <x:c r="I1384" s="7" t="n">
        <x:v>79307.23</x:v>
      </x:c>
      <x:c r="J1384" s="9" t="n">
        <x:v>0.05</x:v>
      </x:c>
      <x:c r="K1384" s="7" t="n">
        <x:v>226025.61</x:v>
      </x:c>
      <x:c r="L1384" s="7" t="n">
        <x:v>20419.28</x:v>
      </x:c>
      <x:c r="M1384" s="3" t="str">
        <x:v>Credit Card</x:v>
      </x:c>
      <x:c r="N1384" s="3"/>
      <x:c r="O1384" s="3"/>
      <x:c r="P1384" s="3"/>
      <x:c r="Q1384" s="3"/>
    </x:row>
    <x:row r="1385" ht="21" customHeight="1">
      <x:c r="A1385" s="3" t="str">
        <x:v>ORD-101158</x:v>
      </x:c>
      <x:c r="B1385" s="5" t="n">
        <x:v>45651</x:v>
      </x:c>
      <x:c r="C1385" s="3" t="str">
        <x:v>CUST-00399</x:v>
      </x:c>
      <x:c r="D1385" s="3" t="str">
        <x:v>East</x:v>
      </x:c>
      <x:c r="E1385" s="3" t="str">
        <x:v>Electronics</x:v>
      </x:c>
      <x:c r="F1385" s="3" t="str">
        <x:v>Audio</x:v>
      </x:c>
      <x:c r="G1385" s="3" t="str">
        <x:v>SoundPods Pro</x:v>
      </x:c>
      <x:c r="H1385" s="3" t="n">
        <x:v>5</x:v>
      </x:c>
      <x:c r="I1385" s="7" t="n">
        <x:v>4920.07</x:v>
      </x:c>
      <x:c r="J1385" s="9" t="n">
        <x:v>0</x:v>
      </x:c>
      <x:c r="K1385" s="7" t="n">
        <x:v>24600.35</x:v>
      </x:c>
      <x:c r="L1385" s="7" t="n">
        <x:v>4471.53</x:v>
      </x:c>
      <x:c r="M1385" s="3" t="str">
        <x:v>UPI</x:v>
      </x:c>
      <x:c r="N1385" s="3"/>
      <x:c r="O1385" s="3"/>
      <x:c r="P1385" s="3"/>
      <x:c r="Q1385" s="3"/>
    </x:row>
    <x:row r="1386" ht="21" customHeight="1">
      <x:c r="A1386" s="3" t="str">
        <x:v>ORD-101863</x:v>
      </x:c>
      <x:c r="B1386" s="5" t="n">
        <x:v>45651</x:v>
      </x:c>
      <x:c r="C1386" s="3" t="str">
        <x:v>CUST-00166</x:v>
      </x:c>
      <x:c r="D1386" s="3" t="str">
        <x:v>South</x:v>
      </x:c>
      <x:c r="E1386" s="3" t="str">
        <x:v>Home &amp; Kitchen</x:v>
      </x:c>
      <x:c r="F1386" s="3" t="str">
        <x:v>Furniture</x:v>
      </x:c>
      <x:c r="G1386" s="3" t="str">
        <x:v>ErgoComfort Chair</x:v>
      </x:c>
      <x:c r="H1386" s="3" t="n">
        <x:v>1</x:v>
      </x:c>
      <x:c r="I1386" s="7" t="n">
        <x:v>8973.54</x:v>
      </x:c>
      <x:c r="J1386" s="9" t="n">
        <x:v>0</x:v>
      </x:c>
      <x:c r="K1386" s="7" t="n">
        <x:v>8973.54</x:v>
      </x:c>
      <x:c r="L1386" s="7" t="n">
        <x:v>2723.29</x:v>
      </x:c>
      <x:c r="M1386" s="3" t="str">
        <x:v>UPI</x:v>
      </x:c>
      <x:c r="N1386" s="3"/>
      <x:c r="O1386" s="3"/>
      <x:c r="P1386" s="3"/>
      <x:c r="Q1386" s="3"/>
    </x:row>
    <x:row r="1387" ht="21" customHeight="1">
      <x:c r="A1387" s="3" t="str">
        <x:v>ORD-100074</x:v>
      </x:c>
      <x:c r="B1387" s="5" t="n">
        <x:v>45652</x:v>
      </x:c>
      <x:c r="C1387" s="3" t="str">
        <x:v>CUST-00195</x:v>
      </x:c>
      <x:c r="D1387" s="3" t="str">
        <x:v>East</x:v>
      </x:c>
      <x:c r="E1387" s="3" t="str">
        <x:v>Home &amp; Kitchen</x:v>
      </x:c>
      <x:c r="F1387" s="3" t="str">
        <x:v>Furniture</x:v>
      </x:c>
      <x:c r="G1387" s="3" t="str">
        <x:v>Oakwood Study Desk</x:v>
      </x:c>
      <x:c r="H1387" s="3" t="n">
        <x:v>4</x:v>
      </x:c>
      <x:c r="I1387" s="7" t="n">
        <x:v>13431.66</x:v>
      </x:c>
      <x:c r="J1387" s="9" t="n">
        <x:v>0.15</x:v>
      </x:c>
      <x:c r="K1387" s="7" t="n">
        <x:v>45667.64</x:v>
      </x:c>
      <x:c r="L1387" s="7" t="n">
        <x:v>8664.74</x:v>
      </x:c>
      <x:c r="M1387" s="3" t="str">
        <x:v>UPI</x:v>
      </x:c>
      <x:c r="N1387" s="3"/>
      <x:c r="O1387" s="3"/>
      <x:c r="P1387" s="3"/>
      <x:c r="Q1387" s="3"/>
    </x:row>
    <x:row r="1388" ht="21" customHeight="1">
      <x:c r="A1388" s="3" t="str">
        <x:v>ORD-100748</x:v>
      </x:c>
      <x:c r="B1388" s="5" t="n">
        <x:v>45652</x:v>
      </x:c>
      <x:c r="C1388" s="3" t="str">
        <x:v>CUST-00437</x:v>
      </x:c>
      <x:c r="D1388" s="3" t="str">
        <x:v>South</x:v>
      </x:c>
      <x:c r="E1388" s="3" t="str">
        <x:v>Electronics</x:v>
      </x:c>
      <x:c r="F1388" s="3" t="str">
        <x:v>Laptop</x:v>
      </x:c>
      <x:c r="G1388" s="3" t="str">
        <x:v>AirBook Slim</x:v>
      </x:c>
      <x:c r="H1388" s="3" t="n">
        <x:v>1</x:v>
      </x:c>
      <x:c r="I1388" s="7" t="n">
        <x:v>80573.59</x:v>
      </x:c>
      <x:c r="J1388" s="9" t="n">
        <x:v>0.2</x:v>
      </x:c>
      <x:c r="K1388" s="7" t="n">
        <x:v>64458.87</x:v>
      </x:c>
      <x:c r="L1388" s="7" t="n">
        <x:v>-2455.05</x:v>
      </x:c>
      <x:c r="M1388" s="3" t="str">
        <x:v>UPI</x:v>
      </x:c>
      <x:c r="N1388" s="3"/>
      <x:c r="O1388" s="3"/>
      <x:c r="P1388" s="3"/>
      <x:c r="Q1388" s="3"/>
    </x:row>
    <x:row r="1389" ht="21" customHeight="1">
      <x:c r="A1389" s="3" t="str">
        <x:v>ORD-101948</x:v>
      </x:c>
      <x:c r="B1389" s="5" t="n">
        <x:v>45652</x:v>
      </x:c>
      <x:c r="C1389" s="3" t="str">
        <x:v>CUST-00360</x:v>
      </x:c>
      <x:c r="D1389" s="3" t="str">
        <x:v>North</x:v>
      </x:c>
      <x:c r="E1389" s="3" t="str">
        <x:v>Electronics</x:v>
      </x:c>
      <x:c r="F1389" s="3" t="str">
        <x:v>Laptop</x:v>
      </x:c>
      <x:c r="G1389" s="3" t="str">
        <x:v>AirBook Slim</x:v>
      </x:c>
      <x:c r="H1389" s="3" t="n">
        <x:v>1</x:v>
      </x:c>
      <x:c r="I1389" s="7" t="n">
        <x:v>79565.08</x:v>
      </x:c>
      <x:c r="J1389" s="9" t="n">
        <x:v>0.1</x:v>
      </x:c>
      <x:c r="K1389" s="7" t="n">
        <x:v>71608.57</x:v>
      </x:c>
      <x:c r="L1389" s="7" t="n">
        <x:v>7251.93</x:v>
      </x:c>
      <x:c r="M1389" s="3" t="str">
        <x:v>Cash on Delivery</x:v>
      </x:c>
      <x:c r="N1389" s="3"/>
      <x:c r="O1389" s="3"/>
      <x:c r="P1389" s="3"/>
      <x:c r="Q1389" s="3"/>
    </x:row>
    <x:row r="1390" ht="21" customHeight="1">
      <x:c r="A1390" s="3" t="str">
        <x:v>ORD-100122</x:v>
      </x:c>
      <x:c r="B1390" s="5" t="n">
        <x:v>45653</x:v>
      </x:c>
      <x:c r="C1390" s="3" t="str">
        <x:v>CUST-00446</x:v>
      </x:c>
      <x:c r="D1390" s="3" t="str">
        <x:v>East</x:v>
      </x:c>
      <x:c r="E1390" s="3" t="str">
        <x:v>Electronics</x:v>
      </x:c>
      <x:c r="F1390" s="3" t="str">
        <x:v>Mobile</x:v>
      </x:c>
      <x:c r="G1390" s="3" t="str">
        <x:v>Pixel Aura 12</x:v>
      </x:c>
      <x:c r="H1390" s="3" t="n">
        <x:v>2</x:v>
      </x:c>
      <x:c r="I1390" s="7" t="n">
        <x:v>33337.64</x:v>
      </x:c>
      <x:c r="J1390" s="9" t="n">
        <x:v>0.05</x:v>
      </x:c>
      <x:c r="K1390" s="7" t="n">
        <x:v>63341.52</x:v>
      </x:c>
      <x:c r="L1390" s="7" t="n">
        <x:v>7384.94</x:v>
      </x:c>
      <x:c r="M1390" s="3" t="str">
        <x:v>UPI</x:v>
      </x:c>
      <x:c r="N1390" s="3"/>
      <x:c r="O1390" s="3"/>
      <x:c r="P1390" s="3"/>
      <x:c r="Q1390" s="3"/>
    </x:row>
    <x:row r="1391" ht="21" customHeight="1">
      <x:c r="A1391" s="3" t="str">
        <x:v>ORD-101046</x:v>
      </x:c>
      <x:c r="B1391" s="5" t="n">
        <x:v>45653</x:v>
      </x:c>
      <x:c r="C1391" s="3" t="str">
        <x:v>CUST-00473</x:v>
      </x:c>
      <x:c r="D1391" s="3" t="str">
        <x:v>East</x:v>
      </x:c>
      <x:c r="E1391" s="3" t="str">
        <x:v>Home &amp; Kitchen</x:v>
      </x:c>
      <x:c r="F1391" s="3" t="str">
        <x:v>Decor</x:v>
      </x:c>
      <x:c r="G1391" s="3" t="str">
        <x:v>LED Wall Lamp</x:v>
      </x:c>
      <x:c r="H1391" s="3" t="n">
        <x:v>2</x:v>
      </x:c>
      <x:c r="I1391" s="7" t="n">
        <x:v>1048.86</x:v>
      </x:c>
      <x:c r="J1391" s="9" t="n">
        <x:v>0.05</x:v>
      </x:c>
      <x:c r="K1391" s="7" t="n">
        <x:v>1992.83</x:v>
      </x:c>
      <x:c r="L1391" s="7" t="n">
        <x:v>493.67</x:v>
      </x:c>
      <x:c r="M1391" s="3" t="str">
        <x:v>UPI</x:v>
      </x:c>
      <x:c r="N1391" s="3"/>
      <x:c r="O1391" s="3"/>
      <x:c r="P1391" s="3"/>
      <x:c r="Q1391" s="3"/>
    </x:row>
    <x:row r="1392" ht="21" customHeight="1">
      <x:c r="A1392" s="3" t="str">
        <x:v>ORD-101895</x:v>
      </x:c>
      <x:c r="B1392" s="5" t="n">
        <x:v>45653</x:v>
      </x:c>
      <x:c r="C1392" s="3" t="str">
        <x:v>CUST-00439</x:v>
      </x:c>
      <x:c r="D1392" s="3" t="str">
        <x:v>South</x:v>
      </x:c>
      <x:c r="E1392" s="3" t="str">
        <x:v>Sports</x:v>
      </x:c>
      <x:c r="F1392" s="3" t="str">
        <x:v>Outdoor</x:v>
      </x:c>
      <x:c r="G1392" s="3" t="str">
        <x:v>AllWeather Tent 4P</x:v>
      </x:c>
      <x:c r="H1392" s="3" t="n">
        <x:v>2</x:v>
      </x:c>
      <x:c r="I1392" s="7" t="n">
        <x:v>11808.01</x:v>
      </x:c>
      <x:c r="J1392" s="9" t="n">
        <x:v>0.2</x:v>
      </x:c>
      <x:c r="K1392" s="7" t="n">
        <x:v>18892.82</x:v>
      </x:c>
      <x:c r="L1392" s="7" t="n">
        <x:v>2396.08</x:v>
      </x:c>
      <x:c r="M1392" s="3" t="str">
        <x:v>UPI</x:v>
      </x:c>
      <x:c r="N1392" s="3"/>
      <x:c r="O1392" s="3"/>
      <x:c r="P1392" s="3"/>
      <x:c r="Q1392" s="3"/>
    </x:row>
    <x:row r="1393" ht="21" customHeight="1">
      <x:c r="A1393" s="3" t="str">
        <x:v>ORD-101107</x:v>
      </x:c>
      <x:c r="B1393" s="5" t="n">
        <x:v>45654</x:v>
      </x:c>
      <x:c r="C1393" s="3" t="str">
        <x:v>CUST-00156</x:v>
      </x:c>
      <x:c r="D1393" s="3" t="str">
        <x:v>North</x:v>
      </x:c>
      <x:c r="E1393" s="3" t="str">
        <x:v>Electronics</x:v>
      </x:c>
      <x:c r="F1393" s="3" t="str">
        <x:v>Mobile</x:v>
      </x:c>
      <x:c r="G1393" s="3" t="str">
        <x:v>Galaxy Nova X5</x:v>
      </x:c>
      <x:c r="H1393" s="3" t="n">
        <x:v>1</x:v>
      </x:c>
      <x:c r="I1393" s="7" t="n">
        <x:v>24441.96</x:v>
      </x:c>
      <x:c r="J1393" s="9" t="n">
        <x:v>0.1</x:v>
      </x:c>
      <x:c r="K1393" s="7" t="n">
        <x:v>21997.76</x:v>
      </x:c>
      <x:c r="L1393" s="7" t="n">
        <x:v>1306.32</x:v>
      </x:c>
      <x:c r="M1393" s="3" t="str">
        <x:v>Credit Card</x:v>
      </x:c>
      <x:c r="N1393" s="3"/>
      <x:c r="O1393" s="3"/>
      <x:c r="P1393" s="3"/>
      <x:c r="Q1393" s="3"/>
    </x:row>
    <x:row r="1394" ht="21" customHeight="1">
      <x:c r="A1394" s="3" t="str">
        <x:v>ORD-101436</x:v>
      </x:c>
      <x:c r="B1394" s="5" t="n">
        <x:v>45654</x:v>
      </x:c>
      <x:c r="C1394" s="3" t="str">
        <x:v>CUST-00567</x:v>
      </x:c>
      <x:c r="D1394" s="3" t="str">
        <x:v>North</x:v>
      </x:c>
      <x:c r="E1394" s="3" t="str">
        <x:v>Electronics</x:v>
      </x:c>
      <x:c r="F1394" s="3" t="str">
        <x:v>Audio</x:v>
      </x:c>
      <x:c r="G1394" s="3" t="str">
        <x:v>SoundPods Pro</x:v>
      </x:c>
      <x:c r="H1394" s="3" t="n">
        <x:v>3</x:v>
      </x:c>
      <x:c r="I1394" s="7" t="n">
        <x:v>4768.33</x:v>
      </x:c>
      <x:c r="J1394" s="9" t="n">
        <x:v>0</x:v>
      </x:c>
      <x:c r="K1394" s="7" t="n">
        <x:v>14304.99</x:v>
      </x:c>
      <x:c r="L1394" s="7" t="n">
        <x:v>2018.9</x:v>
      </x:c>
      <x:c r="M1394" s="3" t="str">
        <x:v>UPI</x:v>
      </x:c>
      <x:c r="N1394" s="3"/>
      <x:c r="O1394" s="3"/>
      <x:c r="P1394" s="3"/>
      <x:c r="Q1394" s="3"/>
    </x:row>
    <x:row r="1395" ht="21" customHeight="1">
      <x:c r="A1395" s="3" t="str">
        <x:v>ORD-101508</x:v>
      </x:c>
      <x:c r="B1395" s="5" t="n">
        <x:v>45654</x:v>
      </x:c>
      <x:c r="C1395" s="3" t="str">
        <x:v>CUST-00097</x:v>
      </x:c>
      <x:c r="D1395" s="3" t="str">
        <x:v>South</x:v>
      </x:c>
      <x:c r="E1395" s="3" t="str">
        <x:v>Electronics</x:v>
      </x:c>
      <x:c r="F1395" s="3" t="str">
        <x:v>Audio</x:v>
      </x:c>
      <x:c r="G1395" s="3" t="str">
        <x:v>SoundPods Pro</x:v>
      </x:c>
      <x:c r="H1395" s="3" t="n">
        <x:v>2</x:v>
      </x:c>
      <x:c r="I1395" s="7" t="n">
        <x:v>5096.95</x:v>
      </x:c>
      <x:c r="J1395" s="9" t="n">
        <x:v>0.05</x:v>
      </x:c>
      <x:c r="K1395" s="7" t="n">
        <x:v>9684.2</x:v>
      </x:c>
      <x:c r="L1395" s="7" t="n">
        <x:v>1435.76</x:v>
      </x:c>
      <x:c r="M1395" s="3" t="str">
        <x:v>Debit Card</x:v>
      </x:c>
      <x:c r="N1395" s="3"/>
      <x:c r="O1395" s="3"/>
      <x:c r="P1395" s="3"/>
      <x:c r="Q1395" s="3"/>
    </x:row>
    <x:row r="1396" ht="21" customHeight="1">
      <x:c r="A1396" s="3" t="str">
        <x:v>ORD-100952</x:v>
      </x:c>
      <x:c r="B1396" s="5" t="n">
        <x:v>45655</x:v>
      </x:c>
      <x:c r="C1396" s="3" t="str">
        <x:v>CUST-00591</x:v>
      </x:c>
      <x:c r="D1396" s="3" t="str">
        <x:v>East</x:v>
      </x:c>
      <x:c r="E1396" s="3" t="str">
        <x:v>Electronics</x:v>
      </x:c>
      <x:c r="F1396" s="3" t="str">
        <x:v>Mobile</x:v>
      </x:c>
      <x:c r="G1396" s="3" t="str">
        <x:v>Galaxy Nova X5</x:v>
      </x:c>
      <x:c r="H1396" s="3" t="n">
        <x:v>1</x:v>
      </x:c>
      <x:c r="I1396" s="7" t="n">
        <x:v>25887.9</x:v>
      </x:c>
      <x:c r="J1396" s="9" t="n">
        <x:v>0</x:v>
      </x:c>
      <x:c r="K1396" s="7" t="n">
        <x:v>25887.9</x:v>
      </x:c>
      <x:c r="L1396" s="7" t="n">
        <x:v>4834.57</x:v>
      </x:c>
      <x:c r="M1396" s="3" t="str">
        <x:v>Credit Card</x:v>
      </x:c>
      <x:c r="N1396" s="3"/>
      <x:c r="O1396" s="3"/>
      <x:c r="P1396" s="3"/>
      <x:c r="Q1396" s="3"/>
    </x:row>
    <x:row r="1397" ht="21" customHeight="1">
      <x:c r="A1397" s="3" t="str">
        <x:v>ORD-101207</x:v>
      </x:c>
      <x:c r="B1397" s="5" t="n">
        <x:v>45655</x:v>
      </x:c>
      <x:c r="C1397" s="3" t="str">
        <x:v>CUST-00539</x:v>
      </x:c>
      <x:c r="D1397" s="3" t="str">
        <x:v>West</x:v>
      </x:c>
      <x:c r="E1397" s="3" t="str">
        <x:v>Home &amp; Kitchen</x:v>
      </x:c>
      <x:c r="F1397" s="3" t="str">
        <x:v>Furniture</x:v>
      </x:c>
      <x:c r="G1397" s="3" t="str">
        <x:v>ErgoComfort Chair</x:v>
      </x:c>
      <x:c r="H1397" s="3" t="n">
        <x:v>2</x:v>
      </x:c>
      <x:c r="I1397" s="7" t="n">
        <x:v>9316.63</x:v>
      </x:c>
      <x:c r="J1397" s="9" t="n">
        <x:v>0</x:v>
      </x:c>
      <x:c r="K1397" s="7" t="n">
        <x:v>18633.26</x:v>
      </x:c>
      <x:c r="L1397" s="7" t="n">
        <x:v>5759.64</x:v>
      </x:c>
      <x:c r="M1397" s="3" t="str">
        <x:v>UPI</x:v>
      </x:c>
      <x:c r="N1397" s="3"/>
      <x:c r="O1397" s="3"/>
      <x:c r="P1397" s="3"/>
      <x:c r="Q1397" s="3"/>
    </x:row>
    <x:row r="1398" ht="21" customHeight="1">
      <x:c r="A1398" s="3" t="str">
        <x:v>ORD-101610</x:v>
      </x:c>
      <x:c r="B1398" s="5" t="n">
        <x:v>45655</x:v>
      </x:c>
      <x:c r="C1398" s="3" t="str">
        <x:v>CUST-00053</x:v>
      </x:c>
      <x:c r="D1398" s="3" t="str">
        <x:v>West</x:v>
      </x:c>
      <x:c r="E1398" s="3" t="str">
        <x:v>Electronics</x:v>
      </x:c>
      <x:c r="F1398" s="3" t="str">
        <x:v>Audio</x:v>
      </x:c>
      <x:c r="G1398" s="3" t="str">
        <x:v>BassBoom Speaker</x:v>
      </x:c>
      <x:c r="H1398" s="3" t="n">
        <x:v>2</x:v>
      </x:c>
      <x:c r="I1398" s="7" t="n">
        <x:v>8590.07</x:v>
      </x:c>
      <x:c r="J1398" s="9" t="n">
        <x:v>0.1</x:v>
      </x:c>
      <x:c r="K1398" s="7" t="n">
        <x:v>15462.13</x:v>
      </x:c>
      <x:c r="L1398" s="7" t="n">
        <x:v>1313.31</x:v>
      </x:c>
      <x:c r="M1398" s="3" t="str">
        <x:v>Debit Card</x:v>
      </x:c>
      <x:c r="N1398" s="3"/>
      <x:c r="O1398" s="3"/>
      <x:c r="P1398" s="3"/>
      <x:c r="Q1398" s="3"/>
    </x:row>
    <x:row r="1399" ht="21" customHeight="1">
      <x:c r="A1399" s="3" t="str">
        <x:v>ORD-101462</x:v>
      </x:c>
      <x:c r="B1399" s="5" t="n">
        <x:v>45656</x:v>
      </x:c>
      <x:c r="C1399" s="3" t="str">
        <x:v>CUST-00118</x:v>
      </x:c>
      <x:c r="D1399" s="3" t="str">
        <x:v>East</x:v>
      </x:c>
      <x:c r="E1399" s="3" t="str">
        <x:v>Electronics</x:v>
      </x:c>
      <x:c r="F1399" s="3" t="str">
        <x:v>Laptop</x:v>
      </x:c>
      <x:c r="G1399" s="3" t="str">
        <x:v>AirBook Slim</x:v>
      </x:c>
      <x:c r="H1399" s="3" t="n">
        <x:v>2</x:v>
      </x:c>
      <x:c r="I1399" s="7" t="n">
        <x:v>78062.87</x:v>
      </x:c>
      <x:c r="J1399" s="9" t="n">
        <x:v>0.2</x:v>
      </x:c>
      <x:c r="K1399" s="7" t="n">
        <x:v>124900.59</x:v>
      </x:c>
      <x:c r="L1399" s="7" t="n">
        <x:v>-10600.68</x:v>
      </x:c>
      <x:c r="M1399" s="3" t="str">
        <x:v>UPI</x:v>
      </x:c>
      <x:c r="N1399" s="3"/>
      <x:c r="O1399" s="3"/>
      <x:c r="P1399" s="3"/>
      <x:c r="Q1399" s="3"/>
    </x:row>
    <x:row r="1400" ht="21" customHeight="1">
      <x:c r="A1400" s="3" t="str">
        <x:v>ORD-101563</x:v>
      </x:c>
      <x:c r="B1400" s="5" t="n">
        <x:v>45656</x:v>
      </x:c>
      <x:c r="C1400" s="3" t="str">
        <x:v>CUST-00138</x:v>
      </x:c>
      <x:c r="D1400" s="3" t="str">
        <x:v>North</x:v>
      </x:c>
      <x:c r="E1400" s="3" t="str">
        <x:v>Electronics</x:v>
      </x:c>
      <x:c r="F1400" s="3" t="str">
        <x:v>Mobile</x:v>
      </x:c>
      <x:c r="G1400" s="3" t="str">
        <x:v>iPhone Zeta</x:v>
      </x:c>
      <x:c r="H1400" s="3" t="n">
        <x:v>1</x:v>
      </x:c>
      <x:c r="I1400" s="7" t="n">
        <x:v>68350.58</x:v>
      </x:c>
      <x:c r="J1400" s="9" t="n">
        <x:v>0</x:v>
      </x:c>
      <x:c r="K1400" s="7" t="n">
        <x:v>68350.58</x:v>
      </x:c>
      <x:c r="L1400" s="7" t="n">
        <x:v>10481.47</x:v>
      </x:c>
      <x:c r="M1400" s="3" t="str">
        <x:v>UPI</x:v>
      </x:c>
      <x:c r="N1400" s="3"/>
      <x:c r="O1400" s="3"/>
      <x:c r="P1400" s="3"/>
      <x:c r="Q1400" s="3"/>
    </x:row>
    <x:row r="1401" ht="21" customHeight="1">
      <x:c r="A1401" s="3" t="str">
        <x:v>ORD-101603</x:v>
      </x:c>
      <x:c r="B1401" s="5" t="n">
        <x:v>45656</x:v>
      </x:c>
      <x:c r="C1401" s="3" t="str">
        <x:v>CUST-00263</x:v>
      </x:c>
      <x:c r="D1401" s="3" t="str">
        <x:v>West</x:v>
      </x:c>
      <x:c r="E1401" s="3" t="str">
        <x:v>Sports</x:v>
      </x:c>
      <x:c r="F1401" s="3" t="str">
        <x:v>Outdoor</x:v>
      </x:c>
      <x:c r="G1401" s="3" t="str">
        <x:v>TrailHike Backpack 60L</x:v>
      </x:c>
      <x:c r="H1401" s="3" t="n">
        <x:v>4</x:v>
      </x:c>
      <x:c r="I1401" s="7" t="n">
        <x:v>3441.71</x:v>
      </x:c>
      <x:c r="J1401" s="9" t="n">
        <x:v>0</x:v>
      </x:c>
      <x:c r="K1401" s="7" t="n">
        <x:v>13766.84</x:v>
      </x:c>
      <x:c r="L1401" s="7" t="n">
        <x:v>5382.5</x:v>
      </x:c>
      <x:c r="M1401" s="3" t="str">
        <x:v>Credit Card</x:v>
      </x:c>
      <x:c r="N1401" s="3"/>
      <x:c r="O1401" s="3"/>
      <x:c r="P1401" s="3"/>
      <x:c r="Q1401" s="3"/>
    </x:row>
    <x:row r="1402" ht="21" customHeight="1">
      <x:c r="A1402" s="3" t="str">
        <x:v>ORD-101771</x:v>
      </x:c>
      <x:c r="B1402" s="5" t="n">
        <x:v>45656</x:v>
      </x:c>
      <x:c r="C1402" s="3" t="str">
        <x:v>CUST-00461</x:v>
      </x:c>
      <x:c r="D1402" s="3" t="str">
        <x:v>North</x:v>
      </x:c>
      <x:c r="E1402" s="3" t="str">
        <x:v>Electronics</x:v>
      </x:c>
      <x:c r="F1402" s="3" t="str">
        <x:v>Audio</x:v>
      </x:c>
      <x:c r="G1402" s="3" t="str">
        <x:v>SoundPods Pro</x:v>
      </x:c>
      <x:c r="H1402" s="3" t="n">
        <x:v>2</x:v>
      </x:c>
      <x:c r="I1402" s="7" t="n">
        <x:v>4790.88</x:v>
      </x:c>
      <x:c r="J1402" s="9" t="n">
        <x:v>0</x:v>
      </x:c>
      <x:c r="K1402" s="7" t="n">
        <x:v>9581.76</x:v>
      </x:c>
      <x:c r="L1402" s="7" t="n">
        <x:v>1648.66</x:v>
      </x:c>
      <x:c r="M1402" s="3" t="str">
        <x:v>UPI</x:v>
      </x:c>
      <x:c r="N1402" s="3"/>
      <x:c r="O1402" s="3"/>
      <x:c r="P1402" s="3"/>
      <x:c r="Q1402" s="3"/>
    </x:row>
    <x:row r="1403" ht="21" customHeight="1">
      <x:c r="A1403" s="3" t="str">
        <x:v>ORD-101941</x:v>
      </x:c>
      <x:c r="B1403" s="5" t="n">
        <x:v>45656</x:v>
      </x:c>
      <x:c r="C1403" s="3" t="str">
        <x:v>CUST-00107</x:v>
      </x:c>
      <x:c r="D1403" s="3" t="str">
        <x:v>West</x:v>
      </x:c>
      <x:c r="E1403" s="3" t="str">
        <x:v>Fashion</x:v>
      </x:c>
      <x:c r="F1403" s="3" t="str">
        <x:v>Men</x:v>
      </x:c>
      <x:c r="G1403" s="3" t="str">
        <x:v>SlimFit Denim Jeans</x:v>
      </x:c>
      <x:c r="H1403" s="3" t="n">
        <x:v>2</x:v>
      </x:c>
      <x:c r="I1403" s="7" t="n">
        <x:v>1983.45</x:v>
      </x:c>
      <x:c r="J1403" s="9" t="n">
        <x:v>0</x:v>
      </x:c>
      <x:c r="K1403" s="7" t="n">
        <x:v>3966.9</x:v>
      </x:c>
      <x:c r="L1403" s="7" t="n">
        <x:v>1581.3</x:v>
      </x:c>
      <x:c r="M1403" s="3" t="str">
        <x:v>Debit Card</x:v>
      </x:c>
      <x:c r="N1403" s="3"/>
      <x:c r="O1403" s="3"/>
      <x:c r="P1403" s="3"/>
      <x:c r="Q1403" s="3"/>
    </x:row>
    <x:row r="1404" ht="21" customHeight="1">
      <x:c r="A1404" s="3" t="str">
        <x:v>ORD-101028</x:v>
      </x:c>
      <x:c r="B1404" s="5" t="n">
        <x:v>45657</x:v>
      </x:c>
      <x:c r="C1404" s="3" t="str">
        <x:v>CUST-00155</x:v>
      </x:c>
      <x:c r="D1404" s="3" t="str">
        <x:v>North</x:v>
      </x:c>
      <x:c r="E1404" s="3" t="str">
        <x:v>Electronics</x:v>
      </x:c>
      <x:c r="F1404" s="3" t="str">
        <x:v>Audio</x:v>
      </x:c>
      <x:c r="G1404" s="3" t="str">
        <x:v>SoundPods Pro</x:v>
      </x:c>
      <x:c r="H1404" s="3" t="n">
        <x:v>3</x:v>
      </x:c>
      <x:c r="I1404" s="7" t="n">
        <x:v>4753.38</x:v>
      </x:c>
      <x:c r="J1404" s="9" t="n">
        <x:v>0</x:v>
      </x:c>
      <x:c r="K1404" s="7" t="n">
        <x:v>14260.14</x:v>
      </x:c>
      <x:c r="L1404" s="7" t="n">
        <x:v>2980.08</x:v>
      </x:c>
      <x:c r="M1404" s="3" t="str">
        <x:v>Net Banking</x:v>
      </x:c>
      <x:c r="N1404" s="3"/>
      <x:c r="O1404" s="3"/>
      <x:c r="P1404" s="3"/>
      <x:c r="Q1404" s="3"/>
    </x:row>
    <x:row r="1405" ht="21" customHeight="1">
      <x:c r="A1405" s="3" t="str">
        <x:v>ORD-101139</x:v>
      </x:c>
      <x:c r="B1405" s="5" t="n">
        <x:v>45657</x:v>
      </x:c>
      <x:c r="C1405" s="3" t="str">
        <x:v>CUST-00090</x:v>
      </x:c>
      <x:c r="D1405" s="3" t="str">
        <x:v>West</x:v>
      </x:c>
      <x:c r="E1405" s="3" t="str">
        <x:v>Sports</x:v>
      </x:c>
      <x:c r="F1405" s="3" t="str">
        <x:v>Fitness</x:v>
      </x:c>
      <x:c r="G1405" s="3" t="str">
        <x:v>ProYoga Mat</x:v>
      </x:c>
      <x:c r="H1405" s="3" t="n">
        <x:v>5</x:v>
      </x:c>
      <x:c r="I1405" s="7" t="n">
        <x:v>1257.12</x:v>
      </x:c>
      <x:c r="J1405" s="9" t="n">
        <x:v>0</x:v>
      </x:c>
      <x:c r="K1405" s="7" t="n">
        <x:v>6285.6</x:v>
      </x:c>
      <x:c r="L1405" s="7" t="n">
        <x:v>2204.23</x:v>
      </x:c>
      <x:c r="M1405" s="3" t="str">
        <x:v>UPI</x:v>
      </x:c>
      <x:c r="N1405" s="3"/>
      <x:c r="O1405" s="3"/>
      <x:c r="P1405" s="3"/>
      <x:c r="Q1405" s="3"/>
    </x:row>
    <x:row r="1406" ht="21" customHeight="1">
      <x:c r="A1406" s="3" t="str">
        <x:v>ORD-101179</x:v>
      </x:c>
      <x:c r="B1406" s="5" t="n">
        <x:v>45657</x:v>
      </x:c>
      <x:c r="C1406" s="3" t="str">
        <x:v>CUST-00484</x:v>
      </x:c>
      <x:c r="D1406" s="3" t="str">
        <x:v>West</x:v>
      </x:c>
      <x:c r="E1406" s="3" t="str">
        <x:v>Sports</x:v>
      </x:c>
      <x:c r="F1406" s="3" t="str">
        <x:v>Fitness</x:v>
      </x:c>
      <x:c r="G1406" s="3" t="str">
        <x:v>ProYoga Mat</x:v>
      </x:c>
      <x:c r="H1406" s="3" t="n">
        <x:v>1</x:v>
      </x:c>
      <x:c r="I1406" s="7" t="n">
        <x:v>1333.31</x:v>
      </x:c>
      <x:c r="J1406" s="9" t="n">
        <x:v>0.05</x:v>
      </x:c>
      <x:c r="K1406" s="7" t="n">
        <x:v>1266.64</x:v>
      </x:c>
      <x:c r="L1406" s="7" t="n">
        <x:v>383.28</x:v>
      </x:c>
      <x:c r="M1406" s="3" t="str">
        <x:v>Credit Card</x:v>
      </x:c>
      <x:c r="N1406" s="3"/>
      <x:c r="O1406" s="3"/>
      <x:c r="P1406" s="3"/>
      <x:c r="Q1406" s="3"/>
    </x:row>
    <x:row r="1407" ht="21" customHeight="1">
      <x:c r="A1407" s="3" t="str">
        <x:v>ORD-101429</x:v>
      </x:c>
      <x:c r="B1407" s="5" t="n">
        <x:v>45657</x:v>
      </x:c>
      <x:c r="C1407" s="3" t="str">
        <x:v>CUST-00450</x:v>
      </x:c>
      <x:c r="D1407" s="3" t="str">
        <x:v>South</x:v>
      </x:c>
      <x:c r="E1407" s="3" t="str">
        <x:v>Sports</x:v>
      </x:c>
      <x:c r="F1407" s="3" t="str">
        <x:v>Outdoor</x:v>
      </x:c>
      <x:c r="G1407" s="3" t="str">
        <x:v>TrailHike Backpack 60L</x:v>
      </x:c>
      <x:c r="H1407" s="3" t="n">
        <x:v>2</x:v>
      </x:c>
      <x:c r="I1407" s="7" t="n">
        <x:v>3437.39</x:v>
      </x:c>
      <x:c r="J1407" s="9" t="n">
        <x:v>0.05</x:v>
      </x:c>
      <x:c r="K1407" s="7" t="n">
        <x:v>6531.04</x:v>
      </x:c>
      <x:c r="L1407" s="7" t="n">
        <x:v>1943.4</x:v>
      </x:c>
      <x:c r="M1407" s="3" t="str">
        <x:v>UPI</x:v>
      </x:c>
      <x:c r="N1407" s="3"/>
      <x:c r="O1407" s="3"/>
      <x:c r="P1407" s="3"/>
      <x:c r="Q1407" s="3"/>
    </x:row>
    <x:row r="1408" ht="21" customHeight="1">
      <x:c r="A1408" s="3" t="str">
        <x:v>ORD-101617</x:v>
      </x:c>
      <x:c r="B1408" s="5" t="n">
        <x:v>45657</x:v>
      </x:c>
      <x:c r="C1408" s="3" t="str">
        <x:v>CUST-00122</x:v>
      </x:c>
      <x:c r="D1408" s="3" t="str">
        <x:v>West</x:v>
      </x:c>
      <x:c r="E1408" s="3" t="str">
        <x:v>Sports</x:v>
      </x:c>
      <x:c r="F1408" s="3" t="str">
        <x:v>Outdoor</x:v>
      </x:c>
      <x:c r="G1408" s="3" t="str">
        <x:v>AllWeather Tent 4P</x:v>
      </x:c>
      <x:c r="H1408" s="3" t="n">
        <x:v>3</x:v>
      </x:c>
      <x:c r="I1408" s="7" t="n">
        <x:v>12198.64</x:v>
      </x:c>
      <x:c r="J1408" s="9" t="n">
        <x:v>0</x:v>
      </x:c>
      <x:c r="K1408" s="7" t="n">
        <x:v>36595.92</x:v>
      </x:c>
      <x:c r="L1408" s="7" t="n">
        <x:v>12500.94</x:v>
      </x:c>
      <x:c r="M1408" s="3" t="str">
        <x:v>Credit Card</x:v>
      </x:c>
      <x:c r="N1408" s="3"/>
      <x:c r="O1408" s="3"/>
      <x:c r="P1408" s="3"/>
      <x:c r="Q1408" s="3"/>
    </x:row>
    <x:row r="1409" ht="21" customHeight="1">
      <x:c r="A1409" s="3" t="str">
        <x:v>ORD-100755</x:v>
      </x:c>
      <x:c r="B1409" s="5" t="n">
        <x:v>45658</x:v>
      </x:c>
      <x:c r="C1409" s="3" t="str">
        <x:v>CUST-00228</x:v>
      </x:c>
      <x:c r="D1409" s="3" t="str">
        <x:v>South</x:v>
      </x:c>
      <x:c r="E1409" s="3" t="str">
        <x:v>Sports</x:v>
      </x:c>
      <x:c r="F1409" s="3" t="str">
        <x:v>Fitness</x:v>
      </x:c>
      <x:c r="G1409" s="3" t="str">
        <x:v>ProYoga Mat</x:v>
      </x:c>
      <x:c r="H1409" s="3" t="n">
        <x:v>1</x:v>
      </x:c>
      <x:c r="I1409" s="7" t="n">
        <x:v>1353.64</x:v>
      </x:c>
      <x:c r="J1409" s="9" t="n">
        <x:v>0.15</x:v>
      </x:c>
      <x:c r="K1409" s="7" t="n">
        <x:v>1150.59</x:v>
      </x:c>
      <x:c r="L1409" s="7" t="n">
        <x:v>199.97</x:v>
      </x:c>
      <x:c r="M1409" s="3" t="str">
        <x:v>Debit Card</x:v>
      </x:c>
      <x:c r="N1409" s="3"/>
      <x:c r="O1409" s="3"/>
      <x:c r="P1409" s="3"/>
      <x:c r="Q1409" s="3"/>
    </x:row>
    <x:row r="1410" ht="21" customHeight="1">
      <x:c r="A1410" s="3" t="str">
        <x:v>ORD-100795</x:v>
      </x:c>
      <x:c r="B1410" s="5" t="n">
        <x:v>45658</x:v>
      </x:c>
      <x:c r="C1410" s="3" t="str">
        <x:v>CUST-00438</x:v>
      </x:c>
      <x:c r="D1410" s="3" t="str">
        <x:v>East</x:v>
      </x:c>
      <x:c r="E1410" s="3" t="str">
        <x:v>Sports</x:v>
      </x:c>
      <x:c r="F1410" s="3" t="str">
        <x:v>Fitness</x:v>
      </x:c>
      <x:c r="G1410" s="3" t="str">
        <x:v>Adjustable Dumbbell 24kg</x:v>
      </x:c>
      <x:c r="H1410" s="3" t="n">
        <x:v>3</x:v>
      </x:c>
      <x:c r="I1410" s="7" t="n">
        <x:v>9595.08</x:v>
      </x:c>
      <x:c r="J1410" s="9" t="n">
        <x:v>0.2</x:v>
      </x:c>
      <x:c r="K1410" s="7" t="n">
        <x:v>23028.19</x:v>
      </x:c>
      <x:c r="L1410" s="7" t="n">
        <x:v>3503.18</x:v>
      </x:c>
      <x:c r="M1410" s="3" t="str">
        <x:v>Credit Card</x:v>
      </x:c>
      <x:c r="N1410" s="3"/>
      <x:c r="O1410" s="3"/>
      <x:c r="P1410" s="3"/>
      <x:c r="Q1410" s="3"/>
    </x:row>
    <x:row r="1411" ht="21" customHeight="1">
      <x:c r="A1411" s="3" t="str">
        <x:v>ORD-101518</x:v>
      </x:c>
      <x:c r="B1411" s="5" t="n">
        <x:v>45658</x:v>
      </x:c>
      <x:c r="C1411" s="3" t="str">
        <x:v>CUST-00100</x:v>
      </x:c>
      <x:c r="D1411" s="3" t="str">
        <x:v>East</x:v>
      </x:c>
      <x:c r="E1411" s="3" t="str">
        <x:v>Home &amp; Kitchen</x:v>
      </x:c>
      <x:c r="F1411" s="3" t="str">
        <x:v>Appliances</x:v>
      </x:c>
      <x:c r="G1411" s="3" t="str">
        <x:v>ColdBrew Coffee Maker</x:v>
      </x:c>
      <x:c r="H1411" s="3" t="n">
        <x:v>2</x:v>
      </x:c>
      <x:c r="I1411" s="7" t="n">
        <x:v>6558.9</x:v>
      </x:c>
      <x:c r="J1411" s="9" t="n">
        <x:v>0.05</x:v>
      </x:c>
      <x:c r="K1411" s="7" t="n">
        <x:v>12461.91</x:v>
      </x:c>
      <x:c r="L1411" s="7" t="n">
        <x:v>3764.18</x:v>
      </x:c>
      <x:c r="M1411" s="3" t="str">
        <x:v>Credit Card</x:v>
      </x:c>
      <x:c r="N1411" s="3"/>
      <x:c r="O1411" s="3"/>
      <x:c r="P1411" s="3"/>
      <x:c r="Q1411" s="3"/>
    </x:row>
    <x:row r="1412" ht="21" customHeight="1">
      <x:c r="A1412" s="3" t="str">
        <x:v>ORD-101883</x:v>
      </x:c>
      <x:c r="B1412" s="5" t="n">
        <x:v>45658</x:v>
      </x:c>
      <x:c r="C1412" s="3" t="str">
        <x:v>CUST-00155</x:v>
      </x:c>
      <x:c r="D1412" s="3" t="str">
        <x:v>South</x:v>
      </x:c>
      <x:c r="E1412" s="3" t="str">
        <x:v>Home &amp; Kitchen</x:v>
      </x:c>
      <x:c r="F1412" s="3" t="str">
        <x:v>Furniture</x:v>
      </x:c>
      <x:c r="G1412" s="3" t="str">
        <x:v>Oakwood Study Desk</x:v>
      </x:c>
      <x:c r="H1412" s="3" t="n">
        <x:v>1</x:v>
      </x:c>
      <x:c r="I1412" s="7" t="n">
        <x:v>12552.99</x:v>
      </x:c>
      <x:c r="J1412" s="9" t="n">
        <x:v>0</x:v>
      </x:c>
      <x:c r="K1412" s="7" t="n">
        <x:v>12552.99</x:v>
      </x:c>
      <x:c r="L1412" s="7" t="n">
        <x:v>3685.72</x:v>
      </x:c>
      <x:c r="M1412" s="3" t="str">
        <x:v>Cash on Delivery</x:v>
      </x:c>
      <x:c r="N1412" s="3"/>
      <x:c r="O1412" s="3"/>
      <x:c r="P1412" s="3"/>
      <x:c r="Q1412" s="3"/>
    </x:row>
    <x:row r="1413" ht="21" customHeight="1">
      <x:c r="A1413" s="3" t="str">
        <x:v>ORD-101930</x:v>
      </x:c>
      <x:c r="B1413" s="5" t="n">
        <x:v>45658</x:v>
      </x:c>
      <x:c r="C1413" s="3" t="str">
        <x:v>CUST-00092</x:v>
      </x:c>
      <x:c r="D1413" s="3" t="str">
        <x:v>South</x:v>
      </x:c>
      <x:c r="E1413" s="3" t="str">
        <x:v>Home &amp; Kitchen</x:v>
      </x:c>
      <x:c r="F1413" s="3" t="str">
        <x:v>Appliances</x:v>
      </x:c>
      <x:c r="G1413" s="3" t="str">
        <x:v>ColdBrew Coffee Maker</x:v>
      </x:c>
      <x:c r="H1413" s="3" t="n">
        <x:v>3</x:v>
      </x:c>
      <x:c r="I1413" s="7" t="n">
        <x:v>6306.18</x:v>
      </x:c>
      <x:c r="J1413" s="9" t="n">
        <x:v>0.25</x:v>
      </x:c>
      <x:c r="K1413" s="7" t="n">
        <x:v>14188.91</x:v>
      </x:c>
      <x:c r="L1413" s="7" t="n">
        <x:v>397.17</x:v>
      </x:c>
      <x:c r="M1413" s="3" t="str">
        <x:v>Debit Card</x:v>
      </x:c>
      <x:c r="N1413" s="3"/>
      <x:c r="O1413" s="3"/>
      <x:c r="P1413" s="3"/>
      <x:c r="Q1413" s="3"/>
    </x:row>
    <x:row r="1414" ht="21" customHeight="1">
      <x:c r="A1414" s="3" t="str">
        <x:v>ORD-101966</x:v>
      </x:c>
      <x:c r="B1414" s="5" t="n">
        <x:v>45658</x:v>
      </x:c>
      <x:c r="C1414" s="3" t="str">
        <x:v>CUST-00226</x:v>
      </x:c>
      <x:c r="D1414" s="3" t="str">
        <x:v>West</x:v>
      </x:c>
      <x:c r="E1414" s="3" t="str">
        <x:v>Electronics</x:v>
      </x:c>
      <x:c r="F1414" s="3" t="str">
        <x:v>Audio</x:v>
      </x:c>
      <x:c r="G1414" s="3" t="str">
        <x:v>SoundPods Pro</x:v>
      </x:c>
      <x:c r="H1414" s="3" t="n">
        <x:v>2</x:v>
      </x:c>
      <x:c r="I1414" s="7" t="n">
        <x:v>4788.24</x:v>
      </x:c>
      <x:c r="J1414" s="9" t="n">
        <x:v>0.05</x:v>
      </x:c>
      <x:c r="K1414" s="7" t="n">
        <x:v>9097.66</x:v>
      </x:c>
      <x:c r="L1414" s="7" t="n">
        <x:v>1234.96</x:v>
      </x:c>
      <x:c r="M1414" s="3" t="str">
        <x:v>UPI</x:v>
      </x:c>
      <x:c r="N1414" s="3"/>
      <x:c r="O1414" s="3"/>
      <x:c r="P1414" s="3"/>
      <x:c r="Q1414" s="3"/>
    </x:row>
    <x:row r="1415" ht="21" customHeight="1">
      <x:c r="A1415" s="3" t="str">
        <x:v>ORD-100081</x:v>
      </x:c>
      <x:c r="B1415" s="5" t="n">
        <x:v>45659</x:v>
      </x:c>
      <x:c r="C1415" s="3" t="str">
        <x:v>CUST-00283</x:v>
      </x:c>
      <x:c r="D1415" s="3" t="str">
        <x:v>West</x:v>
      </x:c>
      <x:c r="E1415" s="3" t="str">
        <x:v>Electronics</x:v>
      </x:c>
      <x:c r="F1415" s="3" t="str">
        <x:v>Audio</x:v>
      </x:c>
      <x:c r="G1415" s="3" t="str">
        <x:v>BassBoom Speaker</x:v>
      </x:c>
      <x:c r="H1415" s="3" t="n">
        <x:v>1</x:v>
      </x:c>
      <x:c r="I1415" s="7" t="n">
        <x:v>8761.53</x:v>
      </x:c>
      <x:c r="J1415" s="9" t="n">
        <x:v>0.05</x:v>
      </x:c>
      <x:c r="K1415" s="7" t="n">
        <x:v>8323.45</x:v>
      </x:c>
      <x:c r="L1415" s="7" t="n">
        <x:v>928.19</x:v>
      </x:c>
      <x:c r="M1415" s="3" t="str">
        <x:v>UPI</x:v>
      </x:c>
      <x:c r="N1415" s="3"/>
      <x:c r="O1415" s="3"/>
      <x:c r="P1415" s="3"/>
      <x:c r="Q1415" s="3"/>
    </x:row>
    <x:row r="1416" ht="21" customHeight="1">
      <x:c r="A1416" s="3" t="str">
        <x:v>ORD-100430</x:v>
      </x:c>
      <x:c r="B1416" s="5" t="n">
        <x:v>45659</x:v>
      </x:c>
      <x:c r="C1416" s="3" t="str">
        <x:v>CUST-00289</x:v>
      </x:c>
      <x:c r="D1416" s="3" t="str">
        <x:v>West</x:v>
      </x:c>
      <x:c r="E1416" s="3" t="str">
        <x:v>Electronics</x:v>
      </x:c>
      <x:c r="F1416" s="3" t="str">
        <x:v>Audio</x:v>
      </x:c>
      <x:c r="G1416" s="3" t="str">
        <x:v>BassBoom Speaker</x:v>
      </x:c>
      <x:c r="H1416" s="3" t="n">
        <x:v>3</x:v>
      </x:c>
      <x:c r="I1416" s="7" t="n">
        <x:v>8605.21</x:v>
      </x:c>
      <x:c r="J1416" s="9" t="n">
        <x:v>0.2</x:v>
      </x:c>
      <x:c r="K1416" s="7" t="n">
        <x:v>20652.5</x:v>
      </x:c>
      <x:c r="L1416" s="7" t="n">
        <x:v>-369.97</x:v>
      </x:c>
      <x:c r="M1416" s="3" t="str">
        <x:v>UPI</x:v>
      </x:c>
      <x:c r="N1416" s="3"/>
      <x:c r="O1416" s="3"/>
      <x:c r="P1416" s="3"/>
      <x:c r="Q1416" s="3"/>
    </x:row>
    <x:row r="1417" ht="21" customHeight="1">
      <x:c r="A1417" s="3" t="str">
        <x:v>ORD-101388</x:v>
      </x:c>
      <x:c r="B1417" s="5" t="n">
        <x:v>45659</x:v>
      </x:c>
      <x:c r="C1417" s="3" t="str">
        <x:v>CUST-00250</x:v>
      </x:c>
      <x:c r="D1417" s="3" t="str">
        <x:v>West</x:v>
      </x:c>
      <x:c r="E1417" s="3" t="str">
        <x:v>Home &amp; Kitchen</x:v>
      </x:c>
      <x:c r="F1417" s="3" t="str">
        <x:v>Appliances</x:v>
      </x:c>
      <x:c r="G1417" s="3" t="str">
        <x:v>AirFryer Deluxe</x:v>
      </x:c>
      <x:c r="H1417" s="3" t="n">
        <x:v>4</x:v>
      </x:c>
      <x:c r="I1417" s="7" t="n">
        <x:v>7868.46</x:v>
      </x:c>
      <x:c r="J1417" s="9" t="n">
        <x:v>0.4</x:v>
      </x:c>
      <x:c r="K1417" s="7" t="n">
        <x:v>18884.3</x:v>
      </x:c>
      <x:c r="L1417" s="7" t="n">
        <x:v>-2280.66</x:v>
      </x:c>
      <x:c r="M1417" s="3" t="str">
        <x:v>Cash on Delivery</x:v>
      </x:c>
      <x:c r="N1417" s="3"/>
      <x:c r="O1417" s="3"/>
      <x:c r="P1417" s="3"/>
      <x:c r="Q1417" s="3"/>
    </x:row>
    <x:row r="1418" ht="21" customHeight="1">
      <x:c r="A1418" s="3" t="str">
        <x:v>ORD-101858</x:v>
      </x:c>
      <x:c r="B1418" s="5" t="n">
        <x:v>45659</x:v>
      </x:c>
      <x:c r="C1418" s="3" t="str">
        <x:v>CUST-00290</x:v>
      </x:c>
      <x:c r="D1418" s="3" t="str">
        <x:v>North</x:v>
      </x:c>
      <x:c r="E1418" s="3" t="str">
        <x:v>Home &amp; Kitchen</x:v>
      </x:c>
      <x:c r="F1418" s="3" t="str">
        <x:v>Decor</x:v>
      </x:c>
      <x:c r="G1418" s="3" t="str">
        <x:v>Ceramic Vase Set</x:v>
      </x:c>
      <x:c r="H1418" s="3" t="n">
        <x:v>4</x:v>
      </x:c>
      <x:c r="I1418" s="7" t="n">
        <x:v>1505.42</x:v>
      </x:c>
      <x:c r="J1418" s="9" t="n">
        <x:v>0.05</x:v>
      </x:c>
      <x:c r="K1418" s="7" t="n">
        <x:v>5720.6</x:v>
      </x:c>
      <x:c r="L1418" s="7" t="n">
        <x:v>1652.58</x:v>
      </x:c>
      <x:c r="M1418" s="3" t="str">
        <x:v>Credit Card</x:v>
      </x:c>
      <x:c r="N1418" s="3"/>
      <x:c r="O1418" s="3"/>
      <x:c r="P1418" s="3"/>
      <x:c r="Q1418" s="3"/>
    </x:row>
    <x:row r="1419" ht="21" customHeight="1">
      <x:c r="A1419" s="3" t="str">
        <x:v>ORD-100220</x:v>
      </x:c>
      <x:c r="B1419" s="5" t="n">
        <x:v>45660</x:v>
      </x:c>
      <x:c r="C1419" s="3" t="str">
        <x:v>CUST-00581</x:v>
      </x:c>
      <x:c r="D1419" s="3" t="str">
        <x:v>North</x:v>
      </x:c>
      <x:c r="E1419" s="3" t="str">
        <x:v>Electronics</x:v>
      </x:c>
      <x:c r="F1419" s="3" t="str">
        <x:v>Laptop</x:v>
      </x:c>
      <x:c r="G1419" s="3" t="str">
        <x:v>AirBook Slim</x:v>
      </x:c>
      <x:c r="H1419" s="3" t="n">
        <x:v>1</x:v>
      </x:c>
      <x:c r="I1419" s="7" t="n">
        <x:v>80676.33</x:v>
      </x:c>
      <x:c r="J1419" s="9" t="n">
        <x:v>0</x:v>
      </x:c>
      <x:c r="K1419" s="7" t="n">
        <x:v>80676.33</x:v>
      </x:c>
      <x:c r="L1419" s="7" t="n">
        <x:v>15016.46</x:v>
      </x:c>
      <x:c r="M1419" s="3" t="str">
        <x:v>Credit Card</x:v>
      </x:c>
      <x:c r="N1419" s="3"/>
      <x:c r="O1419" s="3"/>
      <x:c r="P1419" s="3"/>
      <x:c r="Q1419" s="3"/>
    </x:row>
    <x:row r="1420" ht="21" customHeight="1">
      <x:c r="A1420" s="3" t="str">
        <x:v>ORD-100491</x:v>
      </x:c>
      <x:c r="B1420" s="5" t="n">
        <x:v>45661</x:v>
      </x:c>
      <x:c r="C1420" s="3" t="str">
        <x:v>CUST-00365</x:v>
      </x:c>
      <x:c r="D1420" s="3" t="str">
        <x:v>South</x:v>
      </x:c>
      <x:c r="E1420" s="3" t="str">
        <x:v>Electronics</x:v>
      </x:c>
      <x:c r="F1420" s="3" t="str">
        <x:v>Laptop</x:v>
      </x:c>
      <x:c r="G1420" s="3" t="str">
        <x:v>ThinkPro 14</x:v>
      </x:c>
      <x:c r="H1420" s="3" t="n">
        <x:v>2</x:v>
      </x:c>
      <x:c r="I1420" s="7" t="n">
        <x:v>54784.75</x:v>
      </x:c>
      <x:c r="J1420" s="9" t="n">
        <x:v>0</x:v>
      </x:c>
      <x:c r="K1420" s="7" t="n">
        <x:v>109569.5</x:v>
      </x:c>
      <x:c r="L1420" s="7" t="n">
        <x:v>21416.74</x:v>
      </x:c>
      <x:c r="M1420" s="3" t="str">
        <x:v>UPI</x:v>
      </x:c>
      <x:c r="N1420" s="3"/>
      <x:c r="O1420" s="3"/>
      <x:c r="P1420" s="3"/>
      <x:c r="Q1420" s="3"/>
    </x:row>
    <x:row r="1421" ht="21" customHeight="1">
      <x:c r="A1421" s="3" t="str">
        <x:v>ORD-101363</x:v>
      </x:c>
      <x:c r="B1421" s="5" t="n">
        <x:v>45661</x:v>
      </x:c>
      <x:c r="C1421" s="3" t="str">
        <x:v>CUST-00322</x:v>
      </x:c>
      <x:c r="D1421" s="3" t="str">
        <x:v>West</x:v>
      </x:c>
      <x:c r="E1421" s="3" t="str">
        <x:v>Fashion</x:v>
      </x:c>
      <x:c r="F1421" s="3" t="str">
        <x:v>Women</x:v>
      </x:c>
      <x:c r="G1421" s="3" t="str">
        <x:v>Knit Winter Sweater</x:v>
      </x:c>
      <x:c r="H1421" s="3" t="n">
        <x:v>1</x:v>
      </x:c>
      <x:c r="I1421" s="7" t="n">
        <x:v>2203.83</x:v>
      </x:c>
      <x:c r="J1421" s="9" t="n">
        <x:v>0.3</x:v>
      </x:c>
      <x:c r="K1421" s="7" t="n">
        <x:v>1542.68</x:v>
      </x:c>
      <x:c r="L1421" s="7" t="n">
        <x:v>122.99</x:v>
      </x:c>
      <x:c r="M1421" s="3" t="str">
        <x:v>UPI</x:v>
      </x:c>
      <x:c r="N1421" s="3"/>
      <x:c r="O1421" s="3"/>
      <x:c r="P1421" s="3"/>
      <x:c r="Q1421" s="3"/>
    </x:row>
    <x:row r="1422" ht="21" customHeight="1">
      <x:c r="A1422" s="3" t="str">
        <x:v>ORD-101412</x:v>
      </x:c>
      <x:c r="B1422" s="5" t="n">
        <x:v>45662</x:v>
      </x:c>
      <x:c r="C1422" s="3" t="str">
        <x:v>CUST-00311</x:v>
      </x:c>
      <x:c r="D1422" s="3" t="str">
        <x:v>South</x:v>
      </x:c>
      <x:c r="E1422" s="3" t="str">
        <x:v>Sports</x:v>
      </x:c>
      <x:c r="F1422" s="3" t="str">
        <x:v>Outdoor</x:v>
      </x:c>
      <x:c r="G1422" s="3" t="str">
        <x:v>AllWeather Tent 4P</x:v>
      </x:c>
      <x:c r="H1422" s="3" t="n">
        <x:v>4</x:v>
      </x:c>
      <x:c r="I1422" s="7" t="n">
        <x:v>11447.74</x:v>
      </x:c>
      <x:c r="J1422" s="9" t="n">
        <x:v>0.2</x:v>
      </x:c>
      <x:c r="K1422" s="7" t="n">
        <x:v>36632.77</x:v>
      </x:c>
      <x:c r="L1422" s="7" t="n">
        <x:v>4714.98</x:v>
      </x:c>
      <x:c r="M1422" s="3" t="str">
        <x:v>UPI</x:v>
      </x:c>
      <x:c r="N1422" s="3"/>
      <x:c r="O1422" s="3"/>
      <x:c r="P1422" s="3"/>
      <x:c r="Q1422" s="3"/>
    </x:row>
    <x:row r="1423" ht="21" customHeight="1">
      <x:c r="A1423" s="3" t="str">
        <x:v>ORD-101601</x:v>
      </x:c>
      <x:c r="B1423" s="5" t="n">
        <x:v>45662</x:v>
      </x:c>
      <x:c r="C1423" s="3" t="str">
        <x:v>CUST-00423</x:v>
      </x:c>
      <x:c r="D1423" s="3" t="str">
        <x:v>East</x:v>
      </x:c>
      <x:c r="E1423" s="3" t="str">
        <x:v>Beauty</x:v>
      </x:c>
      <x:c r="F1423" s="3" t="str">
        <x:v>Makeup</x:v>
      </x:c>
      <x:c r="G1423" s="3" t="str">
        <x:v>HD Foundation Kit</x:v>
      </x:c>
      <x:c r="H1423" s="3" t="n">
        <x:v>3</x:v>
      </x:c>
      <x:c r="I1423" s="7" t="n">
        <x:v>1552.4</x:v>
      </x:c>
      <x:c r="J1423" s="9" t="n">
        <x:v>0.05</x:v>
      </x:c>
      <x:c r="K1423" s="7" t="n">
        <x:v>4424.34</x:v>
      </x:c>
      <x:c r="L1423" s="7" t="n">
        <x:v>2097.42</x:v>
      </x:c>
      <x:c r="M1423" s="3" t="str">
        <x:v>Credit Card</x:v>
      </x:c>
      <x:c r="N1423" s="3"/>
      <x:c r="O1423" s="3"/>
      <x:c r="P1423" s="3"/>
      <x:c r="Q1423" s="3"/>
    </x:row>
    <x:row r="1424" ht="21" customHeight="1">
      <x:c r="A1424" s="3" t="str">
        <x:v>ORD-101860</x:v>
      </x:c>
      <x:c r="B1424" s="5" t="n">
        <x:v>45662</x:v>
      </x:c>
      <x:c r="C1424" s="3" t="str">
        <x:v>CUST-00027</x:v>
      </x:c>
      <x:c r="D1424" s="3" t="str">
        <x:v>North</x:v>
      </x:c>
      <x:c r="E1424" s="3" t="str">
        <x:v>Beauty</x:v>
      </x:c>
      <x:c r="F1424" s="3" t="str">
        <x:v>Makeup</x:v>
      </x:c>
      <x:c r="G1424" s="3" t="str">
        <x:v>Matte Lipstick Set</x:v>
      </x:c>
      <x:c r="H1424" s="3" t="n">
        <x:v>3</x:v>
      </x:c>
      <x:c r="I1424" s="7" t="n">
        <x:v>1012.8</x:v>
      </x:c>
      <x:c r="J1424" s="9" t="n">
        <x:v>0</x:v>
      </x:c>
      <x:c r="K1424" s="7" t="n">
        <x:v>3038.4</x:v>
      </x:c>
      <x:c r="L1424" s="7" t="n">
        <x:v>1570.59</x:v>
      </x:c>
      <x:c r="M1424" s="3" t="str">
        <x:v>UPI</x:v>
      </x:c>
      <x:c r="N1424" s="3"/>
      <x:c r="O1424" s="3"/>
      <x:c r="P1424" s="3"/>
      <x:c r="Q1424" s="3"/>
    </x:row>
    <x:row r="1425" ht="21" customHeight="1">
      <x:c r="A1425" s="3" t="str">
        <x:v>ORD-100462</x:v>
      </x:c>
      <x:c r="B1425" s="5" t="n">
        <x:v>45664</x:v>
      </x:c>
      <x:c r="C1425" s="3" t="str">
        <x:v>CUST-00446</x:v>
      </x:c>
      <x:c r="D1425" s="3" t="str">
        <x:v>West</x:v>
      </x:c>
      <x:c r="E1425" s="3" t="str">
        <x:v>Electronics</x:v>
      </x:c>
      <x:c r="F1425" s="3" t="str">
        <x:v>Mobile</x:v>
      </x:c>
      <x:c r="G1425" s="3" t="str">
        <x:v>iPhone Zeta</x:v>
      </x:c>
      <x:c r="H1425" s="3" t="n">
        <x:v>3</x:v>
      </x:c>
      <x:c r="I1425" s="7" t="n">
        <x:v>69981.6</x:v>
      </x:c>
      <x:c r="J1425" s="9" t="n">
        <x:v>0.25</x:v>
      </x:c>
      <x:c r="K1425" s="7" t="n">
        <x:v>157458.6</x:v>
      </x:c>
      <x:c r="L1425" s="7" t="n">
        <x:v>-21212.7</x:v>
      </x:c>
      <x:c r="M1425" s="3" t="str">
        <x:v>UPI</x:v>
      </x:c>
      <x:c r="N1425" s="3"/>
      <x:c r="O1425" s="3"/>
      <x:c r="P1425" s="3"/>
      <x:c r="Q1425" s="3"/>
    </x:row>
    <x:row r="1426" ht="21" customHeight="1">
      <x:c r="A1426" s="3" t="str">
        <x:v>ORD-100561</x:v>
      </x:c>
      <x:c r="B1426" s="5" t="n">
        <x:v>45664</x:v>
      </x:c>
      <x:c r="C1426" s="3" t="str">
        <x:v>CUST-00142</x:v>
      </x:c>
      <x:c r="D1426" s="3" t="str">
        <x:v>East</x:v>
      </x:c>
      <x:c r="E1426" s="3" t="str">
        <x:v>Electronics</x:v>
      </x:c>
      <x:c r="F1426" s="3" t="str">
        <x:v>Mobile</x:v>
      </x:c>
      <x:c r="G1426" s="3" t="str">
        <x:v>Pixel Aura 12</x:v>
      </x:c>
      <x:c r="H1426" s="3" t="n">
        <x:v>1</x:v>
      </x:c>
      <x:c r="I1426" s="7" t="n">
        <x:v>32806.01</x:v>
      </x:c>
      <x:c r="J1426" s="9" t="n">
        <x:v>0</x:v>
      </x:c>
      <x:c r="K1426" s="7" t="n">
        <x:v>32806.01</x:v>
      </x:c>
      <x:c r="L1426" s="7" t="n">
        <x:v>5920.56</x:v>
      </x:c>
      <x:c r="M1426" s="3" t="str">
        <x:v>UPI</x:v>
      </x:c>
      <x:c r="N1426" s="3"/>
      <x:c r="O1426" s="3"/>
      <x:c r="P1426" s="3"/>
      <x:c r="Q1426" s="3"/>
    </x:row>
    <x:row r="1427" ht="21" customHeight="1">
      <x:c r="A1427" s="3" t="str">
        <x:v>ORD-101989</x:v>
      </x:c>
      <x:c r="B1427" s="5" t="n">
        <x:v>45664</x:v>
      </x:c>
      <x:c r="C1427" s="3" t="str">
        <x:v>CUST-00484</x:v>
      </x:c>
      <x:c r="D1427" s="3" t="str">
        <x:v>East</x:v>
      </x:c>
      <x:c r="E1427" s="3" t="str">
        <x:v>Home &amp; Kitchen</x:v>
      </x:c>
      <x:c r="F1427" s="3" t="str">
        <x:v>Furniture</x:v>
      </x:c>
      <x:c r="G1427" s="3" t="str">
        <x:v>Oakwood Study Desk</x:v>
      </x:c>
      <x:c r="H1427" s="3" t="n">
        <x:v>3</x:v>
      </x:c>
      <x:c r="I1427" s="7" t="n">
        <x:v>12453.7</x:v>
      </x:c>
      <x:c r="J1427" s="9" t="n">
        <x:v>0.1</x:v>
      </x:c>
      <x:c r="K1427" s="7" t="n">
        <x:v>33624.99</x:v>
      </x:c>
      <x:c r="L1427" s="7" t="n">
        <x:v>6596.77</x:v>
      </x:c>
      <x:c r="M1427" s="3" t="str">
        <x:v>UPI</x:v>
      </x:c>
      <x:c r="N1427" s="3"/>
      <x:c r="O1427" s="3"/>
      <x:c r="P1427" s="3"/>
      <x:c r="Q1427" s="3"/>
    </x:row>
    <x:row r="1428" ht="21" customHeight="1">
      <x:c r="A1428" s="3" t="str">
        <x:v>ORD-101417</x:v>
      </x:c>
      <x:c r="B1428" s="5" t="n">
        <x:v>45665</x:v>
      </x:c>
      <x:c r="C1428" s="3" t="str">
        <x:v>CUST-00231</x:v>
      </x:c>
      <x:c r="D1428" s="3" t="str">
        <x:v>South</x:v>
      </x:c>
      <x:c r="E1428" s="3" t="str">
        <x:v>Beauty</x:v>
      </x:c>
      <x:c r="F1428" s="3" t="str">
        <x:v>Makeup</x:v>
      </x:c>
      <x:c r="G1428" s="3" t="str">
        <x:v>Matte Lipstick Set</x:v>
      </x:c>
      <x:c r="H1428" s="3" t="n">
        <x:v>3</x:v>
      </x:c>
      <x:c r="I1428" s="7" t="n">
        <x:v>1045.19</x:v>
      </x:c>
      <x:c r="J1428" s="9" t="n">
        <x:v>0.15</x:v>
      </x:c>
      <x:c r="K1428" s="7" t="n">
        <x:v>2665.23</x:v>
      </x:c>
      <x:c r="L1428" s="7" t="n">
        <x:v>959.59</x:v>
      </x:c>
      <x:c r="M1428" s="3" t="str">
        <x:v>Cash on Delivery</x:v>
      </x:c>
      <x:c r="N1428" s="3"/>
      <x:c r="O1428" s="3"/>
      <x:c r="P1428" s="3"/>
      <x:c r="Q1428" s="3"/>
    </x:row>
    <x:row r="1429" ht="21" customHeight="1">
      <x:c r="A1429" s="3" t="str">
        <x:v>ORD-101716</x:v>
      </x:c>
      <x:c r="B1429" s="5" t="n">
        <x:v>45665</x:v>
      </x:c>
      <x:c r="C1429" s="3" t="str">
        <x:v>CUST-00003</x:v>
      </x:c>
      <x:c r="D1429" s="3" t="str">
        <x:v>North</x:v>
      </x:c>
      <x:c r="E1429" s="3" t="str">
        <x:v>Fashion</x:v>
      </x:c>
      <x:c r="F1429" s="3" t="str">
        <x:v>Footwear</x:v>
      </x:c>
      <x:c r="G1429" s="3" t="str">
        <x:v>RunFlex Sneakers</x:v>
      </x:c>
      <x:c r="H1429" s="3" t="n">
        <x:v>2</x:v>
      </x:c>
      <x:c r="I1429" s="7" t="n">
        <x:v>2969.7</x:v>
      </x:c>
      <x:c r="J1429" s="9" t="n">
        <x:v>0.2</x:v>
      </x:c>
      <x:c r="K1429" s="7" t="n">
        <x:v>4751.52</x:v>
      </x:c>
      <x:c r="L1429" s="7" t="n">
        <x:v>762.79</x:v>
      </x:c>
      <x:c r="M1429" s="3" t="str">
        <x:v>Credit Card</x:v>
      </x:c>
      <x:c r="N1429" s="3"/>
      <x:c r="O1429" s="3"/>
      <x:c r="P1429" s="3"/>
      <x:c r="Q1429" s="3"/>
    </x:row>
    <x:row r="1430" ht="21" customHeight="1">
      <x:c r="A1430" s="3" t="str">
        <x:v>ORD-101926</x:v>
      </x:c>
      <x:c r="B1430" s="5" t="n">
        <x:v>45665</x:v>
      </x:c>
      <x:c r="C1430" s="3" t="str">
        <x:v>CUST-00470</x:v>
      </x:c>
      <x:c r="D1430" s="3" t="str">
        <x:v>West</x:v>
      </x:c>
      <x:c r="E1430" s="3" t="str">
        <x:v>Fashion</x:v>
      </x:c>
      <x:c r="F1430" s="3" t="str">
        <x:v>Women</x:v>
      </x:c>
      <x:c r="G1430" s="3" t="str">
        <x:v>Knit Winter Sweater</x:v>
      </x:c>
      <x:c r="H1430" s="3" t="n">
        <x:v>1</x:v>
      </x:c>
      <x:c r="I1430" s="7" t="n">
        <x:v>2169.68</x:v>
      </x:c>
      <x:c r="J1430" s="9" t="n">
        <x:v>0.1</x:v>
      </x:c>
      <x:c r="K1430" s="7" t="n">
        <x:v>1952.71</x:v>
      </x:c>
      <x:c r="L1430" s="7" t="n">
        <x:v>542.69</x:v>
      </x:c>
      <x:c r="M1430" s="3" t="str">
        <x:v>UPI</x:v>
      </x:c>
      <x:c r="N1430" s="3"/>
      <x:c r="O1430" s="3"/>
      <x:c r="P1430" s="3"/>
      <x:c r="Q1430" s="3"/>
    </x:row>
    <x:row r="1431" ht="21" customHeight="1">
      <x:c r="A1431" s="3" t="str">
        <x:v>ORD-100077</x:v>
      </x:c>
      <x:c r="B1431" s="5" t="n">
        <x:v>45666</x:v>
      </x:c>
      <x:c r="C1431" s="3" t="str">
        <x:v>CUST-00405</x:v>
      </x:c>
      <x:c r="D1431" s="3" t="str">
        <x:v>North</x:v>
      </x:c>
      <x:c r="E1431" s="3" t="str">
        <x:v>Home &amp; Kitchen</x:v>
      </x:c>
      <x:c r="F1431" s="3" t="str">
        <x:v>Appliances</x:v>
      </x:c>
      <x:c r="G1431" s="3" t="str">
        <x:v>ColdBrew Coffee Maker</x:v>
      </x:c>
      <x:c r="H1431" s="3" t="n">
        <x:v>3</x:v>
      </x:c>
      <x:c r="I1431" s="7" t="n">
        <x:v>6222.99</x:v>
      </x:c>
      <x:c r="J1431" s="9" t="n">
        <x:v>0.05</x:v>
      </x:c>
      <x:c r="K1431" s="7" t="n">
        <x:v>17735.52</x:v>
      </x:c>
      <x:c r="L1431" s="7" t="n">
        <x:v>5193.53</x:v>
      </x:c>
      <x:c r="M1431" s="3" t="str">
        <x:v>Credit Card</x:v>
      </x:c>
      <x:c r="N1431" s="3"/>
      <x:c r="O1431" s="3"/>
      <x:c r="P1431" s="3"/>
      <x:c r="Q1431" s="3"/>
    </x:row>
    <x:row r="1432" ht="21" customHeight="1">
      <x:c r="A1432" s="3" t="str">
        <x:v>ORD-101198</x:v>
      </x:c>
      <x:c r="B1432" s="5" t="n">
        <x:v>45666</x:v>
      </x:c>
      <x:c r="C1432" s="3" t="str">
        <x:v>CUST-00175</x:v>
      </x:c>
      <x:c r="D1432" s="3" t="str">
        <x:v>North</x:v>
      </x:c>
      <x:c r="E1432" s="3" t="str">
        <x:v>Electronics</x:v>
      </x:c>
      <x:c r="F1432" s="3" t="str">
        <x:v>Laptop</x:v>
      </x:c>
      <x:c r="G1432" s="3" t="str">
        <x:v>AirBook Slim</x:v>
      </x:c>
      <x:c r="H1432" s="3" t="n">
        <x:v>1</x:v>
      </x:c>
      <x:c r="I1432" s="7" t="n">
        <x:v>79496.71</x:v>
      </x:c>
      <x:c r="J1432" s="9" t="n">
        <x:v>0.05</x:v>
      </x:c>
      <x:c r="K1432" s="7" t="n">
        <x:v>75521.87</x:v>
      </x:c>
      <x:c r="L1432" s="7" t="n">
        <x:v>7655.21</x:v>
      </x:c>
      <x:c r="M1432" s="3" t="str">
        <x:v>UPI</x:v>
      </x:c>
      <x:c r="N1432" s="3"/>
      <x:c r="O1432" s="3"/>
      <x:c r="P1432" s="3"/>
      <x:c r="Q1432" s="3"/>
    </x:row>
    <x:row r="1433" ht="21" customHeight="1">
      <x:c r="A1433" s="3" t="str">
        <x:v>ORD-101246</x:v>
      </x:c>
      <x:c r="B1433" s="5" t="n">
        <x:v>45666</x:v>
      </x:c>
      <x:c r="C1433" s="3" t="str">
        <x:v>CUST-00344</x:v>
      </x:c>
      <x:c r="D1433" s="3" t="str">
        <x:v>East</x:v>
      </x:c>
      <x:c r="E1433" s="3" t="str">
        <x:v>Sports</x:v>
      </x:c>
      <x:c r="F1433" s="3" t="str">
        <x:v>Fitness</x:v>
      </x:c>
      <x:c r="G1433" s="3" t="str">
        <x:v>ProYoga Mat</x:v>
      </x:c>
      <x:c r="H1433" s="3" t="n">
        <x:v>2</x:v>
      </x:c>
      <x:c r="I1433" s="7" t="n">
        <x:v>1263.14</x:v>
      </x:c>
      <x:c r="J1433" s="9" t="n">
        <x:v>0</x:v>
      </x:c>
      <x:c r="K1433" s="7" t="n">
        <x:v>2526.28</x:v>
      </x:c>
      <x:c r="L1433" s="7" t="n">
        <x:v>929.53</x:v>
      </x:c>
      <x:c r="M1433" s="3" t="str">
        <x:v>UPI</x:v>
      </x:c>
      <x:c r="N1433" s="3"/>
      <x:c r="O1433" s="3"/>
      <x:c r="P1433" s="3"/>
      <x:c r="Q1433" s="3"/>
    </x:row>
    <x:row r="1434" ht="21" customHeight="1">
      <x:c r="A1434" s="3" t="str">
        <x:v>ORD-100883</x:v>
      </x:c>
      <x:c r="B1434" s="5" t="n">
        <x:v>45667</x:v>
      </x:c>
      <x:c r="C1434" s="3" t="str">
        <x:v>CUST-00413</x:v>
      </x:c>
      <x:c r="D1434" s="3" t="str">
        <x:v>North</x:v>
      </x:c>
      <x:c r="E1434" s="3" t="str">
        <x:v>Home &amp; Kitchen</x:v>
      </x:c>
      <x:c r="F1434" s="3" t="str">
        <x:v>Furniture</x:v>
      </x:c>
      <x:c r="G1434" s="3" t="str">
        <x:v>Oakwood Study Desk</x:v>
      </x:c>
      <x:c r="H1434" s="3" t="n">
        <x:v>1</x:v>
      </x:c>
      <x:c r="I1434" s="7" t="n">
        <x:v>13518.53</x:v>
      </x:c>
      <x:c r="J1434" s="9" t="n">
        <x:v>0.1</x:v>
      </x:c>
      <x:c r="K1434" s="7" t="n">
        <x:v>12166.68</x:v>
      </x:c>
      <x:c r="L1434" s="7" t="n">
        <x:v>3002.97</x:v>
      </x:c>
      <x:c r="M1434" s="3" t="str">
        <x:v>Cash on Delivery</x:v>
      </x:c>
      <x:c r="N1434" s="3"/>
      <x:c r="O1434" s="3"/>
      <x:c r="P1434" s="3"/>
      <x:c r="Q1434" s="3"/>
    </x:row>
    <x:row r="1435" ht="21" customHeight="1">
      <x:c r="A1435" s="3" t="str">
        <x:v>ORD-101411</x:v>
      </x:c>
      <x:c r="B1435" s="5" t="n">
        <x:v>45667</x:v>
      </x:c>
      <x:c r="C1435" s="3" t="str">
        <x:v>CUST-00378</x:v>
      </x:c>
      <x:c r="D1435" s="3" t="str">
        <x:v>South</x:v>
      </x:c>
      <x:c r="E1435" s="3" t="str">
        <x:v>Sports</x:v>
      </x:c>
      <x:c r="F1435" s="3" t="str">
        <x:v>Fitness</x:v>
      </x:c>
      <x:c r="G1435" s="3" t="str">
        <x:v>ProYoga Mat</x:v>
      </x:c>
      <x:c r="H1435" s="3" t="n">
        <x:v>2</x:v>
      </x:c>
      <x:c r="I1435" s="7" t="n">
        <x:v>1260.42</x:v>
      </x:c>
      <x:c r="J1435" s="9" t="n">
        <x:v>0.15</x:v>
      </x:c>
      <x:c r="K1435" s="7" t="n">
        <x:v>2142.71</x:v>
      </x:c>
      <x:c r="L1435" s="7" t="n">
        <x:v>379.22</x:v>
      </x:c>
      <x:c r="M1435" s="3" t="str">
        <x:v>Credit Card</x:v>
      </x:c>
      <x:c r="N1435" s="3"/>
      <x:c r="O1435" s="3"/>
      <x:c r="P1435" s="3"/>
      <x:c r="Q1435" s="3"/>
    </x:row>
    <x:row r="1436" ht="21" customHeight="1">
      <x:c r="A1436" s="3" t="str">
        <x:v>ORD-100090</x:v>
      </x:c>
      <x:c r="B1436" s="5" t="n">
        <x:v>45668</x:v>
      </x:c>
      <x:c r="C1436" s="3" t="str">
        <x:v>CUST-00286</x:v>
      </x:c>
      <x:c r="D1436" s="3" t="str">
        <x:v>North</x:v>
      </x:c>
      <x:c r="E1436" s="3" t="str">
        <x:v>Electronics</x:v>
      </x:c>
      <x:c r="F1436" s="3" t="str">
        <x:v>Laptop</x:v>
      </x:c>
      <x:c r="G1436" s="3" t="str">
        <x:v>AirBook Slim</x:v>
      </x:c>
      <x:c r="H1436" s="3" t="n">
        <x:v>1</x:v>
      </x:c>
      <x:c r="I1436" s="7" t="n">
        <x:v>76729.67</x:v>
      </x:c>
      <x:c r="J1436" s="9" t="n">
        <x:v>0.1</x:v>
      </x:c>
      <x:c r="K1436" s="7" t="n">
        <x:v>69056.7</x:v>
      </x:c>
      <x:c r="L1436" s="7" t="n">
        <x:v>5354.58</x:v>
      </x:c>
      <x:c r="M1436" s="3" t="str">
        <x:v>UPI</x:v>
      </x:c>
      <x:c r="N1436" s="3"/>
      <x:c r="O1436" s="3"/>
      <x:c r="P1436" s="3"/>
      <x:c r="Q1436" s="3"/>
    </x:row>
    <x:row r="1437" ht="21" customHeight="1">
      <x:c r="A1437" s="3" t="str">
        <x:v>ORD-100502</x:v>
      </x:c>
      <x:c r="B1437" s="5" t="n">
        <x:v>45668</x:v>
      </x:c>
      <x:c r="C1437" s="3" t="str">
        <x:v>CUST-00504</x:v>
      </x:c>
      <x:c r="D1437" s="3" t="str">
        <x:v>West</x:v>
      </x:c>
      <x:c r="E1437" s="3" t="str">
        <x:v>Sports</x:v>
      </x:c>
      <x:c r="F1437" s="3" t="str">
        <x:v>Fitness</x:v>
      </x:c>
      <x:c r="G1437" s="3" t="str">
        <x:v>Adjustable Dumbbell 24kg</x:v>
      </x:c>
      <x:c r="H1437" s="3" t="n">
        <x:v>1</x:v>
      </x:c>
      <x:c r="I1437" s="7" t="n">
        <x:v>9687.82</x:v>
      </x:c>
      <x:c r="J1437" s="9" t="n">
        <x:v>0.2</x:v>
      </x:c>
      <x:c r="K1437" s="7" t="n">
        <x:v>7750.26</x:v>
      </x:c>
      <x:c r="L1437" s="7" t="n">
        <x:v>895.69</x:v>
      </x:c>
      <x:c r="M1437" s="3" t="str">
        <x:v>Credit Card</x:v>
      </x:c>
      <x:c r="N1437" s="3"/>
      <x:c r="O1437" s="3"/>
      <x:c r="P1437" s="3"/>
      <x:c r="Q1437" s="3"/>
    </x:row>
    <x:row r="1438" ht="21" customHeight="1">
      <x:c r="A1438" s="3" t="str">
        <x:v>ORD-101204</x:v>
      </x:c>
      <x:c r="B1438" s="5" t="n">
        <x:v>45669</x:v>
      </x:c>
      <x:c r="C1438" s="3" t="str">
        <x:v>CUST-00192</x:v>
      </x:c>
      <x:c r="D1438" s="3" t="str">
        <x:v>West</x:v>
      </x:c>
      <x:c r="E1438" s="3" t="str">
        <x:v>Sports</x:v>
      </x:c>
      <x:c r="F1438" s="3" t="str">
        <x:v>Outdoor</x:v>
      </x:c>
      <x:c r="G1438" s="3" t="str">
        <x:v>AllWeather Tent 4P</x:v>
      </x:c>
      <x:c r="H1438" s="3" t="n">
        <x:v>1</x:v>
      </x:c>
      <x:c r="I1438" s="7" t="n">
        <x:v>11847.41</x:v>
      </x:c>
      <x:c r="J1438" s="9" t="n">
        <x:v>0.25</x:v>
      </x:c>
      <x:c r="K1438" s="7" t="n">
        <x:v>8885.56</x:v>
      </x:c>
      <x:c r="L1438" s="7" t="n">
        <x:v>673.07</x:v>
      </x:c>
      <x:c r="M1438" s="3" t="str">
        <x:v>UPI</x:v>
      </x:c>
      <x:c r="N1438" s="3"/>
      <x:c r="O1438" s="3"/>
      <x:c r="P1438" s="3"/>
      <x:c r="Q1438" s="3"/>
    </x:row>
    <x:row r="1439" ht="21" customHeight="1">
      <x:c r="A1439" s="3" t="str">
        <x:v>ORD-101270</x:v>
      </x:c>
      <x:c r="B1439" s="5" t="n">
        <x:v>45669</x:v>
      </x:c>
      <x:c r="C1439" s="3" t="str">
        <x:v>CUST-00072</x:v>
      </x:c>
      <x:c r="D1439" s="3" t="str">
        <x:v>East</x:v>
      </x:c>
      <x:c r="E1439" s="3" t="str">
        <x:v>Home &amp; Kitchen</x:v>
      </x:c>
      <x:c r="F1439" s="3" t="str">
        <x:v>Appliances</x:v>
      </x:c>
      <x:c r="G1439" s="3" t="str">
        <x:v>ColdBrew Coffee Maker</x:v>
      </x:c>
      <x:c r="H1439" s="3" t="n">
        <x:v>1</x:v>
      </x:c>
      <x:c r="I1439" s="7" t="n">
        <x:v>6412.1</x:v>
      </x:c>
      <x:c r="J1439" s="9" t="n">
        <x:v>0</x:v>
      </x:c>
      <x:c r="K1439" s="7" t="n">
        <x:v>6412.1</x:v>
      </x:c>
      <x:c r="L1439" s="7" t="n">
        <x:v>2123.85</x:v>
      </x:c>
      <x:c r="M1439" s="3" t="str">
        <x:v>UPI</x:v>
      </x:c>
      <x:c r="N1439" s="3"/>
      <x:c r="O1439" s="3"/>
      <x:c r="P1439" s="3"/>
      <x:c r="Q1439" s="3"/>
    </x:row>
    <x:row r="1440" ht="21" customHeight="1">
      <x:c r="A1440" s="3" t="str">
        <x:v>ORD-101854</x:v>
      </x:c>
      <x:c r="B1440" s="5" t="n">
        <x:v>45669</x:v>
      </x:c>
      <x:c r="C1440" s="3" t="str">
        <x:v>CUST-00302</x:v>
      </x:c>
      <x:c r="D1440" s="3" t="str">
        <x:v>North</x:v>
      </x:c>
      <x:c r="E1440" s="3" t="str">
        <x:v>Home &amp; Kitchen</x:v>
      </x:c>
      <x:c r="F1440" s="3" t="str">
        <x:v>Furniture</x:v>
      </x:c>
      <x:c r="G1440" s="3" t="str">
        <x:v>Oakwood Study Desk</x:v>
      </x:c>
      <x:c r="H1440" s="3" t="n">
        <x:v>1</x:v>
      </x:c>
      <x:c r="I1440" s="7" t="n">
        <x:v>13455.37</x:v>
      </x:c>
      <x:c r="J1440" s="9" t="n">
        <x:v>0.1</x:v>
      </x:c>
      <x:c r="K1440" s="7" t="n">
        <x:v>12109.83</x:v>
      </x:c>
      <x:c r="L1440" s="7" t="n">
        <x:v>2408.96</x:v>
      </x:c>
      <x:c r="M1440" s="3" t="str">
        <x:v>Credit Card</x:v>
      </x:c>
      <x:c r="N1440" s="3"/>
      <x:c r="O1440" s="3"/>
      <x:c r="P1440" s="3"/>
      <x:c r="Q1440" s="3"/>
    </x:row>
    <x:row r="1441" ht="21" customHeight="1">
      <x:c r="A1441" s="3" t="str">
        <x:v>ORD-100021</x:v>
      </x:c>
      <x:c r="B1441" s="5" t="n">
        <x:v>45670</x:v>
      </x:c>
      <x:c r="C1441" s="3" t="str">
        <x:v>CUST-00449</x:v>
      </x:c>
      <x:c r="D1441" s="3" t="str">
        <x:v>South</x:v>
      </x:c>
      <x:c r="E1441" s="3" t="str">
        <x:v>Sports</x:v>
      </x:c>
      <x:c r="F1441" s="3" t="str">
        <x:v>Outdoor</x:v>
      </x:c>
      <x:c r="G1441" s="3" t="str">
        <x:v>TrailHike Backpack 60L</x:v>
      </x:c>
      <x:c r="H1441" s="3" t="n">
        <x:v>1</x:v>
      </x:c>
      <x:c r="I1441" s="7" t="n">
        <x:v>3521.04</x:v>
      </x:c>
      <x:c r="J1441" s="9" t="n">
        <x:v>0.1</x:v>
      </x:c>
      <x:c r="K1441" s="7" t="n">
        <x:v>3168.94</x:v>
      </x:c>
      <x:c r="L1441" s="7" t="n">
        <x:v>738.36</x:v>
      </x:c>
      <x:c r="M1441" s="3" t="str">
        <x:v>Credit Card</x:v>
      </x:c>
      <x:c r="N1441" s="3"/>
      <x:c r="O1441" s="3"/>
      <x:c r="P1441" s="3"/>
      <x:c r="Q1441" s="3"/>
    </x:row>
    <x:row r="1442" ht="21" customHeight="1">
      <x:c r="A1442" s="3" t="str">
        <x:v>ORD-101032</x:v>
      </x:c>
      <x:c r="B1442" s="5" t="n">
        <x:v>45670</x:v>
      </x:c>
      <x:c r="C1442" s="3" t="str">
        <x:v>CUST-00139</x:v>
      </x:c>
      <x:c r="D1442" s="3" t="str">
        <x:v>West</x:v>
      </x:c>
      <x:c r="E1442" s="3" t="str">
        <x:v>Sports</x:v>
      </x:c>
      <x:c r="F1442" s="3" t="str">
        <x:v>Fitness</x:v>
      </x:c>
      <x:c r="G1442" s="3" t="str">
        <x:v>Adjustable Dumbbell 24kg</x:v>
      </x:c>
      <x:c r="H1442" s="3" t="n">
        <x:v>4</x:v>
      </x:c>
      <x:c r="I1442" s="7" t="n">
        <x:v>10445.56</x:v>
      </x:c>
      <x:c r="J1442" s="9" t="n">
        <x:v>0.3</x:v>
      </x:c>
      <x:c r="K1442" s="7" t="n">
        <x:v>29247.57</x:v>
      </x:c>
      <x:c r="L1442" s="7" t="n">
        <x:v>1179.92</x:v>
      </x:c>
      <x:c r="M1442" s="3" t="str">
        <x:v>Cash on Delivery</x:v>
      </x:c>
      <x:c r="N1442" s="3"/>
      <x:c r="O1442" s="3"/>
      <x:c r="P1442" s="3"/>
      <x:c r="Q1442" s="3"/>
    </x:row>
    <x:row r="1443" ht="21" customHeight="1">
      <x:c r="A1443" s="3" t="str">
        <x:v>ORD-101334</x:v>
      </x:c>
      <x:c r="B1443" s="5" t="n">
        <x:v>45670</x:v>
      </x:c>
      <x:c r="C1443" s="3" t="str">
        <x:v>CUST-00415</x:v>
      </x:c>
      <x:c r="D1443" s="3" t="str">
        <x:v>East</x:v>
      </x:c>
      <x:c r="E1443" s="3" t="str">
        <x:v>Beauty</x:v>
      </x:c>
      <x:c r="F1443" s="3" t="str">
        <x:v>Makeup</x:v>
      </x:c>
      <x:c r="G1443" s="3" t="str">
        <x:v>HD Foundation Kit</x:v>
      </x:c>
      <x:c r="H1443" s="3" t="n">
        <x:v>2</x:v>
      </x:c>
      <x:c r="I1443" s="7" t="n">
        <x:v>1452.87</x:v>
      </x:c>
      <x:c r="J1443" s="9" t="n">
        <x:v>0.3</x:v>
      </x:c>
      <x:c r="K1443" s="7" t="n">
        <x:v>2034.02</x:v>
      </x:c>
      <x:c r="L1443" s="7" t="n">
        <x:v>418.02</x:v>
      </x:c>
      <x:c r="M1443" s="3" t="str">
        <x:v>Credit Card</x:v>
      </x:c>
      <x:c r="N1443" s="3"/>
      <x:c r="O1443" s="3"/>
      <x:c r="P1443" s="3"/>
      <x:c r="Q1443" s="3"/>
    </x:row>
    <x:row r="1444" ht="21" customHeight="1">
      <x:c r="A1444" s="3" t="str">
        <x:v>ORD-101916</x:v>
      </x:c>
      <x:c r="B1444" s="5" t="n">
        <x:v>45670</x:v>
      </x:c>
      <x:c r="C1444" s="3" t="str">
        <x:v>CUST-00246</x:v>
      </x:c>
      <x:c r="D1444" s="3" t="str">
        <x:v>South</x:v>
      </x:c>
      <x:c r="E1444" s="3" t="str">
        <x:v>Fashion</x:v>
      </x:c>
      <x:c r="F1444" s="3" t="str">
        <x:v>Women</x:v>
      </x:c>
      <x:c r="G1444" s="3" t="str">
        <x:v>Floral Summer Dress</x:v>
      </x:c>
      <x:c r="H1444" s="3" t="n">
        <x:v>1</x:v>
      </x:c>
      <x:c r="I1444" s="7" t="n">
        <x:v>1721.1</x:v>
      </x:c>
      <x:c r="J1444" s="9" t="n">
        <x:v>0.1</x:v>
      </x:c>
      <x:c r="K1444" s="7" t="n">
        <x:v>1548.99</x:v>
      </x:c>
      <x:c r="L1444" s="7" t="n">
        <x:v>453.58</x:v>
      </x:c>
      <x:c r="M1444" s="3" t="str">
        <x:v>Debit Card</x:v>
      </x:c>
      <x:c r="N1444" s="3"/>
      <x:c r="O1444" s="3"/>
      <x:c r="P1444" s="3"/>
      <x:c r="Q1444" s="3"/>
    </x:row>
    <x:row r="1445" ht="21" customHeight="1">
      <x:c r="A1445" s="3" t="str">
        <x:v>ORD-100134</x:v>
      </x:c>
      <x:c r="B1445" s="5" t="n">
        <x:v>45671</x:v>
      </x:c>
      <x:c r="C1445" s="3" t="str">
        <x:v>CUST-00109</x:v>
      </x:c>
      <x:c r="D1445" s="3" t="str">
        <x:v>West</x:v>
      </x:c>
      <x:c r="E1445" s="3" t="str">
        <x:v>Fashion</x:v>
      </x:c>
      <x:c r="F1445" s="3" t="str">
        <x:v>Women</x:v>
      </x:c>
      <x:c r="G1445" s="3" t="str">
        <x:v>Floral Summer Dress</x:v>
      </x:c>
      <x:c r="H1445" s="3" t="n">
        <x:v>1</x:v>
      </x:c>
      <x:c r="I1445" s="7" t="n">
        <x:v>1841.13</x:v>
      </x:c>
      <x:c r="J1445" s="9" t="n">
        <x:v>0.15</x:v>
      </x:c>
      <x:c r="K1445" s="7" t="n">
        <x:v>1564.96</x:v>
      </x:c>
      <x:c r="L1445" s="7" t="n">
        <x:v>432.5</x:v>
      </x:c>
      <x:c r="M1445" s="3" t="str">
        <x:v>UPI</x:v>
      </x:c>
      <x:c r="N1445" s="3"/>
      <x:c r="O1445" s="3"/>
      <x:c r="P1445" s="3"/>
      <x:c r="Q1445" s="3"/>
    </x:row>
    <x:row r="1446" ht="21" customHeight="1">
      <x:c r="A1446" s="3" t="str">
        <x:v>ORD-100920</x:v>
      </x:c>
      <x:c r="B1446" s="5" t="n">
        <x:v>45671</x:v>
      </x:c>
      <x:c r="C1446" s="3" t="str">
        <x:v>CUST-00399</x:v>
      </x:c>
      <x:c r="D1446" s="3" t="str">
        <x:v>South</x:v>
      </x:c>
      <x:c r="E1446" s="3" t="str">
        <x:v>Electronics</x:v>
      </x:c>
      <x:c r="F1446" s="3" t="str">
        <x:v>Audio</x:v>
      </x:c>
      <x:c r="G1446" s="3" t="str">
        <x:v>BassBoom Speaker</x:v>
      </x:c>
      <x:c r="H1446" s="3" t="n">
        <x:v>4</x:v>
      </x:c>
      <x:c r="I1446" s="7" t="n">
        <x:v>8773.97</x:v>
      </x:c>
      <x:c r="J1446" s="9" t="n">
        <x:v>0.05</x:v>
      </x:c>
      <x:c r="K1446" s="7" t="n">
        <x:v>33341.09</x:v>
      </x:c>
      <x:c r="L1446" s="7" t="n">
        <x:v>4269.14</x:v>
      </x:c>
      <x:c r="M1446" s="3" t="str">
        <x:v>UPI</x:v>
      </x:c>
      <x:c r="N1446" s="3"/>
      <x:c r="O1446" s="3"/>
      <x:c r="P1446" s="3"/>
      <x:c r="Q1446" s="3"/>
    </x:row>
    <x:row r="1447" ht="21" customHeight="1">
      <x:c r="A1447" s="3" t="str">
        <x:v>ORD-101742</x:v>
      </x:c>
      <x:c r="B1447" s="5" t="n">
        <x:v>45671</x:v>
      </x:c>
      <x:c r="C1447" s="3" t="str">
        <x:v>CUST-00506</x:v>
      </x:c>
      <x:c r="D1447" s="3" t="str">
        <x:v>South</x:v>
      </x:c>
      <x:c r="E1447" s="3" t="str">
        <x:v>Beauty</x:v>
      </x:c>
      <x:c r="F1447" s="3" t="str">
        <x:v>Skincare</x:v>
      </x:c>
      <x:c r="G1447" s="3" t="str">
        <x:v>HydraBoost Moisturizer</x:v>
      </x:c>
      <x:c r="H1447" s="3" t="n">
        <x:v>3</x:v>
      </x:c>
      <x:c r="I1447" s="7" t="n">
        <x:v>1230.42</x:v>
      </x:c>
      <x:c r="J1447" s="9" t="n">
        <x:v>0.2</x:v>
      </x:c>
      <x:c r="K1447" s="7" t="n">
        <x:v>2953.01</x:v>
      </x:c>
      <x:c r="L1447" s="7" t="n">
        <x:v>920.9</x:v>
      </x:c>
      <x:c r="M1447" s="3" t="str">
        <x:v>Net Banking</x:v>
      </x:c>
      <x:c r="N1447" s="3"/>
      <x:c r="O1447" s="3"/>
      <x:c r="P1447" s="3"/>
      <x:c r="Q1447" s="3"/>
    </x:row>
    <x:row r="1448" ht="21" customHeight="1">
      <x:c r="A1448" s="3" t="str">
        <x:v>ORD-101973</x:v>
      </x:c>
      <x:c r="B1448" s="5" t="n">
        <x:v>45671</x:v>
      </x:c>
      <x:c r="C1448" s="3" t="str">
        <x:v>CUST-00478</x:v>
      </x:c>
      <x:c r="D1448" s="3" t="str">
        <x:v>North</x:v>
      </x:c>
      <x:c r="E1448" s="3" t="str">
        <x:v>Electronics</x:v>
      </x:c>
      <x:c r="F1448" s="3" t="str">
        <x:v>Audio</x:v>
      </x:c>
      <x:c r="G1448" s="3" t="str">
        <x:v>SoundPods Pro</x:v>
      </x:c>
      <x:c r="H1448" s="3" t="n">
        <x:v>2</x:v>
      </x:c>
      <x:c r="I1448" s="7" t="n">
        <x:v>4867.8</x:v>
      </x:c>
      <x:c r="J1448" s="9" t="n">
        <x:v>0.15</x:v>
      </x:c>
      <x:c r="K1448" s="7" t="n">
        <x:v>8275.26</x:v>
      </x:c>
      <x:c r="L1448" s="7" t="n">
        <x:v>-105.88</x:v>
      </x:c>
      <x:c r="M1448" s="3" t="str">
        <x:v>UPI</x:v>
      </x:c>
      <x:c r="N1448" s="3"/>
      <x:c r="O1448" s="3"/>
      <x:c r="P1448" s="3"/>
      <x:c r="Q1448" s="3"/>
    </x:row>
    <x:row r="1449" ht="21" customHeight="1">
      <x:c r="A1449" s="3" t="str">
        <x:v>ORD-100869</x:v>
      </x:c>
      <x:c r="B1449" s="5" t="n">
        <x:v>45672</x:v>
      </x:c>
      <x:c r="C1449" s="3" t="str">
        <x:v>CUST-00170</x:v>
      </x:c>
      <x:c r="D1449" s="3" t="str">
        <x:v>East</x:v>
      </x:c>
      <x:c r="E1449" s="3" t="str">
        <x:v>Sports</x:v>
      </x:c>
      <x:c r="F1449" s="3" t="str">
        <x:v>Outdoor</x:v>
      </x:c>
      <x:c r="G1449" s="3" t="str">
        <x:v>TrailHike Backpack 60L</x:v>
      </x:c>
      <x:c r="H1449" s="3" t="n">
        <x:v>1</x:v>
      </x:c>
      <x:c r="I1449" s="7" t="n">
        <x:v>3427</x:v>
      </x:c>
      <x:c r="J1449" s="9" t="n">
        <x:v>0.05</x:v>
      </x:c>
      <x:c r="K1449" s="7" t="n">
        <x:v>3255.65</x:v>
      </x:c>
      <x:c r="L1449" s="7" t="n">
        <x:v>1159.85</x:v>
      </x:c>
      <x:c r="M1449" s="3" t="str">
        <x:v>Credit Card</x:v>
      </x:c>
      <x:c r="N1449" s="3"/>
      <x:c r="O1449" s="3"/>
      <x:c r="P1449" s="3"/>
      <x:c r="Q1449" s="3"/>
    </x:row>
    <x:row r="1450" ht="21" customHeight="1">
      <x:c r="A1450" s="3" t="str">
        <x:v>ORD-100256</x:v>
      </x:c>
      <x:c r="B1450" s="5" t="n">
        <x:v>45673</x:v>
      </x:c>
      <x:c r="C1450" s="3" t="str">
        <x:v>CUST-00311</x:v>
      </x:c>
      <x:c r="D1450" s="3" t="str">
        <x:v>East</x:v>
      </x:c>
      <x:c r="E1450" s="3" t="str">
        <x:v>Sports</x:v>
      </x:c>
      <x:c r="F1450" s="3" t="str">
        <x:v>Fitness</x:v>
      </x:c>
      <x:c r="G1450" s="3" t="str">
        <x:v>Adjustable Dumbbell 24kg</x:v>
      </x:c>
      <x:c r="H1450" s="3" t="n">
        <x:v>1</x:v>
      </x:c>
      <x:c r="I1450" s="7" t="n">
        <x:v>9830.51</x:v>
      </x:c>
      <x:c r="J1450" s="9" t="n">
        <x:v>0.2</x:v>
      </x:c>
      <x:c r="K1450" s="7" t="n">
        <x:v>7864.41</x:v>
      </x:c>
      <x:c r="L1450" s="7" t="n">
        <x:v>1014.56</x:v>
      </x:c>
      <x:c r="M1450" s="3" t="str">
        <x:v>Net Banking</x:v>
      </x:c>
      <x:c r="N1450" s="3"/>
      <x:c r="O1450" s="3"/>
      <x:c r="P1450" s="3"/>
      <x:c r="Q1450" s="3"/>
    </x:row>
    <x:row r="1451" ht="21" customHeight="1">
      <x:c r="A1451" s="3" t="str">
        <x:v>ORD-100260</x:v>
      </x:c>
      <x:c r="B1451" s="5" t="n">
        <x:v>45673</x:v>
      </x:c>
      <x:c r="C1451" s="3" t="str">
        <x:v>CUST-00457</x:v>
      </x:c>
      <x:c r="D1451" s="3" t="str">
        <x:v>North</x:v>
      </x:c>
      <x:c r="E1451" s="3" t="str">
        <x:v>Electronics</x:v>
      </x:c>
      <x:c r="F1451" s="3" t="str">
        <x:v>Laptop</x:v>
      </x:c>
      <x:c r="G1451" s="3" t="str">
        <x:v>ThinkPro 14</x:v>
      </x:c>
      <x:c r="H1451" s="3" t="n">
        <x:v>1</x:v>
      </x:c>
      <x:c r="I1451" s="7" t="n">
        <x:v>55027.19</x:v>
      </x:c>
      <x:c r="J1451" s="9" t="n">
        <x:v>0.2</x:v>
      </x:c>
      <x:c r="K1451" s="7" t="n">
        <x:v>44021.75</x:v>
      </x:c>
      <x:c r="L1451" s="7" t="n">
        <x:v>-1724.21</x:v>
      </x:c>
      <x:c r="M1451" s="3" t="str">
        <x:v>UPI</x:v>
      </x:c>
      <x:c r="N1451" s="3"/>
      <x:c r="O1451" s="3"/>
      <x:c r="P1451" s="3"/>
      <x:c r="Q1451" s="3"/>
    </x:row>
    <x:row r="1452" ht="21" customHeight="1">
      <x:c r="A1452" s="3" t="str">
        <x:v>ORD-101366</x:v>
      </x:c>
      <x:c r="B1452" s="5" t="n">
        <x:v>45673</x:v>
      </x:c>
      <x:c r="C1452" s="3" t="str">
        <x:v>CUST-00047</x:v>
      </x:c>
      <x:c r="D1452" s="3" t="str">
        <x:v>South</x:v>
      </x:c>
      <x:c r="E1452" s="3" t="str">
        <x:v>Sports</x:v>
      </x:c>
      <x:c r="F1452" s="3" t="str">
        <x:v>Fitness</x:v>
      </x:c>
      <x:c r="G1452" s="3" t="str">
        <x:v>Adjustable Dumbbell 24kg</x:v>
      </x:c>
      <x:c r="H1452" s="3" t="n">
        <x:v>2</x:v>
      </x:c>
      <x:c r="I1452" s="7" t="n">
        <x:v>10415.21</x:v>
      </x:c>
      <x:c r="J1452" s="9" t="n">
        <x:v>0.05</x:v>
      </x:c>
      <x:c r="K1452" s="7" t="n">
        <x:v>19788.9</x:v>
      </x:c>
      <x:c r="L1452" s="7" t="n">
        <x:v>5756.96</x:v>
      </x:c>
      <x:c r="M1452" s="3" t="str">
        <x:v>Credit Card</x:v>
      </x:c>
      <x:c r="N1452" s="3"/>
      <x:c r="O1452" s="3"/>
      <x:c r="P1452" s="3"/>
      <x:c r="Q1452" s="3"/>
    </x:row>
    <x:row r="1453" ht="21" customHeight="1">
      <x:c r="A1453" s="3" t="str">
        <x:v>ORD-100395</x:v>
      </x:c>
      <x:c r="B1453" s="5" t="n">
        <x:v>45674</x:v>
      </x:c>
      <x:c r="C1453" s="3" t="str">
        <x:v>CUST-00397</x:v>
      </x:c>
      <x:c r="D1453" s="3" t="str">
        <x:v>East</x:v>
      </x:c>
      <x:c r="E1453" s="3" t="str">
        <x:v>Beauty</x:v>
      </x:c>
      <x:c r="F1453" s="3" t="str">
        <x:v>Makeup</x:v>
      </x:c>
      <x:c r="G1453" s="3" t="str">
        <x:v>Matte Lipstick Set</x:v>
      </x:c>
      <x:c r="H1453" s="3" t="n">
        <x:v>2</x:v>
      </x:c>
      <x:c r="I1453" s="7" t="n">
        <x:v>951.66</x:v>
      </x:c>
      <x:c r="J1453" s="9" t="n">
        <x:v>0</x:v>
      </x:c>
      <x:c r="K1453" s="7" t="n">
        <x:v>1903.32</x:v>
      </x:c>
      <x:c r="L1453" s="7" t="n">
        <x:v>982.79</x:v>
      </x:c>
      <x:c r="M1453" s="3" t="str">
        <x:v>UPI</x:v>
      </x:c>
      <x:c r="N1453" s="3"/>
      <x:c r="O1453" s="3"/>
      <x:c r="P1453" s="3"/>
      <x:c r="Q1453" s="3"/>
    </x:row>
    <x:row r="1454" ht="21" customHeight="1">
      <x:c r="A1454" s="3" t="str">
        <x:v>ORD-100948</x:v>
      </x:c>
      <x:c r="B1454" s="5" t="n">
        <x:v>45674</x:v>
      </x:c>
      <x:c r="C1454" s="3" t="str">
        <x:v>CUST-00448</x:v>
      </x:c>
      <x:c r="D1454" s="3" t="str">
        <x:v>North</x:v>
      </x:c>
      <x:c r="E1454" s="3" t="str">
        <x:v>Fashion</x:v>
      </x:c>
      <x:c r="F1454" s="3" t="str">
        <x:v>Men</x:v>
      </x:c>
      <x:c r="G1454" s="3" t="str">
        <x:v>Oxford Casual Shirt</x:v>
      </x:c>
      <x:c r="H1454" s="3" t="n">
        <x:v>1</x:v>
      </x:c>
      <x:c r="I1454" s="7" t="n">
        <x:v>1337.72</x:v>
      </x:c>
      <x:c r="J1454" s="9" t="n">
        <x:v>0.15</x:v>
      </x:c>
      <x:c r="K1454" s="7" t="n">
        <x:v>1137.06</x:v>
      </x:c>
      <x:c r="L1454" s="7" t="n">
        <x:v>311.59</x:v>
      </x:c>
      <x:c r="M1454" s="3" t="str">
        <x:v>Cash on Delivery</x:v>
      </x:c>
      <x:c r="N1454" s="3"/>
      <x:c r="O1454" s="3"/>
      <x:c r="P1454" s="3"/>
      <x:c r="Q1454" s="3"/>
    </x:row>
    <x:row r="1455" ht="21" customHeight="1">
      <x:c r="A1455" s="3" t="str">
        <x:v>ORD-101092</x:v>
      </x:c>
      <x:c r="B1455" s="5" t="n">
        <x:v>45674</x:v>
      </x:c>
      <x:c r="C1455" s="3" t="str">
        <x:v>CUST-00490</x:v>
      </x:c>
      <x:c r="D1455" s="3" t="str">
        <x:v>East</x:v>
      </x:c>
      <x:c r="E1455" s="3" t="str">
        <x:v>Sports</x:v>
      </x:c>
      <x:c r="F1455" s="3" t="str">
        <x:v>Outdoor</x:v>
      </x:c>
      <x:c r="G1455" s="3" t="str">
        <x:v>TrailHike Backpack 60L</x:v>
      </x:c>
      <x:c r="H1455" s="3" t="n">
        <x:v>4</x:v>
      </x:c>
      <x:c r="I1455" s="7" t="n">
        <x:v>3366.39</x:v>
      </x:c>
      <x:c r="J1455" s="9" t="n">
        <x:v>0.2</x:v>
      </x:c>
      <x:c r="K1455" s="7" t="n">
        <x:v>10772.45</x:v>
      </x:c>
      <x:c r="L1455" s="7" t="n">
        <x:v>1324.58</x:v>
      </x:c>
      <x:c r="M1455" s="3" t="str">
        <x:v>Credit Card</x:v>
      </x:c>
      <x:c r="N1455" s="3"/>
      <x:c r="O1455" s="3"/>
      <x:c r="P1455" s="3"/>
      <x:c r="Q1455" s="3"/>
    </x:row>
    <x:row r="1456" ht="21" customHeight="1">
      <x:c r="A1456" s="3" t="str">
        <x:v>ORD-101475</x:v>
      </x:c>
      <x:c r="B1456" s="5" t="n">
        <x:v>45674</x:v>
      </x:c>
      <x:c r="C1456" s="3" t="str">
        <x:v>CUST-00424</x:v>
      </x:c>
      <x:c r="D1456" s="3" t="str">
        <x:v>North</x:v>
      </x:c>
      <x:c r="E1456" s="3" t="str">
        <x:v>Sports</x:v>
      </x:c>
      <x:c r="F1456" s="3" t="str">
        <x:v>Fitness</x:v>
      </x:c>
      <x:c r="G1456" s="3" t="str">
        <x:v>ProYoga Mat</x:v>
      </x:c>
      <x:c r="H1456" s="3" t="n">
        <x:v>1</x:v>
      </x:c>
      <x:c r="I1456" s="7" t="n">
        <x:v>1358.44</x:v>
      </x:c>
      <x:c r="J1456" s="9" t="n">
        <x:v>0.15</x:v>
      </x:c>
      <x:c r="K1456" s="7" t="n">
        <x:v>1154.67</x:v>
      </x:c>
      <x:c r="L1456" s="7" t="n">
        <x:v>254.55</x:v>
      </x:c>
      <x:c r="M1456" s="3" t="str">
        <x:v>UPI</x:v>
      </x:c>
      <x:c r="N1456" s="3"/>
      <x:c r="O1456" s="3"/>
      <x:c r="P1456" s="3"/>
      <x:c r="Q1456" s="3"/>
    </x:row>
    <x:row r="1457" ht="21" customHeight="1">
      <x:c r="A1457" s="3" t="str">
        <x:v>ORD-101566</x:v>
      </x:c>
      <x:c r="B1457" s="5" t="n">
        <x:v>45674</x:v>
      </x:c>
      <x:c r="C1457" s="3" t="str">
        <x:v>CUST-00508</x:v>
      </x:c>
      <x:c r="D1457" s="3" t="str">
        <x:v>South</x:v>
      </x:c>
      <x:c r="E1457" s="3" t="str">
        <x:v>Electronics</x:v>
      </x:c>
      <x:c r="F1457" s="3" t="str">
        <x:v>Audio</x:v>
      </x:c>
      <x:c r="G1457" s="3" t="str">
        <x:v>BassBoom Speaker</x:v>
      </x:c>
      <x:c r="H1457" s="3" t="n">
        <x:v>1</x:v>
      </x:c>
      <x:c r="I1457" s="7" t="n">
        <x:v>8779.21</x:v>
      </x:c>
      <x:c r="J1457" s="9" t="n">
        <x:v>0.05</x:v>
      </x:c>
      <x:c r="K1457" s="7" t="n">
        <x:v>8340.25</x:v>
      </x:c>
      <x:c r="L1457" s="7" t="n">
        <x:v>1310.79</x:v>
      </x:c>
      <x:c r="M1457" s="3" t="str">
        <x:v>UPI</x:v>
      </x:c>
      <x:c r="N1457" s="3"/>
      <x:c r="O1457" s="3"/>
      <x:c r="P1457" s="3"/>
      <x:c r="Q1457" s="3"/>
    </x:row>
    <x:row r="1458" ht="21" customHeight="1">
      <x:c r="A1458" s="3" t="str">
        <x:v>ORD-101820</x:v>
      </x:c>
      <x:c r="B1458" s="5" t="n">
        <x:v>45674</x:v>
      </x:c>
      <x:c r="C1458" s="3" t="str">
        <x:v>CUST-00062</x:v>
      </x:c>
      <x:c r="D1458" s="3" t="str">
        <x:v>South</x:v>
      </x:c>
      <x:c r="E1458" s="3" t="str">
        <x:v>Electronics</x:v>
      </x:c>
      <x:c r="F1458" s="3" t="str">
        <x:v>Laptop</x:v>
      </x:c>
      <x:c r="G1458" s="3" t="str">
        <x:v>ThinkPro 14</x:v>
      </x:c>
      <x:c r="H1458" s="3" t="n">
        <x:v>2</x:v>
      </x:c>
      <x:c r="I1458" s="7" t="n">
        <x:v>54673.47</x:v>
      </x:c>
      <x:c r="J1458" s="9" t="n">
        <x:v>0</x:v>
      </x:c>
      <x:c r="K1458" s="7" t="n">
        <x:v>109346.94</x:v>
      </x:c>
      <x:c r="L1458" s="7" t="n">
        <x:v>21000.14</x:v>
      </x:c>
      <x:c r="M1458" s="3" t="str">
        <x:v>Credit Card</x:v>
      </x:c>
      <x:c r="N1458" s="3"/>
      <x:c r="O1458" s="3"/>
      <x:c r="P1458" s="3"/>
      <x:c r="Q1458" s="3"/>
    </x:row>
    <x:row r="1459" ht="21" customHeight="1">
      <x:c r="A1459" s="3" t="str">
        <x:v>ORD-100613</x:v>
      </x:c>
      <x:c r="B1459" s="5" t="n">
        <x:v>45675</x:v>
      </x:c>
      <x:c r="C1459" s="3" t="str">
        <x:v>CUST-00087</x:v>
      </x:c>
      <x:c r="D1459" s="3" t="str">
        <x:v>South</x:v>
      </x:c>
      <x:c r="E1459" s="3" t="str">
        <x:v>Beauty</x:v>
      </x:c>
      <x:c r="F1459" s="3" t="str">
        <x:v>Skincare</x:v>
      </x:c>
      <x:c r="G1459" s="3" t="str">
        <x:v>Vitamin C Serum</x:v>
      </x:c>
      <x:c r="H1459" s="3" t="n">
        <x:v>1</x:v>
      </x:c>
      <x:c r="I1459" s="7" t="n">
        <x:v>931.65</x:v>
      </x:c>
      <x:c r="J1459" s="9" t="n">
        <x:v>0</x:v>
      </x:c>
      <x:c r="K1459" s="7" t="n">
        <x:v>931.65</x:v>
      </x:c>
      <x:c r="L1459" s="7" t="n">
        <x:v>504.65</x:v>
      </x:c>
      <x:c r="M1459" s="3" t="str">
        <x:v>Net Banking</x:v>
      </x:c>
      <x:c r="N1459" s="3"/>
      <x:c r="O1459" s="3"/>
      <x:c r="P1459" s="3"/>
      <x:c r="Q1459" s="3"/>
    </x:row>
    <x:row r="1460" ht="21" customHeight="1">
      <x:c r="A1460" s="3" t="str">
        <x:v>ORD-100646</x:v>
      </x:c>
      <x:c r="B1460" s="5" t="n">
        <x:v>45675</x:v>
      </x:c>
      <x:c r="C1460" s="3" t="str">
        <x:v>CUST-00426</x:v>
      </x:c>
      <x:c r="D1460" s="3" t="str">
        <x:v>West</x:v>
      </x:c>
      <x:c r="E1460" s="3" t="str">
        <x:v>Electronics</x:v>
      </x:c>
      <x:c r="F1460" s="3" t="str">
        <x:v>Laptop</x:v>
      </x:c>
      <x:c r="G1460" s="3" t="str">
        <x:v>ThinkPro 14</x:v>
      </x:c>
      <x:c r="H1460" s="3" t="n">
        <x:v>2</x:v>
      </x:c>
      <x:c r="I1460" s="7" t="n">
        <x:v>57287.68</x:v>
      </x:c>
      <x:c r="J1460" s="9" t="n">
        <x:v>0</x:v>
      </x:c>
      <x:c r="K1460" s="7" t="n">
        <x:v>114575.36</x:v>
      </x:c>
      <x:c r="L1460" s="7" t="n">
        <x:v>16078.87</x:v>
      </x:c>
      <x:c r="M1460" s="3" t="str">
        <x:v>Debit Card</x:v>
      </x:c>
      <x:c r="N1460" s="3"/>
      <x:c r="O1460" s="3"/>
      <x:c r="P1460" s="3"/>
      <x:c r="Q1460" s="3"/>
    </x:row>
    <x:row r="1461" ht="21" customHeight="1">
      <x:c r="A1461" s="3" t="str">
        <x:v>ORD-100833</x:v>
      </x:c>
      <x:c r="B1461" s="5" t="n">
        <x:v>45675</x:v>
      </x:c>
      <x:c r="C1461" s="3" t="str">
        <x:v>CUST-00302</x:v>
      </x:c>
      <x:c r="D1461" s="3" t="str">
        <x:v>East</x:v>
      </x:c>
      <x:c r="E1461" s="3" t="str">
        <x:v>Beauty</x:v>
      </x:c>
      <x:c r="F1461" s="3" t="str">
        <x:v>Makeup</x:v>
      </x:c>
      <x:c r="G1461" s="3" t="str">
        <x:v>HD Foundation Kit</x:v>
      </x:c>
      <x:c r="H1461" s="3" t="n">
        <x:v>1</x:v>
      </x:c>
      <x:c r="I1461" s="7" t="n">
        <x:v>1466.48</x:v>
      </x:c>
      <x:c r="J1461" s="9" t="n">
        <x:v>0.05</x:v>
      </x:c>
      <x:c r="K1461" s="7" t="n">
        <x:v>1393.16</x:v>
      </x:c>
      <x:c r="L1461" s="7" t="n">
        <x:v>633.16</x:v>
      </x:c>
      <x:c r="M1461" s="3" t="str">
        <x:v>UPI</x:v>
      </x:c>
      <x:c r="N1461" s="3"/>
      <x:c r="O1461" s="3"/>
      <x:c r="P1461" s="3"/>
      <x:c r="Q1461" s="3"/>
    </x:row>
    <x:row r="1462" ht="21" customHeight="1">
      <x:c r="A1462" s="3" t="str">
        <x:v>ORD-100886</x:v>
      </x:c>
      <x:c r="B1462" s="5" t="n">
        <x:v>45675</x:v>
      </x:c>
      <x:c r="C1462" s="3" t="str">
        <x:v>CUST-00253</x:v>
      </x:c>
      <x:c r="D1462" s="3" t="str">
        <x:v>East</x:v>
      </x:c>
      <x:c r="E1462" s="3" t="str">
        <x:v>Fashion</x:v>
      </x:c>
      <x:c r="F1462" s="3" t="str">
        <x:v>Footwear</x:v>
      </x:c>
      <x:c r="G1462" s="3" t="str">
        <x:v>RunFlex Sneakers</x:v>
      </x:c>
      <x:c r="H1462" s="3" t="n">
        <x:v>1</x:v>
      </x:c>
      <x:c r="I1462" s="7" t="n">
        <x:v>3138.68</x:v>
      </x:c>
      <x:c r="J1462" s="9" t="n">
        <x:v>0.1</x:v>
      </x:c>
      <x:c r="K1462" s="7" t="n">
        <x:v>2824.81</x:v>
      </x:c>
      <x:c r="L1462" s="7" t="n">
        <x:v>921.84</x:v>
      </x:c>
      <x:c r="M1462" s="3" t="str">
        <x:v>UPI</x:v>
      </x:c>
      <x:c r="N1462" s="3"/>
      <x:c r="O1462" s="3"/>
      <x:c r="P1462" s="3"/>
      <x:c r="Q1462" s="3"/>
    </x:row>
    <x:row r="1463" ht="21" customHeight="1">
      <x:c r="A1463" s="3" t="str">
        <x:v>ORD-100896</x:v>
      </x:c>
      <x:c r="B1463" s="5" t="n">
        <x:v>45675</x:v>
      </x:c>
      <x:c r="C1463" s="3" t="str">
        <x:v>CUST-00164</x:v>
      </x:c>
      <x:c r="D1463" s="3" t="str">
        <x:v>North</x:v>
      </x:c>
      <x:c r="E1463" s="3" t="str">
        <x:v>Fashion</x:v>
      </x:c>
      <x:c r="F1463" s="3" t="str">
        <x:v>Men</x:v>
      </x:c>
      <x:c r="G1463" s="3" t="str">
        <x:v>SlimFit Denim Jeans</x:v>
      </x:c>
      <x:c r="H1463" s="3" t="n">
        <x:v>1</x:v>
      </x:c>
      <x:c r="I1463" s="7" t="n">
        <x:v>1946.26</x:v>
      </x:c>
      <x:c r="J1463" s="9" t="n">
        <x:v>0</x:v>
      </x:c>
      <x:c r="K1463" s="7" t="n">
        <x:v>1946.26</x:v>
      </x:c>
      <x:c r="L1463" s="7" t="n">
        <x:v>771.24</x:v>
      </x:c>
      <x:c r="M1463" s="3" t="str">
        <x:v>UPI</x:v>
      </x:c>
      <x:c r="N1463" s="3"/>
      <x:c r="O1463" s="3"/>
      <x:c r="P1463" s="3"/>
      <x:c r="Q1463" s="3"/>
    </x:row>
    <x:row r="1464" ht="21" customHeight="1">
      <x:c r="A1464" s="3" t="str">
        <x:v>ORD-101994</x:v>
      </x:c>
      <x:c r="B1464" s="5" t="n">
        <x:v>45675</x:v>
      </x:c>
      <x:c r="C1464" s="3" t="str">
        <x:v>CUST-00524</x:v>
      </x:c>
      <x:c r="D1464" s="3" t="str">
        <x:v>North</x:v>
      </x:c>
      <x:c r="E1464" s="3" t="str">
        <x:v>Electronics</x:v>
      </x:c>
      <x:c r="F1464" s="3" t="str">
        <x:v>Laptop</x:v>
      </x:c>
      <x:c r="G1464" s="3" t="str">
        <x:v>ThinkPro 14</x:v>
      </x:c>
      <x:c r="H1464" s="3" t="n">
        <x:v>1</x:v>
      </x:c>
      <x:c r="I1464" s="7" t="n">
        <x:v>56534.22</x:v>
      </x:c>
      <x:c r="J1464" s="9" t="n">
        <x:v>0.05</x:v>
      </x:c>
      <x:c r="K1464" s="7" t="n">
        <x:v>53707.51</x:v>
      </x:c>
      <x:c r="L1464" s="7" t="n">
        <x:v>7370.59</x:v>
      </x:c>
      <x:c r="M1464" s="3" t="str">
        <x:v>Credit Card</x:v>
      </x:c>
      <x:c r="N1464" s="3"/>
      <x:c r="O1464" s="3"/>
      <x:c r="P1464" s="3"/>
      <x:c r="Q1464" s="3"/>
    </x:row>
    <x:row r="1465" ht="21" customHeight="1">
      <x:c r="A1465" s="3" t="str">
        <x:v>ORD-100645</x:v>
      </x:c>
      <x:c r="B1465" s="5" t="n">
        <x:v>45676</x:v>
      </x:c>
      <x:c r="C1465" s="3" t="str">
        <x:v>CUST-00493</x:v>
      </x:c>
      <x:c r="D1465" s="3" t="str">
        <x:v>South</x:v>
      </x:c>
      <x:c r="E1465" s="3" t="str">
        <x:v>Sports</x:v>
      </x:c>
      <x:c r="F1465" s="3" t="str">
        <x:v>Fitness</x:v>
      </x:c>
      <x:c r="G1465" s="3" t="str">
        <x:v>Adjustable Dumbbell 24kg</x:v>
      </x:c>
      <x:c r="H1465" s="3" t="n">
        <x:v>2</x:v>
      </x:c>
      <x:c r="I1465" s="7" t="n">
        <x:v>10225.63</x:v>
      </x:c>
      <x:c r="J1465" s="9" t="n">
        <x:v>0</x:v>
      </x:c>
      <x:c r="K1465" s="7" t="n">
        <x:v>20451.26</x:v>
      </x:c>
      <x:c r="L1465" s="7" t="n">
        <x:v>7374.38</x:v>
      </x:c>
      <x:c r="M1465" s="3" t="str">
        <x:v>Credit Card</x:v>
      </x:c>
      <x:c r="N1465" s="3"/>
      <x:c r="O1465" s="3"/>
      <x:c r="P1465" s="3"/>
      <x:c r="Q1465" s="3"/>
    </x:row>
    <x:row r="1466" ht="21" customHeight="1">
      <x:c r="A1466" s="3" t="str">
        <x:v>ORD-101036</x:v>
      </x:c>
      <x:c r="B1466" s="5" t="n">
        <x:v>45676</x:v>
      </x:c>
      <x:c r="C1466" s="3" t="str">
        <x:v>CUST-00525</x:v>
      </x:c>
      <x:c r="D1466" s="3" t="str">
        <x:v>East</x:v>
      </x:c>
      <x:c r="E1466" s="3" t="str">
        <x:v>Beauty</x:v>
      </x:c>
      <x:c r="F1466" s="3" t="str">
        <x:v>Skincare</x:v>
      </x:c>
      <x:c r="G1466" s="3" t="str">
        <x:v>Vitamin C Serum</x:v>
      </x:c>
      <x:c r="H1466" s="3" t="n">
        <x:v>1</x:v>
      </x:c>
      <x:c r="I1466" s="7" t="n">
        <x:v>896.31</x:v>
      </x:c>
      <x:c r="J1466" s="9" t="n">
        <x:v>0</x:v>
      </x:c>
      <x:c r="K1466" s="7" t="n">
        <x:v>896.31</x:v>
      </x:c>
      <x:c r="L1466" s="7" t="n">
        <x:v>484.97</x:v>
      </x:c>
      <x:c r="M1466" s="3" t="str">
        <x:v>UPI</x:v>
      </x:c>
      <x:c r="N1466" s="3"/>
      <x:c r="O1466" s="3"/>
      <x:c r="P1466" s="3"/>
      <x:c r="Q1466" s="3"/>
    </x:row>
    <x:row r="1467" ht="21" customHeight="1">
      <x:c r="A1467" s="3" t="str">
        <x:v>ORD-101239</x:v>
      </x:c>
      <x:c r="B1467" s="5" t="n">
        <x:v>45677</x:v>
      </x:c>
      <x:c r="C1467" s="3" t="str">
        <x:v>CUST-00224</x:v>
      </x:c>
      <x:c r="D1467" s="3" t="str">
        <x:v>South</x:v>
      </x:c>
      <x:c r="E1467" s="3" t="str">
        <x:v>Fashion</x:v>
      </x:c>
      <x:c r="F1467" s="3" t="str">
        <x:v>Women</x:v>
      </x:c>
      <x:c r="G1467" s="3" t="str">
        <x:v>Floral Summer Dress</x:v>
      </x:c>
      <x:c r="H1467" s="3" t="n">
        <x:v>3</x:v>
      </x:c>
      <x:c r="I1467" s="7" t="n">
        <x:v>1766.21</x:v>
      </x:c>
      <x:c r="J1467" s="9" t="n">
        <x:v>0.3</x:v>
      </x:c>
      <x:c r="K1467" s="7" t="n">
        <x:v>3709.04</x:v>
      </x:c>
      <x:c r="L1467" s="7" t="n">
        <x:v>268.6</x:v>
      </x:c>
      <x:c r="M1467" s="3" t="str">
        <x:v>Cash on Delivery</x:v>
      </x:c>
      <x:c r="N1467" s="3"/>
      <x:c r="O1467" s="3"/>
      <x:c r="P1467" s="3"/>
      <x:c r="Q1467" s="3"/>
    </x:row>
    <x:row r="1468" ht="21" customHeight="1">
      <x:c r="A1468" s="3" t="str">
        <x:v>ORD-100512</x:v>
      </x:c>
      <x:c r="B1468" s="5" t="n">
        <x:v>45678</x:v>
      </x:c>
      <x:c r="C1468" s="3" t="str">
        <x:v>CUST-00331</x:v>
      </x:c>
      <x:c r="D1468" s="3" t="str">
        <x:v>North</x:v>
      </x:c>
      <x:c r="E1468" s="3" t="str">
        <x:v>Beauty</x:v>
      </x:c>
      <x:c r="F1468" s="3" t="str">
        <x:v>Makeup</x:v>
      </x:c>
      <x:c r="G1468" s="3" t="str">
        <x:v>Matte Lipstick Set</x:v>
      </x:c>
      <x:c r="H1468" s="3" t="n">
        <x:v>1</x:v>
      </x:c>
      <x:c r="I1468" s="7" t="n">
        <x:v>1005.8</x:v>
      </x:c>
      <x:c r="J1468" s="9" t="n">
        <x:v>0.2</x:v>
      </x:c>
      <x:c r="K1468" s="7" t="n">
        <x:v>804.64</x:v>
      </x:c>
      <x:c r="L1468" s="7" t="n">
        <x:v>283.32</x:v>
      </x:c>
      <x:c r="M1468" s="3" t="str">
        <x:v>Credit Card</x:v>
      </x:c>
      <x:c r="N1468" s="3"/>
      <x:c r="O1468" s="3"/>
      <x:c r="P1468" s="3"/>
      <x:c r="Q1468" s="3"/>
    </x:row>
    <x:row r="1469" ht="21" customHeight="1">
      <x:c r="A1469" s="3" t="str">
        <x:v>ORD-101005</x:v>
      </x:c>
      <x:c r="B1469" s="5" t="n">
        <x:v>45678</x:v>
      </x:c>
      <x:c r="C1469" s="3" t="str">
        <x:v>CUST-00025</x:v>
      </x:c>
      <x:c r="D1469" s="3" t="str">
        <x:v>East</x:v>
      </x:c>
      <x:c r="E1469" s="3" t="str">
        <x:v>Beauty</x:v>
      </x:c>
      <x:c r="F1469" s="3" t="str">
        <x:v>Makeup</x:v>
      </x:c>
      <x:c r="G1469" s="3" t="str">
        <x:v>Matte Lipstick Set</x:v>
      </x:c>
      <x:c r="H1469" s="3" t="n">
        <x:v>1</x:v>
      </x:c>
      <x:c r="I1469" s="7" t="n">
        <x:v>1025.33</x:v>
      </x:c>
      <x:c r="J1469" s="9" t="n">
        <x:v>0</x:v>
      </x:c>
      <x:c r="K1469" s="7" t="n">
        <x:v>1025.33</x:v>
      </x:c>
      <x:c r="L1469" s="7" t="n">
        <x:v>546.95</x:v>
      </x:c>
      <x:c r="M1469" s="3" t="str">
        <x:v>UPI</x:v>
      </x:c>
      <x:c r="N1469" s="3"/>
      <x:c r="O1469" s="3"/>
      <x:c r="P1469" s="3"/>
      <x:c r="Q1469" s="3"/>
    </x:row>
    <x:row r="1470" ht="21" customHeight="1">
      <x:c r="A1470" s="3" t="str">
        <x:v>ORD-101925</x:v>
      </x:c>
      <x:c r="B1470" s="5" t="n">
        <x:v>45678</x:v>
      </x:c>
      <x:c r="C1470" s="3" t="str">
        <x:v>CUST-00241</x:v>
      </x:c>
      <x:c r="D1470" s="3" t="str">
        <x:v>East</x:v>
      </x:c>
      <x:c r="E1470" s="3" t="str">
        <x:v>Beauty</x:v>
      </x:c>
      <x:c r="F1470" s="3" t="str">
        <x:v>Makeup</x:v>
      </x:c>
      <x:c r="G1470" s="3" t="str">
        <x:v>HD Foundation Kit</x:v>
      </x:c>
      <x:c r="H1470" s="3" t="n">
        <x:v>3</x:v>
      </x:c>
      <x:c r="I1470" s="7" t="n">
        <x:v>1492.29</x:v>
      </x:c>
      <x:c r="J1470" s="9" t="n">
        <x:v>0.05</x:v>
      </x:c>
      <x:c r="K1470" s="7" t="n">
        <x:v>4253.03</x:v>
      </x:c>
      <x:c r="L1470" s="7" t="n">
        <x:v>2025.21</x:v>
      </x:c>
      <x:c r="M1470" s="3" t="str">
        <x:v>Debit Card</x:v>
      </x:c>
      <x:c r="N1470" s="3"/>
      <x:c r="O1470" s="3"/>
      <x:c r="P1470" s="3"/>
      <x:c r="Q1470" s="3"/>
    </x:row>
    <x:row r="1471" ht="21" customHeight="1">
      <x:c r="A1471" s="3" t="str">
        <x:v>ORD-100002</x:v>
      </x:c>
      <x:c r="B1471" s="5" t="n">
        <x:v>45679</x:v>
      </x:c>
      <x:c r="C1471" s="3" t="str">
        <x:v>CUST-00301</x:v>
      </x:c>
      <x:c r="D1471" s="3" t="str">
        <x:v>West</x:v>
      </x:c>
      <x:c r="E1471" s="3" t="str">
        <x:v>Home &amp; Kitchen</x:v>
      </x:c>
      <x:c r="F1471" s="3" t="str">
        <x:v>Furniture</x:v>
      </x:c>
      <x:c r="G1471" s="3" t="str">
        <x:v>Oakwood Study Desk</x:v>
      </x:c>
      <x:c r="H1471" s="3" t="n">
        <x:v>4</x:v>
      </x:c>
      <x:c r="I1471" s="7" t="n">
        <x:v>12469.61</x:v>
      </x:c>
      <x:c r="J1471" s="9" t="n">
        <x:v>0.05</x:v>
      </x:c>
      <x:c r="K1471" s="7" t="n">
        <x:v>47384.52</x:v>
      </x:c>
      <x:c r="L1471" s="7" t="n">
        <x:v>11383.53</x:v>
      </x:c>
      <x:c r="M1471" s="3" t="str">
        <x:v>Credit Card</x:v>
      </x:c>
      <x:c r="N1471" s="3"/>
      <x:c r="O1471" s="3"/>
      <x:c r="P1471" s="3"/>
      <x:c r="Q1471" s="3"/>
    </x:row>
    <x:row r="1472" ht="21" customHeight="1">
      <x:c r="A1472" s="3" t="str">
        <x:v>ORD-100684</x:v>
      </x:c>
      <x:c r="B1472" s="5" t="n">
        <x:v>45679</x:v>
      </x:c>
      <x:c r="C1472" s="3" t="str">
        <x:v>CUST-00274</x:v>
      </x:c>
      <x:c r="D1472" s="3" t="str">
        <x:v>North</x:v>
      </x:c>
      <x:c r="E1472" s="3" t="str">
        <x:v>Fashion</x:v>
      </x:c>
      <x:c r="F1472" s="3" t="str">
        <x:v>Women</x:v>
      </x:c>
      <x:c r="G1472" s="3" t="str">
        <x:v>Knit Winter Sweater</x:v>
      </x:c>
      <x:c r="H1472" s="3" t="n">
        <x:v>1</x:v>
      </x:c>
      <x:c r="I1472" s="7" t="n">
        <x:v>2091.14</x:v>
      </x:c>
      <x:c r="J1472" s="9" t="n">
        <x:v>0</x:v>
      </x:c>
      <x:c r="K1472" s="7" t="n">
        <x:v>2091.14</x:v>
      </x:c>
      <x:c r="L1472" s="7" t="n">
        <x:v>880.55</x:v>
      </x:c>
      <x:c r="M1472" s="3" t="str">
        <x:v>UPI</x:v>
      </x:c>
      <x:c r="N1472" s="3"/>
      <x:c r="O1472" s="3"/>
      <x:c r="P1472" s="3"/>
      <x:c r="Q1472" s="3"/>
    </x:row>
    <x:row r="1473" ht="21" customHeight="1">
      <x:c r="A1473" s="3" t="str">
        <x:v>ORD-100857</x:v>
      </x:c>
      <x:c r="B1473" s="5" t="n">
        <x:v>45680</x:v>
      </x:c>
      <x:c r="C1473" s="3" t="str">
        <x:v>CUST-00342</x:v>
      </x:c>
      <x:c r="D1473" s="3" t="str">
        <x:v>North</x:v>
      </x:c>
      <x:c r="E1473" s="3" t="str">
        <x:v>Beauty</x:v>
      </x:c>
      <x:c r="F1473" s="3" t="str">
        <x:v>Skincare</x:v>
      </x:c>
      <x:c r="G1473" s="3" t="str">
        <x:v>Vitamin C Serum</x:v>
      </x:c>
      <x:c r="H1473" s="3" t="n">
        <x:v>4</x:v>
      </x:c>
      <x:c r="I1473" s="7" t="n">
        <x:v>883.69</x:v>
      </x:c>
      <x:c r="J1473" s="9" t="n">
        <x:v>0.1</x:v>
      </x:c>
      <x:c r="K1473" s="7" t="n">
        <x:v>3181.28</x:v>
      </x:c>
      <x:c r="L1473" s="7" t="n">
        <x:v>1410.57</x:v>
      </x:c>
      <x:c r="M1473" s="3" t="str">
        <x:v>Debit Card</x:v>
      </x:c>
      <x:c r="N1473" s="3"/>
      <x:c r="O1473" s="3"/>
      <x:c r="P1473" s="3"/>
      <x:c r="Q1473" s="3"/>
    </x:row>
    <x:row r="1474" ht="21" customHeight="1">
      <x:c r="A1474" s="3" t="str">
        <x:v>ORD-101354</x:v>
      </x:c>
      <x:c r="B1474" s="5" t="n">
        <x:v>45680</x:v>
      </x:c>
      <x:c r="C1474" s="3" t="str">
        <x:v>CUST-00031</x:v>
      </x:c>
      <x:c r="D1474" s="3" t="str">
        <x:v>South</x:v>
      </x:c>
      <x:c r="E1474" s="3" t="str">
        <x:v>Electronics</x:v>
      </x:c>
      <x:c r="F1474" s="3" t="str">
        <x:v>Mobile</x:v>
      </x:c>
      <x:c r="G1474" s="3" t="str">
        <x:v>Galaxy Nova X5</x:v>
      </x:c>
      <x:c r="H1474" s="3" t="n">
        <x:v>1</x:v>
      </x:c>
      <x:c r="I1474" s="7" t="n">
        <x:v>23754.33</x:v>
      </x:c>
      <x:c r="J1474" s="9" t="n">
        <x:v>0</x:v>
      </x:c>
      <x:c r="K1474" s="7" t="n">
        <x:v>23754.33</x:v>
      </x:c>
      <x:c r="L1474" s="7" t="n">
        <x:v>3445.39</x:v>
      </x:c>
      <x:c r="M1474" s="3" t="str">
        <x:v>Credit Card</x:v>
      </x:c>
      <x:c r="N1474" s="3"/>
      <x:c r="O1474" s="3"/>
      <x:c r="P1474" s="3"/>
      <x:c r="Q1474" s="3"/>
    </x:row>
    <x:row r="1475" ht="21" customHeight="1">
      <x:c r="A1475" s="3" t="str">
        <x:v>ORD-101357</x:v>
      </x:c>
      <x:c r="B1475" s="5" t="n">
        <x:v>45680</x:v>
      </x:c>
      <x:c r="C1475" s="3" t="str">
        <x:v>CUST-00077</x:v>
      </x:c>
      <x:c r="D1475" s="3" t="str">
        <x:v>West</x:v>
      </x:c>
      <x:c r="E1475" s="3" t="str">
        <x:v>Electronics</x:v>
      </x:c>
      <x:c r="F1475" s="3" t="str">
        <x:v>Mobile</x:v>
      </x:c>
      <x:c r="G1475" s="3" t="str">
        <x:v>Galaxy Nova X5</x:v>
      </x:c>
      <x:c r="H1475" s="3" t="n">
        <x:v>2</x:v>
      </x:c>
      <x:c r="I1475" s="7" t="n">
        <x:v>24891.61</x:v>
      </x:c>
      <x:c r="J1475" s="9" t="n">
        <x:v>0.4</x:v>
      </x:c>
      <x:c r="K1475" s="7" t="n">
        <x:v>29869.93</x:v>
      </x:c>
      <x:c r="L1475" s="7" t="n">
        <x:v>-7762.37</x:v>
      </x:c>
      <x:c r="M1475" s="3" t="str">
        <x:v>UPI</x:v>
      </x:c>
      <x:c r="N1475" s="3"/>
      <x:c r="O1475" s="3"/>
      <x:c r="P1475" s="3"/>
      <x:c r="Q1475" s="3"/>
    </x:row>
    <x:row r="1476" ht="21" customHeight="1">
      <x:c r="A1476" s="3" t="str">
        <x:v>ORD-101855</x:v>
      </x:c>
      <x:c r="B1476" s="5" t="n">
        <x:v>45680</x:v>
      </x:c>
      <x:c r="C1476" s="3" t="str">
        <x:v>CUST-00592</x:v>
      </x:c>
      <x:c r="D1476" s="3" t="str">
        <x:v>South</x:v>
      </x:c>
      <x:c r="E1476" s="3" t="str">
        <x:v>Sports</x:v>
      </x:c>
      <x:c r="F1476" s="3" t="str">
        <x:v>Fitness</x:v>
      </x:c>
      <x:c r="G1476" s="3" t="str">
        <x:v>ProYoga Mat</x:v>
      </x:c>
      <x:c r="H1476" s="3" t="n">
        <x:v>1</x:v>
      </x:c>
      <x:c r="I1476" s="7" t="n">
        <x:v>1244.4</x:v>
      </x:c>
      <x:c r="J1476" s="9" t="n">
        <x:v>0.15</x:v>
      </x:c>
      <x:c r="K1476" s="7" t="n">
        <x:v>1057.74</x:v>
      </x:c>
      <x:c r="L1476" s="7" t="n">
        <x:v>254.85</x:v>
      </x:c>
      <x:c r="M1476" s="3" t="str">
        <x:v>Credit Card</x:v>
      </x:c>
      <x:c r="N1476" s="3"/>
      <x:c r="O1476" s="3"/>
      <x:c r="P1476" s="3"/>
      <x:c r="Q1476" s="3"/>
    </x:row>
    <x:row r="1477" ht="21" customHeight="1">
      <x:c r="A1477" s="3" t="str">
        <x:v>ORD-100038</x:v>
      </x:c>
      <x:c r="B1477" s="5" t="n">
        <x:v>45681</x:v>
      </x:c>
      <x:c r="C1477" s="3" t="str">
        <x:v>CUST-00361</x:v>
      </x:c>
      <x:c r="D1477" s="3" t="str">
        <x:v>East</x:v>
      </x:c>
      <x:c r="E1477" s="3" t="str">
        <x:v>Home &amp; Kitchen</x:v>
      </x:c>
      <x:c r="F1477" s="3" t="str">
        <x:v>Appliances</x:v>
      </x:c>
      <x:c r="G1477" s="3" t="str">
        <x:v>ColdBrew Coffee Maker</x:v>
      </x:c>
      <x:c r="H1477" s="3" t="n">
        <x:v>1</x:v>
      </x:c>
      <x:c r="I1477" s="7" t="n">
        <x:v>6447.1</x:v>
      </x:c>
      <x:c r="J1477" s="9" t="n">
        <x:v>0</x:v>
      </x:c>
      <x:c r="K1477" s="7" t="n">
        <x:v>6447.1</x:v>
      </x:c>
      <x:c r="L1477" s="7" t="n">
        <x:v>2336.35</x:v>
      </x:c>
      <x:c r="M1477" s="3" t="str">
        <x:v>Credit Card</x:v>
      </x:c>
      <x:c r="N1477" s="3"/>
      <x:c r="O1477" s="3"/>
      <x:c r="P1477" s="3"/>
      <x:c r="Q1477" s="3"/>
    </x:row>
    <x:row r="1478" ht="21" customHeight="1">
      <x:c r="A1478" s="3" t="str">
        <x:v>ORD-101110</x:v>
      </x:c>
      <x:c r="B1478" s="5" t="n">
        <x:v>45681</x:v>
      </x:c>
      <x:c r="C1478" s="3" t="str">
        <x:v>CUST-00279</x:v>
      </x:c>
      <x:c r="D1478" s="3" t="str">
        <x:v>South</x:v>
      </x:c>
      <x:c r="E1478" s="3" t="str">
        <x:v>Home &amp; Kitchen</x:v>
      </x:c>
      <x:c r="F1478" s="3" t="str">
        <x:v>Decor</x:v>
      </x:c>
      <x:c r="G1478" s="3" t="str">
        <x:v>LED Wall Lamp</x:v>
      </x:c>
      <x:c r="H1478" s="3" t="n">
        <x:v>1</x:v>
      </x:c>
      <x:c r="I1478" s="7" t="n">
        <x:v>1033.69</x:v>
      </x:c>
      <x:c r="J1478" s="9" t="n">
        <x:v>0</x:v>
      </x:c>
      <x:c r="K1478" s="7" t="n">
        <x:v>1033.69</x:v>
      </x:c>
      <x:c r="L1478" s="7" t="n">
        <x:v>333.55</x:v>
      </x:c>
      <x:c r="M1478" s="3" t="str">
        <x:v>UPI</x:v>
      </x:c>
      <x:c r="N1478" s="3"/>
      <x:c r="O1478" s="3"/>
      <x:c r="P1478" s="3"/>
      <x:c r="Q1478" s="3"/>
    </x:row>
    <x:row r="1479" ht="21" customHeight="1">
      <x:c r="A1479" s="3" t="str">
        <x:v>ORD-101315</x:v>
      </x:c>
      <x:c r="B1479" s="5" t="n">
        <x:v>45681</x:v>
      </x:c>
      <x:c r="C1479" s="3" t="str">
        <x:v>CUST-00307</x:v>
      </x:c>
      <x:c r="D1479" s="3" t="str">
        <x:v>South</x:v>
      </x:c>
      <x:c r="E1479" s="3" t="str">
        <x:v>Beauty</x:v>
      </x:c>
      <x:c r="F1479" s="3" t="str">
        <x:v>Skincare</x:v>
      </x:c>
      <x:c r="G1479" s="3" t="str">
        <x:v>Vitamin C Serum</x:v>
      </x:c>
      <x:c r="H1479" s="3" t="n">
        <x:v>3</x:v>
      </x:c>
      <x:c r="I1479" s="7" t="n">
        <x:v>858.26</x:v>
      </x:c>
      <x:c r="J1479" s="9" t="n">
        <x:v>0</x:v>
      </x:c>
      <x:c r="K1479" s="7" t="n">
        <x:v>2574.78</x:v>
      </x:c>
      <x:c r="L1479" s="7" t="n">
        <x:v>1410.84</x:v>
      </x:c>
      <x:c r="M1479" s="3" t="str">
        <x:v>UPI</x:v>
      </x:c>
      <x:c r="N1479" s="3"/>
      <x:c r="O1479" s="3"/>
      <x:c r="P1479" s="3"/>
      <x:c r="Q1479" s="3"/>
    </x:row>
    <x:row r="1480" ht="21" customHeight="1">
      <x:c r="A1480" s="3" t="str">
        <x:v>ORD-101416</x:v>
      </x:c>
      <x:c r="B1480" s="5" t="n">
        <x:v>45681</x:v>
      </x:c>
      <x:c r="C1480" s="3" t="str">
        <x:v>CUST-00206</x:v>
      </x:c>
      <x:c r="D1480" s="3" t="str">
        <x:v>South</x:v>
      </x:c>
      <x:c r="E1480" s="3" t="str">
        <x:v>Beauty</x:v>
      </x:c>
      <x:c r="F1480" s="3" t="str">
        <x:v>Makeup</x:v>
      </x:c>
      <x:c r="G1480" s="3" t="str">
        <x:v>Matte Lipstick Set</x:v>
      </x:c>
      <x:c r="H1480" s="3" t="n">
        <x:v>2</x:v>
      </x:c>
      <x:c r="I1480" s="7" t="n">
        <x:v>963.79</x:v>
      </x:c>
      <x:c r="J1480" s="9" t="n">
        <x:v>0.25</x:v>
      </x:c>
      <x:c r="K1480" s="7" t="n">
        <x:v>1445.68</x:v>
      </x:c>
      <x:c r="L1480" s="7" t="n">
        <x:v>349.43</x:v>
      </x:c>
      <x:c r="M1480" s="3" t="str">
        <x:v>Debit Card</x:v>
      </x:c>
      <x:c r="N1480" s="3"/>
      <x:c r="O1480" s="3"/>
      <x:c r="P1480" s="3"/>
      <x:c r="Q1480" s="3"/>
    </x:row>
    <x:row r="1481" ht="21" customHeight="1">
      <x:c r="A1481" s="3" t="str">
        <x:v>ORD-101571</x:v>
      </x:c>
      <x:c r="B1481" s="5" t="n">
        <x:v>45681</x:v>
      </x:c>
      <x:c r="C1481" s="3" t="str">
        <x:v>CUST-00522</x:v>
      </x:c>
      <x:c r="D1481" s="3" t="str">
        <x:v>North</x:v>
      </x:c>
      <x:c r="E1481" s="3" t="str">
        <x:v>Fashion</x:v>
      </x:c>
      <x:c r="F1481" s="3" t="str">
        <x:v>Footwear</x:v>
      </x:c>
      <x:c r="G1481" s="3" t="str">
        <x:v>UrbanLoafers</x:v>
      </x:c>
      <x:c r="H1481" s="3" t="n">
        <x:v>1</x:v>
      </x:c>
      <x:c r="I1481" s="7" t="n">
        <x:v>3336.16</x:v>
      </x:c>
      <x:c r="J1481" s="9" t="n">
        <x:v>0.15</x:v>
      </x:c>
      <x:c r="K1481" s="7" t="n">
        <x:v>2835.74</x:v>
      </x:c>
      <x:c r="L1481" s="7" t="n">
        <x:v>690.84</x:v>
      </x:c>
      <x:c r="M1481" s="3" t="str">
        <x:v>UPI</x:v>
      </x:c>
      <x:c r="N1481" s="3"/>
      <x:c r="O1481" s="3"/>
      <x:c r="P1481" s="3"/>
      <x:c r="Q1481" s="3"/>
    </x:row>
    <x:row r="1482" ht="21" customHeight="1">
      <x:c r="A1482" s="3" t="str">
        <x:v>ORD-101535</x:v>
      </x:c>
      <x:c r="B1482" s="5" t="n">
        <x:v>45682</x:v>
      </x:c>
      <x:c r="C1482" s="3" t="str">
        <x:v>CUST-00491</x:v>
      </x:c>
      <x:c r="D1482" s="3" t="str">
        <x:v>North</x:v>
      </x:c>
      <x:c r="E1482" s="3" t="str">
        <x:v>Beauty</x:v>
      </x:c>
      <x:c r="F1482" s="3" t="str">
        <x:v>Skincare</x:v>
      </x:c>
      <x:c r="G1482" s="3" t="str">
        <x:v>Vitamin C Serum</x:v>
      </x:c>
      <x:c r="H1482" s="3" t="n">
        <x:v>1</x:v>
      </x:c>
      <x:c r="I1482" s="7" t="n">
        <x:v>886.08</x:v>
      </x:c>
      <x:c r="J1482" s="9" t="n">
        <x:v>0.2</x:v>
      </x:c>
      <x:c r="K1482" s="7" t="n">
        <x:v>708.86</x:v>
      </x:c>
      <x:c r="L1482" s="7" t="n">
        <x:v>237.36</x:v>
      </x:c>
      <x:c r="M1482" s="3" t="str">
        <x:v>UPI</x:v>
      </x:c>
      <x:c r="N1482" s="3"/>
      <x:c r="O1482" s="3"/>
      <x:c r="P1482" s="3"/>
      <x:c r="Q1482" s="3"/>
    </x:row>
    <x:row r="1483" ht="21" customHeight="1">
      <x:c r="A1483" s="3" t="str">
        <x:v>ORD-101906</x:v>
      </x:c>
      <x:c r="B1483" s="5" t="n">
        <x:v>45682</x:v>
      </x:c>
      <x:c r="C1483" s="3" t="str">
        <x:v>CUST-00522</x:v>
      </x:c>
      <x:c r="D1483" s="3" t="str">
        <x:v>North</x:v>
      </x:c>
      <x:c r="E1483" s="3" t="str">
        <x:v>Fashion</x:v>
      </x:c>
      <x:c r="F1483" s="3" t="str">
        <x:v>Women</x:v>
      </x:c>
      <x:c r="G1483" s="3" t="str">
        <x:v>Knit Winter Sweater</x:v>
      </x:c>
      <x:c r="H1483" s="3" t="n">
        <x:v>3</x:v>
      </x:c>
      <x:c r="I1483" s="7" t="n">
        <x:v>2133.81</x:v>
      </x:c>
      <x:c r="J1483" s="9" t="n">
        <x:v>0.2</x:v>
      </x:c>
      <x:c r="K1483" s="7" t="n">
        <x:v>5121.14</x:v>
      </x:c>
      <x:c r="L1483" s="7" t="n">
        <x:v>1174.93</x:v>
      </x:c>
      <x:c r="M1483" s="3" t="str">
        <x:v>Debit Card</x:v>
      </x:c>
      <x:c r="N1483" s="3"/>
      <x:c r="O1483" s="3"/>
      <x:c r="P1483" s="3"/>
      <x:c r="Q1483" s="3"/>
    </x:row>
    <x:row r="1484" ht="21" customHeight="1">
      <x:c r="A1484" s="3" t="str">
        <x:v>ORD-101912</x:v>
      </x:c>
      <x:c r="B1484" s="5" t="n">
        <x:v>45682</x:v>
      </x:c>
      <x:c r="C1484" s="3" t="str">
        <x:v>CUST-00113</x:v>
      </x:c>
      <x:c r="D1484" s="3" t="str">
        <x:v>North</x:v>
      </x:c>
      <x:c r="E1484" s="3" t="str">
        <x:v>Home &amp; Kitchen</x:v>
      </x:c>
      <x:c r="F1484" s="3" t="str">
        <x:v>Appliances</x:v>
      </x:c>
      <x:c r="G1484" s="3" t="str">
        <x:v>AirFryer Deluxe</x:v>
      </x:c>
      <x:c r="H1484" s="3" t="n">
        <x:v>1</x:v>
      </x:c>
      <x:c r="I1484" s="7" t="n">
        <x:v>7880.83</x:v>
      </x:c>
      <x:c r="J1484" s="9" t="n">
        <x:v>0.05</x:v>
      </x:c>
      <x:c r="K1484" s="7" t="n">
        <x:v>7486.79</x:v>
      </x:c>
      <x:c r="L1484" s="7" t="n">
        <x:v>1770.59</x:v>
      </x:c>
      <x:c r="M1484" s="3" t="str">
        <x:v>Credit Card</x:v>
      </x:c>
      <x:c r="N1484" s="3"/>
      <x:c r="O1484" s="3"/>
      <x:c r="P1484" s="3"/>
      <x:c r="Q1484" s="3"/>
    </x:row>
    <x:row r="1485" ht="21" customHeight="1">
      <x:c r="A1485" s="3" t="str">
        <x:v>ORD-100379</x:v>
      </x:c>
      <x:c r="B1485" s="5" t="n">
        <x:v>45683</x:v>
      </x:c>
      <x:c r="C1485" s="3" t="str">
        <x:v>CUST-00537</x:v>
      </x:c>
      <x:c r="D1485" s="3" t="str">
        <x:v>West</x:v>
      </x:c>
      <x:c r="E1485" s="3" t="str">
        <x:v>Electronics</x:v>
      </x:c>
      <x:c r="F1485" s="3" t="str">
        <x:v>Audio</x:v>
      </x:c>
      <x:c r="G1485" s="3" t="str">
        <x:v>BassBoom Speaker</x:v>
      </x:c>
      <x:c r="H1485" s="3" t="n">
        <x:v>1</x:v>
      </x:c>
      <x:c r="I1485" s="7" t="n">
        <x:v>9242.78</x:v>
      </x:c>
      <x:c r="J1485" s="9" t="n">
        <x:v>0</x:v>
      </x:c>
      <x:c r="K1485" s="7" t="n">
        <x:v>9242.78</x:v>
      </x:c>
      <x:c r="L1485" s="7" t="n">
        <x:v>1551.26</x:v>
      </x:c>
      <x:c r="M1485" s="3" t="str">
        <x:v>UPI</x:v>
      </x:c>
      <x:c r="N1485" s="3"/>
      <x:c r="O1485" s="3"/>
      <x:c r="P1485" s="3"/>
      <x:c r="Q1485" s="3"/>
    </x:row>
    <x:row r="1486" ht="21" customHeight="1">
      <x:c r="A1486" s="3" t="str">
        <x:v>ORD-100672</x:v>
      </x:c>
      <x:c r="B1486" s="5" t="n">
        <x:v>45683</x:v>
      </x:c>
      <x:c r="C1486" s="3" t="str">
        <x:v>CUST-00456</x:v>
      </x:c>
      <x:c r="D1486" s="3" t="str">
        <x:v>East</x:v>
      </x:c>
      <x:c r="E1486" s="3" t="str">
        <x:v>Fashion</x:v>
      </x:c>
      <x:c r="F1486" s="3" t="str">
        <x:v>Women</x:v>
      </x:c>
      <x:c r="G1486" s="3" t="str">
        <x:v>Knit Winter Sweater</x:v>
      </x:c>
      <x:c r="H1486" s="3" t="n">
        <x:v>1</x:v>
      </x:c>
      <x:c r="I1486" s="7" t="n">
        <x:v>2126.98</x:v>
      </x:c>
      <x:c r="J1486" s="9" t="n">
        <x:v>0.1</x:v>
      </x:c>
      <x:c r="K1486" s="7" t="n">
        <x:v>1914.28</x:v>
      </x:c>
      <x:c r="L1486" s="7" t="n">
        <x:v>621.41</x:v>
      </x:c>
      <x:c r="M1486" s="3" t="str">
        <x:v>Cash on Delivery</x:v>
      </x:c>
      <x:c r="N1486" s="3"/>
      <x:c r="O1486" s="3"/>
      <x:c r="P1486" s="3"/>
      <x:c r="Q1486" s="3"/>
    </x:row>
    <x:row r="1487" ht="21" customHeight="1">
      <x:c r="A1487" s="3" t="str">
        <x:v>ORD-100824</x:v>
      </x:c>
      <x:c r="B1487" s="5" t="n">
        <x:v>45683</x:v>
      </x:c>
      <x:c r="C1487" s="3" t="str">
        <x:v>CUST-00046</x:v>
      </x:c>
      <x:c r="D1487" s="3" t="str">
        <x:v>South</x:v>
      </x:c>
      <x:c r="E1487" s="3" t="str">
        <x:v>Home &amp; Kitchen</x:v>
      </x:c>
      <x:c r="F1487" s="3" t="str">
        <x:v>Decor</x:v>
      </x:c>
      <x:c r="G1487" s="3" t="str">
        <x:v>LED Wall Lamp</x:v>
      </x:c>
      <x:c r="H1487" s="3" t="n">
        <x:v>1</x:v>
      </x:c>
      <x:c r="I1487" s="7" t="n">
        <x:v>955.02</x:v>
      </x:c>
      <x:c r="J1487" s="9" t="n">
        <x:v>0.3</x:v>
      </x:c>
      <x:c r="K1487" s="7" t="n">
        <x:v>668.51</x:v>
      </x:c>
      <x:c r="L1487" s="7" t="n">
        <x:v>8.94</x:v>
      </x:c>
      <x:c r="M1487" s="3" t="str">
        <x:v>UPI</x:v>
      </x:c>
      <x:c r="N1487" s="3"/>
      <x:c r="O1487" s="3"/>
      <x:c r="P1487" s="3"/>
      <x:c r="Q1487" s="3"/>
    </x:row>
    <x:row r="1488" ht="21" customHeight="1">
      <x:c r="A1488" s="3" t="str">
        <x:v>ORD-100033</x:v>
      </x:c>
      <x:c r="B1488" s="5" t="n">
        <x:v>45685</x:v>
      </x:c>
      <x:c r="C1488" s="3" t="str">
        <x:v>CUST-00250</x:v>
      </x:c>
      <x:c r="D1488" s="3" t="str">
        <x:v>East</x:v>
      </x:c>
      <x:c r="E1488" s="3" t="str">
        <x:v>Home &amp; Kitchen</x:v>
      </x:c>
      <x:c r="F1488" s="3" t="str">
        <x:v>Furniture</x:v>
      </x:c>
      <x:c r="G1488" s="3" t="str">
        <x:v>Oakwood Study Desk</x:v>
      </x:c>
      <x:c r="H1488" s="3" t="n">
        <x:v>1</x:v>
      </x:c>
      <x:c r="I1488" s="7" t="n">
        <x:v>13628.07</x:v>
      </x:c>
      <x:c r="J1488" s="9" t="n">
        <x:v>0</x:v>
      </x:c>
      <x:c r="K1488" s="7" t="n">
        <x:v>13628.07</x:v>
      </x:c>
      <x:c r="L1488" s="7" t="n">
        <x:v>4618.58</x:v>
      </x:c>
      <x:c r="M1488" s="3" t="str">
        <x:v>Credit Card</x:v>
      </x:c>
      <x:c r="N1488" s="3"/>
      <x:c r="O1488" s="3"/>
      <x:c r="P1488" s="3"/>
      <x:c r="Q1488" s="3"/>
    </x:row>
    <x:row r="1489" ht="21" customHeight="1">
      <x:c r="A1489" s="3" t="str">
        <x:v>ORD-100524</x:v>
      </x:c>
      <x:c r="B1489" s="5" t="n">
        <x:v>45685</x:v>
      </x:c>
      <x:c r="C1489" s="3" t="str">
        <x:v>CUST-00372</x:v>
      </x:c>
      <x:c r="D1489" s="3" t="str">
        <x:v>East</x:v>
      </x:c>
      <x:c r="E1489" s="3" t="str">
        <x:v>Home &amp; Kitchen</x:v>
      </x:c>
      <x:c r="F1489" s="3" t="str">
        <x:v>Furniture</x:v>
      </x:c>
      <x:c r="G1489" s="3" t="str">
        <x:v>Oakwood Study Desk</x:v>
      </x:c>
      <x:c r="H1489" s="3" t="n">
        <x:v>3</x:v>
      </x:c>
      <x:c r="I1489" s="7" t="n">
        <x:v>13572.06</x:v>
      </x:c>
      <x:c r="J1489" s="9" t="n">
        <x:v>0.1</x:v>
      </x:c>
      <x:c r="K1489" s="7" t="n">
        <x:v>36644.56</x:v>
      </x:c>
      <x:c r="L1489" s="7" t="n">
        <x:v>8437.58</x:v>
      </x:c>
      <x:c r="M1489" s="3" t="str">
        <x:v>UPI</x:v>
      </x:c>
      <x:c r="N1489" s="3"/>
      <x:c r="O1489" s="3"/>
      <x:c r="P1489" s="3"/>
      <x:c r="Q1489" s="3"/>
    </x:row>
    <x:row r="1490" ht="21" customHeight="1">
      <x:c r="A1490" s="3" t="str">
        <x:v>ORD-100928</x:v>
      </x:c>
      <x:c r="B1490" s="5" t="n">
        <x:v>45685</x:v>
      </x:c>
      <x:c r="C1490" s="3" t="str">
        <x:v>CUST-00234</x:v>
      </x:c>
      <x:c r="D1490" s="3" t="str">
        <x:v>North</x:v>
      </x:c>
      <x:c r="E1490" s="3" t="str">
        <x:v>Beauty</x:v>
      </x:c>
      <x:c r="F1490" s="3" t="str">
        <x:v>Makeup</x:v>
      </x:c>
      <x:c r="G1490" s="3" t="str">
        <x:v>HD Foundation Kit</x:v>
      </x:c>
      <x:c r="H1490" s="3" t="n">
        <x:v>2</x:v>
      </x:c>
      <x:c r="I1490" s="7" t="n">
        <x:v>1447.2</x:v>
      </x:c>
      <x:c r="J1490" s="9" t="n">
        <x:v>0.1</x:v>
      </x:c>
      <x:c r="K1490" s="7" t="n">
        <x:v>2604.96</x:v>
      </x:c>
      <x:c r="L1490" s="7" t="n">
        <x:v>1196.76</x:v>
      </x:c>
      <x:c r="M1490" s="3" t="str">
        <x:v>Credit Card</x:v>
      </x:c>
      <x:c r="N1490" s="3"/>
      <x:c r="O1490" s="3"/>
      <x:c r="P1490" s="3"/>
      <x:c r="Q1490" s="3"/>
    </x:row>
    <x:row r="1491" ht="21" customHeight="1">
      <x:c r="A1491" s="3" t="str">
        <x:v>ORD-100007</x:v>
      </x:c>
      <x:c r="B1491" s="5" t="n">
        <x:v>45686</x:v>
      </x:c>
      <x:c r="C1491" s="3" t="str">
        <x:v>CUST-00480</x:v>
      </x:c>
      <x:c r="D1491" s="3" t="str">
        <x:v>East</x:v>
      </x:c>
      <x:c r="E1491" s="3" t="str">
        <x:v>Beauty</x:v>
      </x:c>
      <x:c r="F1491" s="3" t="str">
        <x:v>Makeup</x:v>
      </x:c>
      <x:c r="G1491" s="3" t="str">
        <x:v>Matte Lipstick Set</x:v>
      </x:c>
      <x:c r="H1491" s="3" t="n">
        <x:v>2</x:v>
      </x:c>
      <x:c r="I1491" s="7" t="n">
        <x:v>964.32</x:v>
      </x:c>
      <x:c r="J1491" s="9" t="n">
        <x:v>0.2</x:v>
      </x:c>
      <x:c r="K1491" s="7" t="n">
        <x:v>1542.91</x:v>
      </x:c>
      <x:c r="L1491" s="7" t="n">
        <x:v>451.76</x:v>
      </x:c>
      <x:c r="M1491" s="3" t="str">
        <x:v>Credit Card</x:v>
      </x:c>
      <x:c r="N1491" s="3"/>
      <x:c r="O1491" s="3"/>
      <x:c r="P1491" s="3"/>
      <x:c r="Q1491" s="3"/>
    </x:row>
    <x:row r="1492" ht="21" customHeight="1">
      <x:c r="A1492" s="3" t="str">
        <x:v>ORD-101505</x:v>
      </x:c>
      <x:c r="B1492" s="5" t="n">
        <x:v>45686</x:v>
      </x:c>
      <x:c r="C1492" s="3" t="str">
        <x:v>CUST-00045</x:v>
      </x:c>
      <x:c r="D1492" s="3" t="str">
        <x:v>West</x:v>
      </x:c>
      <x:c r="E1492" s="3" t="str">
        <x:v>Beauty</x:v>
      </x:c>
      <x:c r="F1492" s="3" t="str">
        <x:v>Makeup</x:v>
      </x:c>
      <x:c r="G1492" s="3" t="str">
        <x:v>HD Foundation Kit</x:v>
      </x:c>
      <x:c r="H1492" s="3" t="n">
        <x:v>2</x:v>
      </x:c>
      <x:c r="I1492" s="7" t="n">
        <x:v>1565.1</x:v>
      </x:c>
      <x:c r="J1492" s="9" t="n">
        <x:v>0.15</x:v>
      </x:c>
      <x:c r="K1492" s="7" t="n">
        <x:v>2660.67</x:v>
      </x:c>
      <x:c r="L1492" s="7" t="n">
        <x:v>902.19</x:v>
      </x:c>
      <x:c r="M1492" s="3" t="str">
        <x:v>Credit Card</x:v>
      </x:c>
      <x:c r="N1492" s="3"/>
      <x:c r="O1492" s="3"/>
      <x:c r="P1492" s="3"/>
      <x:c r="Q1492" s="3"/>
    </x:row>
    <x:row r="1493" ht="21" customHeight="1">
      <x:c r="A1493" s="3" t="str">
        <x:v>ORD-101967</x:v>
      </x:c>
      <x:c r="B1493" s="5" t="n">
        <x:v>45686</x:v>
      </x:c>
      <x:c r="C1493" s="3" t="str">
        <x:v>CUST-00144</x:v>
      </x:c>
      <x:c r="D1493" s="3" t="str">
        <x:v>North</x:v>
      </x:c>
      <x:c r="E1493" s="3" t="str">
        <x:v>Sports</x:v>
      </x:c>
      <x:c r="F1493" s="3" t="str">
        <x:v>Fitness</x:v>
      </x:c>
      <x:c r="G1493" s="3" t="str">
        <x:v>Adjustable Dumbbell 24kg</x:v>
      </x:c>
      <x:c r="H1493" s="3" t="n">
        <x:v>1</x:v>
      </x:c>
      <x:c r="I1493" s="7" t="n">
        <x:v>10344.17</x:v>
      </x:c>
      <x:c r="J1493" s="9" t="n">
        <x:v>0</x:v>
      </x:c>
      <x:c r="K1493" s="7" t="n">
        <x:v>10344.17</x:v>
      </x:c>
      <x:c r="L1493" s="7" t="n">
        <x:v>3861.05</x:v>
      </x:c>
      <x:c r="M1493" s="3" t="str">
        <x:v>Credit Card</x:v>
      </x:c>
      <x:c r="N1493" s="3"/>
      <x:c r="O1493" s="3"/>
      <x:c r="P1493" s="3"/>
      <x:c r="Q1493" s="3"/>
    </x:row>
    <x:row r="1494" ht="21" customHeight="1">
      <x:c r="A1494" s="3" t="str">
        <x:v>ORD-100120</x:v>
      </x:c>
      <x:c r="B1494" s="5" t="n">
        <x:v>45687</x:v>
      </x:c>
      <x:c r="C1494" s="3" t="str">
        <x:v>CUST-00192</x:v>
      </x:c>
      <x:c r="D1494" s="3" t="str">
        <x:v>West</x:v>
      </x:c>
      <x:c r="E1494" s="3" t="str">
        <x:v>Home &amp; Kitchen</x:v>
      </x:c>
      <x:c r="F1494" s="3" t="str">
        <x:v>Decor</x:v>
      </x:c>
      <x:c r="G1494" s="3" t="str">
        <x:v>Ceramic Vase Set</x:v>
      </x:c>
      <x:c r="H1494" s="3" t="n">
        <x:v>3</x:v>
      </x:c>
      <x:c r="I1494" s="7" t="n">
        <x:v>1442.71</x:v>
      </x:c>
      <x:c r="J1494" s="9" t="n">
        <x:v>0.05</x:v>
      </x:c>
      <x:c r="K1494" s="7" t="n">
        <x:v>4111.72</x:v>
      </x:c>
      <x:c r="L1494" s="7" t="n">
        <x:v>1077.03</x:v>
      </x:c>
      <x:c r="M1494" s="3" t="str">
        <x:v>Debit Card</x:v>
      </x:c>
      <x:c r="N1494" s="3"/>
      <x:c r="O1494" s="3"/>
      <x:c r="P1494" s="3"/>
      <x:c r="Q1494" s="3"/>
    </x:row>
    <x:row r="1495" ht="21" customHeight="1">
      <x:c r="A1495" s="3" t="str">
        <x:v>ORD-100735</x:v>
      </x:c>
      <x:c r="B1495" s="5" t="n">
        <x:v>45688</x:v>
      </x:c>
      <x:c r="C1495" s="3" t="str">
        <x:v>CUST-00077</x:v>
      </x:c>
      <x:c r="D1495" s="3" t="str">
        <x:v>West</x:v>
      </x:c>
      <x:c r="E1495" s="3" t="str">
        <x:v>Home &amp; Kitchen</x:v>
      </x:c>
      <x:c r="F1495" s="3" t="str">
        <x:v>Decor</x:v>
      </x:c>
      <x:c r="G1495" s="3" t="str">
        <x:v>Ceramic Vase Set</x:v>
      </x:c>
      <x:c r="H1495" s="3" t="n">
        <x:v>1</x:v>
      </x:c>
      <x:c r="I1495" s="7" t="n">
        <x:v>1552.36</x:v>
      </x:c>
      <x:c r="J1495" s="9" t="n">
        <x:v>0.05</x:v>
      </x:c>
      <x:c r="K1495" s="7" t="n">
        <x:v>1474.74</x:v>
      </x:c>
      <x:c r="L1495" s="7" t="n">
        <x:v>393.71</x:v>
      </x:c>
      <x:c r="M1495" s="3" t="str">
        <x:v>Debit Card</x:v>
      </x:c>
      <x:c r="N1495" s="3"/>
      <x:c r="O1495" s="3"/>
      <x:c r="P1495" s="3"/>
      <x:c r="Q1495" s="3"/>
    </x:row>
    <x:row r="1496" ht="21" customHeight="1">
      <x:c r="A1496" s="3" t="str">
        <x:v>ORD-100296</x:v>
      </x:c>
      <x:c r="B1496" s="5" t="n">
        <x:v>45690</x:v>
      </x:c>
      <x:c r="C1496" s="3" t="str">
        <x:v>CUST-00295</x:v>
      </x:c>
      <x:c r="D1496" s="3" t="str">
        <x:v>East</x:v>
      </x:c>
      <x:c r="E1496" s="3" t="str">
        <x:v>Electronics</x:v>
      </x:c>
      <x:c r="F1496" s="3" t="str">
        <x:v>Audio</x:v>
      </x:c>
      <x:c r="G1496" s="3" t="str">
        <x:v>BassBoom Speaker</x:v>
      </x:c>
      <x:c r="H1496" s="3" t="n">
        <x:v>1</x:v>
      </x:c>
      <x:c r="I1496" s="7" t="n">
        <x:v>8871.83</x:v>
      </x:c>
      <x:c r="J1496" s="9" t="n">
        <x:v>0.1</x:v>
      </x:c>
      <x:c r="K1496" s="7" t="n">
        <x:v>7984.65</x:v>
      </x:c>
      <x:c r="L1496" s="7" t="n">
        <x:v>488.72</x:v>
      </x:c>
      <x:c r="M1496" s="3" t="str">
        <x:v>Credit Card</x:v>
      </x:c>
      <x:c r="N1496" s="3"/>
      <x:c r="O1496" s="3"/>
      <x:c r="P1496" s="3"/>
      <x:c r="Q1496" s="3"/>
    </x:row>
    <x:row r="1497" ht="21" customHeight="1">
      <x:c r="A1497" s="3" t="str">
        <x:v>ORD-100696</x:v>
      </x:c>
      <x:c r="B1497" s="5" t="n">
        <x:v>45690</x:v>
      </x:c>
      <x:c r="C1497" s="3" t="str">
        <x:v>CUST-00111</x:v>
      </x:c>
      <x:c r="D1497" s="3" t="str">
        <x:v>West</x:v>
      </x:c>
      <x:c r="E1497" s="3" t="str">
        <x:v>Beauty</x:v>
      </x:c>
      <x:c r="F1497" s="3" t="str">
        <x:v>Makeup</x:v>
      </x:c>
      <x:c r="G1497" s="3" t="str">
        <x:v>Matte Lipstick Set</x:v>
      </x:c>
      <x:c r="H1497" s="3" t="n">
        <x:v>1</x:v>
      </x:c>
      <x:c r="I1497" s="7" t="n">
        <x:v>1037.14</x:v>
      </x:c>
      <x:c r="J1497" s="9" t="n">
        <x:v>0.15</x:v>
      </x:c>
      <x:c r="K1497" s="7" t="n">
        <x:v>881.57</x:v>
      </x:c>
      <x:c r="L1497" s="7" t="n">
        <x:v>332.92</x:v>
      </x:c>
      <x:c r="M1497" s="3" t="str">
        <x:v>Debit Card</x:v>
      </x:c>
      <x:c r="N1497" s="3"/>
      <x:c r="O1497" s="3"/>
      <x:c r="P1497" s="3"/>
      <x:c r="Q1497" s="3"/>
    </x:row>
    <x:row r="1498" ht="21" customHeight="1">
      <x:c r="A1498" s="3" t="str">
        <x:v>ORD-101210</x:v>
      </x:c>
      <x:c r="B1498" s="5" t="n">
        <x:v>45690</x:v>
      </x:c>
      <x:c r="C1498" s="3" t="str">
        <x:v>CUST-00513</x:v>
      </x:c>
      <x:c r="D1498" s="3" t="str">
        <x:v>East</x:v>
      </x:c>
      <x:c r="E1498" s="3" t="str">
        <x:v>Electronics</x:v>
      </x:c>
      <x:c r="F1498" s="3" t="str">
        <x:v>Audio</x:v>
      </x:c>
      <x:c r="G1498" s="3" t="str">
        <x:v>SoundPods Pro</x:v>
      </x:c>
      <x:c r="H1498" s="3" t="n">
        <x:v>4</x:v>
      </x:c>
      <x:c r="I1498" s="7" t="n">
        <x:v>5054.93</x:v>
      </x:c>
      <x:c r="J1498" s="9" t="n">
        <x:v>0.25</x:v>
      </x:c>
      <x:c r="K1498" s="7" t="n">
        <x:v>15164.79</x:v>
      </x:c>
      <x:c r="L1498" s="7" t="n">
        <x:v>-1624.29</x:v>
      </x:c>
      <x:c r="M1498" s="3" t="str">
        <x:v>UPI</x:v>
      </x:c>
      <x:c r="N1498" s="3"/>
      <x:c r="O1498" s="3"/>
      <x:c r="P1498" s="3"/>
      <x:c r="Q1498" s="3"/>
    </x:row>
    <x:row r="1499" ht="21" customHeight="1">
      <x:c r="A1499" s="3" t="str">
        <x:v>ORD-101741</x:v>
      </x:c>
      <x:c r="B1499" s="5" t="n">
        <x:v>45690</x:v>
      </x:c>
      <x:c r="C1499" s="3" t="str">
        <x:v>CUST-00359</x:v>
      </x:c>
      <x:c r="D1499" s="3" t="str">
        <x:v>East</x:v>
      </x:c>
      <x:c r="E1499" s="3" t="str">
        <x:v>Beauty</x:v>
      </x:c>
      <x:c r="F1499" s="3" t="str">
        <x:v>Makeup</x:v>
      </x:c>
      <x:c r="G1499" s="3" t="str">
        <x:v>HD Foundation Kit</x:v>
      </x:c>
      <x:c r="H1499" s="3" t="n">
        <x:v>4</x:v>
      </x:c>
      <x:c r="I1499" s="7" t="n">
        <x:v>1437.63</x:v>
      </x:c>
      <x:c r="J1499" s="9" t="n">
        <x:v>0</x:v>
      </x:c>
      <x:c r="K1499" s="7" t="n">
        <x:v>5750.52</x:v>
      </x:c>
      <x:c r="L1499" s="7" t="n">
        <x:v>3189.21</x:v>
      </x:c>
      <x:c r="M1499" s="3" t="str">
        <x:v>UPI</x:v>
      </x:c>
      <x:c r="N1499" s="3"/>
      <x:c r="O1499" s="3"/>
      <x:c r="P1499" s="3"/>
      <x:c r="Q1499" s="3"/>
    </x:row>
    <x:row r="1500" ht="21" customHeight="1">
      <x:c r="A1500" s="3" t="str">
        <x:v>ORD-101845</x:v>
      </x:c>
      <x:c r="B1500" s="5" t="n">
        <x:v>45690</x:v>
      </x:c>
      <x:c r="C1500" s="3" t="str">
        <x:v>CUST-00359</x:v>
      </x:c>
      <x:c r="D1500" s="3" t="str">
        <x:v>North</x:v>
      </x:c>
      <x:c r="E1500" s="3" t="str">
        <x:v>Sports</x:v>
      </x:c>
      <x:c r="F1500" s="3" t="str">
        <x:v>Fitness</x:v>
      </x:c>
      <x:c r="G1500" s="3" t="str">
        <x:v>Adjustable Dumbbell 24kg</x:v>
      </x:c>
      <x:c r="H1500" s="3" t="n">
        <x:v>2</x:v>
      </x:c>
      <x:c r="I1500" s="7" t="n">
        <x:v>9717.48</x:v>
      </x:c>
      <x:c r="J1500" s="9" t="n">
        <x:v>0.1</x:v>
      </x:c>
      <x:c r="K1500" s="7" t="n">
        <x:v>17491.46</x:v>
      </x:c>
      <x:c r="L1500" s="7" t="n">
        <x:v>4244.37</x:v>
      </x:c>
      <x:c r="M1500" s="3" t="str">
        <x:v>UPI</x:v>
      </x:c>
      <x:c r="N1500" s="3"/>
      <x:c r="O1500" s="3"/>
      <x:c r="P1500" s="3"/>
      <x:c r="Q1500" s="3"/>
    </x:row>
    <x:row r="1501" ht="21" customHeight="1">
      <x:c r="A1501" s="3" t="str">
        <x:v>ORD-100017</x:v>
      </x:c>
      <x:c r="B1501" s="5" t="n">
        <x:v>45691</x:v>
      </x:c>
      <x:c r="C1501" s="3" t="str">
        <x:v>CUST-00466</x:v>
      </x:c>
      <x:c r="D1501" s="3" t="str">
        <x:v>North</x:v>
      </x:c>
      <x:c r="E1501" s="3" t="str">
        <x:v>Electronics</x:v>
      </x:c>
      <x:c r="F1501" s="3" t="str">
        <x:v>Mobile</x:v>
      </x:c>
      <x:c r="G1501" s="3" t="str">
        <x:v>Galaxy Nova X5</x:v>
      </x:c>
      <x:c r="H1501" s="3" t="n">
        <x:v>1</x:v>
      </x:c>
      <x:c r="I1501" s="7" t="n">
        <x:v>24283.4</x:v>
      </x:c>
      <x:c r="J1501" s="9" t="n">
        <x:v>0.05</x:v>
      </x:c>
      <x:c r="K1501" s="7" t="n">
        <x:v>23069.23</x:v>
      </x:c>
      <x:c r="L1501" s="7" t="n">
        <x:v>2643.35</x:v>
      </x:c>
      <x:c r="M1501" s="3" t="str">
        <x:v>UPI</x:v>
      </x:c>
      <x:c r="N1501" s="3"/>
      <x:c r="O1501" s="3"/>
      <x:c r="P1501" s="3"/>
      <x:c r="Q1501" s="3"/>
    </x:row>
    <x:row r="1502" ht="21" customHeight="1">
      <x:c r="A1502" s="3" t="str">
        <x:v>ORD-101175</x:v>
      </x:c>
      <x:c r="B1502" s="5" t="n">
        <x:v>45691</x:v>
      </x:c>
      <x:c r="C1502" s="3" t="str">
        <x:v>CUST-00492</x:v>
      </x:c>
      <x:c r="D1502" s="3" t="str">
        <x:v>East</x:v>
      </x:c>
      <x:c r="E1502" s="3" t="str">
        <x:v>Sports</x:v>
      </x:c>
      <x:c r="F1502" s="3" t="str">
        <x:v>Fitness</x:v>
      </x:c>
      <x:c r="G1502" s="3" t="str">
        <x:v>Adjustable Dumbbell 24kg</x:v>
      </x:c>
      <x:c r="H1502" s="3" t="n">
        <x:v>3</x:v>
      </x:c>
      <x:c r="I1502" s="7" t="n">
        <x:v>10085.48</x:v>
      </x:c>
      <x:c r="J1502" s="9" t="n">
        <x:v>0.1</x:v>
      </x:c>
      <x:c r="K1502" s="7" t="n">
        <x:v>27230.8</x:v>
      </x:c>
      <x:c r="L1502" s="7" t="n">
        <x:v>6884.69</x:v>
      </x:c>
      <x:c r="M1502" s="3" t="str">
        <x:v>Credit Card</x:v>
      </x:c>
      <x:c r="N1502" s="3"/>
      <x:c r="O1502" s="3"/>
      <x:c r="P1502" s="3"/>
      <x:c r="Q1502" s="3"/>
    </x:row>
    <x:row r="1503" ht="21" customHeight="1">
      <x:c r="A1503" s="3" t="str">
        <x:v>ORD-101250</x:v>
      </x:c>
      <x:c r="B1503" s="5" t="n">
        <x:v>45691</x:v>
      </x:c>
      <x:c r="C1503" s="3" t="str">
        <x:v>CUST-00553</x:v>
      </x:c>
      <x:c r="D1503" s="3" t="str">
        <x:v>West</x:v>
      </x:c>
      <x:c r="E1503" s="3" t="str">
        <x:v>Beauty</x:v>
      </x:c>
      <x:c r="F1503" s="3" t="str">
        <x:v>Makeup</x:v>
      </x:c>
      <x:c r="G1503" s="3" t="str">
        <x:v>Matte Lipstick Set</x:v>
      </x:c>
      <x:c r="H1503" s="3" t="n">
        <x:v>2</x:v>
      </x:c>
      <x:c r="I1503" s="7" t="n">
        <x:v>984.71</x:v>
      </x:c>
      <x:c r="J1503" s="9" t="n">
        <x:v>0.05</x:v>
      </x:c>
      <x:c r="K1503" s="7" t="n">
        <x:v>1870.95</x:v>
      </x:c>
      <x:c r="L1503" s="7" t="n">
        <x:v>873.4</x:v>
      </x:c>
      <x:c r="M1503" s="3" t="str">
        <x:v>UPI</x:v>
      </x:c>
      <x:c r="N1503" s="3"/>
      <x:c r="O1503" s="3"/>
      <x:c r="P1503" s="3"/>
      <x:c r="Q1503" s="3"/>
    </x:row>
    <x:row r="1504" ht="21" customHeight="1">
      <x:c r="A1504" s="3" t="str">
        <x:v>ORD-101253</x:v>
      </x:c>
      <x:c r="B1504" s="5" t="n">
        <x:v>45691</x:v>
      </x:c>
      <x:c r="C1504" s="3" t="str">
        <x:v>CUST-00340</x:v>
      </x:c>
      <x:c r="D1504" s="3" t="str">
        <x:v>West</x:v>
      </x:c>
      <x:c r="E1504" s="3" t="str">
        <x:v>Electronics</x:v>
      </x:c>
      <x:c r="F1504" s="3" t="str">
        <x:v>Laptop</x:v>
      </x:c>
      <x:c r="G1504" s="3" t="str">
        <x:v>ThinkPro 14</x:v>
      </x:c>
      <x:c r="H1504" s="3" t="n">
        <x:v>2</x:v>
      </x:c>
      <x:c r="I1504" s="7" t="n">
        <x:v>54276.76</x:v>
      </x:c>
      <x:c r="J1504" s="9" t="n">
        <x:v>0.15</x:v>
      </x:c>
      <x:c r="K1504" s="7" t="n">
        <x:v>92270.49</x:v>
      </x:c>
      <x:c r="L1504" s="7" t="n">
        <x:v>2135.15</x:v>
      </x:c>
      <x:c r="M1504" s="3" t="str">
        <x:v>Credit Card</x:v>
      </x:c>
      <x:c r="N1504" s="3"/>
      <x:c r="O1504" s="3"/>
      <x:c r="P1504" s="3"/>
      <x:c r="Q1504" s="3"/>
    </x:row>
    <x:row r="1505" ht="21" customHeight="1">
      <x:c r="A1505" s="3" t="str">
        <x:v>ORD-100191</x:v>
      </x:c>
      <x:c r="B1505" s="5" t="n">
        <x:v>45692</x:v>
      </x:c>
      <x:c r="C1505" s="3" t="str">
        <x:v>CUST-00513</x:v>
      </x:c>
      <x:c r="D1505" s="3" t="str">
        <x:v>East</x:v>
      </x:c>
      <x:c r="E1505" s="3" t="str">
        <x:v>Electronics</x:v>
      </x:c>
      <x:c r="F1505" s="3" t="str">
        <x:v>Mobile</x:v>
      </x:c>
      <x:c r="G1505" s="3" t="str">
        <x:v>Galaxy Nova X5</x:v>
      </x:c>
      <x:c r="H1505" s="3" t="n">
        <x:v>1</x:v>
      </x:c>
      <x:c r="I1505" s="7" t="n">
        <x:v>25045.99</x:v>
      </x:c>
      <x:c r="J1505" s="9" t="n">
        <x:v>0.05</x:v>
      </x:c>
      <x:c r="K1505" s="7" t="n">
        <x:v>23793.69</x:v>
      </x:c>
      <x:c r="L1505" s="7" t="n">
        <x:v>3067.99</x:v>
      </x:c>
      <x:c r="M1505" s="3" t="str">
        <x:v>Credit Card</x:v>
      </x:c>
      <x:c r="N1505" s="3"/>
      <x:c r="O1505" s="3"/>
      <x:c r="P1505" s="3"/>
      <x:c r="Q1505" s="3"/>
    </x:row>
    <x:row r="1506" ht="21" customHeight="1">
      <x:c r="A1506" s="3" t="str">
        <x:v>ORD-100509</x:v>
      </x:c>
      <x:c r="B1506" s="5" t="n">
        <x:v>45692</x:v>
      </x:c>
      <x:c r="C1506" s="3" t="str">
        <x:v>CUST-00387</x:v>
      </x:c>
      <x:c r="D1506" s="3" t="str">
        <x:v>West</x:v>
      </x:c>
      <x:c r="E1506" s="3" t="str">
        <x:v>Sports</x:v>
      </x:c>
      <x:c r="F1506" s="3" t="str">
        <x:v>Fitness</x:v>
      </x:c>
      <x:c r="G1506" s="3" t="str">
        <x:v>Adjustable Dumbbell 24kg</x:v>
      </x:c>
      <x:c r="H1506" s="3" t="n">
        <x:v>2</x:v>
      </x:c>
      <x:c r="I1506" s="7" t="n">
        <x:v>10071.2</x:v>
      </x:c>
      <x:c r="J1506" s="9" t="n">
        <x:v>0.1</x:v>
      </x:c>
      <x:c r="K1506" s="7" t="n">
        <x:v>18128.16</x:v>
      </x:c>
      <x:c r="L1506" s="7" t="n">
        <x:v>4769.03</x:v>
      </x:c>
      <x:c r="M1506" s="3" t="str">
        <x:v>Credit Card</x:v>
      </x:c>
      <x:c r="N1506" s="3"/>
      <x:c r="O1506" s="3"/>
      <x:c r="P1506" s="3"/>
      <x:c r="Q1506" s="3"/>
    </x:row>
    <x:row r="1507" ht="21" customHeight="1">
      <x:c r="A1507" s="3" t="str">
        <x:v>ORD-100621</x:v>
      </x:c>
      <x:c r="B1507" s="5" t="n">
        <x:v>45692</x:v>
      </x:c>
      <x:c r="C1507" s="3" t="str">
        <x:v>CUST-00396</x:v>
      </x:c>
      <x:c r="D1507" s="3" t="str">
        <x:v>South</x:v>
      </x:c>
      <x:c r="E1507" s="3" t="str">
        <x:v>Fashion</x:v>
      </x:c>
      <x:c r="F1507" s="3" t="str">
        <x:v>Men</x:v>
      </x:c>
      <x:c r="G1507" s="3" t="str">
        <x:v>Oxford Casual Shirt</x:v>
      </x:c>
      <x:c r="H1507" s="3" t="n">
        <x:v>2</x:v>
      </x:c>
      <x:c r="I1507" s="7" t="n">
        <x:v>1352.75</x:v>
      </x:c>
      <x:c r="J1507" s="9" t="n">
        <x:v>0.15</x:v>
      </x:c>
      <x:c r="K1507" s="7" t="n">
        <x:v>2299.67</x:v>
      </x:c>
      <x:c r="L1507" s="7" t="n">
        <x:v>582.76</x:v>
      </x:c>
      <x:c r="M1507" s="3" t="str">
        <x:v>UPI</x:v>
      </x:c>
      <x:c r="N1507" s="3"/>
      <x:c r="O1507" s="3"/>
      <x:c r="P1507" s="3"/>
      <x:c r="Q1507" s="3"/>
    </x:row>
    <x:row r="1508" ht="21" customHeight="1">
      <x:c r="A1508" s="3" t="str">
        <x:v>ORD-101093</x:v>
      </x:c>
      <x:c r="B1508" s="5" t="n">
        <x:v>45692</x:v>
      </x:c>
      <x:c r="C1508" s="3" t="str">
        <x:v>CUST-00062</x:v>
      </x:c>
      <x:c r="D1508" s="3" t="str">
        <x:v>South</x:v>
      </x:c>
      <x:c r="E1508" s="3" t="str">
        <x:v>Electronics</x:v>
      </x:c>
      <x:c r="F1508" s="3" t="str">
        <x:v>Audio</x:v>
      </x:c>
      <x:c r="G1508" s="3" t="str">
        <x:v>SoundPods Pro</x:v>
      </x:c>
      <x:c r="H1508" s="3" t="n">
        <x:v>2</x:v>
      </x:c>
      <x:c r="I1508" s="7" t="n">
        <x:v>4768.92</x:v>
      </x:c>
      <x:c r="J1508" s="9" t="n">
        <x:v>0</x:v>
      </x:c>
      <x:c r="K1508" s="7" t="n">
        <x:v>9537.84</x:v>
      </x:c>
      <x:c r="L1508" s="7" t="n">
        <x:v>1489.77</x:v>
      </x:c>
      <x:c r="M1508" s="3" t="str">
        <x:v>Debit Card</x:v>
      </x:c>
      <x:c r="N1508" s="3"/>
      <x:c r="O1508" s="3"/>
      <x:c r="P1508" s="3"/>
      <x:c r="Q1508" s="3"/>
    </x:row>
    <x:row r="1509" ht="21" customHeight="1">
      <x:c r="A1509" s="3" t="str">
        <x:v>ORD-100667</x:v>
      </x:c>
      <x:c r="B1509" s="5" t="n">
        <x:v>45693</x:v>
      </x:c>
      <x:c r="C1509" s="3" t="str">
        <x:v>CUST-00164</x:v>
      </x:c>
      <x:c r="D1509" s="3" t="str">
        <x:v>North</x:v>
      </x:c>
      <x:c r="E1509" s="3" t="str">
        <x:v>Home &amp; Kitchen</x:v>
      </x:c>
      <x:c r="F1509" s="3" t="str">
        <x:v>Appliances</x:v>
      </x:c>
      <x:c r="G1509" s="3" t="str">
        <x:v>ColdBrew Coffee Maker</x:v>
      </x:c>
      <x:c r="H1509" s="3" t="n">
        <x:v>2</x:v>
      </x:c>
      <x:c r="I1509" s="7" t="n">
        <x:v>6363.49</x:v>
      </x:c>
      <x:c r="J1509" s="9" t="n">
        <x:v>0</x:v>
      </x:c>
      <x:c r="K1509" s="7" t="n">
        <x:v>12726.98</x:v>
      </x:c>
      <x:c r="L1509" s="7" t="n">
        <x:v>4674.87</x:v>
      </x:c>
      <x:c r="M1509" s="3" t="str">
        <x:v>Debit Card</x:v>
      </x:c>
      <x:c r="N1509" s="3"/>
      <x:c r="O1509" s="3"/>
      <x:c r="P1509" s="3"/>
      <x:c r="Q1509" s="3"/>
    </x:row>
    <x:row r="1510" ht="21" customHeight="1">
      <x:c r="A1510" s="3" t="str">
        <x:v>ORD-101274</x:v>
      </x:c>
      <x:c r="B1510" s="5" t="n">
        <x:v>45693</x:v>
      </x:c>
      <x:c r="C1510" s="3" t="str">
        <x:v>CUST-00187</x:v>
      </x:c>
      <x:c r="D1510" s="3" t="str">
        <x:v>East</x:v>
      </x:c>
      <x:c r="E1510" s="3" t="str">
        <x:v>Beauty</x:v>
      </x:c>
      <x:c r="F1510" s="3" t="str">
        <x:v>Skincare</x:v>
      </x:c>
      <x:c r="G1510" s="3" t="str">
        <x:v>HydraBoost Moisturizer</x:v>
      </x:c>
      <x:c r="H1510" s="3" t="n">
        <x:v>1</x:v>
      </x:c>
      <x:c r="I1510" s="7" t="n">
        <x:v>1236.97</x:v>
      </x:c>
      <x:c r="J1510" s="9" t="n">
        <x:v>0</x:v>
      </x:c>
      <x:c r="K1510" s="7" t="n">
        <x:v>1236.97</x:v>
      </x:c>
      <x:c r="L1510" s="7" t="n">
        <x:v>715.45</x:v>
      </x:c>
      <x:c r="M1510" s="3" t="str">
        <x:v>UPI</x:v>
      </x:c>
      <x:c r="N1510" s="3"/>
      <x:c r="O1510" s="3"/>
      <x:c r="P1510" s="3"/>
      <x:c r="Q1510" s="3"/>
    </x:row>
    <x:row r="1511" ht="21" customHeight="1">
      <x:c r="A1511" s="3" t="str">
        <x:v>ORD-101662</x:v>
      </x:c>
      <x:c r="B1511" s="5" t="n">
        <x:v>45693</x:v>
      </x:c>
      <x:c r="C1511" s="3" t="str">
        <x:v>CUST-00163</x:v>
      </x:c>
      <x:c r="D1511" s="3" t="str">
        <x:v>East</x:v>
      </x:c>
      <x:c r="E1511" s="3" t="str">
        <x:v>Beauty</x:v>
      </x:c>
      <x:c r="F1511" s="3" t="str">
        <x:v>Skincare</x:v>
      </x:c>
      <x:c r="G1511" s="3" t="str">
        <x:v>HydraBoost Moisturizer</x:v>
      </x:c>
      <x:c r="H1511" s="3" t="n">
        <x:v>1</x:v>
      </x:c>
      <x:c r="I1511" s="7" t="n">
        <x:v>1232.59</x:v>
      </x:c>
      <x:c r="J1511" s="9" t="n">
        <x:v>0</x:v>
      </x:c>
      <x:c r="K1511" s="7" t="n">
        <x:v>1232.59</x:v>
      </x:c>
      <x:c r="L1511" s="7" t="n">
        <x:v>714.89</x:v>
      </x:c>
      <x:c r="M1511" s="3" t="str">
        <x:v>UPI</x:v>
      </x:c>
      <x:c r="N1511" s="3"/>
      <x:c r="O1511" s="3"/>
      <x:c r="P1511" s="3"/>
      <x:c r="Q1511" s="3"/>
    </x:row>
    <x:row r="1512" ht="21" customHeight="1">
      <x:c r="A1512" s="3" t="str">
        <x:v>ORD-100187</x:v>
      </x:c>
      <x:c r="B1512" s="5" t="n">
        <x:v>45694</x:v>
      </x:c>
      <x:c r="C1512" s="3" t="str">
        <x:v>CUST-00578</x:v>
      </x:c>
      <x:c r="D1512" s="3" t="str">
        <x:v>South</x:v>
      </x:c>
      <x:c r="E1512" s="3" t="str">
        <x:v>Sports</x:v>
      </x:c>
      <x:c r="F1512" s="3" t="str">
        <x:v>Outdoor</x:v>
      </x:c>
      <x:c r="G1512" s="3" t="str">
        <x:v>AllWeather Tent 4P</x:v>
      </x:c>
      <x:c r="H1512" s="3" t="n">
        <x:v>2</x:v>
      </x:c>
      <x:c r="I1512" s="7" t="n">
        <x:v>12560.27</x:v>
      </x:c>
      <x:c r="J1512" s="9" t="n">
        <x:v>0.1</x:v>
      </x:c>
      <x:c r="K1512" s="7" t="n">
        <x:v>22608.49</x:v>
      </x:c>
      <x:c r="L1512" s="7" t="n">
        <x:v>6501.25</x:v>
      </x:c>
      <x:c r="M1512" s="3" t="str">
        <x:v>UPI</x:v>
      </x:c>
      <x:c r="N1512" s="3"/>
      <x:c r="O1512" s="3"/>
      <x:c r="P1512" s="3"/>
      <x:c r="Q1512" s="3"/>
    </x:row>
    <x:row r="1513" ht="21" customHeight="1">
      <x:c r="A1513" s="3" t="str">
        <x:v>ORD-100289</x:v>
      </x:c>
      <x:c r="B1513" s="5" t="n">
        <x:v>45694</x:v>
      </x:c>
      <x:c r="C1513" s="3" t="str">
        <x:v>CUST-00196</x:v>
      </x:c>
      <x:c r="D1513" s="3" t="str">
        <x:v>North</x:v>
      </x:c>
      <x:c r="E1513" s="3" t="str">
        <x:v>Electronics</x:v>
      </x:c>
      <x:c r="F1513" s="3" t="str">
        <x:v>Mobile</x:v>
      </x:c>
      <x:c r="G1513" s="3" t="str">
        <x:v>Galaxy Nova X5</x:v>
      </x:c>
      <x:c r="H1513" s="3" t="n">
        <x:v>1</x:v>
      </x:c>
      <x:c r="I1513" s="7" t="n">
        <x:v>25605.25</x:v>
      </x:c>
      <x:c r="J1513" s="9" t="n">
        <x:v>0.2</x:v>
      </x:c>
      <x:c r="K1513" s="7" t="n">
        <x:v>20484.2</x:v>
      </x:c>
      <x:c r="L1513" s="7" t="n">
        <x:v>-1172.99</x:v>
      </x:c>
      <x:c r="M1513" s="3" t="str">
        <x:v>UPI</x:v>
      </x:c>
      <x:c r="N1513" s="3"/>
      <x:c r="O1513" s="3"/>
      <x:c r="P1513" s="3"/>
      <x:c r="Q1513" s="3"/>
    </x:row>
    <x:row r="1514" ht="21" customHeight="1">
      <x:c r="A1514" s="3" t="str">
        <x:v>ORD-100548</x:v>
      </x:c>
      <x:c r="B1514" s="5" t="n">
        <x:v>45694</x:v>
      </x:c>
      <x:c r="C1514" s="3" t="str">
        <x:v>CUST-00427</x:v>
      </x:c>
      <x:c r="D1514" s="3" t="str">
        <x:v>South</x:v>
      </x:c>
      <x:c r="E1514" s="3" t="str">
        <x:v>Home &amp; Kitchen</x:v>
      </x:c>
      <x:c r="F1514" s="3" t="str">
        <x:v>Decor</x:v>
      </x:c>
      <x:c r="G1514" s="3" t="str">
        <x:v>LED Wall Lamp</x:v>
      </x:c>
      <x:c r="H1514" s="3" t="n">
        <x:v>2</x:v>
      </x:c>
      <x:c r="I1514" s="7" t="n">
        <x:v>950.68</x:v>
      </x:c>
      <x:c r="J1514" s="9" t="n">
        <x:v>0.15</x:v>
      </x:c>
      <x:c r="K1514" s="7" t="n">
        <x:v>1616.16</x:v>
      </x:c>
      <x:c r="L1514" s="7" t="n">
        <x:v>285.64</x:v>
      </x:c>
      <x:c r="M1514" s="3" t="str">
        <x:v>Debit Card</x:v>
      </x:c>
      <x:c r="N1514" s="3"/>
      <x:c r="O1514" s="3"/>
      <x:c r="P1514" s="3"/>
      <x:c r="Q1514" s="3"/>
    </x:row>
    <x:row r="1515" ht="21" customHeight="1">
      <x:c r="A1515" s="3" t="str">
        <x:v>ORD-100589</x:v>
      </x:c>
      <x:c r="B1515" s="5" t="n">
        <x:v>45694</x:v>
      </x:c>
      <x:c r="C1515" s="3" t="str">
        <x:v>CUST-00080</x:v>
      </x:c>
      <x:c r="D1515" s="3" t="str">
        <x:v>East</x:v>
      </x:c>
      <x:c r="E1515" s="3" t="str">
        <x:v>Electronics</x:v>
      </x:c>
      <x:c r="F1515" s="3" t="str">
        <x:v>Audio</x:v>
      </x:c>
      <x:c r="G1515" s="3" t="str">
        <x:v>BassBoom Speaker</x:v>
      </x:c>
      <x:c r="H1515" s="3" t="n">
        <x:v>1</x:v>
      </x:c>
      <x:c r="I1515" s="7" t="n">
        <x:v>8705.22</x:v>
      </x:c>
      <x:c r="J1515" s="9" t="n">
        <x:v>0</x:v>
      </x:c>
      <x:c r="K1515" s="7" t="n">
        <x:v>8705.22</x:v>
      </x:c>
      <x:c r="L1515" s="7" t="n">
        <x:v>1605.79</x:v>
      </x:c>
      <x:c r="M1515" s="3" t="str">
        <x:v>Credit Card</x:v>
      </x:c>
      <x:c r="N1515" s="3"/>
      <x:c r="O1515" s="3"/>
      <x:c r="P1515" s="3"/>
      <x:c r="Q1515" s="3"/>
    </x:row>
    <x:row r="1516" ht="21" customHeight="1">
      <x:c r="A1516" s="3" t="str">
        <x:v>ORD-101420</x:v>
      </x:c>
      <x:c r="B1516" s="5" t="n">
        <x:v>45694</x:v>
      </x:c>
      <x:c r="C1516" s="3" t="str">
        <x:v>CUST-00515</x:v>
      </x:c>
      <x:c r="D1516" s="3" t="str">
        <x:v>South</x:v>
      </x:c>
      <x:c r="E1516" s="3" t="str">
        <x:v>Beauty</x:v>
      </x:c>
      <x:c r="F1516" s="3" t="str">
        <x:v>Makeup</x:v>
      </x:c>
      <x:c r="G1516" s="3" t="str">
        <x:v>HD Foundation Kit</x:v>
      </x:c>
      <x:c r="H1516" s="3" t="n">
        <x:v>4</x:v>
      </x:c>
      <x:c r="I1516" s="7" t="n">
        <x:v>1460.02</x:v>
      </x:c>
      <x:c r="J1516" s="9" t="n">
        <x:v>0.05</x:v>
      </x:c>
      <x:c r="K1516" s="7" t="n">
        <x:v>5548.08</x:v>
      </x:c>
      <x:c r="L1516" s="7" t="n">
        <x:v>2675.05</x:v>
      </x:c>
      <x:c r="M1516" s="3" t="str">
        <x:v>Net Banking</x:v>
      </x:c>
      <x:c r="N1516" s="3"/>
      <x:c r="O1516" s="3"/>
      <x:c r="P1516" s="3"/>
      <x:c r="Q1516" s="3"/>
    </x:row>
    <x:row r="1517" ht="21" customHeight="1">
      <x:c r="A1517" s="3" t="str">
        <x:v>ORD-100484</x:v>
      </x:c>
      <x:c r="B1517" s="5" t="n">
        <x:v>45695</x:v>
      </x:c>
      <x:c r="C1517" s="3" t="str">
        <x:v>CUST-00326</x:v>
      </x:c>
      <x:c r="D1517" s="3" t="str">
        <x:v>West</x:v>
      </x:c>
      <x:c r="E1517" s="3" t="str">
        <x:v>Beauty</x:v>
      </x:c>
      <x:c r="F1517" s="3" t="str">
        <x:v>Skincare</x:v>
      </x:c>
      <x:c r="G1517" s="3" t="str">
        <x:v>HydraBoost Moisturizer</x:v>
      </x:c>
      <x:c r="H1517" s="3" t="n">
        <x:v>1</x:v>
      </x:c>
      <x:c r="I1517" s="7" t="n">
        <x:v>1240.9</x:v>
      </x:c>
      <x:c r="J1517" s="9" t="n">
        <x:v>0</x:v>
      </x:c>
      <x:c r="K1517" s="7" t="n">
        <x:v>1240.9</x:v>
      </x:c>
      <x:c r="L1517" s="7" t="n">
        <x:v>700.07</x:v>
      </x:c>
      <x:c r="M1517" s="3" t="str">
        <x:v>Cash on Delivery</x:v>
      </x:c>
      <x:c r="N1517" s="3"/>
      <x:c r="O1517" s="3"/>
      <x:c r="P1517" s="3"/>
      <x:c r="Q1517" s="3"/>
    </x:row>
    <x:row r="1518" ht="21" customHeight="1">
      <x:c r="A1518" s="3" t="str">
        <x:v>ORD-101012</x:v>
      </x:c>
      <x:c r="B1518" s="5" t="n">
        <x:v>45696</x:v>
      </x:c>
      <x:c r="C1518" s="3" t="str">
        <x:v>CUST-00460</x:v>
      </x:c>
      <x:c r="D1518" s="3" t="str">
        <x:v>East</x:v>
      </x:c>
      <x:c r="E1518" s="3" t="str">
        <x:v>Sports</x:v>
      </x:c>
      <x:c r="F1518" s="3" t="str">
        <x:v>Outdoor</x:v>
      </x:c>
      <x:c r="G1518" s="3" t="str">
        <x:v>AllWeather Tent 4P</x:v>
      </x:c>
      <x:c r="H1518" s="3" t="n">
        <x:v>1</x:v>
      </x:c>
      <x:c r="I1518" s="7" t="n">
        <x:v>12379.04</x:v>
      </x:c>
      <x:c r="J1518" s="9" t="n">
        <x:v>0.25</x:v>
      </x:c>
      <x:c r="K1518" s="7" t="n">
        <x:v>9284.28</x:v>
      </x:c>
      <x:c r="L1518" s="7" t="n">
        <x:v>850.04</x:v>
      </x:c>
      <x:c r="M1518" s="3" t="str">
        <x:v>Credit Card</x:v>
      </x:c>
      <x:c r="N1518" s="3"/>
      <x:c r="O1518" s="3"/>
      <x:c r="P1518" s="3"/>
      <x:c r="Q1518" s="3"/>
    </x:row>
    <x:row r="1519" ht="21" customHeight="1">
      <x:c r="A1519" s="3" t="str">
        <x:v>ORD-101330</x:v>
      </x:c>
      <x:c r="B1519" s="5" t="n">
        <x:v>45696</x:v>
      </x:c>
      <x:c r="C1519" s="3" t="str">
        <x:v>CUST-00322</x:v>
      </x:c>
      <x:c r="D1519" s="3" t="str">
        <x:v>South</x:v>
      </x:c>
      <x:c r="E1519" s="3" t="str">
        <x:v>Home &amp; Kitchen</x:v>
      </x:c>
      <x:c r="F1519" s="3" t="str">
        <x:v>Furniture</x:v>
      </x:c>
      <x:c r="G1519" s="3" t="str">
        <x:v>ErgoComfort Chair</x:v>
      </x:c>
      <x:c r="H1519" s="3" t="n">
        <x:v>3</x:v>
      </x:c>
      <x:c r="I1519" s="7" t="n">
        <x:v>8651.09</x:v>
      </x:c>
      <x:c r="J1519" s="9" t="n">
        <x:v>0</x:v>
      </x:c>
      <x:c r="K1519" s="7" t="n">
        <x:v>25953.27</x:v>
      </x:c>
      <x:c r="L1519" s="7" t="n">
        <x:v>8511.59</x:v>
      </x:c>
      <x:c r="M1519" s="3" t="str">
        <x:v>Debit Card</x:v>
      </x:c>
      <x:c r="N1519" s="3"/>
      <x:c r="O1519" s="3"/>
      <x:c r="P1519" s="3"/>
      <x:c r="Q1519" s="3"/>
    </x:row>
    <x:row r="1520" ht="21" customHeight="1">
      <x:c r="A1520" s="3" t="str">
        <x:v>ORD-100592</x:v>
      </x:c>
      <x:c r="B1520" s="5" t="n">
        <x:v>45697</x:v>
      </x:c>
      <x:c r="C1520" s="3" t="str">
        <x:v>CUST-00285</x:v>
      </x:c>
      <x:c r="D1520" s="3" t="str">
        <x:v>North</x:v>
      </x:c>
      <x:c r="E1520" s="3" t="str">
        <x:v>Fashion</x:v>
      </x:c>
      <x:c r="F1520" s="3" t="str">
        <x:v>Women</x:v>
      </x:c>
      <x:c r="G1520" s="3" t="str">
        <x:v>Knit Winter Sweater</x:v>
      </x:c>
      <x:c r="H1520" s="3" t="n">
        <x:v>1</x:v>
      </x:c>
      <x:c r="I1520" s="7" t="n">
        <x:v>2243.87</x:v>
      </x:c>
      <x:c r="J1520" s="9" t="n">
        <x:v>0.05</x:v>
      </x:c>
      <x:c r="K1520" s="7" t="n">
        <x:v>2131.68</x:v>
      </x:c>
      <x:c r="L1520" s="7" t="n">
        <x:v>790.82</x:v>
      </x:c>
      <x:c r="M1520" s="3" t="str">
        <x:v>Cash on Delivery</x:v>
      </x:c>
      <x:c r="N1520" s="3"/>
      <x:c r="O1520" s="3"/>
      <x:c r="P1520" s="3"/>
      <x:c r="Q1520" s="3"/>
    </x:row>
    <x:row r="1521" ht="21" customHeight="1">
      <x:c r="A1521" s="3" t="str">
        <x:v>ORD-100751</x:v>
      </x:c>
      <x:c r="B1521" s="5" t="n">
        <x:v>45697</x:v>
      </x:c>
      <x:c r="C1521" s="3" t="str">
        <x:v>CUST-00384</x:v>
      </x:c>
      <x:c r="D1521" s="3" t="str">
        <x:v>West</x:v>
      </x:c>
      <x:c r="E1521" s="3" t="str">
        <x:v>Beauty</x:v>
      </x:c>
      <x:c r="F1521" s="3" t="str">
        <x:v>Makeup</x:v>
      </x:c>
      <x:c r="G1521" s="3" t="str">
        <x:v>Matte Lipstick Set</x:v>
      </x:c>
      <x:c r="H1521" s="3" t="n">
        <x:v>1</x:v>
      </x:c>
      <x:c r="I1521" s="7" t="n">
        <x:v>961.48</x:v>
      </x:c>
      <x:c r="J1521" s="9" t="n">
        <x:v>0.05</x:v>
      </x:c>
      <x:c r="K1521" s="7" t="n">
        <x:v>913.41</x:v>
      </x:c>
      <x:c r="L1521" s="7" t="n">
        <x:v>484.02</x:v>
      </x:c>
      <x:c r="M1521" s="3" t="str">
        <x:v>UPI</x:v>
      </x:c>
      <x:c r="N1521" s="3"/>
      <x:c r="O1521" s="3"/>
      <x:c r="P1521" s="3"/>
      <x:c r="Q1521" s="3"/>
    </x:row>
    <x:row r="1522" ht="21" customHeight="1">
      <x:c r="A1522" s="3" t="str">
        <x:v>ORD-100895</x:v>
      </x:c>
      <x:c r="B1522" s="5" t="n">
        <x:v>45697</x:v>
      </x:c>
      <x:c r="C1522" s="3" t="str">
        <x:v>CUST-00001</x:v>
      </x:c>
      <x:c r="D1522" s="3" t="str">
        <x:v>North</x:v>
      </x:c>
      <x:c r="E1522" s="3" t="str">
        <x:v>Fashion</x:v>
      </x:c>
      <x:c r="F1522" s="3" t="str">
        <x:v>Men</x:v>
      </x:c>
      <x:c r="G1522" s="3" t="str">
        <x:v>Oxford Casual Shirt</x:v>
      </x:c>
      <x:c r="H1522" s="3" t="n">
        <x:v>3</x:v>
      </x:c>
      <x:c r="I1522" s="7" t="n">
        <x:v>1245.79</x:v>
      </x:c>
      <x:c r="J1522" s="9" t="n">
        <x:v>0</x:v>
      </x:c>
      <x:c r="K1522" s="7" t="n">
        <x:v>3737.37</x:v>
      </x:c>
      <x:c r="L1522" s="7" t="n">
        <x:v>1657.26</x:v>
      </x:c>
      <x:c r="M1522" s="3" t="str">
        <x:v>UPI</x:v>
      </x:c>
      <x:c r="N1522" s="3"/>
      <x:c r="O1522" s="3"/>
      <x:c r="P1522" s="3"/>
      <x:c r="Q1522" s="3"/>
    </x:row>
    <x:row r="1523" ht="21" customHeight="1">
      <x:c r="A1523" s="3" t="str">
        <x:v>ORD-101240</x:v>
      </x:c>
      <x:c r="B1523" s="5" t="n">
        <x:v>45697</x:v>
      </x:c>
      <x:c r="C1523" s="3" t="str">
        <x:v>CUST-00045</x:v>
      </x:c>
      <x:c r="D1523" s="3" t="str">
        <x:v>East</x:v>
      </x:c>
      <x:c r="E1523" s="3" t="str">
        <x:v>Sports</x:v>
      </x:c>
      <x:c r="F1523" s="3" t="str">
        <x:v>Fitness</x:v>
      </x:c>
      <x:c r="G1523" s="3" t="str">
        <x:v>Adjustable Dumbbell 24kg</x:v>
      </x:c>
      <x:c r="H1523" s="3" t="n">
        <x:v>1</x:v>
      </x:c>
      <x:c r="I1523" s="7" t="n">
        <x:v>10224.96</x:v>
      </x:c>
      <x:c r="J1523" s="9" t="n">
        <x:v>0.1</x:v>
      </x:c>
      <x:c r="K1523" s="7" t="n">
        <x:v>9202.46</x:v>
      </x:c>
      <x:c r="L1523" s="7" t="n">
        <x:v>2194.75</x:v>
      </x:c>
      <x:c r="M1523" s="3" t="str">
        <x:v>UPI</x:v>
      </x:c>
      <x:c r="N1523" s="3"/>
      <x:c r="O1523" s="3"/>
      <x:c r="P1523" s="3"/>
      <x:c r="Q1523" s="3"/>
    </x:row>
    <x:row r="1524" ht="21" customHeight="1">
      <x:c r="A1524" s="3" t="str">
        <x:v>ORD-101347</x:v>
      </x:c>
      <x:c r="B1524" s="5" t="n">
        <x:v>45697</x:v>
      </x:c>
      <x:c r="C1524" s="3" t="str">
        <x:v>CUST-00518</x:v>
      </x:c>
      <x:c r="D1524" s="3" t="str">
        <x:v>East</x:v>
      </x:c>
      <x:c r="E1524" s="3" t="str">
        <x:v>Home &amp; Kitchen</x:v>
      </x:c>
      <x:c r="F1524" s="3" t="str">
        <x:v>Furniture</x:v>
      </x:c>
      <x:c r="G1524" s="3" t="str">
        <x:v>ErgoComfort Chair</x:v>
      </x:c>
      <x:c r="H1524" s="3" t="n">
        <x:v>1</x:v>
      </x:c>
      <x:c r="I1524" s="7" t="n">
        <x:v>9325.86</x:v>
      </x:c>
      <x:c r="J1524" s="9" t="n">
        <x:v>0.2</x:v>
      </x:c>
      <x:c r="K1524" s="7" t="n">
        <x:v>7460.69</x:v>
      </x:c>
      <x:c r="L1524" s="7" t="n">
        <x:v>917.87</x:v>
      </x:c>
      <x:c r="M1524" s="3" t="str">
        <x:v>Credit Card</x:v>
      </x:c>
      <x:c r="N1524" s="3"/>
      <x:c r="O1524" s="3"/>
      <x:c r="P1524" s="3"/>
      <x:c r="Q1524" s="3"/>
    </x:row>
    <x:row r="1525" ht="21" customHeight="1">
      <x:c r="A1525" s="3" t="str">
        <x:v>ORD-100206</x:v>
      </x:c>
      <x:c r="B1525" s="5" t="n">
        <x:v>45699</x:v>
      </x:c>
      <x:c r="C1525" s="3" t="str">
        <x:v>CUST-00440</x:v>
      </x:c>
      <x:c r="D1525" s="3" t="str">
        <x:v>East</x:v>
      </x:c>
      <x:c r="E1525" s="3" t="str">
        <x:v>Home &amp; Kitchen</x:v>
      </x:c>
      <x:c r="F1525" s="3" t="str">
        <x:v>Decor</x:v>
      </x:c>
      <x:c r="G1525" s="3" t="str">
        <x:v>LED Wall Lamp</x:v>
      </x:c>
      <x:c r="H1525" s="3" t="n">
        <x:v>1</x:v>
      </x:c>
      <x:c r="I1525" s="7" t="n">
        <x:v>1026.39</x:v>
      </x:c>
      <x:c r="J1525" s="9" t="n">
        <x:v>0</x:v>
      </x:c>
      <x:c r="K1525" s="7" t="n">
        <x:v>1026.39</x:v>
      </x:c>
      <x:c r="L1525" s="7" t="n">
        <x:v>357.82</x:v>
      </x:c>
      <x:c r="M1525" s="3" t="str">
        <x:v>Credit Card</x:v>
      </x:c>
      <x:c r="N1525" s="3"/>
      <x:c r="O1525" s="3"/>
      <x:c r="P1525" s="3"/>
      <x:c r="Q1525" s="3"/>
    </x:row>
    <x:row r="1526" ht="21" customHeight="1">
      <x:c r="A1526" s="3" t="str">
        <x:v>ORD-100732</x:v>
      </x:c>
      <x:c r="B1526" s="5" t="n">
        <x:v>45699</x:v>
      </x:c>
      <x:c r="C1526" s="3" t="str">
        <x:v>CUST-00323</x:v>
      </x:c>
      <x:c r="D1526" s="3" t="str">
        <x:v>South</x:v>
      </x:c>
      <x:c r="E1526" s="3" t="str">
        <x:v>Beauty</x:v>
      </x:c>
      <x:c r="F1526" s="3" t="str">
        <x:v>Skincare</x:v>
      </x:c>
      <x:c r="G1526" s="3" t="str">
        <x:v>HydraBoost Moisturizer</x:v>
      </x:c>
      <x:c r="H1526" s="3" t="n">
        <x:v>1</x:v>
      </x:c>
      <x:c r="I1526" s="7" t="n">
        <x:v>1252.18</x:v>
      </x:c>
      <x:c r="J1526" s="9" t="n">
        <x:v>0.05</x:v>
      </x:c>
      <x:c r="K1526" s="7" t="n">
        <x:v>1189.57</x:v>
      </x:c>
      <x:c r="L1526" s="7" t="n">
        <x:v>539.09</x:v>
      </x:c>
      <x:c r="M1526" s="3" t="str">
        <x:v>UPI</x:v>
      </x:c>
      <x:c r="N1526" s="3"/>
      <x:c r="O1526" s="3"/>
      <x:c r="P1526" s="3"/>
      <x:c r="Q1526" s="3"/>
    </x:row>
    <x:row r="1527" ht="21" customHeight="1">
      <x:c r="A1527" s="3" t="str">
        <x:v>ORD-101013</x:v>
      </x:c>
      <x:c r="B1527" s="5" t="n">
        <x:v>45699</x:v>
      </x:c>
      <x:c r="C1527" s="3" t="str">
        <x:v>CUST-00294</x:v>
      </x:c>
      <x:c r="D1527" s="3" t="str">
        <x:v>North</x:v>
      </x:c>
      <x:c r="E1527" s="3" t="str">
        <x:v>Fashion</x:v>
      </x:c>
      <x:c r="F1527" s="3" t="str">
        <x:v>Footwear</x:v>
      </x:c>
      <x:c r="G1527" s="3" t="str">
        <x:v>RunFlex Sneakers</x:v>
      </x:c>
      <x:c r="H1527" s="3" t="n">
        <x:v>1</x:v>
      </x:c>
      <x:c r="I1527" s="7" t="n">
        <x:v>2896.71</x:v>
      </x:c>
      <x:c r="J1527" s="9" t="n">
        <x:v>0</x:v>
      </x:c>
      <x:c r="K1527" s="7" t="n">
        <x:v>2896.71</x:v>
      </x:c>
      <x:c r="L1527" s="7" t="n">
        <x:v>1284.1</x:v>
      </x:c>
      <x:c r="M1527" s="3" t="str">
        <x:v>Credit Card</x:v>
      </x:c>
      <x:c r="N1527" s="3"/>
      <x:c r="O1527" s="3"/>
      <x:c r="P1527" s="3"/>
      <x:c r="Q1527" s="3"/>
    </x:row>
    <x:row r="1528" ht="21" customHeight="1">
      <x:c r="A1528" s="3" t="str">
        <x:v>ORD-101319</x:v>
      </x:c>
      <x:c r="B1528" s="5" t="n">
        <x:v>45699</x:v>
      </x:c>
      <x:c r="C1528" s="3" t="str">
        <x:v>CUST-00047</x:v>
      </x:c>
      <x:c r="D1528" s="3" t="str">
        <x:v>East</x:v>
      </x:c>
      <x:c r="E1528" s="3" t="str">
        <x:v>Beauty</x:v>
      </x:c>
      <x:c r="F1528" s="3" t="str">
        <x:v>Skincare</x:v>
      </x:c>
      <x:c r="G1528" s="3" t="str">
        <x:v>HydraBoost Moisturizer</x:v>
      </x:c>
      <x:c r="H1528" s="3" t="n">
        <x:v>2</x:v>
      </x:c>
      <x:c r="I1528" s="7" t="n">
        <x:v>1232.46</x:v>
      </x:c>
      <x:c r="J1528" s="9" t="n">
        <x:v>0.05</x:v>
      </x:c>
      <x:c r="K1528" s="7" t="n">
        <x:v>2341.67</x:v>
      </x:c>
      <x:c r="L1528" s="7" t="n">
        <x:v>1145.82</x:v>
      </x:c>
      <x:c r="M1528" s="3" t="str">
        <x:v>Debit Card</x:v>
      </x:c>
      <x:c r="N1528" s="3"/>
      <x:c r="O1528" s="3"/>
      <x:c r="P1528" s="3"/>
      <x:c r="Q1528" s="3"/>
    </x:row>
    <x:row r="1529" ht="21" customHeight="1">
      <x:c r="A1529" s="3" t="str">
        <x:v>ORD-100006</x:v>
      </x:c>
      <x:c r="B1529" s="5" t="n">
        <x:v>45700</x:v>
      </x:c>
      <x:c r="C1529" s="3" t="str">
        <x:v>CUST-00142</x:v>
      </x:c>
      <x:c r="D1529" s="3" t="str">
        <x:v>East</x:v>
      </x:c>
      <x:c r="E1529" s="3" t="str">
        <x:v>Sports</x:v>
      </x:c>
      <x:c r="F1529" s="3" t="str">
        <x:v>Outdoor</x:v>
      </x:c>
      <x:c r="G1529" s="3" t="str">
        <x:v>TrailHike Backpack 60L</x:v>
      </x:c>
      <x:c r="H1529" s="3" t="n">
        <x:v>1</x:v>
      </x:c>
      <x:c r="I1529" s="7" t="n">
        <x:v>3520.47</x:v>
      </x:c>
      <x:c r="J1529" s="9" t="n">
        <x:v>0</x:v>
      </x:c>
      <x:c r="K1529" s="7" t="n">
        <x:v>3520.47</x:v>
      </x:c>
      <x:c r="L1529" s="7" t="n">
        <x:v>1270.96</x:v>
      </x:c>
      <x:c r="M1529" s="3" t="str">
        <x:v>Net Banking</x:v>
      </x:c>
      <x:c r="N1529" s="3"/>
      <x:c r="O1529" s="3"/>
      <x:c r="P1529" s="3"/>
      <x:c r="Q1529" s="3"/>
    </x:row>
    <x:row r="1530" ht="21" customHeight="1">
      <x:c r="A1530" s="3" t="str">
        <x:v>ORD-101568</x:v>
      </x:c>
      <x:c r="B1530" s="5" t="n">
        <x:v>45700</x:v>
      </x:c>
      <x:c r="C1530" s="3" t="str">
        <x:v>CUST-00174</x:v>
      </x:c>
      <x:c r="D1530" s="3" t="str">
        <x:v>South</x:v>
      </x:c>
      <x:c r="E1530" s="3" t="str">
        <x:v>Electronics</x:v>
      </x:c>
      <x:c r="F1530" s="3" t="str">
        <x:v>Mobile</x:v>
      </x:c>
      <x:c r="G1530" s="3" t="str">
        <x:v>Pixel Aura 12</x:v>
      </x:c>
      <x:c r="H1530" s="3" t="n">
        <x:v>1</x:v>
      </x:c>
      <x:c r="I1530" s="7" t="n">
        <x:v>33617.87</x:v>
      </x:c>
      <x:c r="J1530" s="9" t="n">
        <x:v>0.05</x:v>
      </x:c>
      <x:c r="K1530" s="7" t="n">
        <x:v>31936.98</x:v>
      </x:c>
      <x:c r="L1530" s="7" t="n">
        <x:v>3184.4</x:v>
      </x:c>
      <x:c r="M1530" s="3" t="str">
        <x:v>UPI</x:v>
      </x:c>
      <x:c r="N1530" s="3"/>
      <x:c r="O1530" s="3"/>
      <x:c r="P1530" s="3"/>
      <x:c r="Q1530" s="3"/>
    </x:row>
    <x:row r="1531" ht="21" customHeight="1">
      <x:c r="A1531" s="3" t="str">
        <x:v>ORD-101792</x:v>
      </x:c>
      <x:c r="B1531" s="5" t="n">
        <x:v>45700</x:v>
      </x:c>
      <x:c r="C1531" s="3" t="str">
        <x:v>CUST-00244</x:v>
      </x:c>
      <x:c r="D1531" s="3" t="str">
        <x:v>North</x:v>
      </x:c>
      <x:c r="E1531" s="3" t="str">
        <x:v>Fashion</x:v>
      </x:c>
      <x:c r="F1531" s="3" t="str">
        <x:v>Women</x:v>
      </x:c>
      <x:c r="G1531" s="3" t="str">
        <x:v>Floral Summer Dress</x:v>
      </x:c>
      <x:c r="H1531" s="3" t="n">
        <x:v>1</x:v>
      </x:c>
      <x:c r="I1531" s="7" t="n">
        <x:v>1788.8</x:v>
      </x:c>
      <x:c r="J1531" s="9" t="n">
        <x:v>0.1</x:v>
      </x:c>
      <x:c r="K1531" s="7" t="n">
        <x:v>1609.92</x:v>
      </x:c>
      <x:c r="L1531" s="7" t="n">
        <x:v>453.08</x:v>
      </x:c>
      <x:c r="M1531" s="3" t="str">
        <x:v>UPI</x:v>
      </x:c>
      <x:c r="N1531" s="3"/>
      <x:c r="O1531" s="3"/>
      <x:c r="P1531" s="3"/>
      <x:c r="Q1531" s="3"/>
    </x:row>
    <x:row r="1532" ht="21" customHeight="1">
      <x:c r="A1532" s="3" t="str">
        <x:v>ORD-101817</x:v>
      </x:c>
      <x:c r="B1532" s="5" t="n">
        <x:v>45700</x:v>
      </x:c>
      <x:c r="C1532" s="3" t="str">
        <x:v>CUST-00185</x:v>
      </x:c>
      <x:c r="D1532" s="3" t="str">
        <x:v>North</x:v>
      </x:c>
      <x:c r="E1532" s="3" t="str">
        <x:v>Home &amp; Kitchen</x:v>
      </x:c>
      <x:c r="F1532" s="3" t="str">
        <x:v>Decor</x:v>
      </x:c>
      <x:c r="G1532" s="3" t="str">
        <x:v>Ceramic Vase Set</x:v>
      </x:c>
      <x:c r="H1532" s="3" t="n">
        <x:v>2</x:v>
      </x:c>
      <x:c r="I1532" s="7" t="n">
        <x:v>1548.73</x:v>
      </x:c>
      <x:c r="J1532" s="9" t="n">
        <x:v>0.3</x:v>
      </x:c>
      <x:c r="K1532" s="7" t="n">
        <x:v>2168.22</x:v>
      </x:c>
      <x:c r="L1532" s="7" t="n">
        <x:v>16.36</x:v>
      </x:c>
      <x:c r="M1532" s="3" t="str">
        <x:v>UPI</x:v>
      </x:c>
      <x:c r="N1532" s="3"/>
      <x:c r="O1532" s="3"/>
      <x:c r="P1532" s="3"/>
      <x:c r="Q1532" s="3"/>
    </x:row>
    <x:row r="1533" ht="21" customHeight="1">
      <x:c r="A1533" s="3" t="str">
        <x:v>ORD-101142</x:v>
      </x:c>
      <x:c r="B1533" s="5" t="n">
        <x:v>45702</x:v>
      </x:c>
      <x:c r="C1533" s="3" t="str">
        <x:v>CUST-00241</x:v>
      </x:c>
      <x:c r="D1533" s="3" t="str">
        <x:v>South</x:v>
      </x:c>
      <x:c r="E1533" s="3" t="str">
        <x:v>Electronics</x:v>
      </x:c>
      <x:c r="F1533" s="3" t="str">
        <x:v>Laptop</x:v>
      </x:c>
      <x:c r="G1533" s="3" t="str">
        <x:v>AirBook Slim</x:v>
      </x:c>
      <x:c r="H1533" s="3" t="n">
        <x:v>2</x:v>
      </x:c>
      <x:c r="I1533" s="7" t="n">
        <x:v>81450.11</x:v>
      </x:c>
      <x:c r="J1533" s="9" t="n">
        <x:v>0.1</x:v>
      </x:c>
      <x:c r="K1533" s="7" t="n">
        <x:v>146610.2</x:v>
      </x:c>
      <x:c r="L1533" s="7" t="n">
        <x:v>7872.99</x:v>
      </x:c>
      <x:c r="M1533" s="3" t="str">
        <x:v>UPI</x:v>
      </x:c>
      <x:c r="N1533" s="3"/>
      <x:c r="O1533" s="3"/>
      <x:c r="P1533" s="3"/>
      <x:c r="Q1533" s="3"/>
    </x:row>
    <x:row r="1534" ht="21" customHeight="1">
      <x:c r="A1534" s="3" t="str">
        <x:v>ORD-100139</x:v>
      </x:c>
      <x:c r="B1534" s="5" t="n">
        <x:v>45703</x:v>
      </x:c>
      <x:c r="C1534" s="3" t="str">
        <x:v>CUST-00047</x:v>
      </x:c>
      <x:c r="D1534" s="3" t="str">
        <x:v>North</x:v>
      </x:c>
      <x:c r="E1534" s="3" t="str">
        <x:v>Fashion</x:v>
      </x:c>
      <x:c r="F1534" s="3" t="str">
        <x:v>Men</x:v>
      </x:c>
      <x:c r="G1534" s="3" t="str">
        <x:v>Oxford Casual Shirt</x:v>
      </x:c>
      <x:c r="H1534" s="3" t="n">
        <x:v>1</x:v>
      </x:c>
      <x:c r="I1534" s="7" t="n">
        <x:v>1306.51</x:v>
      </x:c>
      <x:c r="J1534" s="9" t="n">
        <x:v>0.4</x:v>
      </x:c>
      <x:c r="K1534" s="7" t="n">
        <x:v>783.91</x:v>
      </x:c>
      <x:c r="L1534" s="7" t="n">
        <x:v>-39.78</x:v>
      </x:c>
      <x:c r="M1534" s="3" t="str">
        <x:v>Credit Card</x:v>
      </x:c>
      <x:c r="N1534" s="3"/>
      <x:c r="O1534" s="3"/>
      <x:c r="P1534" s="3"/>
      <x:c r="Q1534" s="3"/>
    </x:row>
    <x:row r="1535" ht="21" customHeight="1">
      <x:c r="A1535" s="3" t="str">
        <x:v>ORD-100456</x:v>
      </x:c>
      <x:c r="B1535" s="5" t="n">
        <x:v>45703</x:v>
      </x:c>
      <x:c r="C1535" s="3" t="str">
        <x:v>CUST-00590</x:v>
      </x:c>
      <x:c r="D1535" s="3" t="str">
        <x:v>South</x:v>
      </x:c>
      <x:c r="E1535" s="3" t="str">
        <x:v>Electronics</x:v>
      </x:c>
      <x:c r="F1535" s="3" t="str">
        <x:v>Mobile</x:v>
      </x:c>
      <x:c r="G1535" s="3" t="str">
        <x:v>Pixel Aura 12</x:v>
      </x:c>
      <x:c r="H1535" s="3" t="n">
        <x:v>2</x:v>
      </x:c>
      <x:c r="I1535" s="7" t="n">
        <x:v>31557.31</x:v>
      </x:c>
      <x:c r="J1535" s="9" t="n">
        <x:v>0.1</x:v>
      </x:c>
      <x:c r="K1535" s="7" t="n">
        <x:v>56803.16</x:v>
      </x:c>
      <x:c r="L1535" s="7" t="n">
        <x:v>2340.93</x:v>
      </x:c>
      <x:c r="M1535" s="3" t="str">
        <x:v>Debit Card</x:v>
      </x:c>
      <x:c r="N1535" s="3"/>
      <x:c r="O1535" s="3"/>
      <x:c r="P1535" s="3"/>
      <x:c r="Q1535" s="3"/>
    </x:row>
    <x:row r="1536" ht="21" customHeight="1">
      <x:c r="A1536" s="3" t="str">
        <x:v>ORD-101010</x:v>
      </x:c>
      <x:c r="B1536" s="5" t="n">
        <x:v>45703</x:v>
      </x:c>
      <x:c r="C1536" s="3" t="str">
        <x:v>CUST-00146</x:v>
      </x:c>
      <x:c r="D1536" s="3" t="str">
        <x:v>West</x:v>
      </x:c>
      <x:c r="E1536" s="3" t="str">
        <x:v>Fashion</x:v>
      </x:c>
      <x:c r="F1536" s="3" t="str">
        <x:v>Footwear</x:v>
      </x:c>
      <x:c r="G1536" s="3" t="str">
        <x:v>RunFlex Sneakers</x:v>
      </x:c>
      <x:c r="H1536" s="3" t="n">
        <x:v>4</x:v>
      </x:c>
      <x:c r="I1536" s="7" t="n">
        <x:v>2921.14</x:v>
      </x:c>
      <x:c r="J1536" s="9" t="n">
        <x:v>0</x:v>
      </x:c>
      <x:c r="K1536" s="7" t="n">
        <x:v>11684.56</x:v>
      </x:c>
      <x:c r="L1536" s="7" t="n">
        <x:v>5200.69</x:v>
      </x:c>
      <x:c r="M1536" s="3" t="str">
        <x:v>Cash on Delivery</x:v>
      </x:c>
      <x:c r="N1536" s="3"/>
      <x:c r="O1536" s="3"/>
      <x:c r="P1536" s="3"/>
      <x:c r="Q1536" s="3"/>
    </x:row>
    <x:row r="1537" ht="21" customHeight="1">
      <x:c r="A1537" s="3" t="str">
        <x:v>ORD-101826</x:v>
      </x:c>
      <x:c r="B1537" s="5" t="n">
        <x:v>45703</x:v>
      </x:c>
      <x:c r="C1537" s="3" t="str">
        <x:v>CUST-00256</x:v>
      </x:c>
      <x:c r="D1537" s="3" t="str">
        <x:v>North</x:v>
      </x:c>
      <x:c r="E1537" s="3" t="str">
        <x:v>Sports</x:v>
      </x:c>
      <x:c r="F1537" s="3" t="str">
        <x:v>Fitness</x:v>
      </x:c>
      <x:c r="G1537" s="3" t="str">
        <x:v>ProYoga Mat</x:v>
      </x:c>
      <x:c r="H1537" s="3" t="n">
        <x:v>1</x:v>
      </x:c>
      <x:c r="I1537" s="7" t="n">
        <x:v>1329.99</x:v>
      </x:c>
      <x:c r="J1537" s="9" t="n">
        <x:v>0</x:v>
      </x:c>
      <x:c r="K1537" s="7" t="n">
        <x:v>1329.99</x:v>
      </x:c>
      <x:c r="L1537" s="7" t="n">
        <x:v>512.46</x:v>
      </x:c>
      <x:c r="M1537" s="3" t="str">
        <x:v>Cash on Delivery</x:v>
      </x:c>
      <x:c r="N1537" s="3"/>
      <x:c r="O1537" s="3"/>
      <x:c r="P1537" s="3"/>
      <x:c r="Q1537" s="3"/>
    </x:row>
    <x:row r="1538" ht="21" customHeight="1">
      <x:c r="A1538" s="3" t="str">
        <x:v>ORD-101859</x:v>
      </x:c>
      <x:c r="B1538" s="5" t="n">
        <x:v>45703</x:v>
      </x:c>
      <x:c r="C1538" s="3" t="str">
        <x:v>CUST-00373</x:v>
      </x:c>
      <x:c r="D1538" s="3" t="str">
        <x:v>South</x:v>
      </x:c>
      <x:c r="E1538" s="3" t="str">
        <x:v>Beauty</x:v>
      </x:c>
      <x:c r="F1538" s="3" t="str">
        <x:v>Skincare</x:v>
      </x:c>
      <x:c r="G1538" s="3" t="str">
        <x:v>Vitamin C Serum</x:v>
      </x:c>
      <x:c r="H1538" s="3" t="n">
        <x:v>1</x:v>
      </x:c>
      <x:c r="I1538" s="7" t="n">
        <x:v>943.09</x:v>
      </x:c>
      <x:c r="J1538" s="9" t="n">
        <x:v>0</x:v>
      </x:c>
      <x:c r="K1538" s="7" t="n">
        <x:v>943.09</x:v>
      </x:c>
      <x:c r="L1538" s="7" t="n">
        <x:v>533.85</x:v>
      </x:c>
      <x:c r="M1538" s="3" t="str">
        <x:v>Credit Card</x:v>
      </x:c>
      <x:c r="N1538" s="3"/>
      <x:c r="O1538" s="3"/>
      <x:c r="P1538" s="3"/>
      <x:c r="Q1538" s="3"/>
    </x:row>
    <x:row r="1539" ht="21" customHeight="1">
      <x:c r="A1539" s="3" t="str">
        <x:v>ORD-101376</x:v>
      </x:c>
      <x:c r="B1539" s="5" t="n">
        <x:v>45704</x:v>
      </x:c>
      <x:c r="C1539" s="3" t="str">
        <x:v>CUST-00188</x:v>
      </x:c>
      <x:c r="D1539" s="3" t="str">
        <x:v>North</x:v>
      </x:c>
      <x:c r="E1539" s="3" t="str">
        <x:v>Beauty</x:v>
      </x:c>
      <x:c r="F1539" s="3" t="str">
        <x:v>Skincare</x:v>
      </x:c>
      <x:c r="G1539" s="3" t="str">
        <x:v>Vitamin C Serum</x:v>
      </x:c>
      <x:c r="H1539" s="3" t="n">
        <x:v>4</x:v>
      </x:c>
      <x:c r="I1539" s="7" t="n">
        <x:v>860.41</x:v>
      </x:c>
      <x:c r="J1539" s="9" t="n">
        <x:v>0.15</x:v>
      </x:c>
      <x:c r="K1539" s="7" t="n">
        <x:v>2925.39</x:v>
      </x:c>
      <x:c r="L1539" s="7" t="n">
        <x:v>1047.66</x:v>
      </x:c>
      <x:c r="M1539" s="3" t="str">
        <x:v>UPI</x:v>
      </x:c>
      <x:c r="N1539" s="3"/>
      <x:c r="O1539" s="3"/>
      <x:c r="P1539" s="3"/>
      <x:c r="Q1539" s="3"/>
    </x:row>
    <x:row r="1540" ht="21" customHeight="1">
      <x:c r="A1540" s="3" t="str">
        <x:v>ORD-101583</x:v>
      </x:c>
      <x:c r="B1540" s="5" t="n">
        <x:v>45704</x:v>
      </x:c>
      <x:c r="C1540" s="3" t="str">
        <x:v>CUST-00114</x:v>
      </x:c>
      <x:c r="D1540" s="3" t="str">
        <x:v>North</x:v>
      </x:c>
      <x:c r="E1540" s="3" t="str">
        <x:v>Electronics</x:v>
      </x:c>
      <x:c r="F1540" s="3" t="str">
        <x:v>Laptop</x:v>
      </x:c>
      <x:c r="G1540" s="3" t="str">
        <x:v>AirBook Slim</x:v>
      </x:c>
      <x:c r="H1540" s="3" t="n">
        <x:v>1</x:v>
      </x:c>
      <x:c r="I1540" s="7" t="n">
        <x:v>76769.68</x:v>
      </x:c>
      <x:c r="J1540" s="9" t="n">
        <x:v>0</x:v>
      </x:c>
      <x:c r="K1540" s="7" t="n">
        <x:v>76769.68</x:v>
      </x:c>
      <x:c r="L1540" s="7" t="n">
        <x:v>11122.14</x:v>
      </x:c>
      <x:c r="M1540" s="3" t="str">
        <x:v>Credit Card</x:v>
      </x:c>
      <x:c r="N1540" s="3"/>
      <x:c r="O1540" s="3"/>
      <x:c r="P1540" s="3"/>
      <x:c r="Q1540" s="3"/>
    </x:row>
    <x:row r="1541" ht="21" customHeight="1">
      <x:c r="A1541" s="3" t="str">
        <x:v>ORD-100274</x:v>
      </x:c>
      <x:c r="B1541" s="5" t="n">
        <x:v>45705</x:v>
      </x:c>
      <x:c r="C1541" s="3" t="str">
        <x:v>CUST-00230</x:v>
      </x:c>
      <x:c r="D1541" s="3" t="str">
        <x:v>South</x:v>
      </x:c>
      <x:c r="E1541" s="3" t="str">
        <x:v>Beauty</x:v>
      </x:c>
      <x:c r="F1541" s="3" t="str">
        <x:v>Makeup</x:v>
      </x:c>
      <x:c r="G1541" s="3" t="str">
        <x:v>HD Foundation Kit</x:v>
      </x:c>
      <x:c r="H1541" s="3" t="n">
        <x:v>3</x:v>
      </x:c>
      <x:c r="I1541" s="7" t="n">
        <x:v>1475.43</x:v>
      </x:c>
      <x:c r="J1541" s="9" t="n">
        <x:v>0.4</x:v>
      </x:c>
      <x:c r="K1541" s="7" t="n">
        <x:v>2655.77</x:v>
      </x:c>
      <x:c r="L1541" s="7" t="n">
        <x:v>324.3</x:v>
      </x:c>
      <x:c r="M1541" s="3" t="str">
        <x:v>UPI</x:v>
      </x:c>
      <x:c r="N1541" s="3"/>
      <x:c r="O1541" s="3"/>
      <x:c r="P1541" s="3"/>
      <x:c r="Q1541" s="3"/>
    </x:row>
    <x:row r="1542" ht="21" customHeight="1">
      <x:c r="A1542" s="3" t="str">
        <x:v>ORD-100671</x:v>
      </x:c>
      <x:c r="B1542" s="5" t="n">
        <x:v>45705</x:v>
      </x:c>
      <x:c r="C1542" s="3" t="str">
        <x:v>CUST-00122</x:v>
      </x:c>
      <x:c r="D1542" s="3" t="str">
        <x:v>South</x:v>
      </x:c>
      <x:c r="E1542" s="3" t="str">
        <x:v>Fashion</x:v>
      </x:c>
      <x:c r="F1542" s="3" t="str">
        <x:v>Men</x:v>
      </x:c>
      <x:c r="G1542" s="3" t="str">
        <x:v>SlimFit Denim Jeans</x:v>
      </x:c>
      <x:c r="H1542" s="3" t="n">
        <x:v>1</x:v>
      </x:c>
      <x:c r="I1542" s="7" t="n">
        <x:v>2087.97</x:v>
      </x:c>
      <x:c r="J1542" s="9" t="n">
        <x:v>0.05</x:v>
      </x:c>
      <x:c r="K1542" s="7" t="n">
        <x:v>1983.57</x:v>
      </x:c>
      <x:c r="L1542" s="7" t="n">
        <x:v>658.32</x:v>
      </x:c>
      <x:c r="M1542" s="3" t="str">
        <x:v>UPI</x:v>
      </x:c>
      <x:c r="N1542" s="3"/>
      <x:c r="O1542" s="3"/>
      <x:c r="P1542" s="3"/>
      <x:c r="Q1542" s="3"/>
    </x:row>
    <x:row r="1543" ht="21" customHeight="1">
      <x:c r="A1543" s="3" t="str">
        <x:v>ORD-100942</x:v>
      </x:c>
      <x:c r="B1543" s="5" t="n">
        <x:v>45705</x:v>
      </x:c>
      <x:c r="C1543" s="3" t="str">
        <x:v>CUST-00419</x:v>
      </x:c>
      <x:c r="D1543" s="3" t="str">
        <x:v>South</x:v>
      </x:c>
      <x:c r="E1543" s="3" t="str">
        <x:v>Sports</x:v>
      </x:c>
      <x:c r="F1543" s="3" t="str">
        <x:v>Outdoor</x:v>
      </x:c>
      <x:c r="G1543" s="3" t="str">
        <x:v>AllWeather Tent 4P</x:v>
      </x:c>
      <x:c r="H1543" s="3" t="n">
        <x:v>1</x:v>
      </x:c>
      <x:c r="I1543" s="7" t="n">
        <x:v>11823.73</x:v>
      </x:c>
      <x:c r="J1543" s="9" t="n">
        <x:v>0.05</x:v>
      </x:c>
      <x:c r="K1543" s="7" t="n">
        <x:v>11232.54</x:v>
      </x:c>
      <x:c r="L1543" s="7" t="n">
        <x:v>3842.84</x:v>
      </x:c>
      <x:c r="M1543" s="3" t="str">
        <x:v>Credit Card</x:v>
      </x:c>
      <x:c r="N1543" s="3"/>
      <x:c r="O1543" s="3"/>
      <x:c r="P1543" s="3"/>
      <x:c r="Q1543" s="3"/>
    </x:row>
    <x:row r="1544" ht="21" customHeight="1">
      <x:c r="A1544" s="3" t="str">
        <x:v>ORD-101446</x:v>
      </x:c>
      <x:c r="B1544" s="5" t="n">
        <x:v>45705</x:v>
      </x:c>
      <x:c r="C1544" s="3" t="str">
        <x:v>CUST-00581</x:v>
      </x:c>
      <x:c r="D1544" s="3" t="str">
        <x:v>East</x:v>
      </x:c>
      <x:c r="E1544" s="3" t="str">
        <x:v>Fashion</x:v>
      </x:c>
      <x:c r="F1544" s="3" t="str">
        <x:v>Footwear</x:v>
      </x:c>
      <x:c r="G1544" s="3" t="str">
        <x:v>RunFlex Sneakers</x:v>
      </x:c>
      <x:c r="H1544" s="3" t="n">
        <x:v>1</x:v>
      </x:c>
      <x:c r="I1544" s="7" t="n">
        <x:v>2997.84</x:v>
      </x:c>
      <x:c r="J1544" s="9" t="n">
        <x:v>0.2</x:v>
      </x:c>
      <x:c r="K1544" s="7" t="n">
        <x:v>2398.27</x:v>
      </x:c>
      <x:c r="L1544" s="7" t="n">
        <x:v>385.83</x:v>
      </x:c>
      <x:c r="M1544" s="3" t="str">
        <x:v>UPI</x:v>
      </x:c>
      <x:c r="N1544" s="3"/>
      <x:c r="O1544" s="3"/>
      <x:c r="P1544" s="3"/>
      <x:c r="Q1544" s="3"/>
    </x:row>
    <x:row r="1545" ht="21" customHeight="1">
      <x:c r="A1545" s="3" t="str">
        <x:v>ORD-101832</x:v>
      </x:c>
      <x:c r="B1545" s="5" t="n">
        <x:v>45705</x:v>
      </x:c>
      <x:c r="C1545" s="3" t="str">
        <x:v>CUST-00341</x:v>
      </x:c>
      <x:c r="D1545" s="3" t="str">
        <x:v>East</x:v>
      </x:c>
      <x:c r="E1545" s="3" t="str">
        <x:v>Home &amp; Kitchen</x:v>
      </x:c>
      <x:c r="F1545" s="3" t="str">
        <x:v>Appliances</x:v>
      </x:c>
      <x:c r="G1545" s="3" t="str">
        <x:v>ColdBrew Coffee Maker</x:v>
      </x:c>
      <x:c r="H1545" s="3" t="n">
        <x:v>1</x:v>
      </x:c>
      <x:c r="I1545" s="7" t="n">
        <x:v>6324.86</x:v>
      </x:c>
      <x:c r="J1545" s="9" t="n">
        <x:v>0.05</x:v>
      </x:c>
      <x:c r="K1545" s="7" t="n">
        <x:v>6008.62</x:v>
      </x:c>
      <x:c r="L1545" s="7" t="n">
        <x:v>1591.57</x:v>
      </x:c>
      <x:c r="M1545" s="3" t="str">
        <x:v>UPI</x:v>
      </x:c>
      <x:c r="N1545" s="3"/>
      <x:c r="O1545" s="3"/>
      <x:c r="P1545" s="3"/>
      <x:c r="Q1545" s="3"/>
    </x:row>
    <x:row r="1546" ht="21" customHeight="1">
      <x:c r="A1546" s="3" t="str">
        <x:v>ORD-101112</x:v>
      </x:c>
      <x:c r="B1546" s="5" t="n">
        <x:v>45706</x:v>
      </x:c>
      <x:c r="C1546" s="3" t="str">
        <x:v>CUST-00298</x:v>
      </x:c>
      <x:c r="D1546" s="3" t="str">
        <x:v>North</x:v>
      </x:c>
      <x:c r="E1546" s="3" t="str">
        <x:v>Fashion</x:v>
      </x:c>
      <x:c r="F1546" s="3" t="str">
        <x:v>Footwear</x:v>
      </x:c>
      <x:c r="G1546" s="3" t="str">
        <x:v>RunFlex Sneakers</x:v>
      </x:c>
      <x:c r="H1546" s="3" t="n">
        <x:v>2</x:v>
      </x:c>
      <x:c r="I1546" s="7" t="n">
        <x:v>2962.31</x:v>
      </x:c>
      <x:c r="J1546" s="9" t="n">
        <x:v>0.1</x:v>
      </x:c>
      <x:c r="K1546" s="7" t="n">
        <x:v>5332.16</x:v>
      </x:c>
      <x:c r="L1546" s="7" t="n">
        <x:v>1749.19</x:v>
      </x:c>
      <x:c r="M1546" s="3" t="str">
        <x:v>UPI</x:v>
      </x:c>
      <x:c r="N1546" s="3"/>
      <x:c r="O1546" s="3"/>
      <x:c r="P1546" s="3"/>
      <x:c r="Q1546" s="3"/>
    </x:row>
    <x:row r="1547" ht="21" customHeight="1">
      <x:c r="A1547" s="3" t="str">
        <x:v>ORD-101360</x:v>
      </x:c>
      <x:c r="B1547" s="5" t="n">
        <x:v>45706</x:v>
      </x:c>
      <x:c r="C1547" s="3" t="str">
        <x:v>CUST-00471</x:v>
      </x:c>
      <x:c r="D1547" s="3" t="str">
        <x:v>South</x:v>
      </x:c>
      <x:c r="E1547" s="3" t="str">
        <x:v>Home &amp; Kitchen</x:v>
      </x:c>
      <x:c r="F1547" s="3" t="str">
        <x:v>Appliances</x:v>
      </x:c>
      <x:c r="G1547" s="3" t="str">
        <x:v>AirFryer Deluxe</x:v>
      </x:c>
      <x:c r="H1547" s="3" t="n">
        <x:v>1</x:v>
      </x:c>
      <x:c r="I1547" s="7" t="n">
        <x:v>7834.38</x:v>
      </x:c>
      <x:c r="J1547" s="9" t="n">
        <x:v>0.1</x:v>
      </x:c>
      <x:c r="K1547" s="7" t="n">
        <x:v>7050.94</x:v>
      </x:c>
      <x:c r="L1547" s="7" t="n">
        <x:v>1313.35</x:v>
      </x:c>
      <x:c r="M1547" s="3" t="str">
        <x:v>Credit Card</x:v>
      </x:c>
      <x:c r="N1547" s="3"/>
      <x:c r="O1547" s="3"/>
      <x:c r="P1547" s="3"/>
      <x:c r="Q1547" s="3"/>
    </x:row>
    <x:row r="1548" ht="21" customHeight="1">
      <x:c r="A1548" s="3" t="str">
        <x:v>ORD-101718</x:v>
      </x:c>
      <x:c r="B1548" s="5" t="n">
        <x:v>45706</x:v>
      </x:c>
      <x:c r="C1548" s="3" t="str">
        <x:v>CUST-00054</x:v>
      </x:c>
      <x:c r="D1548" s="3" t="str">
        <x:v>South</x:v>
      </x:c>
      <x:c r="E1548" s="3" t="str">
        <x:v>Sports</x:v>
      </x:c>
      <x:c r="F1548" s="3" t="str">
        <x:v>Outdoor</x:v>
      </x:c>
      <x:c r="G1548" s="3" t="str">
        <x:v>TrailHike Backpack 60L</x:v>
      </x:c>
      <x:c r="H1548" s="3" t="n">
        <x:v>2</x:v>
      </x:c>
      <x:c r="I1548" s="7" t="n">
        <x:v>3661.48</x:v>
      </x:c>
      <x:c r="J1548" s="9" t="n">
        <x:v>0.05</x:v>
      </x:c>
      <x:c r="K1548" s="7" t="n">
        <x:v>6956.81</x:v>
      </x:c>
      <x:c r="L1548" s="7" t="n">
        <x:v>2330.75</x:v>
      </x:c>
      <x:c r="M1548" s="3" t="str">
        <x:v>Credit Card</x:v>
      </x:c>
      <x:c r="N1548" s="3"/>
      <x:c r="O1548" s="3"/>
      <x:c r="P1548" s="3"/>
      <x:c r="Q1548" s="3"/>
    </x:row>
    <x:row r="1549" ht="21" customHeight="1">
      <x:c r="A1549" s="3" t="str">
        <x:v>ORD-100175</x:v>
      </x:c>
      <x:c r="B1549" s="5" t="n">
        <x:v>45707</x:v>
      </x:c>
      <x:c r="C1549" s="3" t="str">
        <x:v>CUST-00250</x:v>
      </x:c>
      <x:c r="D1549" s="3" t="str">
        <x:v>South</x:v>
      </x:c>
      <x:c r="E1549" s="3" t="str">
        <x:v>Beauty</x:v>
      </x:c>
      <x:c r="F1549" s="3" t="str">
        <x:v>Skincare</x:v>
      </x:c>
      <x:c r="G1549" s="3" t="str">
        <x:v>Vitamin C Serum</x:v>
      </x:c>
      <x:c r="H1549" s="3" t="n">
        <x:v>1</x:v>
      </x:c>
      <x:c r="I1549" s="7" t="n">
        <x:v>927.34</x:v>
      </x:c>
      <x:c r="J1549" s="9" t="n">
        <x:v>0.1</x:v>
      </x:c>
      <x:c r="K1549" s="7" t="n">
        <x:v>834.61</x:v>
      </x:c>
      <x:c r="L1549" s="7" t="n">
        <x:v>347.52</x:v>
      </x:c>
      <x:c r="M1549" s="3" t="str">
        <x:v>UPI</x:v>
      </x:c>
      <x:c r="N1549" s="3"/>
      <x:c r="O1549" s="3"/>
      <x:c r="P1549" s="3"/>
      <x:c r="Q1549" s="3"/>
    </x:row>
    <x:row r="1550" ht="21" customHeight="1">
      <x:c r="A1550" s="3" t="str">
        <x:v>ORD-100470</x:v>
      </x:c>
      <x:c r="B1550" s="5" t="n">
        <x:v>45707</x:v>
      </x:c>
      <x:c r="C1550" s="3" t="str">
        <x:v>CUST-00380</x:v>
      </x:c>
      <x:c r="D1550" s="3" t="str">
        <x:v>East</x:v>
      </x:c>
      <x:c r="E1550" s="3" t="str">
        <x:v>Electronics</x:v>
      </x:c>
      <x:c r="F1550" s="3" t="str">
        <x:v>Mobile</x:v>
      </x:c>
      <x:c r="G1550" s="3" t="str">
        <x:v>Pixel Aura 12</x:v>
      </x:c>
      <x:c r="H1550" s="3" t="n">
        <x:v>2</x:v>
      </x:c>
      <x:c r="I1550" s="7" t="n">
        <x:v>32864.64</x:v>
      </x:c>
      <x:c r="J1550" s="9" t="n">
        <x:v>0</x:v>
      </x:c>
      <x:c r="K1550" s="7" t="n">
        <x:v>65729.28</x:v>
      </x:c>
      <x:c r="L1550" s="7" t="n">
        <x:v>12201.36</x:v>
      </x:c>
      <x:c r="M1550" s="3" t="str">
        <x:v>Cash on Delivery</x:v>
      </x:c>
      <x:c r="N1550" s="3"/>
      <x:c r="O1550" s="3"/>
      <x:c r="P1550" s="3"/>
      <x:c r="Q1550" s="3"/>
    </x:row>
    <x:row r="1551" ht="21" customHeight="1">
      <x:c r="A1551" s="3" t="str">
        <x:v>ORD-100929</x:v>
      </x:c>
      <x:c r="B1551" s="5" t="n">
        <x:v>45707</x:v>
      </x:c>
      <x:c r="C1551" s="3" t="str">
        <x:v>CUST-00175</x:v>
      </x:c>
      <x:c r="D1551" s="3" t="str">
        <x:v>East</x:v>
      </x:c>
      <x:c r="E1551" s="3" t="str">
        <x:v>Electronics</x:v>
      </x:c>
      <x:c r="F1551" s="3" t="str">
        <x:v>Mobile</x:v>
      </x:c>
      <x:c r="G1551" s="3" t="str">
        <x:v>iPhone Zeta</x:v>
      </x:c>
      <x:c r="H1551" s="3" t="n">
        <x:v>1</x:v>
      </x:c>
      <x:c r="I1551" s="7" t="n">
        <x:v>68314.97</x:v>
      </x:c>
      <x:c r="J1551" s="9" t="n">
        <x:v>0.1</x:v>
      </x:c>
      <x:c r="K1551" s="7" t="n">
        <x:v>61483.47</x:v>
      </x:c>
      <x:c r="L1551" s="7" t="n">
        <x:v>5084.14</x:v>
      </x:c>
      <x:c r="M1551" s="3" t="str">
        <x:v>Cash on Delivery</x:v>
      </x:c>
      <x:c r="N1551" s="3"/>
      <x:c r="O1551" s="3"/>
      <x:c r="P1551" s="3"/>
      <x:c r="Q1551" s="3"/>
    </x:row>
    <x:row r="1552" ht="21" customHeight="1">
      <x:c r="A1552" s="3" t="str">
        <x:v>ORD-101137</x:v>
      </x:c>
      <x:c r="B1552" s="5" t="n">
        <x:v>45707</x:v>
      </x:c>
      <x:c r="C1552" s="3" t="str">
        <x:v>CUST-00241</x:v>
      </x:c>
      <x:c r="D1552" s="3" t="str">
        <x:v>South</x:v>
      </x:c>
      <x:c r="E1552" s="3" t="str">
        <x:v>Fashion</x:v>
      </x:c>
      <x:c r="F1552" s="3" t="str">
        <x:v>Women</x:v>
      </x:c>
      <x:c r="G1552" s="3" t="str">
        <x:v>Knit Winter Sweater</x:v>
      </x:c>
      <x:c r="H1552" s="3" t="n">
        <x:v>5</x:v>
      </x:c>
      <x:c r="I1552" s="7" t="n">
        <x:v>2170.5</x:v>
      </x:c>
      <x:c r="J1552" s="9" t="n">
        <x:v>0.05</x:v>
      </x:c>
      <x:c r="K1552" s="7" t="n">
        <x:v>10309.88</x:v>
      </x:c>
      <x:c r="L1552" s="7" t="n">
        <x:v>3578.98</x:v>
      </x:c>
      <x:c r="M1552" s="3" t="str">
        <x:v>Cash on Delivery</x:v>
      </x:c>
      <x:c r="N1552" s="3"/>
      <x:c r="O1552" s="3"/>
      <x:c r="P1552" s="3"/>
      <x:c r="Q1552" s="3"/>
    </x:row>
    <x:row r="1553" ht="21" customHeight="1">
      <x:c r="A1553" s="3" t="str">
        <x:v>ORD-100014</x:v>
      </x:c>
      <x:c r="B1553" s="5" t="n">
        <x:v>45708</x:v>
      </x:c>
      <x:c r="C1553" s="3" t="str">
        <x:v>CUST-00100</x:v>
      </x:c>
      <x:c r="D1553" s="3" t="str">
        <x:v>South</x:v>
      </x:c>
      <x:c r="E1553" s="3" t="str">
        <x:v>Home &amp; Kitchen</x:v>
      </x:c>
      <x:c r="F1553" s="3" t="str">
        <x:v>Appliances</x:v>
      </x:c>
      <x:c r="G1553" s="3" t="str">
        <x:v>ColdBrew Coffee Maker</x:v>
      </x:c>
      <x:c r="H1553" s="3" t="n">
        <x:v>1</x:v>
      </x:c>
      <x:c r="I1553" s="7" t="n">
        <x:v>6782.04</x:v>
      </x:c>
      <x:c r="J1553" s="9" t="n">
        <x:v>0</x:v>
      </x:c>
      <x:c r="K1553" s="7" t="n">
        <x:v>6782.04</x:v>
      </x:c>
      <x:c r="L1553" s="7" t="n">
        <x:v>2276.62</x:v>
      </x:c>
      <x:c r="M1553" s="3" t="str">
        <x:v>Debit Card</x:v>
      </x:c>
      <x:c r="N1553" s="3"/>
      <x:c r="O1553" s="3"/>
      <x:c r="P1553" s="3"/>
      <x:c r="Q1553" s="3"/>
    </x:row>
    <x:row r="1554" ht="21" customHeight="1">
      <x:c r="A1554" s="3" t="str">
        <x:v>ORD-100048</x:v>
      </x:c>
      <x:c r="B1554" s="5" t="n">
        <x:v>45708</x:v>
      </x:c>
      <x:c r="C1554" s="3" t="str">
        <x:v>CUST-00247</x:v>
      </x:c>
      <x:c r="D1554" s="3" t="str">
        <x:v>West</x:v>
      </x:c>
      <x:c r="E1554" s="3" t="str">
        <x:v>Home &amp; Kitchen</x:v>
      </x:c>
      <x:c r="F1554" s="3" t="str">
        <x:v>Decor</x:v>
      </x:c>
      <x:c r="G1554" s="3" t="str">
        <x:v>LED Wall Lamp</x:v>
      </x:c>
      <x:c r="H1554" s="3" t="n">
        <x:v>3</x:v>
      </x:c>
      <x:c r="I1554" s="7" t="n">
        <x:v>976.65</x:v>
      </x:c>
      <x:c r="J1554" s="9" t="n">
        <x:v>0.15</x:v>
      </x:c>
      <x:c r="K1554" s="7" t="n">
        <x:v>2490.46</x:v>
      </x:c>
      <x:c r="L1554" s="7" t="n">
        <x:v>294.65</x:v>
      </x:c>
      <x:c r="M1554" s="3" t="str">
        <x:v>UPI</x:v>
      </x:c>
      <x:c r="N1554" s="3"/>
      <x:c r="O1554" s="3"/>
      <x:c r="P1554" s="3"/>
      <x:c r="Q1554" s="3"/>
    </x:row>
    <x:row r="1555" ht="21" customHeight="1">
      <x:c r="A1555" s="3" t="str">
        <x:v>ORD-100584</x:v>
      </x:c>
      <x:c r="B1555" s="5" t="n">
        <x:v>45708</x:v>
      </x:c>
      <x:c r="C1555" s="3" t="str">
        <x:v>CUST-00513</x:v>
      </x:c>
      <x:c r="D1555" s="3" t="str">
        <x:v>East</x:v>
      </x:c>
      <x:c r="E1555" s="3" t="str">
        <x:v>Fashion</x:v>
      </x:c>
      <x:c r="F1555" s="3" t="str">
        <x:v>Men</x:v>
      </x:c>
      <x:c r="G1555" s="3" t="str">
        <x:v>Oxford Casual Shirt</x:v>
      </x:c>
      <x:c r="H1555" s="3" t="n">
        <x:v>2</x:v>
      </x:c>
      <x:c r="I1555" s="7" t="n">
        <x:v>1247.24</x:v>
      </x:c>
      <x:c r="J1555" s="9" t="n">
        <x:v>0.1</x:v>
      </x:c>
      <x:c r="K1555" s="7" t="n">
        <x:v>2245.03</x:v>
      </x:c>
      <x:c r="L1555" s="7" t="n">
        <x:v>731.97</x:v>
      </x:c>
      <x:c r="M1555" s="3" t="str">
        <x:v>UPI</x:v>
      </x:c>
      <x:c r="N1555" s="3"/>
      <x:c r="O1555" s="3"/>
      <x:c r="P1555" s="3"/>
      <x:c r="Q1555" s="3"/>
    </x:row>
    <x:row r="1556" ht="21" customHeight="1">
      <x:c r="A1556" s="3" t="str">
        <x:v>ORD-100681</x:v>
      </x:c>
      <x:c r="B1556" s="5" t="n">
        <x:v>45708</x:v>
      </x:c>
      <x:c r="C1556" s="3" t="str">
        <x:v>CUST-00092</x:v>
      </x:c>
      <x:c r="D1556" s="3" t="str">
        <x:v>South</x:v>
      </x:c>
      <x:c r="E1556" s="3" t="str">
        <x:v>Fashion</x:v>
      </x:c>
      <x:c r="F1556" s="3" t="str">
        <x:v>Women</x:v>
      </x:c>
      <x:c r="G1556" s="3" t="str">
        <x:v>Knit Winter Sweater</x:v>
      </x:c>
      <x:c r="H1556" s="3" t="n">
        <x:v>1</x:v>
      </x:c>
      <x:c r="I1556" s="7" t="n">
        <x:v>2143.47</x:v>
      </x:c>
      <x:c r="J1556" s="9" t="n">
        <x:v>0.3</x:v>
      </x:c>
      <x:c r="K1556" s="7" t="n">
        <x:v>1500.43</x:v>
      </x:c>
      <x:c r="L1556" s="7" t="n">
        <x:v>84.94</x:v>
      </x:c>
      <x:c r="M1556" s="3" t="str">
        <x:v>Credit Card</x:v>
      </x:c>
      <x:c r="N1556" s="3"/>
      <x:c r="O1556" s="3"/>
      <x:c r="P1556" s="3"/>
      <x:c r="Q1556" s="3"/>
    </x:row>
    <x:row r="1557" ht="21" customHeight="1">
      <x:c r="A1557" s="3" t="str">
        <x:v>ORD-101321</x:v>
      </x:c>
      <x:c r="B1557" s="5" t="n">
        <x:v>45708</x:v>
      </x:c>
      <x:c r="C1557" s="3" t="str">
        <x:v>CUST-00560</x:v>
      </x:c>
      <x:c r="D1557" s="3" t="str">
        <x:v>West</x:v>
      </x:c>
      <x:c r="E1557" s="3" t="str">
        <x:v>Fashion</x:v>
      </x:c>
      <x:c r="F1557" s="3" t="str">
        <x:v>Men</x:v>
      </x:c>
      <x:c r="G1557" s="3" t="str">
        <x:v>Oxford Casual Shirt</x:v>
      </x:c>
      <x:c r="H1557" s="3" t="n">
        <x:v>1</x:v>
      </x:c>
      <x:c r="I1557" s="7" t="n">
        <x:v>1247.33</x:v>
      </x:c>
      <x:c r="J1557" s="9" t="n">
        <x:v>0.1</x:v>
      </x:c>
      <x:c r="K1557" s="7" t="n">
        <x:v>1122.6</x:v>
      </x:c>
      <x:c r="L1557" s="7" t="n">
        <x:v>310.27</x:v>
      </x:c>
      <x:c r="M1557" s="3" t="str">
        <x:v>UPI</x:v>
      </x:c>
      <x:c r="N1557" s="3"/>
      <x:c r="O1557" s="3"/>
      <x:c r="P1557" s="3"/>
      <x:c r="Q1557" s="3"/>
    </x:row>
    <x:row r="1558" ht="21" customHeight="1">
      <x:c r="A1558" s="3" t="str">
        <x:v>ORD-101573</x:v>
      </x:c>
      <x:c r="B1558" s="5" t="n">
        <x:v>45708</x:v>
      </x:c>
      <x:c r="C1558" s="3" t="str">
        <x:v>CUST-00149</x:v>
      </x:c>
      <x:c r="D1558" s="3" t="str">
        <x:v>South</x:v>
      </x:c>
      <x:c r="E1558" s="3" t="str">
        <x:v>Sports</x:v>
      </x:c>
      <x:c r="F1558" s="3" t="str">
        <x:v>Fitness</x:v>
      </x:c>
      <x:c r="G1558" s="3" t="str">
        <x:v>ProYoga Mat</x:v>
      </x:c>
      <x:c r="H1558" s="3" t="n">
        <x:v>1</x:v>
      </x:c>
      <x:c r="I1558" s="7" t="n">
        <x:v>1242.94</x:v>
      </x:c>
      <x:c r="J1558" s="9" t="n">
        <x:v>0.4</x:v>
      </x:c>
      <x:c r="K1558" s="7" t="n">
        <x:v>745.76</x:v>
      </x:c>
      <x:c r="L1558" s="7" t="n">
        <x:v>-39.72</x:v>
      </x:c>
      <x:c r="M1558" s="3" t="str">
        <x:v>UPI</x:v>
      </x:c>
      <x:c r="N1558" s="3"/>
      <x:c r="O1558" s="3"/>
      <x:c r="P1558" s="3"/>
      <x:c r="Q1558" s="3"/>
    </x:row>
    <x:row r="1559" ht="21" customHeight="1">
      <x:c r="A1559" s="3" t="str">
        <x:v>ORD-101077</x:v>
      </x:c>
      <x:c r="B1559" s="5" t="n">
        <x:v>45709</x:v>
      </x:c>
      <x:c r="C1559" s="3" t="str">
        <x:v>CUST-00443</x:v>
      </x:c>
      <x:c r="D1559" s="3" t="str">
        <x:v>East</x:v>
      </x:c>
      <x:c r="E1559" s="3" t="str">
        <x:v>Sports</x:v>
      </x:c>
      <x:c r="F1559" s="3" t="str">
        <x:v>Fitness</x:v>
      </x:c>
      <x:c r="G1559" s="3" t="str">
        <x:v>Adjustable Dumbbell 24kg</x:v>
      </x:c>
      <x:c r="H1559" s="3" t="n">
        <x:v>1</x:v>
      </x:c>
      <x:c r="I1559" s="7" t="n">
        <x:v>10266.29</x:v>
      </x:c>
      <x:c r="J1559" s="9" t="n">
        <x:v>0.4</x:v>
      </x:c>
      <x:c r="K1559" s="7" t="n">
        <x:v>6159.77</x:v>
      </x:c>
      <x:c r="L1559" s="7" t="n">
        <x:v>-666.42</x:v>
      </x:c>
      <x:c r="M1559" s="3" t="str">
        <x:v>Net Banking</x:v>
      </x:c>
      <x:c r="N1559" s="3"/>
      <x:c r="O1559" s="3"/>
      <x:c r="P1559" s="3"/>
      <x:c r="Q1559" s="3"/>
    </x:row>
    <x:row r="1560" ht="21" customHeight="1">
      <x:c r="A1560" s="3" t="str">
        <x:v>ORD-101709</x:v>
      </x:c>
      <x:c r="B1560" s="5" t="n">
        <x:v>45709</x:v>
      </x:c>
      <x:c r="C1560" s="3" t="str">
        <x:v>CUST-00354</x:v>
      </x:c>
      <x:c r="D1560" s="3" t="str">
        <x:v>South</x:v>
      </x:c>
      <x:c r="E1560" s="3" t="str">
        <x:v>Home &amp; Kitchen</x:v>
      </x:c>
      <x:c r="F1560" s="3" t="str">
        <x:v>Furniture</x:v>
      </x:c>
      <x:c r="G1560" s="3" t="str">
        <x:v>ErgoComfort Chair</x:v>
      </x:c>
      <x:c r="H1560" s="3" t="n">
        <x:v>1</x:v>
      </x:c>
      <x:c r="I1560" s="7" t="n">
        <x:v>9056.3</x:v>
      </x:c>
      <x:c r="J1560" s="9" t="n">
        <x:v>0.3</x:v>
      </x:c>
      <x:c r="K1560" s="7" t="n">
        <x:v>6339.41</x:v>
      </x:c>
      <x:c r="L1560" s="7" t="n">
        <x:v>-283.34</x:v>
      </x:c>
      <x:c r="M1560" s="3" t="str">
        <x:v>UPI</x:v>
      </x:c>
      <x:c r="N1560" s="3"/>
      <x:c r="O1560" s="3"/>
      <x:c r="P1560" s="3"/>
      <x:c r="Q1560" s="3"/>
    </x:row>
    <x:row r="1561" ht="21" customHeight="1">
      <x:c r="A1561" s="3" t="str">
        <x:v>ORD-101835</x:v>
      </x:c>
      <x:c r="B1561" s="5" t="n">
        <x:v>45709</x:v>
      </x:c>
      <x:c r="C1561" s="3" t="str">
        <x:v>CUST-00591</x:v>
      </x:c>
      <x:c r="D1561" s="3" t="str">
        <x:v>East</x:v>
      </x:c>
      <x:c r="E1561" s="3" t="str">
        <x:v>Home &amp; Kitchen</x:v>
      </x:c>
      <x:c r="F1561" s="3" t="str">
        <x:v>Decor</x:v>
      </x:c>
      <x:c r="G1561" s="3" t="str">
        <x:v>LED Wall Lamp</x:v>
      </x:c>
      <x:c r="H1561" s="3" t="n">
        <x:v>2</x:v>
      </x:c>
      <x:c r="I1561" s="7" t="n">
        <x:v>982.82</x:v>
      </x:c>
      <x:c r="J1561" s="9" t="n">
        <x:v>0.1</x:v>
      </x:c>
      <x:c r="K1561" s="7" t="n">
        <x:v>1769.08</x:v>
      </x:c>
      <x:c r="L1561" s="7" t="n">
        <x:v>389.01</x:v>
      </x:c>
      <x:c r="M1561" s="3" t="str">
        <x:v>Credit Card</x:v>
      </x:c>
      <x:c r="N1561" s="3"/>
      <x:c r="O1561" s="3"/>
      <x:c r="P1561" s="3"/>
      <x:c r="Q1561" s="3"/>
    </x:row>
    <x:row r="1562" ht="21" customHeight="1">
      <x:c r="A1562" s="3" t="str">
        <x:v>ORD-101931</x:v>
      </x:c>
      <x:c r="B1562" s="5" t="n">
        <x:v>45709</x:v>
      </x:c>
      <x:c r="C1562" s="3" t="str">
        <x:v>CUST-00150</x:v>
      </x:c>
      <x:c r="D1562" s="3" t="str">
        <x:v>South</x:v>
      </x:c>
      <x:c r="E1562" s="3" t="str">
        <x:v>Beauty</x:v>
      </x:c>
      <x:c r="F1562" s="3" t="str">
        <x:v>Skincare</x:v>
      </x:c>
      <x:c r="G1562" s="3" t="str">
        <x:v>Vitamin C Serum</x:v>
      </x:c>
      <x:c r="H1562" s="3" t="n">
        <x:v>1</x:v>
      </x:c>
      <x:c r="I1562" s="7" t="n">
        <x:v>905.31</x:v>
      </x:c>
      <x:c r="J1562" s="9" t="n">
        <x:v>0.05</x:v>
      </x:c>
      <x:c r="K1562" s="7" t="n">
        <x:v>860.04</x:v>
      </x:c>
      <x:c r="L1562" s="7" t="n">
        <x:v>445.46</x:v>
      </x:c>
      <x:c r="M1562" s="3" t="str">
        <x:v>Cash on Delivery</x:v>
      </x:c>
      <x:c r="N1562" s="3"/>
      <x:c r="O1562" s="3"/>
      <x:c r="P1562" s="3"/>
      <x:c r="Q1562" s="3"/>
    </x:row>
    <x:row r="1563" ht="21" customHeight="1">
      <x:c r="A1563" s="3" t="str">
        <x:v>ORD-100055</x:v>
      </x:c>
      <x:c r="B1563" s="5" t="n">
        <x:v>45710</x:v>
      </x:c>
      <x:c r="C1563" s="3" t="str">
        <x:v>CUST-00482</x:v>
      </x:c>
      <x:c r="D1563" s="3" t="str">
        <x:v>South</x:v>
      </x:c>
      <x:c r="E1563" s="3" t="str">
        <x:v>Beauty</x:v>
      </x:c>
      <x:c r="F1563" s="3" t="str">
        <x:v>Skincare</x:v>
      </x:c>
      <x:c r="G1563" s="3" t="str">
        <x:v>Vitamin C Serum</x:v>
      </x:c>
      <x:c r="H1563" s="3" t="n">
        <x:v>2</x:v>
      </x:c>
      <x:c r="I1563" s="7" t="n">
        <x:v>861.35</x:v>
      </x:c>
      <x:c r="J1563" s="9" t="n">
        <x:v>0</x:v>
      </x:c>
      <x:c r="K1563" s="7" t="n">
        <x:v>1722.7</x:v>
      </x:c>
      <x:c r="L1563" s="7" t="n">
        <x:v>911.63</x:v>
      </x:c>
      <x:c r="M1563" s="3" t="str">
        <x:v>UPI</x:v>
      </x:c>
      <x:c r="N1563" s="3"/>
      <x:c r="O1563" s="3"/>
      <x:c r="P1563" s="3"/>
      <x:c r="Q1563" s="3"/>
    </x:row>
    <x:row r="1564" ht="21" customHeight="1">
      <x:c r="A1564" s="3" t="str">
        <x:v>ORD-100839</x:v>
      </x:c>
      <x:c r="B1564" s="5" t="n">
        <x:v>45710</x:v>
      </x:c>
      <x:c r="C1564" s="3" t="str">
        <x:v>CUST-00152</x:v>
      </x:c>
      <x:c r="D1564" s="3" t="str">
        <x:v>South</x:v>
      </x:c>
      <x:c r="E1564" s="3" t="str">
        <x:v>Beauty</x:v>
      </x:c>
      <x:c r="F1564" s="3" t="str">
        <x:v>Skincare</x:v>
      </x:c>
      <x:c r="G1564" s="3" t="str">
        <x:v>HydraBoost Moisturizer</x:v>
      </x:c>
      <x:c r="H1564" s="3" t="n">
        <x:v>2</x:v>
      </x:c>
      <x:c r="I1564" s="7" t="n">
        <x:v>1211.65</x:v>
      </x:c>
      <x:c r="J1564" s="9" t="n">
        <x:v>0.1</x:v>
      </x:c>
      <x:c r="K1564" s="7" t="n">
        <x:v>2180.97</x:v>
      </x:c>
      <x:c r="L1564" s="7" t="n">
        <x:v>1000.34</x:v>
      </x:c>
      <x:c r="M1564" s="3" t="str">
        <x:v>UPI</x:v>
      </x:c>
      <x:c r="N1564" s="3"/>
      <x:c r="O1564" s="3"/>
      <x:c r="P1564" s="3"/>
      <x:c r="Q1564" s="3"/>
    </x:row>
    <x:row r="1565" ht="21" customHeight="1">
      <x:c r="A1565" s="3" t="str">
        <x:v>ORD-101024</x:v>
      </x:c>
      <x:c r="B1565" s="5" t="n">
        <x:v>45710</x:v>
      </x:c>
      <x:c r="C1565" s="3" t="str">
        <x:v>CUST-00315</x:v>
      </x:c>
      <x:c r="D1565" s="3" t="str">
        <x:v>North</x:v>
      </x:c>
      <x:c r="E1565" s="3" t="str">
        <x:v>Sports</x:v>
      </x:c>
      <x:c r="F1565" s="3" t="str">
        <x:v>Outdoor</x:v>
      </x:c>
      <x:c r="G1565" s="3" t="str">
        <x:v>AllWeather Tent 4P</x:v>
      </x:c>
      <x:c r="H1565" s="3" t="n">
        <x:v>1</x:v>
      </x:c>
      <x:c r="I1565" s="7" t="n">
        <x:v>12266.95</x:v>
      </x:c>
      <x:c r="J1565" s="9" t="n">
        <x:v>0.05</x:v>
      </x:c>
      <x:c r="K1565" s="7" t="n">
        <x:v>11653.6</x:v>
      </x:c>
      <x:c r="L1565" s="7" t="n">
        <x:v>3484.11</x:v>
      </x:c>
      <x:c r="M1565" s="3" t="str">
        <x:v>UPI</x:v>
      </x:c>
      <x:c r="N1565" s="3"/>
      <x:c r="O1565" s="3"/>
      <x:c r="P1565" s="3"/>
      <x:c r="Q1565" s="3"/>
    </x:row>
    <x:row r="1566" ht="21" customHeight="1">
      <x:c r="A1566" s="3" t="str">
        <x:v>ORD-100856</x:v>
      </x:c>
      <x:c r="B1566" s="5" t="n">
        <x:v>45711</x:v>
      </x:c>
      <x:c r="C1566" s="3" t="str">
        <x:v>CUST-00171</x:v>
      </x:c>
      <x:c r="D1566" s="3" t="str">
        <x:v>West</x:v>
      </x:c>
      <x:c r="E1566" s="3" t="str">
        <x:v>Sports</x:v>
      </x:c>
      <x:c r="F1566" s="3" t="str">
        <x:v>Outdoor</x:v>
      </x:c>
      <x:c r="G1566" s="3" t="str">
        <x:v>AllWeather Tent 4P</x:v>
      </x:c>
      <x:c r="H1566" s="3" t="n">
        <x:v>4</x:v>
      </x:c>
      <x:c r="I1566" s="7" t="n">
        <x:v>12272.8</x:v>
      </x:c>
      <x:c r="J1566" s="9" t="n">
        <x:v>0</x:v>
      </x:c>
      <x:c r="K1566" s="7" t="n">
        <x:v>49091.2</x:v>
      </x:c>
      <x:c r="L1566" s="7" t="n">
        <x:v>18025.67</x:v>
      </x:c>
      <x:c r="M1566" s="3" t="str">
        <x:v>UPI</x:v>
      </x:c>
      <x:c r="N1566" s="3"/>
      <x:c r="O1566" s="3"/>
      <x:c r="P1566" s="3"/>
      <x:c r="Q1566" s="3"/>
    </x:row>
    <x:row r="1567" ht="21" customHeight="1">
      <x:c r="A1567" s="3" t="str">
        <x:v>ORD-100066</x:v>
      </x:c>
      <x:c r="B1567" s="5" t="n">
        <x:v>45712</x:v>
      </x:c>
      <x:c r="C1567" s="3" t="str">
        <x:v>CUST-00485</x:v>
      </x:c>
      <x:c r="D1567" s="3" t="str">
        <x:v>East</x:v>
      </x:c>
      <x:c r="E1567" s="3" t="str">
        <x:v>Home &amp; Kitchen</x:v>
      </x:c>
      <x:c r="F1567" s="3" t="str">
        <x:v>Decor</x:v>
      </x:c>
      <x:c r="G1567" s="3" t="str">
        <x:v>LED Wall Lamp</x:v>
      </x:c>
      <x:c r="H1567" s="3" t="n">
        <x:v>1</x:v>
      </x:c>
      <x:c r="I1567" s="7" t="n">
        <x:v>967.9</x:v>
      </x:c>
      <x:c r="J1567" s="9" t="n">
        <x:v>0.05</x:v>
      </x:c>
      <x:c r="K1567" s="7" t="n">
        <x:v>919.5</x:v>
      </x:c>
      <x:c r="L1567" s="7" t="n">
        <x:v>265.09</x:v>
      </x:c>
      <x:c r="M1567" s="3" t="str">
        <x:v>UPI</x:v>
      </x:c>
      <x:c r="N1567" s="3"/>
      <x:c r="O1567" s="3"/>
      <x:c r="P1567" s="3"/>
      <x:c r="Q1567" s="3"/>
    </x:row>
    <x:row r="1568" ht="21" customHeight="1">
      <x:c r="A1568" s="3" t="str">
        <x:v>ORD-100109</x:v>
      </x:c>
      <x:c r="B1568" s="5" t="n">
        <x:v>45712</x:v>
      </x:c>
      <x:c r="C1568" s="3" t="str">
        <x:v>CUST-00244</x:v>
      </x:c>
      <x:c r="D1568" s="3" t="str">
        <x:v>North</x:v>
      </x:c>
      <x:c r="E1568" s="3" t="str">
        <x:v>Beauty</x:v>
      </x:c>
      <x:c r="F1568" s="3" t="str">
        <x:v>Makeup</x:v>
      </x:c>
      <x:c r="G1568" s="3" t="str">
        <x:v>Matte Lipstick Set</x:v>
      </x:c>
      <x:c r="H1568" s="3" t="n">
        <x:v>1</x:v>
      </x:c>
      <x:c r="I1568" s="7" t="n">
        <x:v>1026.08</x:v>
      </x:c>
      <x:c r="J1568" s="9" t="n">
        <x:v>0.2</x:v>
      </x:c>
      <x:c r="K1568" s="7" t="n">
        <x:v>820.86</x:v>
      </x:c>
      <x:c r="L1568" s="7" t="n">
        <x:v>282.97</x:v>
      </x:c>
      <x:c r="M1568" s="3" t="str">
        <x:v>Credit Card</x:v>
      </x:c>
      <x:c r="N1568" s="3"/>
      <x:c r="O1568" s="3"/>
      <x:c r="P1568" s="3"/>
      <x:c r="Q1568" s="3"/>
    </x:row>
    <x:row r="1569" ht="21" customHeight="1">
      <x:c r="A1569" s="3" t="str">
        <x:v>ORD-100974</x:v>
      </x:c>
      <x:c r="B1569" s="5" t="n">
        <x:v>45712</x:v>
      </x:c>
      <x:c r="C1569" s="3" t="str">
        <x:v>CUST-00493</x:v>
      </x:c>
      <x:c r="D1569" s="3" t="str">
        <x:v>East</x:v>
      </x:c>
      <x:c r="E1569" s="3" t="str">
        <x:v>Electronics</x:v>
      </x:c>
      <x:c r="F1569" s="3" t="str">
        <x:v>Mobile</x:v>
      </x:c>
      <x:c r="G1569" s="3" t="str">
        <x:v>Pixel Aura 12</x:v>
      </x:c>
      <x:c r="H1569" s="3" t="n">
        <x:v>2</x:v>
      </x:c>
      <x:c r="I1569" s="7" t="n">
        <x:v>32037.92</x:v>
      </x:c>
      <x:c r="J1569" s="9" t="n">
        <x:v>0.1</x:v>
      </x:c>
      <x:c r="K1569" s="7" t="n">
        <x:v>57668.26</x:v>
      </x:c>
      <x:c r="L1569" s="7" t="n">
        <x:v>4825.5</x:v>
      </x:c>
      <x:c r="M1569" s="3" t="str">
        <x:v>UPI</x:v>
      </x:c>
      <x:c r="N1569" s="3"/>
      <x:c r="O1569" s="3"/>
      <x:c r="P1569" s="3"/>
      <x:c r="Q1569" s="3"/>
    </x:row>
    <x:row r="1570" ht="21" customHeight="1">
      <x:c r="A1570" s="3" t="str">
        <x:v>ORD-101670</x:v>
      </x:c>
      <x:c r="B1570" s="5" t="n">
        <x:v>45712</x:v>
      </x:c>
      <x:c r="C1570" s="3" t="str">
        <x:v>CUST-00266</x:v>
      </x:c>
      <x:c r="D1570" s="3" t="str">
        <x:v>West</x:v>
      </x:c>
      <x:c r="E1570" s="3" t="str">
        <x:v>Electronics</x:v>
      </x:c>
      <x:c r="F1570" s="3" t="str">
        <x:v>Laptop</x:v>
      </x:c>
      <x:c r="G1570" s="3" t="str">
        <x:v>AirBook Slim</x:v>
      </x:c>
      <x:c r="H1570" s="3" t="n">
        <x:v>2</x:v>
      </x:c>
      <x:c r="I1570" s="7" t="n">
        <x:v>80368.03</x:v>
      </x:c>
      <x:c r="J1570" s="9" t="n">
        <x:v>0.2</x:v>
      </x:c>
      <x:c r="K1570" s="7" t="n">
        <x:v>128588.85</x:v>
      </x:c>
      <x:c r="L1570" s="7" t="n">
        <x:v>-9458.11</x:v>
      </x:c>
      <x:c r="M1570" s="3" t="str">
        <x:v>UPI</x:v>
      </x:c>
      <x:c r="N1570" s="3"/>
      <x:c r="O1570" s="3"/>
      <x:c r="P1570" s="3"/>
      <x:c r="Q1570" s="3"/>
    </x:row>
    <x:row r="1571" ht="21" customHeight="1">
      <x:c r="A1571" s="3" t="str">
        <x:v>ORD-101897</x:v>
      </x:c>
      <x:c r="B1571" s="5" t="n">
        <x:v>45712</x:v>
      </x:c>
      <x:c r="C1571" s="3" t="str">
        <x:v>CUST-00452</x:v>
      </x:c>
      <x:c r="D1571" s="3" t="str">
        <x:v>East</x:v>
      </x:c>
      <x:c r="E1571" s="3" t="str">
        <x:v>Home &amp; Kitchen</x:v>
      </x:c>
      <x:c r="F1571" s="3" t="str">
        <x:v>Decor</x:v>
      </x:c>
      <x:c r="G1571" s="3" t="str">
        <x:v>Ceramic Vase Set</x:v>
      </x:c>
      <x:c r="H1571" s="3" t="n">
        <x:v>5</x:v>
      </x:c>
      <x:c r="I1571" s="7" t="n">
        <x:v>1497.35</x:v>
      </x:c>
      <x:c r="J1571" s="9" t="n">
        <x:v>0.25</x:v>
      </x:c>
      <x:c r="K1571" s="7" t="n">
        <x:v>5615.06</x:v>
      </x:c>
      <x:c r="L1571" s="7" t="n">
        <x:v>388.86</x:v>
      </x:c>
      <x:c r="M1571" s="3" t="str">
        <x:v>UPI</x:v>
      </x:c>
      <x:c r="N1571" s="3"/>
      <x:c r="O1571" s="3"/>
      <x:c r="P1571" s="3"/>
      <x:c r="Q1571" s="3"/>
    </x:row>
    <x:row r="1572" ht="21" customHeight="1">
      <x:c r="A1572" s="3" t="str">
        <x:v>ORD-101862</x:v>
      </x:c>
      <x:c r="B1572" s="5" t="n">
        <x:v>45713</x:v>
      </x:c>
      <x:c r="C1572" s="3" t="str">
        <x:v>CUST-00061</x:v>
      </x:c>
      <x:c r="D1572" s="3" t="str">
        <x:v>North</x:v>
      </x:c>
      <x:c r="E1572" s="3" t="str">
        <x:v>Beauty</x:v>
      </x:c>
      <x:c r="F1572" s="3" t="str">
        <x:v>Makeup</x:v>
      </x:c>
      <x:c r="G1572" s="3" t="str">
        <x:v>Matte Lipstick Set</x:v>
      </x:c>
      <x:c r="H1572" s="3" t="n">
        <x:v>1</x:v>
      </x:c>
      <x:c r="I1572" s="7" t="n">
        <x:v>1000.19</x:v>
      </x:c>
      <x:c r="J1572" s="9" t="n">
        <x:v>0.15</x:v>
      </x:c>
      <x:c r="K1572" s="7" t="n">
        <x:v>850.16</x:v>
      </x:c>
      <x:c r="L1572" s="7" t="n">
        <x:v>339.84</x:v>
      </x:c>
      <x:c r="M1572" s="3" t="str">
        <x:v>UPI</x:v>
      </x:c>
      <x:c r="N1572" s="3"/>
      <x:c r="O1572" s="3"/>
      <x:c r="P1572" s="3"/>
      <x:c r="Q1572" s="3"/>
    </x:row>
    <x:row r="1573" ht="21" customHeight="1">
      <x:c r="A1573" s="3" t="str">
        <x:v>ORD-100172</x:v>
      </x:c>
      <x:c r="B1573" s="5" t="n">
        <x:v>45714</x:v>
      </x:c>
      <x:c r="C1573" s="3" t="str">
        <x:v>CUST-00237</x:v>
      </x:c>
      <x:c r="D1573" s="3" t="str">
        <x:v>South</x:v>
      </x:c>
      <x:c r="E1573" s="3" t="str">
        <x:v>Fashion</x:v>
      </x:c>
      <x:c r="F1573" s="3" t="str">
        <x:v>Men</x:v>
      </x:c>
      <x:c r="G1573" s="3" t="str">
        <x:v>Oxford Casual Shirt</x:v>
      </x:c>
      <x:c r="H1573" s="3" t="n">
        <x:v>1</x:v>
      </x:c>
      <x:c r="I1573" s="7" t="n">
        <x:v>1362.69</x:v>
      </x:c>
      <x:c r="J1573" s="9" t="n">
        <x:v>0.2</x:v>
      </x:c>
      <x:c r="K1573" s="7" t="n">
        <x:v>1090.15</x:v>
      </x:c>
      <x:c r="L1573" s="7" t="n">
        <x:v>247.01</x:v>
      </x:c>
      <x:c r="M1573" s="3" t="str">
        <x:v>Debit Card</x:v>
      </x:c>
      <x:c r="N1573" s="3"/>
      <x:c r="O1573" s="3"/>
      <x:c r="P1573" s="3"/>
      <x:c r="Q1573" s="3"/>
    </x:row>
    <x:row r="1574" ht="21" customHeight="1">
      <x:c r="A1574" s="3" t="str">
        <x:v>ORD-101025</x:v>
      </x:c>
      <x:c r="B1574" s="5" t="n">
        <x:v>45714</x:v>
      </x:c>
      <x:c r="C1574" s="3" t="str">
        <x:v>CUST-00223</x:v>
      </x:c>
      <x:c r="D1574" s="3" t="str">
        <x:v>West</x:v>
      </x:c>
      <x:c r="E1574" s="3" t="str">
        <x:v>Fashion</x:v>
      </x:c>
      <x:c r="F1574" s="3" t="str">
        <x:v>Women</x:v>
      </x:c>
      <x:c r="G1574" s="3" t="str">
        <x:v>Floral Summer Dress</x:v>
      </x:c>
      <x:c r="H1574" s="3" t="n">
        <x:v>1</x:v>
      </x:c>
      <x:c r="I1574" s="7" t="n">
        <x:v>1790.42</x:v>
      </x:c>
      <x:c r="J1574" s="9" t="n">
        <x:v>0.1</x:v>
      </x:c>
      <x:c r="K1574" s="7" t="n">
        <x:v>1611.38</x:v>
      </x:c>
      <x:c r="L1574" s="7" t="n">
        <x:v>543.64</x:v>
      </x:c>
      <x:c r="M1574" s="3" t="str">
        <x:v>Net Banking</x:v>
      </x:c>
      <x:c r="N1574" s="3"/>
      <x:c r="O1574" s="3"/>
      <x:c r="P1574" s="3"/>
      <x:c r="Q1574" s="3"/>
    </x:row>
    <x:row r="1575" ht="21" customHeight="1">
      <x:c r="A1575" s="3" t="str">
        <x:v>ORD-101123</x:v>
      </x:c>
      <x:c r="B1575" s="5" t="n">
        <x:v>45714</x:v>
      </x:c>
      <x:c r="C1575" s="3" t="str">
        <x:v>CUST-00307</x:v>
      </x:c>
      <x:c r="D1575" s="3" t="str">
        <x:v>West</x:v>
      </x:c>
      <x:c r="E1575" s="3" t="str">
        <x:v>Fashion</x:v>
      </x:c>
      <x:c r="F1575" s="3" t="str">
        <x:v>Footwear</x:v>
      </x:c>
      <x:c r="G1575" s="3" t="str">
        <x:v>UrbanLoafers</x:v>
      </x:c>
      <x:c r="H1575" s="3" t="n">
        <x:v>1</x:v>
      </x:c>
      <x:c r="I1575" s="7" t="n">
        <x:v>3349.74</x:v>
      </x:c>
      <x:c r="J1575" s="9" t="n">
        <x:v>0</x:v>
      </x:c>
      <x:c r="K1575" s="7" t="n">
        <x:v>3349.74</x:v>
      </x:c>
      <x:c r="L1575" s="7" t="n">
        <x:v>1539.46</x:v>
      </x:c>
      <x:c r="M1575" s="3" t="str">
        <x:v>UPI</x:v>
      </x:c>
      <x:c r="N1575" s="3"/>
      <x:c r="O1575" s="3"/>
      <x:c r="P1575" s="3"/>
      <x:c r="Q1575" s="3"/>
    </x:row>
    <x:row r="1576" ht="21" customHeight="1">
      <x:c r="A1576" s="3" t="str">
        <x:v>ORD-101295</x:v>
      </x:c>
      <x:c r="B1576" s="5" t="n">
        <x:v>45714</x:v>
      </x:c>
      <x:c r="C1576" s="3" t="str">
        <x:v>CUST-00130</x:v>
      </x:c>
      <x:c r="D1576" s="3" t="str">
        <x:v>South</x:v>
      </x:c>
      <x:c r="E1576" s="3" t="str">
        <x:v>Electronics</x:v>
      </x:c>
      <x:c r="F1576" s="3" t="str">
        <x:v>Mobile</x:v>
      </x:c>
      <x:c r="G1576" s="3" t="str">
        <x:v>iPhone Zeta</x:v>
      </x:c>
      <x:c r="H1576" s="3" t="n">
        <x:v>2</x:v>
      </x:c>
      <x:c r="I1576" s="7" t="n">
        <x:v>71549.81</x:v>
      </x:c>
      <x:c r="J1576" s="9" t="n">
        <x:v>0.05</x:v>
      </x:c>
      <x:c r="K1576" s="7" t="n">
        <x:v>135944.64</x:v>
      </x:c>
      <x:c r="L1576" s="7" t="n">
        <x:v>12143.92</x:v>
      </x:c>
      <x:c r="M1576" s="3" t="str">
        <x:v>Credit Card</x:v>
      </x:c>
      <x:c r="N1576" s="3"/>
      <x:c r="O1576" s="3"/>
      <x:c r="P1576" s="3"/>
      <x:c r="Q1576" s="3"/>
    </x:row>
    <x:row r="1577" ht="21" customHeight="1">
      <x:c r="A1577" s="3" t="str">
        <x:v>ORD-101374</x:v>
      </x:c>
      <x:c r="B1577" s="5" t="n">
        <x:v>45714</x:v>
      </x:c>
      <x:c r="C1577" s="3" t="str">
        <x:v>CUST-00264</x:v>
      </x:c>
      <x:c r="D1577" s="3" t="str">
        <x:v>South</x:v>
      </x:c>
      <x:c r="E1577" s="3" t="str">
        <x:v>Beauty</x:v>
      </x:c>
      <x:c r="F1577" s="3" t="str">
        <x:v>Makeup</x:v>
      </x:c>
      <x:c r="G1577" s="3" t="str">
        <x:v>HD Foundation Kit</x:v>
      </x:c>
      <x:c r="H1577" s="3" t="n">
        <x:v>1</x:v>
      </x:c>
      <x:c r="I1577" s="7" t="n">
        <x:v>1543.59</x:v>
      </x:c>
      <x:c r="J1577" s="9" t="n">
        <x:v>0.1</x:v>
      </x:c>
      <x:c r="K1577" s="7" t="n">
        <x:v>1389.23</x:v>
      </x:c>
      <x:c r="L1577" s="7" t="n">
        <x:v>606.75</x:v>
      </x:c>
      <x:c r="M1577" s="3" t="str">
        <x:v>Credit Card</x:v>
      </x:c>
      <x:c r="N1577" s="3"/>
      <x:c r="O1577" s="3"/>
      <x:c r="P1577" s="3"/>
      <x:c r="Q1577" s="3"/>
    </x:row>
    <x:row r="1578" ht="21" customHeight="1">
      <x:c r="A1578" s="3" t="str">
        <x:v>ORD-100349</x:v>
      </x:c>
      <x:c r="B1578" s="5" t="n">
        <x:v>45715</x:v>
      </x:c>
      <x:c r="C1578" s="3" t="str">
        <x:v>CUST-00024</x:v>
      </x:c>
      <x:c r="D1578" s="3" t="str">
        <x:v>North</x:v>
      </x:c>
      <x:c r="E1578" s="3" t="str">
        <x:v>Sports</x:v>
      </x:c>
      <x:c r="F1578" s="3" t="str">
        <x:v>Fitness</x:v>
      </x:c>
      <x:c r="G1578" s="3" t="str">
        <x:v>ProYoga Mat</x:v>
      </x:c>
      <x:c r="H1578" s="3" t="n">
        <x:v>1</x:v>
      </x:c>
      <x:c r="I1578" s="7" t="n">
        <x:v>1275.21</x:v>
      </x:c>
      <x:c r="J1578" s="9" t="n">
        <x:v>0</x:v>
      </x:c>
      <x:c r="K1578" s="7" t="n">
        <x:v>1275.21</x:v>
      </x:c>
      <x:c r="L1578" s="7" t="n">
        <x:v>463.29</x:v>
      </x:c>
      <x:c r="M1578" s="3" t="str">
        <x:v>Credit Card</x:v>
      </x:c>
      <x:c r="N1578" s="3"/>
      <x:c r="O1578" s="3"/>
      <x:c r="P1578" s="3"/>
      <x:c r="Q1578" s="3"/>
    </x:row>
    <x:row r="1579" ht="21" customHeight="1">
      <x:c r="A1579" s="3" t="str">
        <x:v>ORD-100112</x:v>
      </x:c>
      <x:c r="B1579" s="5" t="n">
        <x:v>45716</x:v>
      </x:c>
      <x:c r="C1579" s="3" t="str">
        <x:v>CUST-00515</x:v>
      </x:c>
      <x:c r="D1579" s="3" t="str">
        <x:v>West</x:v>
      </x:c>
      <x:c r="E1579" s="3" t="str">
        <x:v>Home &amp; Kitchen</x:v>
      </x:c>
      <x:c r="F1579" s="3" t="str">
        <x:v>Decor</x:v>
      </x:c>
      <x:c r="G1579" s="3" t="str">
        <x:v>Ceramic Vase Set</x:v>
      </x:c>
      <x:c r="H1579" s="3" t="n">
        <x:v>3</x:v>
      </x:c>
      <x:c r="I1579" s="7" t="n">
        <x:v>1560.53</x:v>
      </x:c>
      <x:c r="J1579" s="9" t="n">
        <x:v>0</x:v>
      </x:c>
      <x:c r="K1579" s="7" t="n">
        <x:v>4681.59</x:v>
      </x:c>
      <x:c r="L1579" s="7" t="n">
        <x:v>1663.54</x:v>
      </x:c>
      <x:c r="M1579" s="3" t="str">
        <x:v>Cash on Delivery</x:v>
      </x:c>
      <x:c r="N1579" s="3"/>
      <x:c r="O1579" s="3"/>
      <x:c r="P1579" s="3"/>
      <x:c r="Q1579" s="3"/>
    </x:row>
    <x:row r="1580" ht="21" customHeight="1">
      <x:c r="A1580" s="3" t="str">
        <x:v>ORD-100752</x:v>
      </x:c>
      <x:c r="B1580" s="5" t="n">
        <x:v>45716</x:v>
      </x:c>
      <x:c r="C1580" s="3" t="str">
        <x:v>CUST-00027</x:v>
      </x:c>
      <x:c r="D1580" s="3" t="str">
        <x:v>West</x:v>
      </x:c>
      <x:c r="E1580" s="3" t="str">
        <x:v>Fashion</x:v>
      </x:c>
      <x:c r="F1580" s="3" t="str">
        <x:v>Footwear</x:v>
      </x:c>
      <x:c r="G1580" s="3" t="str">
        <x:v>UrbanLoafers</x:v>
      </x:c>
      <x:c r="H1580" s="3" t="n">
        <x:v>1</x:v>
      </x:c>
      <x:c r="I1580" s="7" t="n">
        <x:v>3431.61</x:v>
      </x:c>
      <x:c r="J1580" s="9" t="n">
        <x:v>0.1</x:v>
      </x:c>
      <x:c r="K1580" s="7" t="n">
        <x:v>3088.45</x:v>
      </x:c>
      <x:c r="L1580" s="7" t="n">
        <x:v>1041.47</x:v>
      </x:c>
      <x:c r="M1580" s="3" t="str">
        <x:v>Credit Card</x:v>
      </x:c>
      <x:c r="N1580" s="3"/>
      <x:c r="O1580" s="3"/>
      <x:c r="P1580" s="3"/>
      <x:c r="Q1580" s="3"/>
    </x:row>
    <x:row r="1581" ht="21" customHeight="1">
      <x:c r="A1581" s="3" t="str">
        <x:v>ORD-101211</x:v>
      </x:c>
      <x:c r="B1581" s="5" t="n">
        <x:v>45716</x:v>
      </x:c>
      <x:c r="C1581" s="3" t="str">
        <x:v>CUST-00131</x:v>
      </x:c>
      <x:c r="D1581" s="3" t="str">
        <x:v>East</x:v>
      </x:c>
      <x:c r="E1581" s="3" t="str">
        <x:v>Sports</x:v>
      </x:c>
      <x:c r="F1581" s="3" t="str">
        <x:v>Fitness</x:v>
      </x:c>
      <x:c r="G1581" s="3" t="str">
        <x:v>ProYoga Mat</x:v>
      </x:c>
      <x:c r="H1581" s="3" t="n">
        <x:v>4</x:v>
      </x:c>
      <x:c r="I1581" s="7" t="n">
        <x:v>1237.5</x:v>
      </x:c>
      <x:c r="J1581" s="9" t="n">
        <x:v>0</x:v>
      </x:c>
      <x:c r="K1581" s="7" t="n">
        <x:v>4950</x:v>
      </x:c>
      <x:c r="L1581" s="7" t="n">
        <x:v>2004.03</x:v>
      </x:c>
      <x:c r="M1581" s="3" t="str">
        <x:v>UPI</x:v>
      </x:c>
      <x:c r="N1581" s="3"/>
      <x:c r="O1581" s="3"/>
      <x:c r="P1581" s="3"/>
      <x:c r="Q1581" s="3"/>
    </x:row>
    <x:row r="1582" ht="21" customHeight="1">
      <x:c r="A1582" s="3" t="str">
        <x:v>ORD-101686</x:v>
      </x:c>
      <x:c r="B1582" s="5" t="n">
        <x:v>45716</x:v>
      </x:c>
      <x:c r="C1582" s="3" t="str">
        <x:v>CUST-00174</x:v>
      </x:c>
      <x:c r="D1582" s="3" t="str">
        <x:v>South</x:v>
      </x:c>
      <x:c r="E1582" s="3" t="str">
        <x:v>Sports</x:v>
      </x:c>
      <x:c r="F1582" s="3" t="str">
        <x:v>Outdoor</x:v>
      </x:c>
      <x:c r="G1582" s="3" t="str">
        <x:v>TrailHike Backpack 60L</x:v>
      </x:c>
      <x:c r="H1582" s="3" t="n">
        <x:v>1</x:v>
      </x:c>
      <x:c r="I1582" s="7" t="n">
        <x:v>3533.22</x:v>
      </x:c>
      <x:c r="J1582" s="9" t="n">
        <x:v>0.05</x:v>
      </x:c>
      <x:c r="K1582" s="7" t="n">
        <x:v>3356.56</x:v>
      </x:c>
      <x:c r="L1582" s="7" t="n">
        <x:v>1170.15</x:v>
      </x:c>
      <x:c r="M1582" s="3" t="str">
        <x:v>Debit Card</x:v>
      </x:c>
      <x:c r="N1582" s="3"/>
      <x:c r="O1582" s="3"/>
      <x:c r="P1582" s="3"/>
      <x:c r="Q1582" s="3"/>
    </x:row>
    <x:row r="1583" ht="21" customHeight="1">
      <x:c r="A1583" s="3" t="str">
        <x:v>ORD-100216</x:v>
      </x:c>
      <x:c r="B1583" s="5" t="n">
        <x:v>45717</x:v>
      </x:c>
      <x:c r="C1583" s="3" t="str">
        <x:v>CUST-00412</x:v>
      </x:c>
      <x:c r="D1583" s="3" t="str">
        <x:v>East</x:v>
      </x:c>
      <x:c r="E1583" s="3" t="str">
        <x:v>Electronics</x:v>
      </x:c>
      <x:c r="F1583" s="3" t="str">
        <x:v>Laptop</x:v>
      </x:c>
      <x:c r="G1583" s="3" t="str">
        <x:v>ThinkPro 14</x:v>
      </x:c>
      <x:c r="H1583" s="3" t="n">
        <x:v>1</x:v>
      </x:c>
      <x:c r="I1583" s="7" t="n">
        <x:v>56590.07</x:v>
      </x:c>
      <x:c r="J1583" s="9" t="n">
        <x:v>0</x:v>
      </x:c>
      <x:c r="K1583" s="7" t="n">
        <x:v>56590.07</x:v>
      </x:c>
      <x:c r="L1583" s="7" t="n">
        <x:v>10216.14</x:v>
      </x:c>
      <x:c r="M1583" s="3" t="str">
        <x:v>Credit Card</x:v>
      </x:c>
      <x:c r="N1583" s="3"/>
      <x:c r="O1583" s="3"/>
      <x:c r="P1583" s="3"/>
      <x:c r="Q1583" s="3"/>
    </x:row>
    <x:row r="1584" ht="21" customHeight="1">
      <x:c r="A1584" s="3" t="str">
        <x:v>ORD-100634</x:v>
      </x:c>
      <x:c r="B1584" s="5" t="n">
        <x:v>45717</x:v>
      </x:c>
      <x:c r="C1584" s="3" t="str">
        <x:v>CUST-00335</x:v>
      </x:c>
      <x:c r="D1584" s="3" t="str">
        <x:v>North</x:v>
      </x:c>
      <x:c r="E1584" s="3" t="str">
        <x:v>Home &amp; Kitchen</x:v>
      </x:c>
      <x:c r="F1584" s="3" t="str">
        <x:v>Furniture</x:v>
      </x:c>
      <x:c r="G1584" s="3" t="str">
        <x:v>Oakwood Study Desk</x:v>
      </x:c>
      <x:c r="H1584" s="3" t="n">
        <x:v>1</x:v>
      </x:c>
      <x:c r="I1584" s="7" t="n">
        <x:v>13384.97</x:v>
      </x:c>
      <x:c r="J1584" s="9" t="n">
        <x:v>0.2</x:v>
      </x:c>
      <x:c r="K1584" s="7" t="n">
        <x:v>10707.98</x:v>
      </x:c>
      <x:c r="L1584" s="7" t="n">
        <x:v>1353.87</x:v>
      </x:c>
      <x:c r="M1584" s="3" t="str">
        <x:v>UPI</x:v>
      </x:c>
      <x:c r="N1584" s="3"/>
      <x:c r="O1584" s="3"/>
      <x:c r="P1584" s="3"/>
      <x:c r="Q1584" s="3"/>
    </x:row>
    <x:row r="1585" ht="21" customHeight="1">
      <x:c r="A1585" s="3" t="str">
        <x:v>ORD-101680</x:v>
      </x:c>
      <x:c r="B1585" s="5" t="n">
        <x:v>45717</x:v>
      </x:c>
      <x:c r="C1585" s="3" t="str">
        <x:v>CUST-00425</x:v>
      </x:c>
      <x:c r="D1585" s="3" t="str">
        <x:v>West</x:v>
      </x:c>
      <x:c r="E1585" s="3" t="str">
        <x:v>Sports</x:v>
      </x:c>
      <x:c r="F1585" s="3" t="str">
        <x:v>Fitness</x:v>
      </x:c>
      <x:c r="G1585" s="3" t="str">
        <x:v>Adjustable Dumbbell 24kg</x:v>
      </x:c>
      <x:c r="H1585" s="3" t="n">
        <x:v>2</x:v>
      </x:c>
      <x:c r="I1585" s="7" t="n">
        <x:v>10251.42</x:v>
      </x:c>
      <x:c r="J1585" s="9" t="n">
        <x:v>0</x:v>
      </x:c>
      <x:c r="K1585" s="7" t="n">
        <x:v>20502.84</x:v>
      </x:c>
      <x:c r="L1585" s="7" t="n">
        <x:v>8354.07</x:v>
      </x:c>
      <x:c r="M1585" s="3" t="str">
        <x:v>UPI</x:v>
      </x:c>
      <x:c r="N1585" s="3"/>
      <x:c r="O1585" s="3"/>
      <x:c r="P1585" s="3"/>
      <x:c r="Q1585" s="3"/>
    </x:row>
    <x:row r="1586" ht="21" customHeight="1">
      <x:c r="A1586" s="3" t="str">
        <x:v>ORD-101810</x:v>
      </x:c>
      <x:c r="B1586" s="5" t="n">
        <x:v>45717</x:v>
      </x:c>
      <x:c r="C1586" s="3" t="str">
        <x:v>CUST-00080</x:v>
      </x:c>
      <x:c r="D1586" s="3" t="str">
        <x:v>North</x:v>
      </x:c>
      <x:c r="E1586" s="3" t="str">
        <x:v>Beauty</x:v>
      </x:c>
      <x:c r="F1586" s="3" t="str">
        <x:v>Makeup</x:v>
      </x:c>
      <x:c r="G1586" s="3" t="str">
        <x:v>Matte Lipstick Set</x:v>
      </x:c>
      <x:c r="H1586" s="3" t="n">
        <x:v>1</x:v>
      </x:c>
      <x:c r="I1586" s="7" t="n">
        <x:v>990.57</x:v>
      </x:c>
      <x:c r="J1586" s="9" t="n">
        <x:v>0.2</x:v>
      </x:c>
      <x:c r="K1586" s="7" t="n">
        <x:v>792.46</x:v>
      </x:c>
      <x:c r="L1586" s="7" t="n">
        <x:v>250.57</x:v>
      </x:c>
      <x:c r="M1586" s="3" t="str">
        <x:v>Debit Card</x:v>
      </x:c>
      <x:c r="N1586" s="3"/>
      <x:c r="O1586" s="3"/>
      <x:c r="P1586" s="3"/>
      <x:c r="Q1586" s="3"/>
    </x:row>
    <x:row r="1587" ht="21" customHeight="1">
      <x:c r="A1587" s="3" t="str">
        <x:v>ORD-100726</x:v>
      </x:c>
      <x:c r="B1587" s="5" t="n">
        <x:v>45718</x:v>
      </x:c>
      <x:c r="C1587" s="3" t="str">
        <x:v>CUST-00187</x:v>
      </x:c>
      <x:c r="D1587" s="3" t="str">
        <x:v>North</x:v>
      </x:c>
      <x:c r="E1587" s="3" t="str">
        <x:v>Beauty</x:v>
      </x:c>
      <x:c r="F1587" s="3" t="str">
        <x:v>Skincare</x:v>
      </x:c>
      <x:c r="G1587" s="3" t="str">
        <x:v>HydraBoost Moisturizer</x:v>
      </x:c>
      <x:c r="H1587" s="3" t="n">
        <x:v>3</x:v>
      </x:c>
      <x:c r="I1587" s="7" t="n">
        <x:v>1142.67</x:v>
      </x:c>
      <x:c r="J1587" s="9" t="n">
        <x:v>0.2</x:v>
      </x:c>
      <x:c r="K1587" s="7" t="n">
        <x:v>2742.41</x:v>
      </x:c>
      <x:c r="L1587" s="7" t="n">
        <x:v>848.01</x:v>
      </x:c>
      <x:c r="M1587" s="3" t="str">
        <x:v>UPI</x:v>
      </x:c>
      <x:c r="N1587" s="3"/>
      <x:c r="O1587" s="3"/>
      <x:c r="P1587" s="3"/>
      <x:c r="Q1587" s="3"/>
    </x:row>
    <x:row r="1588" ht="21" customHeight="1">
      <x:c r="A1588" s="3" t="str">
        <x:v>ORD-101152</x:v>
      </x:c>
      <x:c r="B1588" s="5" t="n">
        <x:v>45718</x:v>
      </x:c>
      <x:c r="C1588" s="3" t="str">
        <x:v>CUST-00314</x:v>
      </x:c>
      <x:c r="D1588" s="3" t="str">
        <x:v>North</x:v>
      </x:c>
      <x:c r="E1588" s="3" t="str">
        <x:v>Fashion</x:v>
      </x:c>
      <x:c r="F1588" s="3" t="str">
        <x:v>Women</x:v>
      </x:c>
      <x:c r="G1588" s="3" t="str">
        <x:v>Floral Summer Dress</x:v>
      </x:c>
      <x:c r="H1588" s="3" t="n">
        <x:v>1</x:v>
      </x:c>
      <x:c r="I1588" s="7" t="n">
        <x:v>1881.51</x:v>
      </x:c>
      <x:c r="J1588" s="9" t="n">
        <x:v>0.05</x:v>
      </x:c>
      <x:c r="K1588" s="7" t="n">
        <x:v>1787.43</x:v>
      </x:c>
      <x:c r="L1588" s="7" t="n">
        <x:v>691.18</x:v>
      </x:c>
      <x:c r="M1588" s="3" t="str">
        <x:v>Debit Card</x:v>
      </x:c>
      <x:c r="N1588" s="3"/>
      <x:c r="O1588" s="3"/>
      <x:c r="P1588" s="3"/>
      <x:c r="Q1588" s="3"/>
    </x:row>
    <x:row r="1589" ht="21" customHeight="1">
      <x:c r="A1589" s="3" t="str">
        <x:v>ORD-101264</x:v>
      </x:c>
      <x:c r="B1589" s="5" t="n">
        <x:v>45718</x:v>
      </x:c>
      <x:c r="C1589" s="3" t="str">
        <x:v>CUST-00333</x:v>
      </x:c>
      <x:c r="D1589" s="3" t="str">
        <x:v>West</x:v>
      </x:c>
      <x:c r="E1589" s="3" t="str">
        <x:v>Fashion</x:v>
      </x:c>
      <x:c r="F1589" s="3" t="str">
        <x:v>Footwear</x:v>
      </x:c>
      <x:c r="G1589" s="3" t="str">
        <x:v>UrbanLoafers</x:v>
      </x:c>
      <x:c r="H1589" s="3" t="n">
        <x:v>1</x:v>
      </x:c>
      <x:c r="I1589" s="7" t="n">
        <x:v>3651.27</x:v>
      </x:c>
      <x:c r="J1589" s="9" t="n">
        <x:v>0.2</x:v>
      </x:c>
      <x:c r="K1589" s="7" t="n">
        <x:v>2921.02</x:v>
      </x:c>
      <x:c r="L1589" s="7" t="n">
        <x:v>568.41</x:v>
      </x:c>
      <x:c r="M1589" s="3" t="str">
        <x:v>Debit Card</x:v>
      </x:c>
      <x:c r="N1589" s="3"/>
      <x:c r="O1589" s="3"/>
      <x:c r="P1589" s="3"/>
      <x:c r="Q1589" s="3"/>
    </x:row>
    <x:row r="1590" ht="21" customHeight="1">
      <x:c r="A1590" s="3" t="str">
        <x:v>ORD-101413</x:v>
      </x:c>
      <x:c r="B1590" s="5" t="n">
        <x:v>45718</x:v>
      </x:c>
      <x:c r="C1590" s="3" t="str">
        <x:v>CUST-00310</x:v>
      </x:c>
      <x:c r="D1590" s="3" t="str">
        <x:v>North</x:v>
      </x:c>
      <x:c r="E1590" s="3" t="str">
        <x:v>Beauty</x:v>
      </x:c>
      <x:c r="F1590" s="3" t="str">
        <x:v>Makeup</x:v>
      </x:c>
      <x:c r="G1590" s="3" t="str">
        <x:v>HD Foundation Kit</x:v>
      </x:c>
      <x:c r="H1590" s="3" t="n">
        <x:v>1</x:v>
      </x:c>
      <x:c r="I1590" s="7" t="n">
        <x:v>1568.75</x:v>
      </x:c>
      <x:c r="J1590" s="9" t="n">
        <x:v>0</x:v>
      </x:c>
      <x:c r="K1590" s="7" t="n">
        <x:v>1568.75</x:v>
      </x:c>
      <x:c r="L1590" s="7" t="n">
        <x:v>849.2</x:v>
      </x:c>
      <x:c r="M1590" s="3" t="str">
        <x:v>UPI</x:v>
      </x:c>
      <x:c r="N1590" s="3"/>
      <x:c r="O1590" s="3"/>
      <x:c r="P1590" s="3"/>
      <x:c r="Q1590" s="3"/>
    </x:row>
    <x:row r="1591" ht="21" customHeight="1">
      <x:c r="A1591" s="3" t="str">
        <x:v>ORD-100170</x:v>
      </x:c>
      <x:c r="B1591" s="5" t="n">
        <x:v>45719</x:v>
      </x:c>
      <x:c r="C1591" s="3" t="str">
        <x:v>CUST-00201</x:v>
      </x:c>
      <x:c r="D1591" s="3" t="str">
        <x:v>West</x:v>
      </x:c>
      <x:c r="E1591" s="3" t="str">
        <x:v>Home &amp; Kitchen</x:v>
      </x:c>
      <x:c r="F1591" s="3" t="str">
        <x:v>Decor</x:v>
      </x:c>
      <x:c r="G1591" s="3" t="str">
        <x:v>Ceramic Vase Set</x:v>
      </x:c>
      <x:c r="H1591" s="3" t="n">
        <x:v>2</x:v>
      </x:c>
      <x:c r="I1591" s="7" t="n">
        <x:v>1445.92</x:v>
      </x:c>
      <x:c r="J1591" s="9" t="n">
        <x:v>0</x:v>
      </x:c>
      <x:c r="K1591" s="7" t="n">
        <x:v>2891.84</x:v>
      </x:c>
      <x:c r="L1591" s="7" t="n">
        <x:v>898.96</x:v>
      </x:c>
      <x:c r="M1591" s="3" t="str">
        <x:v>Credit Card</x:v>
      </x:c>
      <x:c r="N1591" s="3"/>
      <x:c r="O1591" s="3"/>
      <x:c r="P1591" s="3"/>
      <x:c r="Q1591" s="3"/>
    </x:row>
    <x:row r="1592" ht="21" customHeight="1">
      <x:c r="A1592" s="3" t="str">
        <x:v>ORD-100905</x:v>
      </x:c>
      <x:c r="B1592" s="5" t="n">
        <x:v>45719</x:v>
      </x:c>
      <x:c r="C1592" s="3" t="str">
        <x:v>CUST-00333</x:v>
      </x:c>
      <x:c r="D1592" s="3" t="str">
        <x:v>North</x:v>
      </x:c>
      <x:c r="E1592" s="3" t="str">
        <x:v>Beauty</x:v>
      </x:c>
      <x:c r="F1592" s="3" t="str">
        <x:v>Makeup</x:v>
      </x:c>
      <x:c r="G1592" s="3" t="str">
        <x:v>HD Foundation Kit</x:v>
      </x:c>
      <x:c r="H1592" s="3" t="n">
        <x:v>1</x:v>
      </x:c>
      <x:c r="I1592" s="7" t="n">
        <x:v>1539</x:v>
      </x:c>
      <x:c r="J1592" s="9" t="n">
        <x:v>0.1</x:v>
      </x:c>
      <x:c r="K1592" s="7" t="n">
        <x:v>1385.1</x:v>
      </x:c>
      <x:c r="L1592" s="7" t="n">
        <x:v>549.72</x:v>
      </x:c>
      <x:c r="M1592" s="3" t="str">
        <x:v>UPI</x:v>
      </x:c>
      <x:c r="N1592" s="3"/>
      <x:c r="O1592" s="3"/>
      <x:c r="P1592" s="3"/>
      <x:c r="Q1592" s="3"/>
    </x:row>
    <x:row r="1593" ht="21" customHeight="1">
      <x:c r="A1593" s="3" t="str">
        <x:v>ORD-101492</x:v>
      </x:c>
      <x:c r="B1593" s="5" t="n">
        <x:v>45719</x:v>
      </x:c>
      <x:c r="C1593" s="3" t="str">
        <x:v>CUST-00412</x:v>
      </x:c>
      <x:c r="D1593" s="3" t="str">
        <x:v>South</x:v>
      </x:c>
      <x:c r="E1593" s="3" t="str">
        <x:v>Fashion</x:v>
      </x:c>
      <x:c r="F1593" s="3" t="str">
        <x:v>Men</x:v>
      </x:c>
      <x:c r="G1593" s="3" t="str">
        <x:v>SlimFit Denim Jeans</x:v>
      </x:c>
      <x:c r="H1593" s="3" t="n">
        <x:v>4</x:v>
      </x:c>
      <x:c r="I1593" s="7" t="n">
        <x:v>1914.3</x:v>
      </x:c>
      <x:c r="J1593" s="9" t="n">
        <x:v>0</x:v>
      </x:c>
      <x:c r="K1593" s="7" t="n">
        <x:v>7657.2</x:v>
      </x:c>
      <x:c r="L1593" s="7" t="n">
        <x:v>3368.67</x:v>
      </x:c>
      <x:c r="M1593" s="3" t="str">
        <x:v>Net Banking</x:v>
      </x:c>
      <x:c r="N1593" s="3"/>
      <x:c r="O1593" s="3"/>
      <x:c r="P1593" s="3"/>
      <x:c r="Q1593" s="3"/>
    </x:row>
    <x:row r="1594" ht="21" customHeight="1">
      <x:c r="A1594" s="3" t="str">
        <x:v>ORD-100135</x:v>
      </x:c>
      <x:c r="B1594" s="5" t="n">
        <x:v>45720</x:v>
      </x:c>
      <x:c r="C1594" s="3" t="str">
        <x:v>CUST-00164</x:v>
      </x:c>
      <x:c r="D1594" s="3" t="str">
        <x:v>West</x:v>
      </x:c>
      <x:c r="E1594" s="3" t="str">
        <x:v>Home &amp; Kitchen</x:v>
      </x:c>
      <x:c r="F1594" s="3" t="str">
        <x:v>Furniture</x:v>
      </x:c>
      <x:c r="G1594" s="3" t="str">
        <x:v>ErgoComfort Chair</x:v>
      </x:c>
      <x:c r="H1594" s="3" t="n">
        <x:v>1</x:v>
      </x:c>
      <x:c r="I1594" s="7" t="n">
        <x:v>8675.83</x:v>
      </x:c>
      <x:c r="J1594" s="9" t="n">
        <x:v>0.05</x:v>
      </x:c>
      <x:c r="K1594" s="7" t="n">
        <x:v>8242.04</x:v>
      </x:c>
      <x:c r="L1594" s="7" t="n">
        <x:v>1949.64</x:v>
      </x:c>
      <x:c r="M1594" s="3" t="str">
        <x:v>Net Banking</x:v>
      </x:c>
      <x:c r="N1594" s="3"/>
      <x:c r="O1594" s="3"/>
      <x:c r="P1594" s="3"/>
      <x:c r="Q1594" s="3"/>
    </x:row>
    <x:row r="1595" ht="21" customHeight="1">
      <x:c r="A1595" s="3" t="str">
        <x:v>ORD-100189</x:v>
      </x:c>
      <x:c r="B1595" s="5" t="n">
        <x:v>45720</x:v>
      </x:c>
      <x:c r="C1595" s="3" t="str">
        <x:v>CUST-00369</x:v>
      </x:c>
      <x:c r="D1595" s="3" t="str">
        <x:v>South</x:v>
      </x:c>
      <x:c r="E1595" s="3" t="str">
        <x:v>Home &amp; Kitchen</x:v>
      </x:c>
      <x:c r="F1595" s="3" t="str">
        <x:v>Appliances</x:v>
      </x:c>
      <x:c r="G1595" s="3" t="str">
        <x:v>AirFryer Deluxe</x:v>
      </x:c>
      <x:c r="H1595" s="3" t="n">
        <x:v>2</x:v>
      </x:c>
      <x:c r="I1595" s="7" t="n">
        <x:v>7658.21</x:v>
      </x:c>
      <x:c r="J1595" s="9" t="n">
        <x:v>0.15</x:v>
      </x:c>
      <x:c r="K1595" s="7" t="n">
        <x:v>13018.96</x:v>
      </x:c>
      <x:c r="L1595" s="7" t="n">
        <x:v>2561.56</x:v>
      </x:c>
      <x:c r="M1595" s="3" t="str">
        <x:v>UPI</x:v>
      </x:c>
      <x:c r="N1595" s="3"/>
      <x:c r="O1595" s="3"/>
      <x:c r="P1595" s="3"/>
      <x:c r="Q1595" s="3"/>
    </x:row>
    <x:row r="1596" ht="21" customHeight="1">
      <x:c r="A1596" s="3" t="str">
        <x:v>ORD-100266</x:v>
      </x:c>
      <x:c r="B1596" s="5" t="n">
        <x:v>45720</x:v>
      </x:c>
      <x:c r="C1596" s="3" t="str">
        <x:v>CUST-00037</x:v>
      </x:c>
      <x:c r="D1596" s="3" t="str">
        <x:v>West</x:v>
      </x:c>
      <x:c r="E1596" s="3" t="str">
        <x:v>Fashion</x:v>
      </x:c>
      <x:c r="F1596" s="3" t="str">
        <x:v>Men</x:v>
      </x:c>
      <x:c r="G1596" s="3" t="str">
        <x:v>Oxford Casual Shirt</x:v>
      </x:c>
      <x:c r="H1596" s="3" t="n">
        <x:v>2</x:v>
      </x:c>
      <x:c r="I1596" s="7" t="n">
        <x:v>1327.74</x:v>
      </x:c>
      <x:c r="J1596" s="9" t="n">
        <x:v>0.1</x:v>
      </x:c>
      <x:c r="K1596" s="7" t="n">
        <x:v>2389.93</x:v>
      </x:c>
      <x:c r="L1596" s="7" t="n">
        <x:v>758.64</x:v>
      </x:c>
      <x:c r="M1596" s="3" t="str">
        <x:v>UPI</x:v>
      </x:c>
      <x:c r="N1596" s="3"/>
      <x:c r="O1596" s="3"/>
      <x:c r="P1596" s="3"/>
      <x:c r="Q1596" s="3"/>
    </x:row>
    <x:row r="1597" ht="21" customHeight="1">
      <x:c r="A1597" s="3" t="str">
        <x:v>ORD-100460</x:v>
      </x:c>
      <x:c r="B1597" s="5" t="n">
        <x:v>45720</x:v>
      </x:c>
      <x:c r="C1597" s="3" t="str">
        <x:v>CUST-00242</x:v>
      </x:c>
      <x:c r="D1597" s="3" t="str">
        <x:v>West</x:v>
      </x:c>
      <x:c r="E1597" s="3" t="str">
        <x:v>Fashion</x:v>
      </x:c>
      <x:c r="F1597" s="3" t="str">
        <x:v>Footwear</x:v>
      </x:c>
      <x:c r="G1597" s="3" t="str">
        <x:v>RunFlex Sneakers</x:v>
      </x:c>
      <x:c r="H1597" s="3" t="n">
        <x:v>2</x:v>
      </x:c>
      <x:c r="I1597" s="7" t="n">
        <x:v>3032.6</x:v>
      </x:c>
      <x:c r="J1597" s="9" t="n">
        <x:v>0.15</x:v>
      </x:c>
      <x:c r="K1597" s="7" t="n">
        <x:v>5155.42</x:v>
      </x:c>
      <x:c r="L1597" s="7" t="n">
        <x:v>1106.05</x:v>
      </x:c>
      <x:c r="M1597" s="3" t="str">
        <x:v>UPI</x:v>
      </x:c>
      <x:c r="N1597" s="3"/>
      <x:c r="O1597" s="3"/>
      <x:c r="P1597" s="3"/>
      <x:c r="Q1597" s="3"/>
    </x:row>
    <x:row r="1598" ht="21" customHeight="1">
      <x:c r="A1598" s="3" t="str">
        <x:v>ORD-101955</x:v>
      </x:c>
      <x:c r="B1598" s="5" t="n">
        <x:v>45720</x:v>
      </x:c>
      <x:c r="C1598" s="3" t="str">
        <x:v>CUST-00527</x:v>
      </x:c>
      <x:c r="D1598" s="3" t="str">
        <x:v>South</x:v>
      </x:c>
      <x:c r="E1598" s="3" t="str">
        <x:v>Beauty</x:v>
      </x:c>
      <x:c r="F1598" s="3" t="str">
        <x:v>Makeup</x:v>
      </x:c>
      <x:c r="G1598" s="3" t="str">
        <x:v>Matte Lipstick Set</x:v>
      </x:c>
      <x:c r="H1598" s="3" t="n">
        <x:v>1</x:v>
      </x:c>
      <x:c r="I1598" s="7" t="n">
        <x:v>1042.93</x:v>
      </x:c>
      <x:c r="J1598" s="9" t="n">
        <x:v>0.05</x:v>
      </x:c>
      <x:c r="K1598" s="7" t="n">
        <x:v>990.78</x:v>
      </x:c>
      <x:c r="L1598" s="7" t="n">
        <x:v>465.68</x:v>
      </x:c>
      <x:c r="M1598" s="3" t="str">
        <x:v>UPI</x:v>
      </x:c>
      <x:c r="N1598" s="3"/>
      <x:c r="O1598" s="3"/>
      <x:c r="P1598" s="3"/>
      <x:c r="Q1598" s="3"/>
    </x:row>
    <x:row r="1599" ht="21" customHeight="1">
      <x:c r="A1599" s="3" t="str">
        <x:v>ORD-100234</x:v>
      </x:c>
      <x:c r="B1599" s="5" t="n">
        <x:v>45721</x:v>
      </x:c>
      <x:c r="C1599" s="3" t="str">
        <x:v>CUST-00539</x:v>
      </x:c>
      <x:c r="D1599" s="3" t="str">
        <x:v>North</x:v>
      </x:c>
      <x:c r="E1599" s="3" t="str">
        <x:v>Fashion</x:v>
      </x:c>
      <x:c r="F1599" s="3" t="str">
        <x:v>Men</x:v>
      </x:c>
      <x:c r="G1599" s="3" t="str">
        <x:v>SlimFit Denim Jeans</x:v>
      </x:c>
      <x:c r="H1599" s="3" t="n">
        <x:v>2</x:v>
      </x:c>
      <x:c r="I1599" s="7" t="n">
        <x:v>2075.52</x:v>
      </x:c>
      <x:c r="J1599" s="9" t="n">
        <x:v>0.05</x:v>
      </x:c>
      <x:c r="K1599" s="7" t="n">
        <x:v>3943.49</x:v>
      </x:c>
      <x:c r="L1599" s="7" t="n">
        <x:v>1422.9</x:v>
      </x:c>
      <x:c r="M1599" s="3" t="str">
        <x:v>UPI</x:v>
      </x:c>
      <x:c r="N1599" s="3"/>
      <x:c r="O1599" s="3"/>
      <x:c r="P1599" s="3"/>
      <x:c r="Q1599" s="3"/>
    </x:row>
    <x:row r="1600" ht="21" customHeight="1">
      <x:c r="A1600" s="3" t="str">
        <x:v>ORD-100402</x:v>
      </x:c>
      <x:c r="B1600" s="5" t="n">
        <x:v>45721</x:v>
      </x:c>
      <x:c r="C1600" s="3" t="str">
        <x:v>CUST-00457</x:v>
      </x:c>
      <x:c r="D1600" s="3" t="str">
        <x:v>North</x:v>
      </x:c>
      <x:c r="E1600" s="3" t="str">
        <x:v>Electronics</x:v>
      </x:c>
      <x:c r="F1600" s="3" t="str">
        <x:v>Mobile</x:v>
      </x:c>
      <x:c r="G1600" s="3" t="str">
        <x:v>Pixel Aura 12</x:v>
      </x:c>
      <x:c r="H1600" s="3" t="n">
        <x:v>2</x:v>
      </x:c>
      <x:c r="I1600" s="7" t="n">
        <x:v>31844.33</x:v>
      </x:c>
      <x:c r="J1600" s="9" t="n">
        <x:v>0.1</x:v>
      </x:c>
      <x:c r="K1600" s="7" t="n">
        <x:v>57319.79</x:v>
      </x:c>
      <x:c r="L1600" s="7" t="n">
        <x:v>5417.03</x:v>
      </x:c>
      <x:c r="M1600" s="3" t="str">
        <x:v>Debit Card</x:v>
      </x:c>
      <x:c r="N1600" s="3"/>
      <x:c r="O1600" s="3"/>
      <x:c r="P1600" s="3"/>
      <x:c r="Q1600" s="3"/>
    </x:row>
    <x:row r="1601" ht="21" customHeight="1">
      <x:c r="A1601" s="3" t="str">
        <x:v>ORD-100564</x:v>
      </x:c>
      <x:c r="B1601" s="5" t="n">
        <x:v>45721</x:v>
      </x:c>
      <x:c r="C1601" s="3" t="str">
        <x:v>CUST-00567</x:v>
      </x:c>
      <x:c r="D1601" s="3" t="str">
        <x:v>South</x:v>
      </x:c>
      <x:c r="E1601" s="3" t="str">
        <x:v>Beauty</x:v>
      </x:c>
      <x:c r="F1601" s="3" t="str">
        <x:v>Skincare</x:v>
      </x:c>
      <x:c r="G1601" s="3" t="str">
        <x:v>Vitamin C Serum</x:v>
      </x:c>
      <x:c r="H1601" s="3" t="n">
        <x:v>1</x:v>
      </x:c>
      <x:c r="I1601" s="7" t="n">
        <x:v>923.49</x:v>
      </x:c>
      <x:c r="J1601" s="9" t="n">
        <x:v>0.05</x:v>
      </x:c>
      <x:c r="K1601" s="7" t="n">
        <x:v>877.32</x:v>
      </x:c>
      <x:c r="L1601" s="7" t="n">
        <x:v>427.45</x:v>
      </x:c>
      <x:c r="M1601" s="3" t="str">
        <x:v>UPI</x:v>
      </x:c>
      <x:c r="N1601" s="3"/>
      <x:c r="O1601" s="3"/>
      <x:c r="P1601" s="3"/>
      <x:c r="Q1601" s="3"/>
    </x:row>
    <x:row r="1602" ht="21" customHeight="1">
      <x:c r="A1602" s="3" t="str">
        <x:v>ORD-101178</x:v>
      </x:c>
      <x:c r="B1602" s="5" t="n">
        <x:v>45721</x:v>
      </x:c>
      <x:c r="C1602" s="3" t="str">
        <x:v>CUST-00002</x:v>
      </x:c>
      <x:c r="D1602" s="3" t="str">
        <x:v>South</x:v>
      </x:c>
      <x:c r="E1602" s="3" t="str">
        <x:v>Home &amp; Kitchen</x:v>
      </x:c>
      <x:c r="F1602" s="3" t="str">
        <x:v>Furniture</x:v>
      </x:c>
      <x:c r="G1602" s="3" t="str">
        <x:v>Oakwood Study Desk</x:v>
      </x:c>
      <x:c r="H1602" s="3" t="n">
        <x:v>2</x:v>
      </x:c>
      <x:c r="I1602" s="7" t="n">
        <x:v>12353.43</x:v>
      </x:c>
      <x:c r="J1602" s="9" t="n">
        <x:v>0.3</x:v>
      </x:c>
      <x:c r="K1602" s="7" t="n">
        <x:v>17294.8</x:v>
      </x:c>
      <x:c r="L1602" s="7" t="n">
        <x:v>375.12</x:v>
      </x:c>
      <x:c r="M1602" s="3" t="str">
        <x:v>Credit Card</x:v>
      </x:c>
      <x:c r="N1602" s="3"/>
      <x:c r="O1602" s="3"/>
      <x:c r="P1602" s="3"/>
      <x:c r="Q1602" s="3"/>
    </x:row>
    <x:row r="1603" ht="21" customHeight="1">
      <x:c r="A1603" s="3" t="str">
        <x:v>ORD-100750</x:v>
      </x:c>
      <x:c r="B1603" s="5" t="n">
        <x:v>45722</x:v>
      </x:c>
      <x:c r="C1603" s="3" t="str">
        <x:v>CUST-00466</x:v>
      </x:c>
      <x:c r="D1603" s="3" t="str">
        <x:v>South</x:v>
      </x:c>
      <x:c r="E1603" s="3" t="str">
        <x:v>Beauty</x:v>
      </x:c>
      <x:c r="F1603" s="3" t="str">
        <x:v>Makeup</x:v>
      </x:c>
      <x:c r="G1603" s="3" t="str">
        <x:v>Matte Lipstick Set</x:v>
      </x:c>
      <x:c r="H1603" s="3" t="n">
        <x:v>1</x:v>
      </x:c>
      <x:c r="I1603" s="7" t="n">
        <x:v>1041.68</x:v>
      </x:c>
      <x:c r="J1603" s="9" t="n">
        <x:v>0.15</x:v>
      </x:c>
      <x:c r="K1603" s="7" t="n">
        <x:v>885.43</x:v>
      </x:c>
      <x:c r="L1603" s="7" t="n">
        <x:v>305.89</x:v>
      </x:c>
      <x:c r="M1603" s="3" t="str">
        <x:v>Credit Card</x:v>
      </x:c>
      <x:c r="N1603" s="3"/>
      <x:c r="O1603" s="3"/>
      <x:c r="P1603" s="3"/>
      <x:c r="Q1603" s="3"/>
    </x:row>
    <x:row r="1604" ht="21" customHeight="1">
      <x:c r="A1604" s="3" t="str">
        <x:v>ORD-101622</x:v>
      </x:c>
      <x:c r="B1604" s="5" t="n">
        <x:v>45722</x:v>
      </x:c>
      <x:c r="C1604" s="3" t="str">
        <x:v>CUST-00160</x:v>
      </x:c>
      <x:c r="D1604" s="3" t="str">
        <x:v>West</x:v>
      </x:c>
      <x:c r="E1604" s="3" t="str">
        <x:v>Fashion</x:v>
      </x:c>
      <x:c r="F1604" s="3" t="str">
        <x:v>Footwear</x:v>
      </x:c>
      <x:c r="G1604" s="3" t="str">
        <x:v>UrbanLoafers</x:v>
      </x:c>
      <x:c r="H1604" s="3" t="n">
        <x:v>1</x:v>
      </x:c>
      <x:c r="I1604" s="7" t="n">
        <x:v>3356.76</x:v>
      </x:c>
      <x:c r="J1604" s="9" t="n">
        <x:v>0.1</x:v>
      </x:c>
      <x:c r="K1604" s="7" t="n">
        <x:v>3021.08</x:v>
      </x:c>
      <x:c r="L1604" s="7" t="n">
        <x:v>879.34</x:v>
      </x:c>
      <x:c r="M1604" s="3" t="str">
        <x:v>Net Banking</x:v>
      </x:c>
      <x:c r="N1604" s="3"/>
      <x:c r="O1604" s="3"/>
      <x:c r="P1604" s="3"/>
      <x:c r="Q1604" s="3"/>
    </x:row>
    <x:row r="1605" ht="21" customHeight="1">
      <x:c r="A1605" s="3" t="str">
        <x:v>ORD-100574</x:v>
      </x:c>
      <x:c r="B1605" s="5" t="n">
        <x:v>45723</x:v>
      </x:c>
      <x:c r="C1605" s="3" t="str">
        <x:v>CUST-00313</x:v>
      </x:c>
      <x:c r="D1605" s="3" t="str">
        <x:v>North</x:v>
      </x:c>
      <x:c r="E1605" s="3" t="str">
        <x:v>Electronics</x:v>
      </x:c>
      <x:c r="F1605" s="3" t="str">
        <x:v>Audio</x:v>
      </x:c>
      <x:c r="G1605" s="3" t="str">
        <x:v>SoundPods Pro</x:v>
      </x:c>
      <x:c r="H1605" s="3" t="n">
        <x:v>1</x:v>
      </x:c>
      <x:c r="I1605" s="7" t="n">
        <x:v>4936.24</x:v>
      </x:c>
      <x:c r="J1605" s="9" t="n">
        <x:v>0.05</x:v>
      </x:c>
      <x:c r="K1605" s="7" t="n">
        <x:v>4689.43</x:v>
      </x:c>
      <x:c r="L1605" s="7" t="n">
        <x:v>497.17</x:v>
      </x:c>
      <x:c r="M1605" s="3" t="str">
        <x:v>UPI</x:v>
      </x:c>
      <x:c r="N1605" s="3"/>
      <x:c r="O1605" s="3"/>
      <x:c r="P1605" s="3"/>
      <x:c r="Q1605" s="3"/>
    </x:row>
    <x:row r="1606" ht="21" customHeight="1">
      <x:c r="A1606" s="3" t="str">
        <x:v>ORD-101701</x:v>
      </x:c>
      <x:c r="B1606" s="5" t="n">
        <x:v>45723</x:v>
      </x:c>
      <x:c r="C1606" s="3" t="str">
        <x:v>CUST-00271</x:v>
      </x:c>
      <x:c r="D1606" s="3" t="str">
        <x:v>North</x:v>
      </x:c>
      <x:c r="E1606" s="3" t="str">
        <x:v>Electronics</x:v>
      </x:c>
      <x:c r="F1606" s="3" t="str">
        <x:v>Audio</x:v>
      </x:c>
      <x:c r="G1606" s="3" t="str">
        <x:v>SoundPods Pro</x:v>
      </x:c>
      <x:c r="H1606" s="3" t="n">
        <x:v>1</x:v>
      </x:c>
      <x:c r="I1606" s="7" t="n">
        <x:v>4869.08</x:v>
      </x:c>
      <x:c r="J1606" s="9" t="n">
        <x:v>0.2</x:v>
      </x:c>
      <x:c r="K1606" s="7" t="n">
        <x:v>3895.26</x:v>
      </x:c>
      <x:c r="L1606" s="7" t="n">
        <x:v>-313.16</x:v>
      </x:c>
      <x:c r="M1606" s="3" t="str">
        <x:v>Debit Card</x:v>
      </x:c>
      <x:c r="N1606" s="3"/>
      <x:c r="O1606" s="3"/>
      <x:c r="P1606" s="3"/>
      <x:c r="Q1606" s="3"/>
    </x:row>
    <x:row r="1607" ht="21" customHeight="1">
      <x:c r="A1607" s="3" t="str">
        <x:v>ORD-100000</x:v>
      </x:c>
      <x:c r="B1607" s="5" t="n">
        <x:v>45724</x:v>
      </x:c>
      <x:c r="C1607" s="3" t="str">
        <x:v>CUST-00096</x:v>
      </x:c>
      <x:c r="D1607" s="3" t="str">
        <x:v>West</x:v>
      </x:c>
      <x:c r="E1607" s="3" t="str">
        <x:v>Electronics</x:v>
      </x:c>
      <x:c r="F1607" s="3" t="str">
        <x:v>Mobile</x:v>
      </x:c>
      <x:c r="G1607" s="3" t="str">
        <x:v>iPhone Zeta</x:v>
      </x:c>
      <x:c r="H1607" s="3" t="n">
        <x:v>1</x:v>
      </x:c>
      <x:c r="I1607" s="7" t="n">
        <x:v>71654.27</x:v>
      </x:c>
      <x:c r="J1607" s="9" t="n">
        <x:v>0</x:v>
      </x:c>
      <x:c r="K1607" s="7" t="n">
        <x:v>71654.27</x:v>
      </x:c>
      <x:c r="L1607" s="7" t="n">
        <x:v>13910.67</x:v>
      </x:c>
      <x:c r="M1607" s="3" t="str">
        <x:v>UPI</x:v>
      </x:c>
      <x:c r="N1607" s="3"/>
      <x:c r="O1607" s="3"/>
      <x:c r="P1607" s="3"/>
      <x:c r="Q1607" s="3"/>
    </x:row>
    <x:row r="1608" ht="21" customHeight="1">
      <x:c r="A1608" s="3" t="str">
        <x:v>ORD-100742</x:v>
      </x:c>
      <x:c r="B1608" s="5" t="n">
        <x:v>45725</x:v>
      </x:c>
      <x:c r="C1608" s="3" t="str">
        <x:v>CUST-00181</x:v>
      </x:c>
      <x:c r="D1608" s="3" t="str">
        <x:v>North</x:v>
      </x:c>
      <x:c r="E1608" s="3" t="str">
        <x:v>Beauty</x:v>
      </x:c>
      <x:c r="F1608" s="3" t="str">
        <x:v>Skincare</x:v>
      </x:c>
      <x:c r="G1608" s="3" t="str">
        <x:v>HydraBoost Moisturizer</x:v>
      </x:c>
      <x:c r="H1608" s="3" t="n">
        <x:v>1</x:v>
      </x:c>
      <x:c r="I1608" s="7" t="n">
        <x:v>1233.72</x:v>
      </x:c>
      <x:c r="J1608" s="9" t="n">
        <x:v>0.15</x:v>
      </x:c>
      <x:c r="K1608" s="7" t="n">
        <x:v>1048.66</x:v>
      </x:c>
      <x:c r="L1608" s="7" t="n">
        <x:v>436.02</x:v>
      </x:c>
      <x:c r="M1608" s="3" t="str">
        <x:v>UPI</x:v>
      </x:c>
      <x:c r="N1608" s="3"/>
      <x:c r="O1608" s="3"/>
      <x:c r="P1608" s="3"/>
      <x:c r="Q1608" s="3"/>
    </x:row>
    <x:row r="1609" ht="21" customHeight="1">
      <x:c r="A1609" s="3" t="str">
        <x:v>ORD-101510</x:v>
      </x:c>
      <x:c r="B1609" s="5" t="n">
        <x:v>45725</x:v>
      </x:c>
      <x:c r="C1609" s="3" t="str">
        <x:v>CUST-00312</x:v>
      </x:c>
      <x:c r="D1609" s="3" t="str">
        <x:v>North</x:v>
      </x:c>
      <x:c r="E1609" s="3" t="str">
        <x:v>Sports</x:v>
      </x:c>
      <x:c r="F1609" s="3" t="str">
        <x:v>Outdoor</x:v>
      </x:c>
      <x:c r="G1609" s="3" t="str">
        <x:v>TrailHike Backpack 60L</x:v>
      </x:c>
      <x:c r="H1609" s="3" t="n">
        <x:v>2</x:v>
      </x:c>
      <x:c r="I1609" s="7" t="n">
        <x:v>3479.77</x:v>
      </x:c>
      <x:c r="J1609" s="9" t="n">
        <x:v>0.1</x:v>
      </x:c>
      <x:c r="K1609" s="7" t="n">
        <x:v>6263.59</x:v>
      </x:c>
      <x:c r="L1609" s="7" t="n">
        <x:v>1723.69</x:v>
      </x:c>
      <x:c r="M1609" s="3" t="str">
        <x:v>Credit Card</x:v>
      </x:c>
      <x:c r="N1609" s="3"/>
      <x:c r="O1609" s="3"/>
      <x:c r="P1609" s="3"/>
      <x:c r="Q1609" s="3"/>
    </x:row>
    <x:row r="1610" ht="21" customHeight="1">
      <x:c r="A1610" s="3" t="str">
        <x:v>ORD-100160</x:v>
      </x:c>
      <x:c r="B1610" s="5" t="n">
        <x:v>45726</x:v>
      </x:c>
      <x:c r="C1610" s="3" t="str">
        <x:v>CUST-00236</x:v>
      </x:c>
      <x:c r="D1610" s="3" t="str">
        <x:v>East</x:v>
      </x:c>
      <x:c r="E1610" s="3" t="str">
        <x:v>Electronics</x:v>
      </x:c>
      <x:c r="F1610" s="3" t="str">
        <x:v>Mobile</x:v>
      </x:c>
      <x:c r="G1610" s="3" t="str">
        <x:v>iPhone Zeta</x:v>
      </x:c>
      <x:c r="H1610" s="3" t="n">
        <x:v>1</x:v>
      </x:c>
      <x:c r="I1610" s="7" t="n">
        <x:v>73350.02</x:v>
      </x:c>
      <x:c r="J1610" s="9" t="n">
        <x:v>0</x:v>
      </x:c>
      <x:c r="K1610" s="7" t="n">
        <x:v>73350.02</x:v>
      </x:c>
      <x:c r="L1610" s="7" t="n">
        <x:v>15167.74</x:v>
      </x:c>
      <x:c r="M1610" s="3" t="str">
        <x:v>Cash on Delivery</x:v>
      </x:c>
      <x:c r="N1610" s="3"/>
      <x:c r="O1610" s="3"/>
      <x:c r="P1610" s="3"/>
      <x:c r="Q1610" s="3"/>
    </x:row>
    <x:row r="1611" ht="21" customHeight="1">
      <x:c r="A1611" s="3" t="str">
        <x:v>ORD-100725</x:v>
      </x:c>
      <x:c r="B1611" s="5" t="n">
        <x:v>45726</x:v>
      </x:c>
      <x:c r="C1611" s="3" t="str">
        <x:v>CUST-00109</x:v>
      </x:c>
      <x:c r="D1611" s="3" t="str">
        <x:v>East</x:v>
      </x:c>
      <x:c r="E1611" s="3" t="str">
        <x:v>Beauty</x:v>
      </x:c>
      <x:c r="F1611" s="3" t="str">
        <x:v>Makeup</x:v>
      </x:c>
      <x:c r="G1611" s="3" t="str">
        <x:v>Matte Lipstick Set</x:v>
      </x:c>
      <x:c r="H1611" s="3" t="n">
        <x:v>1</x:v>
      </x:c>
      <x:c r="I1611" s="7" t="n">
        <x:v>1023.67</x:v>
      </x:c>
      <x:c r="J1611" s="9" t="n">
        <x:v>0</x:v>
      </x:c>
      <x:c r="K1611" s="7" t="n">
        <x:v>1023.67</x:v>
      </x:c>
      <x:c r="L1611" s="7" t="n">
        <x:v>531.67</x:v>
      </x:c>
      <x:c r="M1611" s="3" t="str">
        <x:v>UPI</x:v>
      </x:c>
      <x:c r="N1611" s="3"/>
      <x:c r="O1611" s="3"/>
      <x:c r="P1611" s="3"/>
      <x:c r="Q1611" s="3"/>
    </x:row>
    <x:row r="1612" ht="21" customHeight="1">
      <x:c r="A1612" s="3" t="str">
        <x:v>ORD-101993</x:v>
      </x:c>
      <x:c r="B1612" s="5" t="n">
        <x:v>45726</x:v>
      </x:c>
      <x:c r="C1612" s="3" t="str">
        <x:v>CUST-00224</x:v>
      </x:c>
      <x:c r="D1612" s="3" t="str">
        <x:v>West</x:v>
      </x:c>
      <x:c r="E1612" s="3" t="str">
        <x:v>Fashion</x:v>
      </x:c>
      <x:c r="F1612" s="3" t="str">
        <x:v>Footwear</x:v>
      </x:c>
      <x:c r="G1612" s="3" t="str">
        <x:v>UrbanLoafers</x:v>
      </x:c>
      <x:c r="H1612" s="3" t="n">
        <x:v>2</x:v>
      </x:c>
      <x:c r="I1612" s="7" t="n">
        <x:v>3429.69</x:v>
      </x:c>
      <x:c r="J1612" s="9" t="n">
        <x:v>0.3</x:v>
      </x:c>
      <x:c r="K1612" s="7" t="n">
        <x:v>4801.57</x:v>
      </x:c>
      <x:c r="L1612" s="7" t="n">
        <x:v>470.54</x:v>
      </x:c>
      <x:c r="M1612" s="3" t="str">
        <x:v>UPI</x:v>
      </x:c>
      <x:c r="N1612" s="3"/>
      <x:c r="O1612" s="3"/>
      <x:c r="P1612" s="3"/>
      <x:c r="Q1612" s="3"/>
    </x:row>
    <x:row r="1613" ht="21" customHeight="1">
      <x:c r="A1613" s="3" t="str">
        <x:v>ORD-101705</x:v>
      </x:c>
      <x:c r="B1613" s="5" t="n">
        <x:v>45727</x:v>
      </x:c>
      <x:c r="C1613" s="3" t="str">
        <x:v>CUST-00082</x:v>
      </x:c>
      <x:c r="D1613" s="3" t="str">
        <x:v>South</x:v>
      </x:c>
      <x:c r="E1613" s="3" t="str">
        <x:v>Fashion</x:v>
      </x:c>
      <x:c r="F1613" s="3" t="str">
        <x:v>Women</x:v>
      </x:c>
      <x:c r="G1613" s="3" t="str">
        <x:v>Knit Winter Sweater</x:v>
      </x:c>
      <x:c r="H1613" s="3" t="n">
        <x:v>1</x:v>
      </x:c>
      <x:c r="I1613" s="7" t="n">
        <x:v>2240.72</x:v>
      </x:c>
      <x:c r="J1613" s="9" t="n">
        <x:v>0.15</x:v>
      </x:c>
      <x:c r="K1613" s="7" t="n">
        <x:v>1904.61</x:v>
      </x:c>
      <x:c r="L1613" s="7" t="n">
        <x:v>401.61</x:v>
      </x:c>
      <x:c r="M1613" s="3" t="str">
        <x:v>Credit Card</x:v>
      </x:c>
      <x:c r="N1613" s="3"/>
      <x:c r="O1613" s="3"/>
      <x:c r="P1613" s="3"/>
      <x:c r="Q1613" s="3"/>
    </x:row>
    <x:row r="1614" ht="21" customHeight="1">
      <x:c r="A1614" s="3" t="str">
        <x:v>ORD-101968</x:v>
      </x:c>
      <x:c r="B1614" s="5" t="n">
        <x:v>45727</x:v>
      </x:c>
      <x:c r="C1614" s="3" t="str">
        <x:v>CUST-00104</x:v>
      </x:c>
      <x:c r="D1614" s="3" t="str">
        <x:v>West</x:v>
      </x:c>
      <x:c r="E1614" s="3" t="str">
        <x:v>Electronics</x:v>
      </x:c>
      <x:c r="F1614" s="3" t="str">
        <x:v>Audio</x:v>
      </x:c>
      <x:c r="G1614" s="3" t="str">
        <x:v>BassBoom Speaker</x:v>
      </x:c>
      <x:c r="H1614" s="3" t="n">
        <x:v>3</x:v>
      </x:c>
      <x:c r="I1614" s="7" t="n">
        <x:v>8929.87</x:v>
      </x:c>
      <x:c r="J1614" s="9" t="n">
        <x:v>0.05</x:v>
      </x:c>
      <x:c r="K1614" s="7" t="n">
        <x:v>25450.13</x:v>
      </x:c>
      <x:c r="L1614" s="7" t="n">
        <x:v>3569.46</x:v>
      </x:c>
      <x:c r="M1614" s="3" t="str">
        <x:v>UPI</x:v>
      </x:c>
      <x:c r="N1614" s="3"/>
      <x:c r="O1614" s="3"/>
      <x:c r="P1614" s="3"/>
      <x:c r="Q1614" s="3"/>
    </x:row>
    <x:row r="1615" ht="21" customHeight="1">
      <x:c r="A1615" s="3" t="str">
        <x:v>ORD-100844</x:v>
      </x:c>
      <x:c r="B1615" s="5" t="n">
        <x:v>45728</x:v>
      </x:c>
      <x:c r="C1615" s="3" t="str">
        <x:v>CUST-00394</x:v>
      </x:c>
      <x:c r="D1615" s="3" t="str">
        <x:v>South</x:v>
      </x:c>
      <x:c r="E1615" s="3" t="str">
        <x:v>Fashion</x:v>
      </x:c>
      <x:c r="F1615" s="3" t="str">
        <x:v>Footwear</x:v>
      </x:c>
      <x:c r="G1615" s="3" t="str">
        <x:v>UrbanLoafers</x:v>
      </x:c>
      <x:c r="H1615" s="3" t="n">
        <x:v>4</x:v>
      </x:c>
      <x:c r="I1615" s="7" t="n">
        <x:v>3428.09</x:v>
      </x:c>
      <x:c r="J1615" s="9" t="n">
        <x:v>0</x:v>
      </x:c>
      <x:c r="K1615" s="7" t="n">
        <x:v>13712.36</x:v>
      </x:c>
      <x:c r="L1615" s="7" t="n">
        <x:v>5584.9</x:v>
      </x:c>
      <x:c r="M1615" s="3" t="str">
        <x:v>Net Banking</x:v>
      </x:c>
      <x:c r="N1615" s="3"/>
      <x:c r="O1615" s="3"/>
      <x:c r="P1615" s="3"/>
      <x:c r="Q1615" s="3"/>
    </x:row>
    <x:row r="1616" ht="21" customHeight="1">
      <x:c r="A1616" s="3" t="str">
        <x:v>ORD-101229</x:v>
      </x:c>
      <x:c r="B1616" s="5" t="n">
        <x:v>45728</x:v>
      </x:c>
      <x:c r="C1616" s="3" t="str">
        <x:v>CUST-00150</x:v>
      </x:c>
      <x:c r="D1616" s="3" t="str">
        <x:v>North</x:v>
      </x:c>
      <x:c r="E1616" s="3" t="str">
        <x:v>Electronics</x:v>
      </x:c>
      <x:c r="F1616" s="3" t="str">
        <x:v>Audio</x:v>
      </x:c>
      <x:c r="G1616" s="3" t="str">
        <x:v>BassBoom Speaker</x:v>
      </x:c>
      <x:c r="H1616" s="3" t="n">
        <x:v>2</x:v>
      </x:c>
      <x:c r="I1616" s="7" t="n">
        <x:v>9116.3</x:v>
      </x:c>
      <x:c r="J1616" s="9" t="n">
        <x:v>0.05</x:v>
      </x:c>
      <x:c r="K1616" s="7" t="n">
        <x:v>17320.97</x:v>
      </x:c>
      <x:c r="L1616" s="7" t="n">
        <x:v>2708.6</x:v>
      </x:c>
      <x:c r="M1616" s="3" t="str">
        <x:v>Credit Card</x:v>
      </x:c>
      <x:c r="N1616" s="3"/>
      <x:c r="O1616" s="3"/>
      <x:c r="P1616" s="3"/>
      <x:c r="Q1616" s="3"/>
    </x:row>
    <x:row r="1617" ht="21" customHeight="1">
      <x:c r="A1617" s="3" t="str">
        <x:v>ORD-101595</x:v>
      </x:c>
      <x:c r="B1617" s="5" t="n">
        <x:v>45729</x:v>
      </x:c>
      <x:c r="C1617" s="3" t="str">
        <x:v>CUST-00092</x:v>
      </x:c>
      <x:c r="D1617" s="3" t="str">
        <x:v>North</x:v>
      </x:c>
      <x:c r="E1617" s="3" t="str">
        <x:v>Electronics</x:v>
      </x:c>
      <x:c r="F1617" s="3" t="str">
        <x:v>Mobile</x:v>
      </x:c>
      <x:c r="G1617" s="3" t="str">
        <x:v>Galaxy Nova X5</x:v>
      </x:c>
      <x:c r="H1617" s="3" t="n">
        <x:v>2</x:v>
      </x:c>
      <x:c r="I1617" s="7" t="n">
        <x:v>24188.49</x:v>
      </x:c>
      <x:c r="J1617" s="9" t="n">
        <x:v>0.15</x:v>
      </x:c>
      <x:c r="K1617" s="7" t="n">
        <x:v>41120.43</x:v>
      </x:c>
      <x:c r="L1617" s="7" t="n">
        <x:v>1899.3</x:v>
      </x:c>
      <x:c r="M1617" s="3" t="str">
        <x:v>Debit Card</x:v>
      </x:c>
      <x:c r="N1617" s="3"/>
      <x:c r="O1617" s="3"/>
      <x:c r="P1617" s="3"/>
      <x:c r="Q1617" s="3"/>
    </x:row>
    <x:row r="1618" ht="21" customHeight="1">
      <x:c r="A1618" s="3" t="str">
        <x:v>ORD-101244</x:v>
      </x:c>
      <x:c r="B1618" s="5" t="n">
        <x:v>45730</x:v>
      </x:c>
      <x:c r="C1618" s="3" t="str">
        <x:v>CUST-00122</x:v>
      </x:c>
      <x:c r="D1618" s="3" t="str">
        <x:v>East</x:v>
      </x:c>
      <x:c r="E1618" s="3" t="str">
        <x:v>Sports</x:v>
      </x:c>
      <x:c r="F1618" s="3" t="str">
        <x:v>Fitness</x:v>
      </x:c>
      <x:c r="G1618" s="3" t="str">
        <x:v>Adjustable Dumbbell 24kg</x:v>
      </x:c>
      <x:c r="H1618" s="3" t="n">
        <x:v>1</x:v>
      </x:c>
      <x:c r="I1618" s="7" t="n">
        <x:v>10458.72</x:v>
      </x:c>
      <x:c r="J1618" s="9" t="n">
        <x:v>0.15</x:v>
      </x:c>
      <x:c r="K1618" s="7" t="n">
        <x:v>8889.91</x:v>
      </x:c>
      <x:c r="L1618" s="7" t="n">
        <x:v>1505.36</x:v>
      </x:c>
      <x:c r="M1618" s="3" t="str">
        <x:v>Credit Card</x:v>
      </x:c>
      <x:c r="N1618" s="3"/>
      <x:c r="O1618" s="3"/>
      <x:c r="P1618" s="3"/>
      <x:c r="Q1618" s="3"/>
    </x:row>
    <x:row r="1619" ht="21" customHeight="1">
      <x:c r="A1619" s="3" t="str">
        <x:v>ORD-101888</x:v>
      </x:c>
      <x:c r="B1619" s="5" t="n">
        <x:v>45730</x:v>
      </x:c>
      <x:c r="C1619" s="3" t="str">
        <x:v>CUST-00353</x:v>
      </x:c>
      <x:c r="D1619" s="3" t="str">
        <x:v>East</x:v>
      </x:c>
      <x:c r="E1619" s="3" t="str">
        <x:v>Sports</x:v>
      </x:c>
      <x:c r="F1619" s="3" t="str">
        <x:v>Outdoor</x:v>
      </x:c>
      <x:c r="G1619" s="3" t="str">
        <x:v>TrailHike Backpack 60L</x:v>
      </x:c>
      <x:c r="H1619" s="3" t="n">
        <x:v>1</x:v>
      </x:c>
      <x:c r="I1619" s="7" t="n">
        <x:v>3365.43</x:v>
      </x:c>
      <x:c r="J1619" s="9" t="n">
        <x:v>0.15</x:v>
      </x:c>
      <x:c r="K1619" s="7" t="n">
        <x:v>2860.62</x:v>
      </x:c>
      <x:c r="L1619" s="7" t="n">
        <x:v>546.83</x:v>
      </x:c>
      <x:c r="M1619" s="3" t="str">
        <x:v>UPI</x:v>
      </x:c>
      <x:c r="N1619" s="3"/>
      <x:c r="O1619" s="3"/>
      <x:c r="P1619" s="3"/>
      <x:c r="Q1619" s="3"/>
    </x:row>
    <x:row r="1620" ht="21" customHeight="1">
      <x:c r="A1620" s="3" t="str">
        <x:v>ORD-100054</x:v>
      </x:c>
      <x:c r="B1620" s="5" t="n">
        <x:v>45731</x:v>
      </x:c>
      <x:c r="C1620" s="3" t="str">
        <x:v>CUST-00062</x:v>
      </x:c>
      <x:c r="D1620" s="3" t="str">
        <x:v>South</x:v>
      </x:c>
      <x:c r="E1620" s="3" t="str">
        <x:v>Electronics</x:v>
      </x:c>
      <x:c r="F1620" s="3" t="str">
        <x:v>Audio</x:v>
      </x:c>
      <x:c r="G1620" s="3" t="str">
        <x:v>BassBoom Speaker</x:v>
      </x:c>
      <x:c r="H1620" s="3" t="n">
        <x:v>2</x:v>
      </x:c>
      <x:c r="I1620" s="7" t="n">
        <x:v>8752.15</x:v>
      </x:c>
      <x:c r="J1620" s="9" t="n">
        <x:v>0.15</x:v>
      </x:c>
      <x:c r="K1620" s="7" t="n">
        <x:v>14878.65</x:v>
      </x:c>
      <x:c r="L1620" s="7" t="n">
        <x:v>138.46</x:v>
      </x:c>
      <x:c r="M1620" s="3" t="str">
        <x:v>Credit Card</x:v>
      </x:c>
      <x:c r="N1620" s="3"/>
      <x:c r="O1620" s="3"/>
      <x:c r="P1620" s="3"/>
      <x:c r="Q1620" s="3"/>
    </x:row>
    <x:row r="1621" ht="21" customHeight="1">
      <x:c r="A1621" s="3" t="str">
        <x:v>ORD-100753</x:v>
      </x:c>
      <x:c r="B1621" s="5" t="n">
        <x:v>45731</x:v>
      </x:c>
      <x:c r="C1621" s="3" t="str">
        <x:v>CUST-00400</x:v>
      </x:c>
      <x:c r="D1621" s="3" t="str">
        <x:v>West</x:v>
      </x:c>
      <x:c r="E1621" s="3" t="str">
        <x:v>Fashion</x:v>
      </x:c>
      <x:c r="F1621" s="3" t="str">
        <x:v>Women</x:v>
      </x:c>
      <x:c r="G1621" s="3" t="str">
        <x:v>Knit Winter Sweater</x:v>
      </x:c>
      <x:c r="H1621" s="3" t="n">
        <x:v>1</x:v>
      </x:c>
      <x:c r="I1621" s="7" t="n">
        <x:v>2307.37</x:v>
      </x:c>
      <x:c r="J1621" s="9" t="n">
        <x:v>0.3</x:v>
      </x:c>
      <x:c r="K1621" s="7" t="n">
        <x:v>1615.16</x:v>
      </x:c>
      <x:c r="L1621" s="7" t="n">
        <x:v>87.78</x:v>
      </x:c>
      <x:c r="M1621" s="3" t="str">
        <x:v>UPI</x:v>
      </x:c>
      <x:c r="N1621" s="3"/>
      <x:c r="O1621" s="3"/>
      <x:c r="P1621" s="3"/>
      <x:c r="Q1621" s="3"/>
    </x:row>
    <x:row r="1622" ht="21" customHeight="1">
      <x:c r="A1622" s="3" t="str">
        <x:v>ORD-101342</x:v>
      </x:c>
      <x:c r="B1622" s="5" t="n">
        <x:v>45731</x:v>
      </x:c>
      <x:c r="C1622" s="3" t="str">
        <x:v>CUST-00377</x:v>
      </x:c>
      <x:c r="D1622" s="3" t="str">
        <x:v>North</x:v>
      </x:c>
      <x:c r="E1622" s="3" t="str">
        <x:v>Beauty</x:v>
      </x:c>
      <x:c r="F1622" s="3" t="str">
        <x:v>Skincare</x:v>
      </x:c>
      <x:c r="G1622" s="3" t="str">
        <x:v>HydraBoost Moisturizer</x:v>
      </x:c>
      <x:c r="H1622" s="3" t="n">
        <x:v>3</x:v>
      </x:c>
      <x:c r="I1622" s="7" t="n">
        <x:v>1229.27</x:v>
      </x:c>
      <x:c r="J1622" s="9" t="n">
        <x:v>0.05</x:v>
      </x:c>
      <x:c r="K1622" s="7" t="n">
        <x:v>3503.42</x:v>
      </x:c>
      <x:c r="L1622" s="7" t="n">
        <x:v>1851.56</x:v>
      </x:c>
      <x:c r="M1622" s="3" t="str">
        <x:v>Credit Card</x:v>
      </x:c>
      <x:c r="N1622" s="3"/>
      <x:c r="O1622" s="3"/>
      <x:c r="P1622" s="3"/>
      <x:c r="Q1622" s="3"/>
    </x:row>
    <x:row r="1623" ht="21" customHeight="1">
      <x:c r="A1623" s="3" t="str">
        <x:v>ORD-101938</x:v>
      </x:c>
      <x:c r="B1623" s="5" t="n">
        <x:v>45731</x:v>
      </x:c>
      <x:c r="C1623" s="3" t="str">
        <x:v>CUST-00358</x:v>
      </x:c>
      <x:c r="D1623" s="3" t="str">
        <x:v>North</x:v>
      </x:c>
      <x:c r="E1623" s="3" t="str">
        <x:v>Fashion</x:v>
      </x:c>
      <x:c r="F1623" s="3" t="str">
        <x:v>Women</x:v>
      </x:c>
      <x:c r="G1623" s="3" t="str">
        <x:v>Knit Winter Sweater</x:v>
      </x:c>
      <x:c r="H1623" s="3" t="n">
        <x:v>1</x:v>
      </x:c>
      <x:c r="I1623" s="7" t="n">
        <x:v>2094.49</x:v>
      </x:c>
      <x:c r="J1623" s="9" t="n">
        <x:v>0.25</x:v>
      </x:c>
      <x:c r="K1623" s="7" t="n">
        <x:v>1570.87</x:v>
      </x:c>
      <x:c r="L1623" s="7" t="n">
        <x:v>244.44</x:v>
      </x:c>
      <x:c r="M1623" s="3" t="str">
        <x:v>Cash on Delivery</x:v>
      </x:c>
      <x:c r="N1623" s="3"/>
      <x:c r="O1623" s="3"/>
      <x:c r="P1623" s="3"/>
      <x:c r="Q1623" s="3"/>
    </x:row>
    <x:row r="1624" ht="21" customHeight="1">
      <x:c r="A1624" s="3" t="str">
        <x:v>ORD-100087</x:v>
      </x:c>
      <x:c r="B1624" s="5" t="n">
        <x:v>45732</x:v>
      </x:c>
      <x:c r="C1624" s="3" t="str">
        <x:v>CUST-00234</x:v>
      </x:c>
      <x:c r="D1624" s="3" t="str">
        <x:v>South</x:v>
      </x:c>
      <x:c r="E1624" s="3" t="str">
        <x:v>Beauty</x:v>
      </x:c>
      <x:c r="F1624" s="3" t="str">
        <x:v>Makeup</x:v>
      </x:c>
      <x:c r="G1624" s="3" t="str">
        <x:v>Matte Lipstick Set</x:v>
      </x:c>
      <x:c r="H1624" s="3" t="n">
        <x:v>3</x:v>
      </x:c>
      <x:c r="I1624" s="7" t="n">
        <x:v>1014.46</x:v>
      </x:c>
      <x:c r="J1624" s="9" t="n">
        <x:v>0</x:v>
      </x:c>
      <x:c r="K1624" s="7" t="n">
        <x:v>3043.38</x:v>
      </x:c>
      <x:c r="L1624" s="7" t="n">
        <x:v>1765.82</x:v>
      </x:c>
      <x:c r="M1624" s="3" t="str">
        <x:v>Net Banking</x:v>
      </x:c>
      <x:c r="N1624" s="3"/>
      <x:c r="O1624" s="3"/>
      <x:c r="P1624" s="3"/>
      <x:c r="Q1624" s="3"/>
    </x:row>
    <x:row r="1625" ht="21" customHeight="1">
      <x:c r="A1625" s="3" t="str">
        <x:v>ORD-100094</x:v>
      </x:c>
      <x:c r="B1625" s="5" t="n">
        <x:v>45732</x:v>
      </x:c>
      <x:c r="C1625" s="3" t="str">
        <x:v>CUST-00499</x:v>
      </x:c>
      <x:c r="D1625" s="3" t="str">
        <x:v>East</x:v>
      </x:c>
      <x:c r="E1625" s="3" t="str">
        <x:v>Electronics</x:v>
      </x:c>
      <x:c r="F1625" s="3" t="str">
        <x:v>Laptop</x:v>
      </x:c>
      <x:c r="G1625" s="3" t="str">
        <x:v>AirBook Slim</x:v>
      </x:c>
      <x:c r="H1625" s="3" t="n">
        <x:v>2</x:v>
      </x:c>
      <x:c r="I1625" s="7" t="n">
        <x:v>78541.15</x:v>
      </x:c>
      <x:c r="J1625" s="9" t="n">
        <x:v>0.05</x:v>
      </x:c>
      <x:c r="K1625" s="7" t="n">
        <x:v>149228.18</x:v>
      </x:c>
      <x:c r="L1625" s="7" t="n">
        <x:v>15572.46</x:v>
      </x:c>
      <x:c r="M1625" s="3" t="str">
        <x:v>UPI</x:v>
      </x:c>
      <x:c r="N1625" s="3"/>
      <x:c r="O1625" s="3"/>
      <x:c r="P1625" s="3"/>
      <x:c r="Q1625" s="3"/>
    </x:row>
    <x:row r="1626" ht="21" customHeight="1">
      <x:c r="A1626" s="3" t="str">
        <x:v>ORD-101044</x:v>
      </x:c>
      <x:c r="B1626" s="5" t="n">
        <x:v>45732</x:v>
      </x:c>
      <x:c r="C1626" s="3" t="str">
        <x:v>CUST-00457</x:v>
      </x:c>
      <x:c r="D1626" s="3" t="str">
        <x:v>West</x:v>
      </x:c>
      <x:c r="E1626" s="3" t="str">
        <x:v>Electronics</x:v>
      </x:c>
      <x:c r="F1626" s="3" t="str">
        <x:v>Audio</x:v>
      </x:c>
      <x:c r="G1626" s="3" t="str">
        <x:v>BassBoom Speaker</x:v>
      </x:c>
      <x:c r="H1626" s="3" t="n">
        <x:v>1</x:v>
      </x:c>
      <x:c r="I1626" s="7" t="n">
        <x:v>8604.5</x:v>
      </x:c>
      <x:c r="J1626" s="9" t="n">
        <x:v>0</x:v>
      </x:c>
      <x:c r="K1626" s="7" t="n">
        <x:v>8604.5</x:v>
      </x:c>
      <x:c r="L1626" s="7" t="n">
        <x:v>1544.63</x:v>
      </x:c>
      <x:c r="M1626" s="3" t="str">
        <x:v>UPI</x:v>
      </x:c>
      <x:c r="N1626" s="3"/>
      <x:c r="O1626" s="3"/>
      <x:c r="P1626" s="3"/>
      <x:c r="Q1626" s="3"/>
    </x:row>
    <x:row r="1627" ht="21" customHeight="1">
      <x:c r="A1627" s="3" t="str">
        <x:v>ORD-101550</x:v>
      </x:c>
      <x:c r="B1627" s="5" t="n">
        <x:v>45732</x:v>
      </x:c>
      <x:c r="C1627" s="3" t="str">
        <x:v>CUST-00299</x:v>
      </x:c>
      <x:c r="D1627" s="3" t="str">
        <x:v>East</x:v>
      </x:c>
      <x:c r="E1627" s="3" t="str">
        <x:v>Beauty</x:v>
      </x:c>
      <x:c r="F1627" s="3" t="str">
        <x:v>Makeup</x:v>
      </x:c>
      <x:c r="G1627" s="3" t="str">
        <x:v>Matte Lipstick Set</x:v>
      </x:c>
      <x:c r="H1627" s="3" t="n">
        <x:v>1</x:v>
      </x:c>
      <x:c r="I1627" s="7" t="n">
        <x:v>1010.86</x:v>
      </x:c>
      <x:c r="J1627" s="9" t="n">
        <x:v>0</x:v>
      </x:c>
      <x:c r="K1627" s="7" t="n">
        <x:v>1010.86</x:v>
      </x:c>
      <x:c r="L1627" s="7" t="n">
        <x:v>572.5</x:v>
      </x:c>
      <x:c r="M1627" s="3" t="str">
        <x:v>Credit Card</x:v>
      </x:c>
      <x:c r="N1627" s="3"/>
      <x:c r="O1627" s="3"/>
      <x:c r="P1627" s="3"/>
      <x:c r="Q1627" s="3"/>
    </x:row>
    <x:row r="1628" ht="21" customHeight="1">
      <x:c r="A1628" s="3" t="str">
        <x:v>ORD-101659</x:v>
      </x:c>
      <x:c r="B1628" s="5" t="n">
        <x:v>45732</x:v>
      </x:c>
      <x:c r="C1628" s="3" t="str">
        <x:v>CUST-00367</x:v>
      </x:c>
      <x:c r="D1628" s="3" t="str">
        <x:v>South</x:v>
      </x:c>
      <x:c r="E1628" s="3" t="str">
        <x:v>Electronics</x:v>
      </x:c>
      <x:c r="F1628" s="3" t="str">
        <x:v>Audio</x:v>
      </x:c>
      <x:c r="G1628" s="3" t="str">
        <x:v>SoundPods Pro</x:v>
      </x:c>
      <x:c r="H1628" s="3" t="n">
        <x:v>2</x:v>
      </x:c>
      <x:c r="I1628" s="7" t="n">
        <x:v>4900.28</x:v>
      </x:c>
      <x:c r="J1628" s="9" t="n">
        <x:v>0.3</x:v>
      </x:c>
      <x:c r="K1628" s="7" t="n">
        <x:v>6860.39</x:v>
      </x:c>
      <x:c r="L1628" s="7" t="n">
        <x:v>-1108.51</x:v>
      </x:c>
      <x:c r="M1628" s="3" t="str">
        <x:v>Credit Card</x:v>
      </x:c>
      <x:c r="N1628" s="3"/>
      <x:c r="O1628" s="3"/>
      <x:c r="P1628" s="3"/>
      <x:c r="Q1628" s="3"/>
    </x:row>
    <x:row r="1629" ht="21" customHeight="1">
      <x:c r="A1629" s="3" t="str">
        <x:v>ORD-100137</x:v>
      </x:c>
      <x:c r="B1629" s="5" t="n">
        <x:v>45733</x:v>
      </x:c>
      <x:c r="C1629" s="3" t="str">
        <x:v>CUST-00271</x:v>
      </x:c>
      <x:c r="D1629" s="3" t="str">
        <x:v>East</x:v>
      </x:c>
      <x:c r="E1629" s="3" t="str">
        <x:v>Fashion</x:v>
      </x:c>
      <x:c r="F1629" s="3" t="str">
        <x:v>Footwear</x:v>
      </x:c>
      <x:c r="G1629" s="3" t="str">
        <x:v>UrbanLoafers</x:v>
      </x:c>
      <x:c r="H1629" s="3" t="n">
        <x:v>1</x:v>
      </x:c>
      <x:c r="I1629" s="7" t="n">
        <x:v>3533.12</x:v>
      </x:c>
      <x:c r="J1629" s="9" t="n">
        <x:v>0</x:v>
      </x:c>
      <x:c r="K1629" s="7" t="n">
        <x:v>3533.12</x:v>
      </x:c>
      <x:c r="L1629" s="7" t="n">
        <x:v>1580.82</x:v>
      </x:c>
      <x:c r="M1629" s="3" t="str">
        <x:v>UPI</x:v>
      </x:c>
      <x:c r="N1629" s="3"/>
      <x:c r="O1629" s="3"/>
      <x:c r="P1629" s="3"/>
      <x:c r="Q1629" s="3"/>
    </x:row>
    <x:row r="1630" ht="21" customHeight="1">
      <x:c r="A1630" s="3" t="str">
        <x:v>ORD-100325</x:v>
      </x:c>
      <x:c r="B1630" s="5" t="n">
        <x:v>45733</x:v>
      </x:c>
      <x:c r="C1630" s="3" t="str">
        <x:v>CUST-00380</x:v>
      </x:c>
      <x:c r="D1630" s="3" t="str">
        <x:v>North</x:v>
      </x:c>
      <x:c r="E1630" s="3" t="str">
        <x:v>Sports</x:v>
      </x:c>
      <x:c r="F1630" s="3" t="str">
        <x:v>Fitness</x:v>
      </x:c>
      <x:c r="G1630" s="3" t="str">
        <x:v>ProYoga Mat</x:v>
      </x:c>
      <x:c r="H1630" s="3" t="n">
        <x:v>1</x:v>
      </x:c>
      <x:c r="I1630" s="7" t="n">
        <x:v>1351.22</x:v>
      </x:c>
      <x:c r="J1630" s="9" t="n">
        <x:v>0.1</x:v>
      </x:c>
      <x:c r="K1630" s="7" t="n">
        <x:v>1216.1</x:v>
      </x:c>
      <x:c r="L1630" s="7" t="n">
        <x:v>326.09</x:v>
      </x:c>
      <x:c r="M1630" s="3" t="str">
        <x:v>Cash on Delivery</x:v>
      </x:c>
      <x:c r="N1630" s="3"/>
      <x:c r="O1630" s="3"/>
      <x:c r="P1630" s="3"/>
      <x:c r="Q1630" s="3"/>
    </x:row>
    <x:row r="1631" ht="21" customHeight="1">
      <x:c r="A1631" s="3" t="str">
        <x:v>ORD-100508</x:v>
      </x:c>
      <x:c r="B1631" s="5" t="n">
        <x:v>45733</x:v>
      </x:c>
      <x:c r="C1631" s="3" t="str">
        <x:v>CUST-00399</x:v>
      </x:c>
      <x:c r="D1631" s="3" t="str">
        <x:v>West</x:v>
      </x:c>
      <x:c r="E1631" s="3" t="str">
        <x:v>Sports</x:v>
      </x:c>
      <x:c r="F1631" s="3" t="str">
        <x:v>Outdoor</x:v>
      </x:c>
      <x:c r="G1631" s="3" t="str">
        <x:v>AllWeather Tent 4P</x:v>
      </x:c>
      <x:c r="H1631" s="3" t="n">
        <x:v>1</x:v>
      </x:c>
      <x:c r="I1631" s="7" t="n">
        <x:v>12190.28</x:v>
      </x:c>
      <x:c r="J1631" s="9" t="n">
        <x:v>0</x:v>
      </x:c>
      <x:c r="K1631" s="7" t="n">
        <x:v>12190.28</x:v>
      </x:c>
      <x:c r="L1631" s="7" t="n">
        <x:v>4904.77</x:v>
      </x:c>
      <x:c r="M1631" s="3" t="str">
        <x:v>UPI</x:v>
      </x:c>
      <x:c r="N1631" s="3"/>
      <x:c r="O1631" s="3"/>
      <x:c r="P1631" s="3"/>
      <x:c r="Q1631" s="3"/>
    </x:row>
    <x:row r="1632" ht="21" customHeight="1">
      <x:c r="A1632" s="3" t="str">
        <x:v>ORD-100692</x:v>
      </x:c>
      <x:c r="B1632" s="5" t="n">
        <x:v>45733</x:v>
      </x:c>
      <x:c r="C1632" s="3" t="str">
        <x:v>CUST-00087</x:v>
      </x:c>
      <x:c r="D1632" s="3" t="str">
        <x:v>South</x:v>
      </x:c>
      <x:c r="E1632" s="3" t="str">
        <x:v>Beauty</x:v>
      </x:c>
      <x:c r="F1632" s="3" t="str">
        <x:v>Makeup</x:v>
      </x:c>
      <x:c r="G1632" s="3" t="str">
        <x:v>HD Foundation Kit</x:v>
      </x:c>
      <x:c r="H1632" s="3" t="n">
        <x:v>1</x:v>
      </x:c>
      <x:c r="I1632" s="7" t="n">
        <x:v>1476.47</x:v>
      </x:c>
      <x:c r="J1632" s="9" t="n">
        <x:v>0</x:v>
      </x:c>
      <x:c r="K1632" s="7" t="n">
        <x:v>1476.47</x:v>
      </x:c>
      <x:c r="L1632" s="7" t="n">
        <x:v>838.33</x:v>
      </x:c>
      <x:c r="M1632" s="3" t="str">
        <x:v>UPI</x:v>
      </x:c>
      <x:c r="N1632" s="3"/>
      <x:c r="O1632" s="3"/>
      <x:c r="P1632" s="3"/>
      <x:c r="Q1632" s="3"/>
    </x:row>
    <x:row r="1633" ht="21" customHeight="1">
      <x:c r="A1633" s="3" t="str">
        <x:v>ORD-100787</x:v>
      </x:c>
      <x:c r="B1633" s="5" t="n">
        <x:v>45733</x:v>
      </x:c>
      <x:c r="C1633" s="3" t="str">
        <x:v>CUST-00092</x:v>
      </x:c>
      <x:c r="D1633" s="3" t="str">
        <x:v>North</x:v>
      </x:c>
      <x:c r="E1633" s="3" t="str">
        <x:v>Electronics</x:v>
      </x:c>
      <x:c r="F1633" s="3" t="str">
        <x:v>Mobile</x:v>
      </x:c>
      <x:c r="G1633" s="3" t="str">
        <x:v>Pixel Aura 12</x:v>
      </x:c>
      <x:c r="H1633" s="3" t="n">
        <x:v>3</x:v>
      </x:c>
      <x:c r="I1633" s="7" t="n">
        <x:v>31816.43</x:v>
      </x:c>
      <x:c r="J1633" s="9" t="n">
        <x:v>0.1</x:v>
      </x:c>
      <x:c r="K1633" s="7" t="n">
        <x:v>85904.36</x:v>
      </x:c>
      <x:c r="L1633" s="7" t="n">
        <x:v>5568.89</x:v>
      </x:c>
      <x:c r="M1633" s="3" t="str">
        <x:v>Debit Card</x:v>
      </x:c>
      <x:c r="N1633" s="3"/>
      <x:c r="O1633" s="3"/>
      <x:c r="P1633" s="3"/>
      <x:c r="Q1633" s="3"/>
    </x:row>
    <x:row r="1634" ht="21" customHeight="1">
      <x:c r="A1634" s="3" t="str">
        <x:v>ORD-100840</x:v>
      </x:c>
      <x:c r="B1634" s="5" t="n">
        <x:v>45733</x:v>
      </x:c>
      <x:c r="C1634" s="3" t="str">
        <x:v>CUST-00171</x:v>
      </x:c>
      <x:c r="D1634" s="3" t="str">
        <x:v>North</x:v>
      </x:c>
      <x:c r="E1634" s="3" t="str">
        <x:v>Beauty</x:v>
      </x:c>
      <x:c r="F1634" s="3" t="str">
        <x:v>Makeup</x:v>
      </x:c>
      <x:c r="G1634" s="3" t="str">
        <x:v>Matte Lipstick Set</x:v>
      </x:c>
      <x:c r="H1634" s="3" t="n">
        <x:v>4</x:v>
      </x:c>
      <x:c r="I1634" s="7" t="n">
        <x:v>950.6</x:v>
      </x:c>
      <x:c r="J1634" s="9" t="n">
        <x:v>0.2</x:v>
      </x:c>
      <x:c r="K1634" s="7" t="n">
        <x:v>3041.92</x:v>
      </x:c>
      <x:c r="L1634" s="7" t="n">
        <x:v>881.13</x:v>
      </x:c>
      <x:c r="M1634" s="3" t="str">
        <x:v>Credit Card</x:v>
      </x:c>
      <x:c r="N1634" s="3"/>
      <x:c r="O1634" s="3"/>
      <x:c r="P1634" s="3"/>
      <x:c r="Q1634" s="3"/>
    </x:row>
    <x:row r="1635" ht="21" customHeight="1">
      <x:c r="A1635" s="3" t="str">
        <x:v>ORD-100627</x:v>
      </x:c>
      <x:c r="B1635" s="5" t="n">
        <x:v>45734</x:v>
      </x:c>
      <x:c r="C1635" s="3" t="str">
        <x:v>CUST-00188</x:v>
      </x:c>
      <x:c r="D1635" s="3" t="str">
        <x:v>North</x:v>
      </x:c>
      <x:c r="E1635" s="3" t="str">
        <x:v>Home &amp; Kitchen</x:v>
      </x:c>
      <x:c r="F1635" s="3" t="str">
        <x:v>Appliances</x:v>
      </x:c>
      <x:c r="G1635" s="3" t="str">
        <x:v>ColdBrew Coffee Maker</x:v>
      </x:c>
      <x:c r="H1635" s="3" t="n">
        <x:v>1</x:v>
      </x:c>
      <x:c r="I1635" s="7" t="n">
        <x:v>6726.36</x:v>
      </x:c>
      <x:c r="J1635" s="9" t="n">
        <x:v>0.2</x:v>
      </x:c>
      <x:c r="K1635" s="7" t="n">
        <x:v>5381.09</x:v>
      </x:c>
      <x:c r="L1635" s="7" t="n">
        <x:v>501.54</x:v>
      </x:c>
      <x:c r="M1635" s="3" t="str">
        <x:v>Credit Card</x:v>
      </x:c>
      <x:c r="N1635" s="3"/>
      <x:c r="O1635" s="3"/>
      <x:c r="P1635" s="3"/>
      <x:c r="Q1635" s="3"/>
    </x:row>
    <x:row r="1636" ht="21" customHeight="1">
      <x:c r="A1636" s="3" t="str">
        <x:v>ORD-101096</x:v>
      </x:c>
      <x:c r="B1636" s="5" t="n">
        <x:v>45734</x:v>
      </x:c>
      <x:c r="C1636" s="3" t="str">
        <x:v>CUST-00329</x:v>
      </x:c>
      <x:c r="D1636" s="3" t="str">
        <x:v>West</x:v>
      </x:c>
      <x:c r="E1636" s="3" t="str">
        <x:v>Beauty</x:v>
      </x:c>
      <x:c r="F1636" s="3" t="str">
        <x:v>Skincare</x:v>
      </x:c>
      <x:c r="G1636" s="3" t="str">
        <x:v>Vitamin C Serum</x:v>
      </x:c>
      <x:c r="H1636" s="3" t="n">
        <x:v>2</x:v>
      </x:c>
      <x:c r="I1636" s="7" t="n">
        <x:v>910.29</x:v>
      </x:c>
      <x:c r="J1636" s="9" t="n">
        <x:v>0.05</x:v>
      </x:c>
      <x:c r="K1636" s="7" t="n">
        <x:v>1729.55</x:v>
      </x:c>
      <x:c r="L1636" s="7" t="n">
        <x:v>912.35</x:v>
      </x:c>
      <x:c r="M1636" s="3" t="str">
        <x:v>UPI</x:v>
      </x:c>
      <x:c r="N1636" s="3"/>
      <x:c r="O1636" s="3"/>
      <x:c r="P1636" s="3"/>
      <x:c r="Q1636" s="3"/>
    </x:row>
    <x:row r="1637" ht="21" customHeight="1">
      <x:c r="A1637" s="3" t="str">
        <x:v>ORD-101498</x:v>
      </x:c>
      <x:c r="B1637" s="5" t="n">
        <x:v>45734</x:v>
      </x:c>
      <x:c r="C1637" s="3" t="str">
        <x:v>CUST-00022</x:v>
      </x:c>
      <x:c r="D1637" s="3" t="str">
        <x:v>North</x:v>
      </x:c>
      <x:c r="E1637" s="3" t="str">
        <x:v>Beauty</x:v>
      </x:c>
      <x:c r="F1637" s="3" t="str">
        <x:v>Makeup</x:v>
      </x:c>
      <x:c r="G1637" s="3" t="str">
        <x:v>Matte Lipstick Set</x:v>
      </x:c>
      <x:c r="H1637" s="3" t="n">
        <x:v>2</x:v>
      </x:c>
      <x:c r="I1637" s="7" t="n">
        <x:v>968.95</x:v>
      </x:c>
      <x:c r="J1637" s="9" t="n">
        <x:v>0.05</x:v>
      </x:c>
      <x:c r="K1637" s="7" t="n">
        <x:v>1841.01</x:v>
      </x:c>
      <x:c r="L1637" s="7" t="n">
        <x:v>941.36</x:v>
      </x:c>
      <x:c r="M1637" s="3" t="str">
        <x:v>UPI</x:v>
      </x:c>
      <x:c r="N1637" s="3"/>
      <x:c r="O1637" s="3"/>
      <x:c r="P1637" s="3"/>
      <x:c r="Q1637" s="3"/>
    </x:row>
    <x:row r="1638" ht="21" customHeight="1">
      <x:c r="A1638" s="3" t="str">
        <x:v>ORD-101126</x:v>
      </x:c>
      <x:c r="B1638" s="5" t="n">
        <x:v>45735</x:v>
      </x:c>
      <x:c r="C1638" s="3" t="str">
        <x:v>CUST-00302</x:v>
      </x:c>
      <x:c r="D1638" s="3" t="str">
        <x:v>South</x:v>
      </x:c>
      <x:c r="E1638" s="3" t="str">
        <x:v>Electronics</x:v>
      </x:c>
      <x:c r="F1638" s="3" t="str">
        <x:v>Mobile</x:v>
      </x:c>
      <x:c r="G1638" s="3" t="str">
        <x:v>Galaxy Nova X5</x:v>
      </x:c>
      <x:c r="H1638" s="3" t="n">
        <x:v>4</x:v>
      </x:c>
      <x:c r="I1638" s="7" t="n">
        <x:v>24487.57</x:v>
      </x:c>
      <x:c r="J1638" s="9" t="n">
        <x:v>0.25</x:v>
      </x:c>
      <x:c r="K1638" s="7" t="n">
        <x:v>73462.71</x:v>
      </x:c>
      <x:c r="L1638" s="7" t="n">
        <x:v>-10523.57</x:v>
      </x:c>
      <x:c r="M1638" s="3" t="str">
        <x:v>UPI</x:v>
      </x:c>
      <x:c r="N1638" s="3"/>
      <x:c r="O1638" s="3"/>
      <x:c r="P1638" s="3"/>
      <x:c r="Q1638" s="3"/>
    </x:row>
    <x:row r="1639" ht="21" customHeight="1">
      <x:c r="A1639" s="3" t="str">
        <x:v>ORD-101760</x:v>
      </x:c>
      <x:c r="B1639" s="5" t="n">
        <x:v>45736</x:v>
      </x:c>
      <x:c r="C1639" s="3" t="str">
        <x:v>CUST-00376</x:v>
      </x:c>
      <x:c r="D1639" s="3" t="str">
        <x:v>West</x:v>
      </x:c>
      <x:c r="E1639" s="3" t="str">
        <x:v>Electronics</x:v>
      </x:c>
      <x:c r="F1639" s="3" t="str">
        <x:v>Audio</x:v>
      </x:c>
      <x:c r="G1639" s="3" t="str">
        <x:v>SoundPods Pro</x:v>
      </x:c>
      <x:c r="H1639" s="3" t="n">
        <x:v>2</x:v>
      </x:c>
      <x:c r="I1639" s="7" t="n">
        <x:v>4897.78</x:v>
      </x:c>
      <x:c r="J1639" s="9" t="n">
        <x:v>0.15</x:v>
      </x:c>
      <x:c r="K1639" s="7" t="n">
        <x:v>8326.23</x:v>
      </x:c>
      <x:c r="L1639" s="7" t="n">
        <x:v>-234.87</x:v>
      </x:c>
      <x:c r="M1639" s="3" t="str">
        <x:v>UPI</x:v>
      </x:c>
      <x:c r="N1639" s="3"/>
      <x:c r="O1639" s="3"/>
      <x:c r="P1639" s="3"/>
      <x:c r="Q1639" s="3"/>
    </x:row>
    <x:row r="1640" ht="21" customHeight="1">
      <x:c r="A1640" s="3" t="str">
        <x:v>ORD-100330</x:v>
      </x:c>
      <x:c r="B1640" s="5" t="n">
        <x:v>45737</x:v>
      </x:c>
      <x:c r="C1640" s="3" t="str">
        <x:v>CUST-00270</x:v>
      </x:c>
      <x:c r="D1640" s="3" t="str">
        <x:v>North</x:v>
      </x:c>
      <x:c r="E1640" s="3" t="str">
        <x:v>Sports</x:v>
      </x:c>
      <x:c r="F1640" s="3" t="str">
        <x:v>Outdoor</x:v>
      </x:c>
      <x:c r="G1640" s="3" t="str">
        <x:v>TrailHike Backpack 60L</x:v>
      </x:c>
      <x:c r="H1640" s="3" t="n">
        <x:v>1</x:v>
      </x:c>
      <x:c r="I1640" s="7" t="n">
        <x:v>3325.9</x:v>
      </x:c>
      <x:c r="J1640" s="9" t="n">
        <x:v>0.3</x:v>
      </x:c>
      <x:c r="K1640" s="7" t="n">
        <x:v>2328.13</x:v>
      </x:c>
      <x:c r="L1640" s="7" t="n">
        <x:v>5.32</x:v>
      </x:c>
      <x:c r="M1640" s="3" t="str">
        <x:v>Net Banking</x:v>
      </x:c>
      <x:c r="N1640" s="3"/>
      <x:c r="O1640" s="3"/>
      <x:c r="P1640" s="3"/>
      <x:c r="Q1640" s="3"/>
    </x:row>
    <x:row r="1641" ht="21" customHeight="1">
      <x:c r="A1641" s="3" t="str">
        <x:v>ORD-101075</x:v>
      </x:c>
      <x:c r="B1641" s="5" t="n">
        <x:v>45737</x:v>
      </x:c>
      <x:c r="C1641" s="3" t="str">
        <x:v>CUST-00501</x:v>
      </x:c>
      <x:c r="D1641" s="3" t="str">
        <x:v>West</x:v>
      </x:c>
      <x:c r="E1641" s="3" t="str">
        <x:v>Fashion</x:v>
      </x:c>
      <x:c r="F1641" s="3" t="str">
        <x:v>Women</x:v>
      </x:c>
      <x:c r="G1641" s="3" t="str">
        <x:v>Floral Summer Dress</x:v>
      </x:c>
      <x:c r="H1641" s="3" t="n">
        <x:v>2</x:v>
      </x:c>
      <x:c r="I1641" s="7" t="n">
        <x:v>1742.88</x:v>
      </x:c>
      <x:c r="J1641" s="9" t="n">
        <x:v>0.3</x:v>
      </x:c>
      <x:c r="K1641" s="7" t="n">
        <x:v>2440.03</x:v>
      </x:c>
      <x:c r="L1641" s="7" t="n">
        <x:v>220.03</x:v>
      </x:c>
      <x:c r="M1641" s="3" t="str">
        <x:v>Cash on Delivery</x:v>
      </x:c>
      <x:c r="N1641" s="3"/>
      <x:c r="O1641" s="3"/>
      <x:c r="P1641" s="3"/>
      <x:c r="Q1641" s="3"/>
    </x:row>
    <x:row r="1642" ht="21" customHeight="1">
      <x:c r="A1642" s="3" t="str">
        <x:v>ORD-101302</x:v>
      </x:c>
      <x:c r="B1642" s="5" t="n">
        <x:v>45737</x:v>
      </x:c>
      <x:c r="C1642" s="3" t="str">
        <x:v>CUST-00545</x:v>
      </x:c>
      <x:c r="D1642" s="3" t="str">
        <x:v>North</x:v>
      </x:c>
      <x:c r="E1642" s="3" t="str">
        <x:v>Home &amp; Kitchen</x:v>
      </x:c>
      <x:c r="F1642" s="3" t="str">
        <x:v>Decor</x:v>
      </x:c>
      <x:c r="G1642" s="3" t="str">
        <x:v>LED Wall Lamp</x:v>
      </x:c>
      <x:c r="H1642" s="3" t="n">
        <x:v>1</x:v>
      </x:c>
      <x:c r="I1642" s="7" t="n">
        <x:v>989.07</x:v>
      </x:c>
      <x:c r="J1642" s="9" t="n">
        <x:v>0</x:v>
      </x:c>
      <x:c r="K1642" s="7" t="n">
        <x:v>989.07</x:v>
      </x:c>
      <x:c r="L1642" s="7" t="n">
        <x:v>295.87</x:v>
      </x:c>
      <x:c r="M1642" s="3" t="str">
        <x:v>UPI</x:v>
      </x:c>
      <x:c r="N1642" s="3"/>
      <x:c r="O1642" s="3"/>
      <x:c r="P1642" s="3"/>
      <x:c r="Q1642" s="3"/>
    </x:row>
    <x:row r="1643" ht="21" customHeight="1">
      <x:c r="A1643" s="3" t="str">
        <x:v>ORD-101332</x:v>
      </x:c>
      <x:c r="B1643" s="5" t="n">
        <x:v>45737</x:v>
      </x:c>
      <x:c r="C1643" s="3" t="str">
        <x:v>CUST-00421</x:v>
      </x:c>
      <x:c r="D1643" s="3" t="str">
        <x:v>North</x:v>
      </x:c>
      <x:c r="E1643" s="3" t="str">
        <x:v>Beauty</x:v>
      </x:c>
      <x:c r="F1643" s="3" t="str">
        <x:v>Makeup</x:v>
      </x:c>
      <x:c r="G1643" s="3" t="str">
        <x:v>Matte Lipstick Set</x:v>
      </x:c>
      <x:c r="H1643" s="3" t="n">
        <x:v>1</x:v>
      </x:c>
      <x:c r="I1643" s="7" t="n">
        <x:v>1048.81</x:v>
      </x:c>
      <x:c r="J1643" s="9" t="n">
        <x:v>0.25</x:v>
      </x:c>
      <x:c r="K1643" s="7" t="n">
        <x:v>786.61</x:v>
      </x:c>
      <x:c r="L1643" s="7" t="n">
        <x:v>217.96</x:v>
      </x:c>
      <x:c r="M1643" s="3" t="str">
        <x:v>Net Banking</x:v>
      </x:c>
      <x:c r="N1643" s="3"/>
      <x:c r="O1643" s="3"/>
      <x:c r="P1643" s="3"/>
      <x:c r="Q1643" s="3"/>
    </x:row>
    <x:row r="1644" ht="21" customHeight="1">
      <x:c r="A1644" s="3" t="str">
        <x:v>ORD-101644</x:v>
      </x:c>
      <x:c r="B1644" s="5" t="n">
        <x:v>45737</x:v>
      </x:c>
      <x:c r="C1644" s="3" t="str">
        <x:v>CUST-00003</x:v>
      </x:c>
      <x:c r="D1644" s="3" t="str">
        <x:v>North</x:v>
      </x:c>
      <x:c r="E1644" s="3" t="str">
        <x:v>Beauty</x:v>
      </x:c>
      <x:c r="F1644" s="3" t="str">
        <x:v>Makeup</x:v>
      </x:c>
      <x:c r="G1644" s="3" t="str">
        <x:v>HD Foundation Kit</x:v>
      </x:c>
      <x:c r="H1644" s="3" t="n">
        <x:v>2</x:v>
      </x:c>
      <x:c r="I1644" s="7" t="n">
        <x:v>1480.06</x:v>
      </x:c>
      <x:c r="J1644" s="9" t="n">
        <x:v>0.1</x:v>
      </x:c>
      <x:c r="K1644" s="7" t="n">
        <x:v>2664.11</x:v>
      </x:c>
      <x:c r="L1644" s="7" t="n">
        <x:v>1148.79</x:v>
      </x:c>
      <x:c r="M1644" s="3" t="str">
        <x:v>Net Banking</x:v>
      </x:c>
      <x:c r="N1644" s="3"/>
      <x:c r="O1644" s="3"/>
      <x:c r="P1644" s="3"/>
      <x:c r="Q1644" s="3"/>
    </x:row>
    <x:row r="1645" ht="21" customHeight="1">
      <x:c r="A1645" s="3" t="str">
        <x:v>ORD-100842</x:v>
      </x:c>
      <x:c r="B1645" s="5" t="n">
        <x:v>45738</x:v>
      </x:c>
      <x:c r="C1645" s="3" t="str">
        <x:v>CUST-00489</x:v>
      </x:c>
      <x:c r="D1645" s="3" t="str">
        <x:v>East</x:v>
      </x:c>
      <x:c r="E1645" s="3" t="str">
        <x:v>Beauty</x:v>
      </x:c>
      <x:c r="F1645" s="3" t="str">
        <x:v>Skincare</x:v>
      </x:c>
      <x:c r="G1645" s="3" t="str">
        <x:v>Vitamin C Serum</x:v>
      </x:c>
      <x:c r="H1645" s="3" t="n">
        <x:v>1</x:v>
      </x:c>
      <x:c r="I1645" s="7" t="n">
        <x:v>939.45</x:v>
      </x:c>
      <x:c r="J1645" s="9" t="n">
        <x:v>0.25</x:v>
      </x:c>
      <x:c r="K1645" s="7" t="n">
        <x:v>704.59</x:v>
      </x:c>
      <x:c r="L1645" s="7" t="n">
        <x:v>208.1</x:v>
      </x:c>
      <x:c r="M1645" s="3" t="str">
        <x:v>Debit Card</x:v>
      </x:c>
      <x:c r="N1645" s="3"/>
      <x:c r="O1645" s="3"/>
      <x:c r="P1645" s="3"/>
      <x:c r="Q1645" s="3"/>
    </x:row>
    <x:row r="1646" ht="21" customHeight="1">
      <x:c r="A1646" s="3" t="str">
        <x:v>ORD-101764</x:v>
      </x:c>
      <x:c r="B1646" s="5" t="n">
        <x:v>45738</x:v>
      </x:c>
      <x:c r="C1646" s="3" t="str">
        <x:v>CUST-00131</x:v>
      </x:c>
      <x:c r="D1646" s="3" t="str">
        <x:v>East</x:v>
      </x:c>
      <x:c r="E1646" s="3" t="str">
        <x:v>Sports</x:v>
      </x:c>
      <x:c r="F1646" s="3" t="str">
        <x:v>Fitness</x:v>
      </x:c>
      <x:c r="G1646" s="3" t="str">
        <x:v>Adjustable Dumbbell 24kg</x:v>
      </x:c>
      <x:c r="H1646" s="3" t="n">
        <x:v>3</x:v>
      </x:c>
      <x:c r="I1646" s="7" t="n">
        <x:v>9781.12</x:v>
      </x:c>
      <x:c r="J1646" s="9" t="n">
        <x:v>0</x:v>
      </x:c>
      <x:c r="K1646" s="7" t="n">
        <x:v>29343.36</x:v>
      </x:c>
      <x:c r="L1646" s="7" t="n">
        <x:v>11625.14</x:v>
      </x:c>
      <x:c r="M1646" s="3" t="str">
        <x:v>UPI</x:v>
      </x:c>
      <x:c r="N1646" s="3"/>
      <x:c r="O1646" s="3"/>
      <x:c r="P1646" s="3"/>
      <x:c r="Q1646" s="3"/>
    </x:row>
    <x:row r="1647" ht="21" customHeight="1">
      <x:c r="A1647" s="3" t="str">
        <x:v>ORD-100744</x:v>
      </x:c>
      <x:c r="B1647" s="5" t="n">
        <x:v>45739</x:v>
      </x:c>
      <x:c r="C1647" s="3" t="str">
        <x:v>CUST-00585</x:v>
      </x:c>
      <x:c r="D1647" s="3" t="str">
        <x:v>South</x:v>
      </x:c>
      <x:c r="E1647" s="3" t="str">
        <x:v>Electronics</x:v>
      </x:c>
      <x:c r="F1647" s="3" t="str">
        <x:v>Laptop</x:v>
      </x:c>
      <x:c r="G1647" s="3" t="str">
        <x:v>AirBook Slim</x:v>
      </x:c>
      <x:c r="H1647" s="3" t="n">
        <x:v>5</x:v>
      </x:c>
      <x:c r="I1647" s="7" t="n">
        <x:v>76618.01</x:v>
      </x:c>
      <x:c r="J1647" s="9" t="n">
        <x:v>0</x:v>
      </x:c>
      <x:c r="K1647" s="7" t="n">
        <x:v>383090.05</x:v>
      </x:c>
      <x:c r="L1647" s="7" t="n">
        <x:v>82500.48</x:v>
      </x:c>
      <x:c r="M1647" s="3" t="str">
        <x:v>Credit Card</x:v>
      </x:c>
      <x:c r="N1647" s="3"/>
      <x:c r="O1647" s="3"/>
      <x:c r="P1647" s="3"/>
      <x:c r="Q1647" s="3"/>
    </x:row>
    <x:row r="1648" ht="21" customHeight="1">
      <x:c r="A1648" s="3" t="str">
        <x:v>ORD-100123</x:v>
      </x:c>
      <x:c r="B1648" s="5" t="n">
        <x:v>45740</x:v>
      </x:c>
      <x:c r="C1648" s="3" t="str">
        <x:v>CUST-00069</x:v>
      </x:c>
      <x:c r="D1648" s="3" t="str">
        <x:v>East</x:v>
      </x:c>
      <x:c r="E1648" s="3" t="str">
        <x:v>Home &amp; Kitchen</x:v>
      </x:c>
      <x:c r="F1648" s="3" t="str">
        <x:v>Appliances</x:v>
      </x:c>
      <x:c r="G1648" s="3" t="str">
        <x:v>AirFryer Deluxe</x:v>
      </x:c>
      <x:c r="H1648" s="3" t="n">
        <x:v>1</x:v>
      </x:c>
      <x:c r="I1648" s="7" t="n">
        <x:v>7889.66</x:v>
      </x:c>
      <x:c r="J1648" s="9" t="n">
        <x:v>0.1</x:v>
      </x:c>
      <x:c r="K1648" s="7" t="n">
        <x:v>7100.69</x:v>
      </x:c>
      <x:c r="L1648" s="7" t="n">
        <x:v>1697.69</x:v>
      </x:c>
      <x:c r="M1648" s="3" t="str">
        <x:v>Cash on Delivery</x:v>
      </x:c>
      <x:c r="N1648" s="3"/>
      <x:c r="O1648" s="3"/>
      <x:c r="P1648" s="3"/>
      <x:c r="Q1648" s="3"/>
    </x:row>
    <x:row r="1649" ht="21" customHeight="1">
      <x:c r="A1649" s="3" t="str">
        <x:v>ORD-100630</x:v>
      </x:c>
      <x:c r="B1649" s="5" t="n">
        <x:v>45740</x:v>
      </x:c>
      <x:c r="C1649" s="3" t="str">
        <x:v>CUST-00286</x:v>
      </x:c>
      <x:c r="D1649" s="3" t="str">
        <x:v>South</x:v>
      </x:c>
      <x:c r="E1649" s="3" t="str">
        <x:v>Home &amp; Kitchen</x:v>
      </x:c>
      <x:c r="F1649" s="3" t="str">
        <x:v>Furniture</x:v>
      </x:c>
      <x:c r="G1649" s="3" t="str">
        <x:v>Oakwood Study Desk</x:v>
      </x:c>
      <x:c r="H1649" s="3" t="n">
        <x:v>1</x:v>
      </x:c>
      <x:c r="I1649" s="7" t="n">
        <x:v>12979.19</x:v>
      </x:c>
      <x:c r="J1649" s="9" t="n">
        <x:v>0.15</x:v>
      </x:c>
      <x:c r="K1649" s="7" t="n">
        <x:v>11032.31</x:v>
      </x:c>
      <x:c r="L1649" s="7" t="n">
        <x:v>1356.52</x:v>
      </x:c>
      <x:c r="M1649" s="3" t="str">
        <x:v>UPI</x:v>
      </x:c>
      <x:c r="N1649" s="3"/>
      <x:c r="O1649" s="3"/>
      <x:c r="P1649" s="3"/>
      <x:c r="Q1649" s="3"/>
    </x:row>
    <x:row r="1650" ht="21" customHeight="1">
      <x:c r="A1650" s="3" t="str">
        <x:v>ORD-101282</x:v>
      </x:c>
      <x:c r="B1650" s="5" t="n">
        <x:v>45740</x:v>
      </x:c>
      <x:c r="C1650" s="3" t="str">
        <x:v>CUST-00216</x:v>
      </x:c>
      <x:c r="D1650" s="3" t="str">
        <x:v>South</x:v>
      </x:c>
      <x:c r="E1650" s="3" t="str">
        <x:v>Electronics</x:v>
      </x:c>
      <x:c r="F1650" s="3" t="str">
        <x:v>Mobile</x:v>
      </x:c>
      <x:c r="G1650" s="3" t="str">
        <x:v>Pixel Aura 12</x:v>
      </x:c>
      <x:c r="H1650" s="3" t="n">
        <x:v>2</x:v>
      </x:c>
      <x:c r="I1650" s="7" t="n">
        <x:v>34024.72</x:v>
      </x:c>
      <x:c r="J1650" s="9" t="n">
        <x:v>0.05</x:v>
      </x:c>
      <x:c r="K1650" s="7" t="n">
        <x:v>64646.97</x:v>
      </x:c>
      <x:c r="L1650" s="7" t="n">
        <x:v>8881.28</x:v>
      </x:c>
      <x:c r="M1650" s="3" t="str">
        <x:v>Credit Card</x:v>
      </x:c>
      <x:c r="N1650" s="3"/>
      <x:c r="O1650" s="3"/>
      <x:c r="P1650" s="3"/>
      <x:c r="Q1650" s="3"/>
    </x:row>
    <x:row r="1651" ht="21" customHeight="1">
      <x:c r="A1651" s="3" t="str">
        <x:v>ORD-101990</x:v>
      </x:c>
      <x:c r="B1651" s="5" t="n">
        <x:v>45741</x:v>
      </x:c>
      <x:c r="C1651" s="3" t="str">
        <x:v>CUST-00120</x:v>
      </x:c>
      <x:c r="D1651" s="3" t="str">
        <x:v>South</x:v>
      </x:c>
      <x:c r="E1651" s="3" t="str">
        <x:v>Fashion</x:v>
      </x:c>
      <x:c r="F1651" s="3" t="str">
        <x:v>Footwear</x:v>
      </x:c>
      <x:c r="G1651" s="3" t="str">
        <x:v>UrbanLoafers</x:v>
      </x:c>
      <x:c r="H1651" s="3" t="n">
        <x:v>1</x:v>
      </x:c>
      <x:c r="I1651" s="7" t="n">
        <x:v>3364.25</x:v>
      </x:c>
      <x:c r="J1651" s="9" t="n">
        <x:v>0.05</x:v>
      </x:c>
      <x:c r="K1651" s="7" t="n">
        <x:v>3196.04</x:v>
      </x:c>
      <x:c r="L1651" s="7" t="n">
        <x:v>1078.3</x:v>
      </x:c>
      <x:c r="M1651" s="3" t="str">
        <x:v>UPI</x:v>
      </x:c>
      <x:c r="N1651" s="3"/>
      <x:c r="O1651" s="3"/>
      <x:c r="P1651" s="3"/>
      <x:c r="Q1651" s="3"/>
    </x:row>
    <x:row r="1652" ht="21" customHeight="1">
      <x:c r="A1652" s="3" t="str">
        <x:v>ORD-100067</x:v>
      </x:c>
      <x:c r="B1652" s="5" t="n">
        <x:v>45742</x:v>
      </x:c>
      <x:c r="C1652" s="3" t="str">
        <x:v>CUST-00468</x:v>
      </x:c>
      <x:c r="D1652" s="3" t="str">
        <x:v>West</x:v>
      </x:c>
      <x:c r="E1652" s="3" t="str">
        <x:v>Sports</x:v>
      </x:c>
      <x:c r="F1652" s="3" t="str">
        <x:v>Outdoor</x:v>
      </x:c>
      <x:c r="G1652" s="3" t="str">
        <x:v>TrailHike Backpack 60L</x:v>
      </x:c>
      <x:c r="H1652" s="3" t="n">
        <x:v>1</x:v>
      </x:c>
      <x:c r="I1652" s="7" t="n">
        <x:v>3499.8</x:v>
      </x:c>
      <x:c r="J1652" s="9" t="n">
        <x:v>0</x:v>
      </x:c>
      <x:c r="K1652" s="7" t="n">
        <x:v>3499.8</x:v>
      </x:c>
      <x:c r="L1652" s="7" t="n">
        <x:v>1355.17</x:v>
      </x:c>
      <x:c r="M1652" s="3" t="str">
        <x:v>Net Banking</x:v>
      </x:c>
      <x:c r="N1652" s="3"/>
      <x:c r="O1652" s="3"/>
      <x:c r="P1652" s="3"/>
      <x:c r="Q1652" s="3"/>
    </x:row>
    <x:row r="1653" ht="21" customHeight="1">
      <x:c r="A1653" s="3" t="str">
        <x:v>ORD-100133</x:v>
      </x:c>
      <x:c r="B1653" s="5" t="n">
        <x:v>45742</x:v>
      </x:c>
      <x:c r="C1653" s="3" t="str">
        <x:v>CUST-00476</x:v>
      </x:c>
      <x:c r="D1653" s="3" t="str">
        <x:v>North</x:v>
      </x:c>
      <x:c r="E1653" s="3" t="str">
        <x:v>Home &amp; Kitchen</x:v>
      </x:c>
      <x:c r="F1653" s="3" t="str">
        <x:v>Appliances</x:v>
      </x:c>
      <x:c r="G1653" s="3" t="str">
        <x:v>ColdBrew Coffee Maker</x:v>
      </x:c>
      <x:c r="H1653" s="3" t="n">
        <x:v>1</x:v>
      </x:c>
      <x:c r="I1653" s="7" t="n">
        <x:v>6619.23</x:v>
      </x:c>
      <x:c r="J1653" s="9" t="n">
        <x:v>0.15</x:v>
      </x:c>
      <x:c r="K1653" s="7" t="n">
        <x:v>5626.35</x:v>
      </x:c>
      <x:c r="L1653" s="7" t="n">
        <x:v>794.97</x:v>
      </x:c>
      <x:c r="M1653" s="3" t="str">
        <x:v>UPI</x:v>
      </x:c>
      <x:c r="N1653" s="3"/>
      <x:c r="O1653" s="3"/>
      <x:c r="P1653" s="3"/>
      <x:c r="Q1653" s="3"/>
    </x:row>
    <x:row r="1654" ht="21" customHeight="1">
      <x:c r="A1654" s="3" t="str">
        <x:v>ORD-100537</x:v>
      </x:c>
      <x:c r="B1654" s="5" t="n">
        <x:v>45742</x:v>
      </x:c>
      <x:c r="C1654" s="3" t="str">
        <x:v>CUST-00153</x:v>
      </x:c>
      <x:c r="D1654" s="3" t="str">
        <x:v>South</x:v>
      </x:c>
      <x:c r="E1654" s="3" t="str">
        <x:v>Home &amp; Kitchen</x:v>
      </x:c>
      <x:c r="F1654" s="3" t="str">
        <x:v>Decor</x:v>
      </x:c>
      <x:c r="G1654" s="3" t="str">
        <x:v>LED Wall Lamp</x:v>
      </x:c>
      <x:c r="H1654" s="3" t="n">
        <x:v>1</x:v>
      </x:c>
      <x:c r="I1654" s="7" t="n">
        <x:v>965.53</x:v>
      </x:c>
      <x:c r="J1654" s="9" t="n">
        <x:v>0.05</x:v>
      </x:c>
      <x:c r="K1654" s="7" t="n">
        <x:v>917.25</x:v>
      </x:c>
      <x:c r="L1654" s="7" t="n">
        <x:v>267.33</x:v>
      </x:c>
      <x:c r="M1654" s="3" t="str">
        <x:v>Cash on Delivery</x:v>
      </x:c>
      <x:c r="N1654" s="3"/>
      <x:c r="O1654" s="3"/>
      <x:c r="P1654" s="3"/>
      <x:c r="Q1654" s="3"/>
    </x:row>
    <x:row r="1655" ht="21" customHeight="1">
      <x:c r="A1655" s="3" t="str">
        <x:v>ORD-100924</x:v>
      </x:c>
      <x:c r="B1655" s="5" t="n">
        <x:v>45742</x:v>
      </x:c>
      <x:c r="C1655" s="3" t="str">
        <x:v>CUST-00128</x:v>
      </x:c>
      <x:c r="D1655" s="3" t="str">
        <x:v>South</x:v>
      </x:c>
      <x:c r="E1655" s="3" t="str">
        <x:v>Sports</x:v>
      </x:c>
      <x:c r="F1655" s="3" t="str">
        <x:v>Fitness</x:v>
      </x:c>
      <x:c r="G1655" s="3" t="str">
        <x:v>Adjustable Dumbbell 24kg</x:v>
      </x:c>
      <x:c r="H1655" s="3" t="n">
        <x:v>3</x:v>
      </x:c>
      <x:c r="I1655" s="7" t="n">
        <x:v>10224.13</x:v>
      </x:c>
      <x:c r="J1655" s="9" t="n">
        <x:v>0.2</x:v>
      </x:c>
      <x:c r="K1655" s="7" t="n">
        <x:v>24537.91</x:v>
      </x:c>
      <x:c r="L1655" s="7" t="n">
        <x:v>2777.51</x:v>
      </x:c>
      <x:c r="M1655" s="3" t="str">
        <x:v>Net Banking</x:v>
      </x:c>
      <x:c r="N1655" s="3"/>
      <x:c r="O1655" s="3"/>
      <x:c r="P1655" s="3"/>
      <x:c r="Q1655" s="3"/>
    </x:row>
    <x:row r="1656" ht="21" customHeight="1">
      <x:c r="A1656" s="3" t="str">
        <x:v>ORD-100962</x:v>
      </x:c>
      <x:c r="B1656" s="5" t="n">
        <x:v>45742</x:v>
      </x:c>
      <x:c r="C1656" s="3" t="str">
        <x:v>CUST-00001</x:v>
      </x:c>
      <x:c r="D1656" s="3" t="str">
        <x:v>North</x:v>
      </x:c>
      <x:c r="E1656" s="3" t="str">
        <x:v>Fashion</x:v>
      </x:c>
      <x:c r="F1656" s="3" t="str">
        <x:v>Men</x:v>
      </x:c>
      <x:c r="G1656" s="3" t="str">
        <x:v>SlimFit Denim Jeans</x:v>
      </x:c>
      <x:c r="H1656" s="3" t="n">
        <x:v>1</x:v>
      </x:c>
      <x:c r="I1656" s="7" t="n">
        <x:v>1917.47</x:v>
      </x:c>
      <x:c r="J1656" s="9" t="n">
        <x:v>0.2</x:v>
      </x:c>
      <x:c r="K1656" s="7" t="n">
        <x:v>1533.98</x:v>
      </x:c>
      <x:c r="L1656" s="7" t="n">
        <x:v>351.37</x:v>
      </x:c>
      <x:c r="M1656" s="3" t="str">
        <x:v>Credit Card</x:v>
      </x:c>
      <x:c r="N1656" s="3"/>
      <x:c r="O1656" s="3"/>
      <x:c r="P1656" s="3"/>
      <x:c r="Q1656" s="3"/>
    </x:row>
    <x:row r="1657" ht="21" customHeight="1">
      <x:c r="A1657" s="3" t="str">
        <x:v>ORD-101279</x:v>
      </x:c>
      <x:c r="B1657" s="5" t="n">
        <x:v>45742</x:v>
      </x:c>
      <x:c r="C1657" s="3" t="str">
        <x:v>CUST-00057</x:v>
      </x:c>
      <x:c r="D1657" s="3" t="str">
        <x:v>North</x:v>
      </x:c>
      <x:c r="E1657" s="3" t="str">
        <x:v>Beauty</x:v>
      </x:c>
      <x:c r="F1657" s="3" t="str">
        <x:v>Skincare</x:v>
      </x:c>
      <x:c r="G1657" s="3" t="str">
        <x:v>Vitamin C Serum</x:v>
      </x:c>
      <x:c r="H1657" s="3" t="n">
        <x:v>4</x:v>
      </x:c>
      <x:c r="I1657" s="7" t="n">
        <x:v>930.28</x:v>
      </x:c>
      <x:c r="J1657" s="9" t="n">
        <x:v>0.1</x:v>
      </x:c>
      <x:c r="K1657" s="7" t="n">
        <x:v>3349.01</x:v>
      </x:c>
      <x:c r="L1657" s="7" t="n">
        <x:v>1478.86</x:v>
      </x:c>
      <x:c r="M1657" s="3" t="str">
        <x:v>Credit Card</x:v>
      </x:c>
      <x:c r="N1657" s="3"/>
      <x:c r="O1657" s="3"/>
      <x:c r="P1657" s="3"/>
      <x:c r="Q1657" s="3"/>
    </x:row>
    <x:row r="1658" ht="21" customHeight="1">
      <x:c r="A1658" s="3" t="str">
        <x:v>ORD-101328</x:v>
      </x:c>
      <x:c r="B1658" s="5" t="n">
        <x:v>45742</x:v>
      </x:c>
      <x:c r="C1658" s="3" t="str">
        <x:v>CUST-00519</x:v>
      </x:c>
      <x:c r="D1658" s="3" t="str">
        <x:v>West</x:v>
      </x:c>
      <x:c r="E1658" s="3" t="str">
        <x:v>Sports</x:v>
      </x:c>
      <x:c r="F1658" s="3" t="str">
        <x:v>Outdoor</x:v>
      </x:c>
      <x:c r="G1658" s="3" t="str">
        <x:v>AllWeather Tent 4P</x:v>
      </x:c>
      <x:c r="H1658" s="3" t="n">
        <x:v>2</x:v>
      </x:c>
      <x:c r="I1658" s="7" t="n">
        <x:v>12364.69</x:v>
      </x:c>
      <x:c r="J1658" s="9" t="n">
        <x:v>0.1</x:v>
      </x:c>
      <x:c r="K1658" s="7" t="n">
        <x:v>22256.44</x:v>
      </x:c>
      <x:c r="L1658" s="7" t="n">
        <x:v>5451</x:v>
      </x:c>
      <x:c r="M1658" s="3" t="str">
        <x:v>UPI</x:v>
      </x:c>
      <x:c r="N1658" s="3"/>
      <x:c r="O1658" s="3"/>
      <x:c r="P1658" s="3"/>
      <x:c r="Q1658" s="3"/>
    </x:row>
    <x:row r="1659" ht="21" customHeight="1">
      <x:c r="A1659" s="3" t="str">
        <x:v>ORD-101408</x:v>
      </x:c>
      <x:c r="B1659" s="5" t="n">
        <x:v>45742</x:v>
      </x:c>
      <x:c r="C1659" s="3" t="str">
        <x:v>CUST-00365</x:v>
      </x:c>
      <x:c r="D1659" s="3" t="str">
        <x:v>South</x:v>
      </x:c>
      <x:c r="E1659" s="3" t="str">
        <x:v>Home &amp; Kitchen</x:v>
      </x:c>
      <x:c r="F1659" s="3" t="str">
        <x:v>Furniture</x:v>
      </x:c>
      <x:c r="G1659" s="3" t="str">
        <x:v>ErgoComfort Chair</x:v>
      </x:c>
      <x:c r="H1659" s="3" t="n">
        <x:v>1</x:v>
      </x:c>
      <x:c r="I1659" s="7" t="n">
        <x:v>9162.95</x:v>
      </x:c>
      <x:c r="J1659" s="9" t="n">
        <x:v>0</x:v>
      </x:c>
      <x:c r="K1659" s="7" t="n">
        <x:v>9162.95</x:v>
      </x:c>
      <x:c r="L1659" s="7" t="n">
        <x:v>3261.92</x:v>
      </x:c>
      <x:c r="M1659" s="3" t="str">
        <x:v>Debit Card</x:v>
      </x:c>
      <x:c r="N1659" s="3"/>
      <x:c r="O1659" s="3"/>
      <x:c r="P1659" s="3"/>
      <x:c r="Q1659" s="3"/>
    </x:row>
    <x:row r="1660" ht="21" customHeight="1">
      <x:c r="A1660" s="3" t="str">
        <x:v>ORD-100110</x:v>
      </x:c>
      <x:c r="B1660" s="5" t="n">
        <x:v>45743</x:v>
      </x:c>
      <x:c r="C1660" s="3" t="str">
        <x:v>CUST-00289</x:v>
      </x:c>
      <x:c r="D1660" s="3" t="str">
        <x:v>West</x:v>
      </x:c>
      <x:c r="E1660" s="3" t="str">
        <x:v>Sports</x:v>
      </x:c>
      <x:c r="F1660" s="3" t="str">
        <x:v>Outdoor</x:v>
      </x:c>
      <x:c r="G1660" s="3" t="str">
        <x:v>AllWeather Tent 4P</x:v>
      </x:c>
      <x:c r="H1660" s="3" t="n">
        <x:v>1</x:v>
      </x:c>
      <x:c r="I1660" s="7" t="n">
        <x:v>12557.67</x:v>
      </x:c>
      <x:c r="J1660" s="9" t="n">
        <x:v>0</x:v>
      </x:c>
      <x:c r="K1660" s="7" t="n">
        <x:v>12557.67</x:v>
      </x:c>
      <x:c r="L1660" s="7" t="n">
        <x:v>5057.6</x:v>
      </x:c>
      <x:c r="M1660" s="3" t="str">
        <x:v>UPI</x:v>
      </x:c>
      <x:c r="N1660" s="3"/>
      <x:c r="O1660" s="3"/>
      <x:c r="P1660" s="3"/>
      <x:c r="Q1660" s="3"/>
    </x:row>
    <x:row r="1661" ht="21" customHeight="1">
      <x:c r="A1661" s="3" t="str">
        <x:v>ORD-100201</x:v>
      </x:c>
      <x:c r="B1661" s="5" t="n">
        <x:v>45743</x:v>
      </x:c>
      <x:c r="C1661" s="3" t="str">
        <x:v>CUST-00436</x:v>
      </x:c>
      <x:c r="D1661" s="3" t="str">
        <x:v>South</x:v>
      </x:c>
      <x:c r="E1661" s="3" t="str">
        <x:v>Beauty</x:v>
      </x:c>
      <x:c r="F1661" s="3" t="str">
        <x:v>Makeup</x:v>
      </x:c>
      <x:c r="G1661" s="3" t="str">
        <x:v>Matte Lipstick Set</x:v>
      </x:c>
      <x:c r="H1661" s="3" t="n">
        <x:v>2</x:v>
      </x:c>
      <x:c r="I1661" s="7" t="n">
        <x:v>1003.31</x:v>
      </x:c>
      <x:c r="J1661" s="9" t="n">
        <x:v>0</x:v>
      </x:c>
      <x:c r="K1661" s="7" t="n">
        <x:v>2006.62</x:v>
      </x:c>
      <x:c r="L1661" s="7" t="n">
        <x:v>1182.44</x:v>
      </x:c>
      <x:c r="M1661" s="3" t="str">
        <x:v>Debit Card</x:v>
      </x:c>
      <x:c r="N1661" s="3"/>
      <x:c r="O1661" s="3"/>
      <x:c r="P1661" s="3"/>
      <x:c r="Q1661" s="3"/>
    </x:row>
    <x:row r="1662" ht="21" customHeight="1">
      <x:c r="A1662" s="3" t="str">
        <x:v>ORD-101991</x:v>
      </x:c>
      <x:c r="B1662" s="5" t="n">
        <x:v>45743</x:v>
      </x:c>
      <x:c r="C1662" s="3" t="str">
        <x:v>CUST-00026</x:v>
      </x:c>
      <x:c r="D1662" s="3" t="str">
        <x:v>East</x:v>
      </x:c>
      <x:c r="E1662" s="3" t="str">
        <x:v>Beauty</x:v>
      </x:c>
      <x:c r="F1662" s="3" t="str">
        <x:v>Makeup</x:v>
      </x:c>
      <x:c r="G1662" s="3" t="str">
        <x:v>Matte Lipstick Set</x:v>
      </x:c>
      <x:c r="H1662" s="3" t="n">
        <x:v>3</x:v>
      </x:c>
      <x:c r="I1662" s="7" t="n">
        <x:v>984.45</x:v>
      </x:c>
      <x:c r="J1662" s="9" t="n">
        <x:v>0</x:v>
      </x:c>
      <x:c r="K1662" s="7" t="n">
        <x:v>2953.35</x:v>
      </x:c>
      <x:c r="L1662" s="7" t="n">
        <x:v>1531.38</x:v>
      </x:c>
      <x:c r="M1662" s="3" t="str">
        <x:v>Debit Card</x:v>
      </x:c>
      <x:c r="N1662" s="3"/>
      <x:c r="O1662" s="3"/>
      <x:c r="P1662" s="3"/>
      <x:c r="Q1662" s="3"/>
    </x:row>
    <x:row r="1663" ht="21" customHeight="1">
      <x:c r="A1663" s="3" t="str">
        <x:v>ORD-100482</x:v>
      </x:c>
      <x:c r="B1663" s="5" t="n">
        <x:v>45744</x:v>
      </x:c>
      <x:c r="C1663" s="3" t="str">
        <x:v>CUST-00116</x:v>
      </x:c>
      <x:c r="D1663" s="3" t="str">
        <x:v>East</x:v>
      </x:c>
      <x:c r="E1663" s="3" t="str">
        <x:v>Beauty</x:v>
      </x:c>
      <x:c r="F1663" s="3" t="str">
        <x:v>Makeup</x:v>
      </x:c>
      <x:c r="G1663" s="3" t="str">
        <x:v>HD Foundation Kit</x:v>
      </x:c>
      <x:c r="H1663" s="3" t="n">
        <x:v>1</x:v>
      </x:c>
      <x:c r="I1663" s="7" t="n">
        <x:v>1565.56</x:v>
      </x:c>
      <x:c r="J1663" s="9" t="n">
        <x:v>0</x:v>
      </x:c>
      <x:c r="K1663" s="7" t="n">
        <x:v>1565.56</x:v>
      </x:c>
      <x:c r="L1663" s="7" t="n">
        <x:v>921.26</x:v>
      </x:c>
      <x:c r="M1663" s="3" t="str">
        <x:v>UPI</x:v>
      </x:c>
      <x:c r="N1663" s="3"/>
      <x:c r="O1663" s="3"/>
      <x:c r="P1663" s="3"/>
      <x:c r="Q1663" s="3"/>
    </x:row>
    <x:row r="1664" ht="21" customHeight="1">
      <x:c r="A1664" s="3" t="str">
        <x:v>ORD-101111</x:v>
      </x:c>
      <x:c r="B1664" s="5" t="n">
        <x:v>45744</x:v>
      </x:c>
      <x:c r="C1664" s="3" t="str">
        <x:v>CUST-00382</x:v>
      </x:c>
      <x:c r="D1664" s="3" t="str">
        <x:v>South</x:v>
      </x:c>
      <x:c r="E1664" s="3" t="str">
        <x:v>Fashion</x:v>
      </x:c>
      <x:c r="F1664" s="3" t="str">
        <x:v>Footwear</x:v>
      </x:c>
      <x:c r="G1664" s="3" t="str">
        <x:v>UrbanLoafers</x:v>
      </x:c>
      <x:c r="H1664" s="3" t="n">
        <x:v>1</x:v>
      </x:c>
      <x:c r="I1664" s="7" t="n">
        <x:v>3443.82</x:v>
      </x:c>
      <x:c r="J1664" s="9" t="n">
        <x:v>0.2</x:v>
      </x:c>
      <x:c r="K1664" s="7" t="n">
        <x:v>2755.06</x:v>
      </x:c>
      <x:c r="L1664" s="7" t="n">
        <x:v>417.82</x:v>
      </x:c>
      <x:c r="M1664" s="3" t="str">
        <x:v>UPI</x:v>
      </x:c>
      <x:c r="N1664" s="3"/>
      <x:c r="O1664" s="3"/>
      <x:c r="P1664" s="3"/>
      <x:c r="Q1664" s="3"/>
    </x:row>
    <x:row r="1665" ht="21" customHeight="1">
      <x:c r="A1665" s="3" t="str">
        <x:v>ORD-101890</x:v>
      </x:c>
      <x:c r="B1665" s="5" t="n">
        <x:v>45744</x:v>
      </x:c>
      <x:c r="C1665" s="3" t="str">
        <x:v>CUST-00490</x:v>
      </x:c>
      <x:c r="D1665" s="3" t="str">
        <x:v>East</x:v>
      </x:c>
      <x:c r="E1665" s="3" t="str">
        <x:v>Sports</x:v>
      </x:c>
      <x:c r="F1665" s="3" t="str">
        <x:v>Fitness</x:v>
      </x:c>
      <x:c r="G1665" s="3" t="str">
        <x:v>ProYoga Mat</x:v>
      </x:c>
      <x:c r="H1665" s="3" t="n">
        <x:v>1</x:v>
      </x:c>
      <x:c r="I1665" s="7" t="n">
        <x:v>1321.75</x:v>
      </x:c>
      <x:c r="J1665" s="9" t="n">
        <x:v>0</x:v>
      </x:c>
      <x:c r="K1665" s="7" t="n">
        <x:v>1321.75</x:v>
      </x:c>
      <x:c r="L1665" s="7" t="n">
        <x:v>490.72</x:v>
      </x:c>
      <x:c r="M1665" s="3" t="str">
        <x:v>Credit Card</x:v>
      </x:c>
      <x:c r="N1665" s="3"/>
      <x:c r="O1665" s="3"/>
      <x:c r="P1665" s="3"/>
      <x:c r="Q1665" s="3"/>
    </x:row>
    <x:row r="1666" ht="21" customHeight="1">
      <x:c r="A1666" s="3" t="str">
        <x:v>ORD-100035</x:v>
      </x:c>
      <x:c r="B1666" s="5" t="n">
        <x:v>45745</x:v>
      </x:c>
      <x:c r="C1666" s="3" t="str">
        <x:v>CUST-00517</x:v>
      </x:c>
      <x:c r="D1666" s="3" t="str">
        <x:v>South</x:v>
      </x:c>
      <x:c r="E1666" s="3" t="str">
        <x:v>Fashion</x:v>
      </x:c>
      <x:c r="F1666" s="3" t="str">
        <x:v>Men</x:v>
      </x:c>
      <x:c r="G1666" s="3" t="str">
        <x:v>Oxford Casual Shirt</x:v>
      </x:c>
      <x:c r="H1666" s="3" t="n">
        <x:v>1</x:v>
      </x:c>
      <x:c r="I1666" s="7" t="n">
        <x:v>1303.04</x:v>
      </x:c>
      <x:c r="J1666" s="9" t="n">
        <x:v>0.05</x:v>
      </x:c>
      <x:c r="K1666" s="7" t="n">
        <x:v>1237.89</x:v>
      </x:c>
      <x:c r="L1666" s="7" t="n">
        <x:v>454.57</x:v>
      </x:c>
      <x:c r="M1666" s="3" t="str">
        <x:v>Debit Card</x:v>
      </x:c>
      <x:c r="N1666" s="3"/>
      <x:c r="O1666" s="3"/>
      <x:c r="P1666" s="3"/>
      <x:c r="Q1666" s="3"/>
    </x:row>
    <x:row r="1667" ht="21" customHeight="1">
      <x:c r="A1667" s="3" t="str">
        <x:v>ORD-100563</x:v>
      </x:c>
      <x:c r="B1667" s="5" t="n">
        <x:v>45745</x:v>
      </x:c>
      <x:c r="C1667" s="3" t="str">
        <x:v>CUST-00011</x:v>
      </x:c>
      <x:c r="D1667" s="3" t="str">
        <x:v>West</x:v>
      </x:c>
      <x:c r="E1667" s="3" t="str">
        <x:v>Sports</x:v>
      </x:c>
      <x:c r="F1667" s="3" t="str">
        <x:v>Outdoor</x:v>
      </x:c>
      <x:c r="G1667" s="3" t="str">
        <x:v>TrailHike Backpack 60L</x:v>
      </x:c>
      <x:c r="H1667" s="3" t="n">
        <x:v>1</x:v>
      </x:c>
      <x:c r="I1667" s="7" t="n">
        <x:v>3471.61</x:v>
      </x:c>
      <x:c r="J1667" s="9" t="n">
        <x:v>0.15</x:v>
      </x:c>
      <x:c r="K1667" s="7" t="n">
        <x:v>2950.87</x:v>
      </x:c>
      <x:c r="L1667" s="7" t="n">
        <x:v>548.14</x:v>
      </x:c>
      <x:c r="M1667" s="3" t="str">
        <x:v>UPI</x:v>
      </x:c>
      <x:c r="N1667" s="3"/>
      <x:c r="O1667" s="3"/>
      <x:c r="P1667" s="3"/>
      <x:c r="Q1667" s="3"/>
    </x:row>
    <x:row r="1668" ht="21" customHeight="1">
      <x:c r="A1668" s="3" t="str">
        <x:v>ORD-101333</x:v>
      </x:c>
      <x:c r="B1668" s="5" t="n">
        <x:v>45745</x:v>
      </x:c>
      <x:c r="C1668" s="3" t="str">
        <x:v>CUST-00030</x:v>
      </x:c>
      <x:c r="D1668" s="3" t="str">
        <x:v>South</x:v>
      </x:c>
      <x:c r="E1668" s="3" t="str">
        <x:v>Electronics</x:v>
      </x:c>
      <x:c r="F1668" s="3" t="str">
        <x:v>Laptop</x:v>
      </x:c>
      <x:c r="G1668" s="3" t="str">
        <x:v>AirBook Slim</x:v>
      </x:c>
      <x:c r="H1668" s="3" t="n">
        <x:v>1</x:v>
      </x:c>
      <x:c r="I1668" s="7" t="n">
        <x:v>81293.94</x:v>
      </x:c>
      <x:c r="J1668" s="9" t="n">
        <x:v>0</x:v>
      </x:c>
      <x:c r="K1668" s="7" t="n">
        <x:v>81293.94</x:v>
      </x:c>
      <x:c r="L1668" s="7" t="n">
        <x:v>13402.07</x:v>
      </x:c>
      <x:c r="M1668" s="3" t="str">
        <x:v>UPI</x:v>
      </x:c>
      <x:c r="N1668" s="3"/>
      <x:c r="O1668" s="3"/>
      <x:c r="P1668" s="3"/>
      <x:c r="Q1668" s="3"/>
    </x:row>
    <x:row r="1669" ht="21" customHeight="1">
      <x:c r="A1669" s="3" t="str">
        <x:v>ORD-101688</x:v>
      </x:c>
      <x:c r="B1669" s="5" t="n">
        <x:v>45745</x:v>
      </x:c>
      <x:c r="C1669" s="3" t="str">
        <x:v>CUST-00401</x:v>
      </x:c>
      <x:c r="D1669" s="3" t="str">
        <x:v>East</x:v>
      </x:c>
      <x:c r="E1669" s="3" t="str">
        <x:v>Electronics</x:v>
      </x:c>
      <x:c r="F1669" s="3" t="str">
        <x:v>Audio</x:v>
      </x:c>
      <x:c r="G1669" s="3" t="str">
        <x:v>BassBoom Speaker</x:v>
      </x:c>
      <x:c r="H1669" s="3" t="n">
        <x:v>1</x:v>
      </x:c>
      <x:c r="I1669" s="7" t="n">
        <x:v>9053.92</x:v>
      </x:c>
      <x:c r="J1669" s="9" t="n">
        <x:v>0.1</x:v>
      </x:c>
      <x:c r="K1669" s="7" t="n">
        <x:v>8148.53</x:v>
      </x:c>
      <x:c r="L1669" s="7" t="n">
        <x:v>702.4</x:v>
      </x:c>
      <x:c r="M1669" s="3" t="str">
        <x:v>Credit Card</x:v>
      </x:c>
      <x:c r="N1669" s="3"/>
      <x:c r="O1669" s="3"/>
      <x:c r="P1669" s="3"/>
      <x:c r="Q1669" s="3"/>
    </x:row>
    <x:row r="1670" ht="21" customHeight="1">
      <x:c r="A1670" s="3" t="str">
        <x:v>ORD-101830</x:v>
      </x:c>
      <x:c r="B1670" s="5" t="n">
        <x:v>45745</x:v>
      </x:c>
      <x:c r="C1670" s="3" t="str">
        <x:v>CUST-00006</x:v>
      </x:c>
      <x:c r="D1670" s="3" t="str">
        <x:v>East</x:v>
      </x:c>
      <x:c r="E1670" s="3" t="str">
        <x:v>Home &amp; Kitchen</x:v>
      </x:c>
      <x:c r="F1670" s="3" t="str">
        <x:v>Decor</x:v>
      </x:c>
      <x:c r="G1670" s="3" t="str">
        <x:v>LED Wall Lamp</x:v>
      </x:c>
      <x:c r="H1670" s="3" t="n">
        <x:v>1</x:v>
      </x:c>
      <x:c r="I1670" s="7" t="n">
        <x:v>967.6</x:v>
      </x:c>
      <x:c r="J1670" s="9" t="n">
        <x:v>0</x:v>
      </x:c>
      <x:c r="K1670" s="7" t="n">
        <x:v>967.6</x:v>
      </x:c>
      <x:c r="L1670" s="7" t="n">
        <x:v>311.55</x:v>
      </x:c>
      <x:c r="M1670" s="3" t="str">
        <x:v>UPI</x:v>
      </x:c>
      <x:c r="N1670" s="3"/>
      <x:c r="O1670" s="3"/>
      <x:c r="P1670" s="3"/>
      <x:c r="Q1670" s="3"/>
    </x:row>
    <x:row r="1671" ht="21" customHeight="1">
      <x:c r="A1671" s="3" t="str">
        <x:v>ORD-100085</x:v>
      </x:c>
      <x:c r="B1671" s="5" t="n">
        <x:v>45746</x:v>
      </x:c>
      <x:c r="C1671" s="3" t="str">
        <x:v>CUST-00083</x:v>
      </x:c>
      <x:c r="D1671" s="3" t="str">
        <x:v>East</x:v>
      </x:c>
      <x:c r="E1671" s="3" t="str">
        <x:v>Beauty</x:v>
      </x:c>
      <x:c r="F1671" s="3" t="str">
        <x:v>Skincare</x:v>
      </x:c>
      <x:c r="G1671" s="3" t="str">
        <x:v>Vitamin C Serum</x:v>
      </x:c>
      <x:c r="H1671" s="3" t="n">
        <x:v>2</x:v>
      </x:c>
      <x:c r="I1671" s="7" t="n">
        <x:v>913.29</x:v>
      </x:c>
      <x:c r="J1671" s="9" t="n">
        <x:v>0.25</x:v>
      </x:c>
      <x:c r="K1671" s="7" t="n">
        <x:v>1369.93</x:v>
      </x:c>
      <x:c r="L1671" s="7" t="n">
        <x:v>337.87</x:v>
      </x:c>
      <x:c r="M1671" s="3" t="str">
        <x:v>UPI</x:v>
      </x:c>
      <x:c r="N1671" s="3"/>
      <x:c r="O1671" s="3"/>
      <x:c r="P1671" s="3"/>
      <x:c r="Q1671" s="3"/>
    </x:row>
    <x:row r="1672" ht="21" customHeight="1">
      <x:c r="A1672" s="3" t="str">
        <x:v>ORD-100415</x:v>
      </x:c>
      <x:c r="B1672" s="5" t="n">
        <x:v>45746</x:v>
      </x:c>
      <x:c r="C1672" s="3" t="str">
        <x:v>CUST-00495</x:v>
      </x:c>
      <x:c r="D1672" s="3" t="str">
        <x:v>South</x:v>
      </x:c>
      <x:c r="E1672" s="3" t="str">
        <x:v>Fashion</x:v>
      </x:c>
      <x:c r="F1672" s="3" t="str">
        <x:v>Women</x:v>
      </x:c>
      <x:c r="G1672" s="3" t="str">
        <x:v>Knit Winter Sweater</x:v>
      </x:c>
      <x:c r="H1672" s="3" t="n">
        <x:v>3</x:v>
      </x:c>
      <x:c r="I1672" s="7" t="n">
        <x:v>2204.52</x:v>
      </x:c>
      <x:c r="J1672" s="9" t="n">
        <x:v>0.05</x:v>
      </x:c>
      <x:c r="K1672" s="7" t="n">
        <x:v>6282.88</x:v>
      </x:c>
      <x:c r="L1672" s="7" t="n">
        <x:v>2114.2</x:v>
      </x:c>
      <x:c r="M1672" s="3" t="str">
        <x:v>UPI</x:v>
      </x:c>
      <x:c r="N1672" s="3"/>
      <x:c r="O1672" s="3"/>
      <x:c r="P1672" s="3"/>
      <x:c r="Q1672" s="3"/>
    </x:row>
    <x:row r="1673" ht="21" customHeight="1">
      <x:c r="A1673" s="3" t="str">
        <x:v>ORD-100579</x:v>
      </x:c>
      <x:c r="B1673" s="5" t="n">
        <x:v>45746</x:v>
      </x:c>
      <x:c r="C1673" s="3" t="str">
        <x:v>CUST-00547</x:v>
      </x:c>
      <x:c r="D1673" s="3" t="str">
        <x:v>North</x:v>
      </x:c>
      <x:c r="E1673" s="3" t="str">
        <x:v>Beauty</x:v>
      </x:c>
      <x:c r="F1673" s="3" t="str">
        <x:v>Skincare</x:v>
      </x:c>
      <x:c r="G1673" s="3" t="str">
        <x:v>Vitamin C Serum</x:v>
      </x:c>
      <x:c r="H1673" s="3" t="n">
        <x:v>2</x:v>
      </x:c>
      <x:c r="I1673" s="7" t="n">
        <x:v>940.57</x:v>
      </x:c>
      <x:c r="J1673" s="9" t="n">
        <x:v>0.1</x:v>
      </x:c>
      <x:c r="K1673" s="7" t="n">
        <x:v>1693.03</x:v>
      </x:c>
      <x:c r="L1673" s="7" t="n">
        <x:v>705.99</x:v>
      </x:c>
      <x:c r="M1673" s="3" t="str">
        <x:v>Debit Card</x:v>
      </x:c>
      <x:c r="N1673" s="3"/>
      <x:c r="O1673" s="3"/>
      <x:c r="P1673" s="3"/>
      <x:c r="Q1673" s="3"/>
    </x:row>
    <x:row r="1674" ht="21" customHeight="1">
      <x:c r="A1674" s="3" t="str">
        <x:v>ORD-101612</x:v>
      </x:c>
      <x:c r="B1674" s="5" t="n">
        <x:v>45746</x:v>
      </x:c>
      <x:c r="C1674" s="3" t="str">
        <x:v>CUST-00004</x:v>
      </x:c>
      <x:c r="D1674" s="3" t="str">
        <x:v>South</x:v>
      </x:c>
      <x:c r="E1674" s="3" t="str">
        <x:v>Home &amp; Kitchen</x:v>
      </x:c>
      <x:c r="F1674" s="3" t="str">
        <x:v>Furniture</x:v>
      </x:c>
      <x:c r="G1674" s="3" t="str">
        <x:v>ErgoComfort Chair</x:v>
      </x:c>
      <x:c r="H1674" s="3" t="n">
        <x:v>1</x:v>
      </x:c>
      <x:c r="I1674" s="7" t="n">
        <x:v>8569.42</x:v>
      </x:c>
      <x:c r="J1674" s="9" t="n">
        <x:v>0.15</x:v>
      </x:c>
      <x:c r="K1674" s="7" t="n">
        <x:v>7284.01</x:v>
      </x:c>
      <x:c r="L1674" s="7" t="n">
        <x:v>1393.5</x:v>
      </x:c>
      <x:c r="M1674" s="3" t="str">
        <x:v>Credit Card</x:v>
      </x:c>
      <x:c r="N1674" s="3"/>
      <x:c r="O1674" s="3"/>
      <x:c r="P1674" s="3"/>
      <x:c r="Q1674" s="3"/>
    </x:row>
    <x:row r="1675" ht="21" customHeight="1">
      <x:c r="A1675" s="3" t="str">
        <x:v>ORD-101683</x:v>
      </x:c>
      <x:c r="B1675" s="5" t="n">
        <x:v>45746</x:v>
      </x:c>
      <x:c r="C1675" s="3" t="str">
        <x:v>CUST-00436</x:v>
      </x:c>
      <x:c r="D1675" s="3" t="str">
        <x:v>North</x:v>
      </x:c>
      <x:c r="E1675" s="3" t="str">
        <x:v>Beauty</x:v>
      </x:c>
      <x:c r="F1675" s="3" t="str">
        <x:v>Makeup</x:v>
      </x:c>
      <x:c r="G1675" s="3" t="str">
        <x:v>Matte Lipstick Set</x:v>
      </x:c>
      <x:c r="H1675" s="3" t="n">
        <x:v>1</x:v>
      </x:c>
      <x:c r="I1675" s="7" t="n">
        <x:v>990.2</x:v>
      </x:c>
      <x:c r="J1675" s="9" t="n">
        <x:v>0</x:v>
      </x:c>
      <x:c r="K1675" s="7" t="n">
        <x:v>990.2</x:v>
      </x:c>
      <x:c r="L1675" s="7" t="n">
        <x:v>574.89</x:v>
      </x:c>
      <x:c r="M1675" s="3" t="str">
        <x:v>Net Banking</x:v>
      </x:c>
      <x:c r="N1675" s="3"/>
      <x:c r="O1675" s="3"/>
      <x:c r="P1675" s="3"/>
      <x:c r="Q1675" s="3"/>
    </x:row>
    <x:row r="1676" ht="21" customHeight="1">
      <x:c r="A1676" s="3" t="str">
        <x:v>ORD-101937</x:v>
      </x:c>
      <x:c r="B1676" s="5" t="n">
        <x:v>45746</x:v>
      </x:c>
      <x:c r="C1676" s="3" t="str">
        <x:v>CUST-00091</x:v>
      </x:c>
      <x:c r="D1676" s="3" t="str">
        <x:v>North</x:v>
      </x:c>
      <x:c r="E1676" s="3" t="str">
        <x:v>Electronics</x:v>
      </x:c>
      <x:c r="F1676" s="3" t="str">
        <x:v>Laptop</x:v>
      </x:c>
      <x:c r="G1676" s="3" t="str">
        <x:v>ThinkPro 14</x:v>
      </x:c>
      <x:c r="H1676" s="3" t="n">
        <x:v>2</x:v>
      </x:c>
      <x:c r="I1676" s="7" t="n">
        <x:v>56316.75</x:v>
      </x:c>
      <x:c r="J1676" s="9" t="n">
        <x:v>0</x:v>
      </x:c>
      <x:c r="K1676" s="7" t="n">
        <x:v>112633.5</x:v>
      </x:c>
      <x:c r="L1676" s="7" t="n">
        <x:v>16213.54</x:v>
      </x:c>
      <x:c r="M1676" s="3" t="str">
        <x:v>UPI</x:v>
      </x:c>
      <x:c r="N1676" s="3"/>
      <x:c r="O1676" s="3"/>
      <x:c r="P1676" s="3"/>
      <x:c r="Q1676" s="3"/>
    </x:row>
    <x:row r="1677" ht="21" customHeight="1">
      <x:c r="A1677" s="3" t="str">
        <x:v>ORD-101087</x:v>
      </x:c>
      <x:c r="B1677" s="5" t="n">
        <x:v>45747</x:v>
      </x:c>
      <x:c r="C1677" s="3" t="str">
        <x:v>CUST-00186</x:v>
      </x:c>
      <x:c r="D1677" s="3" t="str">
        <x:v>North</x:v>
      </x:c>
      <x:c r="E1677" s="3" t="str">
        <x:v>Fashion</x:v>
      </x:c>
      <x:c r="F1677" s="3" t="str">
        <x:v>Footwear</x:v>
      </x:c>
      <x:c r="G1677" s="3" t="str">
        <x:v>UrbanLoafers</x:v>
      </x:c>
      <x:c r="H1677" s="3" t="n">
        <x:v>1</x:v>
      </x:c>
      <x:c r="I1677" s="7" t="n">
        <x:v>3595.98</x:v>
      </x:c>
      <x:c r="J1677" s="9" t="n">
        <x:v>0.05</x:v>
      </x:c>
      <x:c r="K1677" s="7" t="n">
        <x:v>3416.18</x:v>
      </x:c>
      <x:c r="L1677" s="7" t="n">
        <x:v>1335.29</x:v>
      </x:c>
      <x:c r="M1677" s="3" t="str">
        <x:v>UPI</x:v>
      </x:c>
      <x:c r="N1677" s="3"/>
      <x:c r="O1677" s="3"/>
      <x:c r="P1677" s="3"/>
      <x:c r="Q1677" s="3"/>
    </x:row>
    <x:row r="1678" ht="21" customHeight="1">
      <x:c r="A1678" s="3" t="str">
        <x:v>ORD-101544</x:v>
      </x:c>
      <x:c r="B1678" s="5" t="n">
        <x:v>45747</x:v>
      </x:c>
      <x:c r="C1678" s="3" t="str">
        <x:v>CUST-00049</x:v>
      </x:c>
      <x:c r="D1678" s="3" t="str">
        <x:v>East</x:v>
      </x:c>
      <x:c r="E1678" s="3" t="str">
        <x:v>Beauty</x:v>
      </x:c>
      <x:c r="F1678" s="3" t="str">
        <x:v>Skincare</x:v>
      </x:c>
      <x:c r="G1678" s="3" t="str">
        <x:v>HydraBoost Moisturizer</x:v>
      </x:c>
      <x:c r="H1678" s="3" t="n">
        <x:v>4</x:v>
      </x:c>
      <x:c r="I1678" s="7" t="n">
        <x:v>1140.41</x:v>
      </x:c>
      <x:c r="J1678" s="9" t="n">
        <x:v>0.05</x:v>
      </x:c>
      <x:c r="K1678" s="7" t="n">
        <x:v>4333.56</x:v>
      </x:c>
      <x:c r="L1678" s="7" t="n">
        <x:v>2245.59</x:v>
      </x:c>
      <x:c r="M1678" s="3" t="str">
        <x:v>Credit Card</x:v>
      </x:c>
      <x:c r="N1678" s="3"/>
      <x:c r="O1678" s="3"/>
      <x:c r="P1678" s="3"/>
      <x:c r="Q1678" s="3"/>
    </x:row>
    <x:row r="1679" ht="21" customHeight="1">
      <x:c r="A1679" s="3" t="str">
        <x:v>ORD-101871</x:v>
      </x:c>
      <x:c r="B1679" s="5" t="n">
        <x:v>45747</x:v>
      </x:c>
      <x:c r="C1679" s="3" t="str">
        <x:v>CUST-00246</x:v>
      </x:c>
      <x:c r="D1679" s="3" t="str">
        <x:v>North</x:v>
      </x:c>
      <x:c r="E1679" s="3" t="str">
        <x:v>Electronics</x:v>
      </x:c>
      <x:c r="F1679" s="3" t="str">
        <x:v>Audio</x:v>
      </x:c>
      <x:c r="G1679" s="3" t="str">
        <x:v>SoundPods Pro</x:v>
      </x:c>
      <x:c r="H1679" s="3" t="n">
        <x:v>1</x:v>
      </x:c>
      <x:c r="I1679" s="7" t="n">
        <x:v>4806.74</x:v>
      </x:c>
      <x:c r="J1679" s="9" t="n">
        <x:v>0.1</x:v>
      </x:c>
      <x:c r="K1679" s="7" t="n">
        <x:v>4326.07</x:v>
      </x:c>
      <x:c r="L1679" s="7" t="n">
        <x:v>158.65</x:v>
      </x:c>
      <x:c r="M1679" s="3" t="str">
        <x:v>Credit Card</x:v>
      </x:c>
      <x:c r="N1679" s="3"/>
      <x:c r="O1679" s="3"/>
      <x:c r="P1679" s="3"/>
      <x:c r="Q1679" s="3"/>
    </x:row>
    <x:row r="1680" ht="21" customHeight="1">
      <x:c r="A1680" s="3" t="str">
        <x:v>ORD-100125</x:v>
      </x:c>
      <x:c r="B1680" s="5" t="n">
        <x:v>45748</x:v>
      </x:c>
      <x:c r="C1680" s="3" t="str">
        <x:v>CUST-00293</x:v>
      </x:c>
      <x:c r="D1680" s="3" t="str">
        <x:v>South</x:v>
      </x:c>
      <x:c r="E1680" s="3" t="str">
        <x:v>Home &amp; Kitchen</x:v>
      </x:c>
      <x:c r="F1680" s="3" t="str">
        <x:v>Appliances</x:v>
      </x:c>
      <x:c r="G1680" s="3" t="str">
        <x:v>ColdBrew Coffee Maker</x:v>
      </x:c>
      <x:c r="H1680" s="3" t="n">
        <x:v>1</x:v>
      </x:c>
      <x:c r="I1680" s="7" t="n">
        <x:v>6652.17</x:v>
      </x:c>
      <x:c r="J1680" s="9" t="n">
        <x:v>0</x:v>
      </x:c>
      <x:c r="K1680" s="7" t="n">
        <x:v>6652.17</x:v>
      </x:c>
      <x:c r="L1680" s="7" t="n">
        <x:v>2194.71</x:v>
      </x:c>
      <x:c r="M1680" s="3" t="str">
        <x:v>Credit Card</x:v>
      </x:c>
      <x:c r="N1680" s="3"/>
      <x:c r="O1680" s="3"/>
      <x:c r="P1680" s="3"/>
      <x:c r="Q1680" s="3"/>
    </x:row>
    <x:row r="1681" ht="21" customHeight="1">
      <x:c r="A1681" s="3" t="str">
        <x:v>ORD-100565</x:v>
      </x:c>
      <x:c r="B1681" s="5" t="n">
        <x:v>45748</x:v>
      </x:c>
      <x:c r="C1681" s="3" t="str">
        <x:v>CUST-00558</x:v>
      </x:c>
      <x:c r="D1681" s="3" t="str">
        <x:v>West</x:v>
      </x:c>
      <x:c r="E1681" s="3" t="str">
        <x:v>Home &amp; Kitchen</x:v>
      </x:c>
      <x:c r="F1681" s="3" t="str">
        <x:v>Appliances</x:v>
      </x:c>
      <x:c r="G1681" s="3" t="str">
        <x:v>ColdBrew Coffee Maker</x:v>
      </x:c>
      <x:c r="H1681" s="3" t="n">
        <x:v>4</x:v>
      </x:c>
      <x:c r="I1681" s="7" t="n">
        <x:v>6355.88</x:v>
      </x:c>
      <x:c r="J1681" s="9" t="n">
        <x:v>0</x:v>
      </x:c>
      <x:c r="K1681" s="7" t="n">
        <x:v>25423.52</x:v>
      </x:c>
      <x:c r="L1681" s="7" t="n">
        <x:v>8446.29</x:v>
      </x:c>
      <x:c r="M1681" s="3" t="str">
        <x:v>Debit Card</x:v>
      </x:c>
      <x:c r="N1681" s="3"/>
      <x:c r="O1681" s="3"/>
      <x:c r="P1681" s="3"/>
      <x:c r="Q1681" s="3"/>
    </x:row>
    <x:row r="1682" ht="21" customHeight="1">
      <x:c r="A1682" s="3" t="str">
        <x:v>ORD-100762</x:v>
      </x:c>
      <x:c r="B1682" s="5" t="n">
        <x:v>45748</x:v>
      </x:c>
      <x:c r="C1682" s="3" t="str">
        <x:v>CUST-00279</x:v>
      </x:c>
      <x:c r="D1682" s="3" t="str">
        <x:v>West</x:v>
      </x:c>
      <x:c r="E1682" s="3" t="str">
        <x:v>Home &amp; Kitchen</x:v>
      </x:c>
      <x:c r="F1682" s="3" t="str">
        <x:v>Decor</x:v>
      </x:c>
      <x:c r="G1682" s="3" t="str">
        <x:v>Ceramic Vase Set</x:v>
      </x:c>
      <x:c r="H1682" s="3" t="n">
        <x:v>2</x:v>
      </x:c>
      <x:c r="I1682" s="7" t="n">
        <x:v>1470.76</x:v>
      </x:c>
      <x:c r="J1682" s="9" t="n">
        <x:v>0.15</x:v>
      </x:c>
      <x:c r="K1682" s="7" t="n">
        <x:v>2500.29</x:v>
      </x:c>
      <x:c r="L1682" s="7" t="n">
        <x:v>452.62</x:v>
      </x:c>
      <x:c r="M1682" s="3" t="str">
        <x:v>Credit Card</x:v>
      </x:c>
      <x:c r="N1682" s="3"/>
      <x:c r="O1682" s="3"/>
      <x:c r="P1682" s="3"/>
      <x:c r="Q1682" s="3"/>
    </x:row>
    <x:row r="1683" ht="21" customHeight="1">
      <x:c r="A1683" s="3" t="str">
        <x:v>ORD-100598</x:v>
      </x:c>
      <x:c r="B1683" s="5" t="n">
        <x:v>45749</x:v>
      </x:c>
      <x:c r="C1683" s="3" t="str">
        <x:v>CUST-00088</x:v>
      </x:c>
      <x:c r="D1683" s="3" t="str">
        <x:v>South</x:v>
      </x:c>
      <x:c r="E1683" s="3" t="str">
        <x:v>Home &amp; Kitchen</x:v>
      </x:c>
      <x:c r="F1683" s="3" t="str">
        <x:v>Furniture</x:v>
      </x:c>
      <x:c r="G1683" s="3" t="str">
        <x:v>ErgoComfort Chair</x:v>
      </x:c>
      <x:c r="H1683" s="3" t="n">
        <x:v>1</x:v>
      </x:c>
      <x:c r="I1683" s="7" t="n">
        <x:v>8614.66</x:v>
      </x:c>
      <x:c r="J1683" s="9" t="n">
        <x:v>0</x:v>
      </x:c>
      <x:c r="K1683" s="7" t="n">
        <x:v>8614.66</x:v>
      </x:c>
      <x:c r="L1683" s="7" t="n">
        <x:v>2911.73</x:v>
      </x:c>
      <x:c r="M1683" s="3" t="str">
        <x:v>UPI</x:v>
      </x:c>
      <x:c r="N1683" s="3"/>
      <x:c r="O1683" s="3"/>
      <x:c r="P1683" s="3"/>
      <x:c r="Q1683" s="3"/>
    </x:row>
    <x:row r="1684" ht="21" customHeight="1">
      <x:c r="A1684" s="3" t="str">
        <x:v>ORD-101497</x:v>
      </x:c>
      <x:c r="B1684" s="5" t="n">
        <x:v>45749</x:v>
      </x:c>
      <x:c r="C1684" s="3" t="str">
        <x:v>CUST-00417</x:v>
      </x:c>
      <x:c r="D1684" s="3" t="str">
        <x:v>West</x:v>
      </x:c>
      <x:c r="E1684" s="3" t="str">
        <x:v>Home &amp; Kitchen</x:v>
      </x:c>
      <x:c r="F1684" s="3" t="str">
        <x:v>Appliances</x:v>
      </x:c>
      <x:c r="G1684" s="3" t="str">
        <x:v>ColdBrew Coffee Maker</x:v>
      </x:c>
      <x:c r="H1684" s="3" t="n">
        <x:v>4</x:v>
      </x:c>
      <x:c r="I1684" s="7" t="n">
        <x:v>6543.42</x:v>
      </x:c>
      <x:c r="J1684" s="9" t="n">
        <x:v>0.25</x:v>
      </x:c>
      <x:c r="K1684" s="7" t="n">
        <x:v>19630.26</x:v>
      </x:c>
      <x:c r="L1684" s="7" t="n">
        <x:v>1402.58</x:v>
      </x:c>
      <x:c r="M1684" s="3" t="str">
        <x:v>UPI</x:v>
      </x:c>
      <x:c r="N1684" s="3"/>
      <x:c r="O1684" s="3"/>
      <x:c r="P1684" s="3"/>
      <x:c r="Q1684" s="3"/>
    </x:row>
    <x:row r="1685" ht="21" customHeight="1">
      <x:c r="A1685" s="3" t="str">
        <x:v>ORD-101343</x:v>
      </x:c>
      <x:c r="B1685" s="5" t="n">
        <x:v>45750</x:v>
      </x:c>
      <x:c r="C1685" s="3" t="str">
        <x:v>CUST-00551</x:v>
      </x:c>
      <x:c r="D1685" s="3" t="str">
        <x:v>North</x:v>
      </x:c>
      <x:c r="E1685" s="3" t="str">
        <x:v>Home &amp; Kitchen</x:v>
      </x:c>
      <x:c r="F1685" s="3" t="str">
        <x:v>Appliances</x:v>
      </x:c>
      <x:c r="G1685" s="3" t="str">
        <x:v>ColdBrew Coffee Maker</x:v>
      </x:c>
      <x:c r="H1685" s="3" t="n">
        <x:v>1</x:v>
      </x:c>
      <x:c r="I1685" s="7" t="n">
        <x:v>6301.96</x:v>
      </x:c>
      <x:c r="J1685" s="9" t="n">
        <x:v>0</x:v>
      </x:c>
      <x:c r="K1685" s="7" t="n">
        <x:v>6301.96</x:v>
      </x:c>
      <x:c r="L1685" s="7" t="n">
        <x:v>2271.25</x:v>
      </x:c>
      <x:c r="M1685" s="3" t="str">
        <x:v>Cash on Delivery</x:v>
      </x:c>
      <x:c r="N1685" s="3"/>
      <x:c r="O1685" s="3"/>
      <x:c r="P1685" s="3"/>
      <x:c r="Q1685" s="3"/>
    </x:row>
    <x:row r="1686" ht="21" customHeight="1">
      <x:c r="A1686" s="3" t="str">
        <x:v>ORD-101789</x:v>
      </x:c>
      <x:c r="B1686" s="5" t="n">
        <x:v>45750</x:v>
      </x:c>
      <x:c r="C1686" s="3" t="str">
        <x:v>CUST-00566</x:v>
      </x:c>
      <x:c r="D1686" s="3" t="str">
        <x:v>West</x:v>
      </x:c>
      <x:c r="E1686" s="3" t="str">
        <x:v>Electronics</x:v>
      </x:c>
      <x:c r="F1686" s="3" t="str">
        <x:v>Mobile</x:v>
      </x:c>
      <x:c r="G1686" s="3" t="str">
        <x:v>iPhone Zeta</x:v>
      </x:c>
      <x:c r="H1686" s="3" t="n">
        <x:v>3</x:v>
      </x:c>
      <x:c r="I1686" s="7" t="n">
        <x:v>69497.9</x:v>
      </x:c>
      <x:c r="J1686" s="9" t="n">
        <x:v>0.15</x:v>
      </x:c>
      <x:c r="K1686" s="7" t="n">
        <x:v>177219.64</x:v>
      </x:c>
      <x:c r="L1686" s="7" t="n">
        <x:v>5921.58</x:v>
      </x:c>
      <x:c r="M1686" s="3" t="str">
        <x:v>Debit Card</x:v>
      </x:c>
      <x:c r="N1686" s="3"/>
      <x:c r="O1686" s="3"/>
      <x:c r="P1686" s="3"/>
      <x:c r="Q1686" s="3"/>
    </x:row>
    <x:row r="1687" ht="21" customHeight="1">
      <x:c r="A1687" s="3" t="str">
        <x:v>ORD-101940</x:v>
      </x:c>
      <x:c r="B1687" s="5" t="n">
        <x:v>45750</x:v>
      </x:c>
      <x:c r="C1687" s="3" t="str">
        <x:v>CUST-00298</x:v>
      </x:c>
      <x:c r="D1687" s="3" t="str">
        <x:v>South</x:v>
      </x:c>
      <x:c r="E1687" s="3" t="str">
        <x:v>Electronics</x:v>
      </x:c>
      <x:c r="F1687" s="3" t="str">
        <x:v>Laptop</x:v>
      </x:c>
      <x:c r="G1687" s="3" t="str">
        <x:v>ThinkPro 14</x:v>
      </x:c>
      <x:c r="H1687" s="3" t="n">
        <x:v>2</x:v>
      </x:c>
      <x:c r="I1687" s="7" t="n">
        <x:v>52295.07</x:v>
      </x:c>
      <x:c r="J1687" s="9" t="n">
        <x:v>0.15</x:v>
      </x:c>
      <x:c r="K1687" s="7" t="n">
        <x:v>88901.62</x:v>
      </x:c>
      <x:c r="L1687" s="7" t="n">
        <x:v>1469.53</x:v>
      </x:c>
      <x:c r="M1687" s="3" t="str">
        <x:v>UPI</x:v>
      </x:c>
      <x:c r="N1687" s="3"/>
      <x:c r="O1687" s="3"/>
      <x:c r="P1687" s="3"/>
      <x:c r="Q1687" s="3"/>
    </x:row>
    <x:row r="1688" ht="21" customHeight="1">
      <x:c r="A1688" s="3" t="str">
        <x:v>ORD-100568</x:v>
      </x:c>
      <x:c r="B1688" s="5" t="n">
        <x:v>45751</x:v>
      </x:c>
      <x:c r="C1688" s="3" t="str">
        <x:v>CUST-00006</x:v>
      </x:c>
      <x:c r="D1688" s="3" t="str">
        <x:v>East</x:v>
      </x:c>
      <x:c r="E1688" s="3" t="str">
        <x:v>Sports</x:v>
      </x:c>
      <x:c r="F1688" s="3" t="str">
        <x:v>Fitness</x:v>
      </x:c>
      <x:c r="G1688" s="3" t="str">
        <x:v>ProYoga Mat</x:v>
      </x:c>
      <x:c r="H1688" s="3" t="n">
        <x:v>3</x:v>
      </x:c>
      <x:c r="I1688" s="7" t="n">
        <x:v>1299.97</x:v>
      </x:c>
      <x:c r="J1688" s="9" t="n">
        <x:v>0</x:v>
      </x:c>
      <x:c r="K1688" s="7" t="n">
        <x:v>3899.91</x:v>
      </x:c>
      <x:c r="L1688" s="7" t="n">
        <x:v>1364.6</x:v>
      </x:c>
      <x:c r="M1688" s="3" t="str">
        <x:v>Cash on Delivery</x:v>
      </x:c>
      <x:c r="N1688" s="3"/>
      <x:c r="O1688" s="3"/>
      <x:c r="P1688" s="3"/>
      <x:c r="Q1688" s="3"/>
    </x:row>
    <x:row r="1689" ht="21" customHeight="1">
      <x:c r="A1689" s="3" t="str">
        <x:v>ORD-101062</x:v>
      </x:c>
      <x:c r="B1689" s="5" t="n">
        <x:v>45751</x:v>
      </x:c>
      <x:c r="C1689" s="3" t="str">
        <x:v>CUST-00268</x:v>
      </x:c>
      <x:c r="D1689" s="3" t="str">
        <x:v>South</x:v>
      </x:c>
      <x:c r="E1689" s="3" t="str">
        <x:v>Home &amp; Kitchen</x:v>
      </x:c>
      <x:c r="F1689" s="3" t="str">
        <x:v>Decor</x:v>
      </x:c>
      <x:c r="G1689" s="3" t="str">
        <x:v>Ceramic Vase Set</x:v>
      </x:c>
      <x:c r="H1689" s="3" t="n">
        <x:v>1</x:v>
      </x:c>
      <x:c r="I1689" s="7" t="n">
        <x:v>1497.87</x:v>
      </x:c>
      <x:c r="J1689" s="9" t="n">
        <x:v>0.15</x:v>
      </x:c>
      <x:c r="K1689" s="7" t="n">
        <x:v>1273.19</x:v>
      </x:c>
      <x:c r="L1689" s="7" t="n">
        <x:v>205.12</x:v>
      </x:c>
      <x:c r="M1689" s="3" t="str">
        <x:v>Credit Card</x:v>
      </x:c>
      <x:c r="N1689" s="3"/>
      <x:c r="O1689" s="3"/>
      <x:c r="P1689" s="3"/>
      <x:c r="Q1689" s="3"/>
    </x:row>
    <x:row r="1690" ht="21" customHeight="1">
      <x:c r="A1690" s="3" t="str">
        <x:v>ORD-101704</x:v>
      </x:c>
      <x:c r="B1690" s="5" t="n">
        <x:v>45751</x:v>
      </x:c>
      <x:c r="C1690" s="3" t="str">
        <x:v>CUST-00301</x:v>
      </x:c>
      <x:c r="D1690" s="3" t="str">
        <x:v>East</x:v>
      </x:c>
      <x:c r="E1690" s="3" t="str">
        <x:v>Electronics</x:v>
      </x:c>
      <x:c r="F1690" s="3" t="str">
        <x:v>Mobile</x:v>
      </x:c>
      <x:c r="G1690" s="3" t="str">
        <x:v>iPhone Zeta</x:v>
      </x:c>
      <x:c r="H1690" s="3" t="n">
        <x:v>4</x:v>
      </x:c>
      <x:c r="I1690" s="7" t="n">
        <x:v>69334.49</x:v>
      </x:c>
      <x:c r="J1690" s="9" t="n">
        <x:v>0.1</x:v>
      </x:c>
      <x:c r="K1690" s="7" t="n">
        <x:v>249604.16</x:v>
      </x:c>
      <x:c r="L1690" s="7" t="n">
        <x:v>22541.5</x:v>
      </x:c>
      <x:c r="M1690" s="3" t="str">
        <x:v>UPI</x:v>
      </x:c>
      <x:c r="N1690" s="3"/>
      <x:c r="O1690" s="3"/>
      <x:c r="P1690" s="3"/>
      <x:c r="Q1690" s="3"/>
    </x:row>
    <x:row r="1691" ht="21" customHeight="1">
      <x:c r="A1691" s="3" t="str">
        <x:v>ORD-101720</x:v>
      </x:c>
      <x:c r="B1691" s="5" t="n">
        <x:v>45751</x:v>
      </x:c>
      <x:c r="C1691" s="3" t="str">
        <x:v>CUST-00001</x:v>
      </x:c>
      <x:c r="D1691" s="3" t="str">
        <x:v>West</x:v>
      </x:c>
      <x:c r="E1691" s="3" t="str">
        <x:v>Sports</x:v>
      </x:c>
      <x:c r="F1691" s="3" t="str">
        <x:v>Fitness</x:v>
      </x:c>
      <x:c r="G1691" s="3" t="str">
        <x:v>ProYoga Mat</x:v>
      </x:c>
      <x:c r="H1691" s="3" t="n">
        <x:v>1</x:v>
      </x:c>
      <x:c r="I1691" s="7" t="n">
        <x:v>1329.11</x:v>
      </x:c>
      <x:c r="J1691" s="9" t="n">
        <x:v>0</x:v>
      </x:c>
      <x:c r="K1691" s="7" t="n">
        <x:v>1329.11</x:v>
      </x:c>
      <x:c r="L1691" s="7" t="n">
        <x:v>538.06</x:v>
      </x:c>
      <x:c r="M1691" s="3" t="str">
        <x:v>UPI</x:v>
      </x:c>
      <x:c r="N1691" s="3"/>
      <x:c r="O1691" s="3"/>
      <x:c r="P1691" s="3"/>
      <x:c r="Q1691" s="3"/>
    </x:row>
    <x:row r="1692" ht="21" customHeight="1">
      <x:c r="A1692" s="3" t="str">
        <x:v>ORD-100738</x:v>
      </x:c>
      <x:c r="B1692" s="5" t="n">
        <x:v>45752</x:v>
      </x:c>
      <x:c r="C1692" s="3" t="str">
        <x:v>CUST-00044</x:v>
      </x:c>
      <x:c r="D1692" s="3" t="str">
        <x:v>North</x:v>
      </x:c>
      <x:c r="E1692" s="3" t="str">
        <x:v>Sports</x:v>
      </x:c>
      <x:c r="F1692" s="3" t="str">
        <x:v>Outdoor</x:v>
      </x:c>
      <x:c r="G1692" s="3" t="str">
        <x:v>TrailHike Backpack 60L</x:v>
      </x:c>
      <x:c r="H1692" s="3" t="n">
        <x:v>1</x:v>
      </x:c>
      <x:c r="I1692" s="7" t="n">
        <x:v>3542.61</x:v>
      </x:c>
      <x:c r="J1692" s="9" t="n">
        <x:v>0.05</x:v>
      </x:c>
      <x:c r="K1692" s="7" t="n">
        <x:v>3365.48</x:v>
      </x:c>
      <x:c r="L1692" s="7" t="n">
        <x:v>1035.19</x:v>
      </x:c>
      <x:c r="M1692" s="3" t="str">
        <x:v>UPI</x:v>
      </x:c>
      <x:c r="N1692" s="3"/>
      <x:c r="O1692" s="3"/>
      <x:c r="P1692" s="3"/>
      <x:c r="Q1692" s="3"/>
    </x:row>
    <x:row r="1693" ht="21" customHeight="1">
      <x:c r="A1693" s="3" t="str">
        <x:v>ORD-101352</x:v>
      </x:c>
      <x:c r="B1693" s="5" t="n">
        <x:v>45752</x:v>
      </x:c>
      <x:c r="C1693" s="3" t="str">
        <x:v>CUST-00242</x:v>
      </x:c>
      <x:c r="D1693" s="3" t="str">
        <x:v>South</x:v>
      </x:c>
      <x:c r="E1693" s="3" t="str">
        <x:v>Electronics</x:v>
      </x:c>
      <x:c r="F1693" s="3" t="str">
        <x:v>Audio</x:v>
      </x:c>
      <x:c r="G1693" s="3" t="str">
        <x:v>BassBoom Speaker</x:v>
      </x:c>
      <x:c r="H1693" s="3" t="n">
        <x:v>2</x:v>
      </x:c>
      <x:c r="I1693" s="7" t="n">
        <x:v>8668.02</x:v>
      </x:c>
      <x:c r="J1693" s="9" t="n">
        <x:v>0</x:v>
      </x:c>
      <x:c r="K1693" s="7" t="n">
        <x:v>17336.04</x:v>
      </x:c>
      <x:c r="L1693" s="7" t="n">
        <x:v>2709.6</x:v>
      </x:c>
      <x:c r="M1693" s="3" t="str">
        <x:v>UPI</x:v>
      </x:c>
      <x:c r="N1693" s="3"/>
      <x:c r="O1693" s="3"/>
      <x:c r="P1693" s="3"/>
      <x:c r="Q1693" s="3"/>
    </x:row>
    <x:row r="1694" ht="21" customHeight="1">
      <x:c r="A1694" s="3" t="str">
        <x:v>ORD-101808</x:v>
      </x:c>
      <x:c r="B1694" s="5" t="n">
        <x:v>45752</x:v>
      </x:c>
      <x:c r="C1694" s="3" t="str">
        <x:v>CUST-00132</x:v>
      </x:c>
      <x:c r="D1694" s="3" t="str">
        <x:v>South</x:v>
      </x:c>
      <x:c r="E1694" s="3" t="str">
        <x:v>Home &amp; Kitchen</x:v>
      </x:c>
      <x:c r="F1694" s="3" t="str">
        <x:v>Appliances</x:v>
      </x:c>
      <x:c r="G1694" s="3" t="str">
        <x:v>ColdBrew Coffee Maker</x:v>
      </x:c>
      <x:c r="H1694" s="3" t="n">
        <x:v>1</x:v>
      </x:c>
      <x:c r="I1694" s="7" t="n">
        <x:v>6632.38</x:v>
      </x:c>
      <x:c r="J1694" s="9" t="n">
        <x:v>0.2</x:v>
      </x:c>
      <x:c r="K1694" s="7" t="n">
        <x:v>5305.9</x:v>
      </x:c>
      <x:c r="L1694" s="7" t="n">
        <x:v>426.66</x:v>
      </x:c>
      <x:c r="M1694" s="3" t="str">
        <x:v>Credit Card</x:v>
      </x:c>
      <x:c r="N1694" s="3"/>
      <x:c r="O1694" s="3"/>
      <x:c r="P1694" s="3"/>
      <x:c r="Q1694" s="3"/>
    </x:row>
    <x:row r="1695" ht="21" customHeight="1">
      <x:c r="A1695" s="3" t="str">
        <x:v>ORD-100180</x:v>
      </x:c>
      <x:c r="B1695" s="5" t="n">
        <x:v>45753</x:v>
      </x:c>
      <x:c r="C1695" s="3" t="str">
        <x:v>CUST-00365</x:v>
      </x:c>
      <x:c r="D1695" s="3" t="str">
        <x:v>South</x:v>
      </x:c>
      <x:c r="E1695" s="3" t="str">
        <x:v>Fashion</x:v>
      </x:c>
      <x:c r="F1695" s="3" t="str">
        <x:v>Men</x:v>
      </x:c>
      <x:c r="G1695" s="3" t="str">
        <x:v>Oxford Casual Shirt</x:v>
      </x:c>
      <x:c r="H1695" s="3" t="n">
        <x:v>2</x:v>
      </x:c>
      <x:c r="I1695" s="7" t="n">
        <x:v>1311.42</x:v>
      </x:c>
      <x:c r="J1695" s="9" t="n">
        <x:v>0.1</x:v>
      </x:c>
      <x:c r="K1695" s="7" t="n">
        <x:v>2360.56</x:v>
      </x:c>
      <x:c r="L1695" s="7" t="n">
        <x:v>808.52</x:v>
      </x:c>
      <x:c r="M1695" s="3" t="str">
        <x:v>Credit Card</x:v>
      </x:c>
      <x:c r="N1695" s="3"/>
      <x:c r="O1695" s="3"/>
      <x:c r="P1695" s="3"/>
      <x:c r="Q1695" s="3"/>
    </x:row>
    <x:row r="1696" ht="21" customHeight="1">
      <x:c r="A1696" s="3" t="str">
        <x:v>ORD-101396</x:v>
      </x:c>
      <x:c r="B1696" s="5" t="n">
        <x:v>45753</x:v>
      </x:c>
      <x:c r="C1696" s="3" t="str">
        <x:v>CUST-00580</x:v>
      </x:c>
      <x:c r="D1696" s="3" t="str">
        <x:v>West</x:v>
      </x:c>
      <x:c r="E1696" s="3" t="str">
        <x:v>Home &amp; Kitchen</x:v>
      </x:c>
      <x:c r="F1696" s="3" t="str">
        <x:v>Appliances</x:v>
      </x:c>
      <x:c r="G1696" s="3" t="str">
        <x:v>ColdBrew Coffee Maker</x:v>
      </x:c>
      <x:c r="H1696" s="3" t="n">
        <x:v>4</x:v>
      </x:c>
      <x:c r="I1696" s="7" t="n">
        <x:v>6470.75</x:v>
      </x:c>
      <x:c r="J1696" s="9" t="n">
        <x:v>0.25</x:v>
      </x:c>
      <x:c r="K1696" s="7" t="n">
        <x:v>19412.25</x:v>
      </x:c>
      <x:c r="L1696" s="7" t="n">
        <x:v>1219.85</x:v>
      </x:c>
      <x:c r="M1696" s="3" t="str">
        <x:v>Credit Card</x:v>
      </x:c>
      <x:c r="N1696" s="3"/>
      <x:c r="O1696" s="3"/>
      <x:c r="P1696" s="3"/>
      <x:c r="Q1696" s="3"/>
    </x:row>
    <x:row r="1697" ht="21" customHeight="1">
      <x:c r="A1697" s="3" t="str">
        <x:v>ORD-101800</x:v>
      </x:c>
      <x:c r="B1697" s="5" t="n">
        <x:v>45753</x:v>
      </x:c>
      <x:c r="C1697" s="3" t="str">
        <x:v>CUST-00551</x:v>
      </x:c>
      <x:c r="D1697" s="3" t="str">
        <x:v>East</x:v>
      </x:c>
      <x:c r="E1697" s="3" t="str">
        <x:v>Sports</x:v>
      </x:c>
      <x:c r="F1697" s="3" t="str">
        <x:v>Outdoor</x:v>
      </x:c>
      <x:c r="G1697" s="3" t="str">
        <x:v>TrailHike Backpack 60L</x:v>
      </x:c>
      <x:c r="H1697" s="3" t="n">
        <x:v>1</x:v>
      </x:c>
      <x:c r="I1697" s="7" t="n">
        <x:v>3610.67</x:v>
      </x:c>
      <x:c r="J1697" s="9" t="n">
        <x:v>0.15</x:v>
      </x:c>
      <x:c r="K1697" s="7" t="n">
        <x:v>3069.07</x:v>
      </x:c>
      <x:c r="L1697" s="7" t="n">
        <x:v>704.71</x:v>
      </x:c>
      <x:c r="M1697" s="3" t="str">
        <x:v>Debit Card</x:v>
      </x:c>
      <x:c r="N1697" s="3"/>
      <x:c r="O1697" s="3"/>
      <x:c r="P1697" s="3"/>
      <x:c r="Q1697" s="3"/>
    </x:row>
    <x:row r="1698" ht="21" customHeight="1">
      <x:c r="A1698" s="3" t="str">
        <x:v>ORD-100399</x:v>
      </x:c>
      <x:c r="B1698" s="5" t="n">
        <x:v>45754</x:v>
      </x:c>
      <x:c r="C1698" s="3" t="str">
        <x:v>CUST-00513</x:v>
      </x:c>
      <x:c r="D1698" s="3" t="str">
        <x:v>South</x:v>
      </x:c>
      <x:c r="E1698" s="3" t="str">
        <x:v>Sports</x:v>
      </x:c>
      <x:c r="F1698" s="3" t="str">
        <x:v>Outdoor</x:v>
      </x:c>
      <x:c r="G1698" s="3" t="str">
        <x:v>AllWeather Tent 4P</x:v>
      </x:c>
      <x:c r="H1698" s="3" t="n">
        <x:v>1</x:v>
      </x:c>
      <x:c r="I1698" s="7" t="n">
        <x:v>12134.75</x:v>
      </x:c>
      <x:c r="J1698" s="9" t="n">
        <x:v>0.05</x:v>
      </x:c>
      <x:c r="K1698" s="7" t="n">
        <x:v>11528.01</x:v>
      </x:c>
      <x:c r="L1698" s="7" t="n">
        <x:v>3306.97</x:v>
      </x:c>
      <x:c r="M1698" s="3" t="str">
        <x:v>UPI</x:v>
      </x:c>
      <x:c r="N1698" s="3"/>
      <x:c r="O1698" s="3"/>
      <x:c r="P1698" s="3"/>
      <x:c r="Q1698" s="3"/>
    </x:row>
    <x:row r="1699" ht="21" customHeight="1">
      <x:c r="A1699" s="3" t="str">
        <x:v>ORD-101685</x:v>
      </x:c>
      <x:c r="B1699" s="5" t="n">
        <x:v>45754</x:v>
      </x:c>
      <x:c r="C1699" s="3" t="str">
        <x:v>CUST-00520</x:v>
      </x:c>
      <x:c r="D1699" s="3" t="str">
        <x:v>North</x:v>
      </x:c>
      <x:c r="E1699" s="3" t="str">
        <x:v>Fashion</x:v>
      </x:c>
      <x:c r="F1699" s="3" t="str">
        <x:v>Footwear</x:v>
      </x:c>
      <x:c r="G1699" s="3" t="str">
        <x:v>RunFlex Sneakers</x:v>
      </x:c>
      <x:c r="H1699" s="3" t="n">
        <x:v>1</x:v>
      </x:c>
      <x:c r="I1699" s="7" t="n">
        <x:v>2991.61</x:v>
      </x:c>
      <x:c r="J1699" s="9" t="n">
        <x:v>0.2</x:v>
      </x:c>
      <x:c r="K1699" s="7" t="n">
        <x:v>2393.29</x:v>
      </x:c>
      <x:c r="L1699" s="7" t="n">
        <x:v>469.02</x:v>
      </x:c>
      <x:c r="M1699" s="3" t="str">
        <x:v>UPI</x:v>
      </x:c>
      <x:c r="N1699" s="3"/>
      <x:c r="O1699" s="3"/>
      <x:c r="P1699" s="3"/>
      <x:c r="Q1699" s="3"/>
    </x:row>
    <x:row r="1700" ht="21" customHeight="1">
      <x:c r="A1700" s="3" t="str">
        <x:v>ORD-100767</x:v>
      </x:c>
      <x:c r="B1700" s="5" t="n">
        <x:v>45755</x:v>
      </x:c>
      <x:c r="C1700" s="3" t="str">
        <x:v>CUST-00335</x:v>
      </x:c>
      <x:c r="D1700" s="3" t="str">
        <x:v>North</x:v>
      </x:c>
      <x:c r="E1700" s="3" t="str">
        <x:v>Sports</x:v>
      </x:c>
      <x:c r="F1700" s="3" t="str">
        <x:v>Outdoor</x:v>
      </x:c>
      <x:c r="G1700" s="3" t="str">
        <x:v>AllWeather Tent 4P</x:v>
      </x:c>
      <x:c r="H1700" s="3" t="n">
        <x:v>1</x:v>
      </x:c>
      <x:c r="I1700" s="7" t="n">
        <x:v>11991.72</x:v>
      </x:c>
      <x:c r="J1700" s="9" t="n">
        <x:v>0</x:v>
      </x:c>
      <x:c r="K1700" s="7" t="n">
        <x:v>11991.72</x:v>
      </x:c>
      <x:c r="L1700" s="7" t="n">
        <x:v>4122.07</x:v>
      </x:c>
      <x:c r="M1700" s="3" t="str">
        <x:v>UPI</x:v>
      </x:c>
      <x:c r="N1700" s="3"/>
      <x:c r="O1700" s="3"/>
      <x:c r="P1700" s="3"/>
      <x:c r="Q1700" s="3"/>
    </x:row>
    <x:row r="1701" ht="21" customHeight="1">
      <x:c r="A1701" s="3" t="str">
        <x:v>ORD-100785</x:v>
      </x:c>
      <x:c r="B1701" s="5" t="n">
        <x:v>45755</x:v>
      </x:c>
      <x:c r="C1701" s="3" t="str">
        <x:v>CUST-00360</x:v>
      </x:c>
      <x:c r="D1701" s="3" t="str">
        <x:v>South</x:v>
      </x:c>
      <x:c r="E1701" s="3" t="str">
        <x:v>Beauty</x:v>
      </x:c>
      <x:c r="F1701" s="3" t="str">
        <x:v>Makeup</x:v>
      </x:c>
      <x:c r="G1701" s="3" t="str">
        <x:v>Matte Lipstick Set</x:v>
      </x:c>
      <x:c r="H1701" s="3" t="n">
        <x:v>1</x:v>
      </x:c>
      <x:c r="I1701" s="7" t="n">
        <x:v>963.69</x:v>
      </x:c>
      <x:c r="J1701" s="9" t="n">
        <x:v>0</x:v>
      </x:c>
      <x:c r="K1701" s="7" t="n">
        <x:v>963.69</x:v>
      </x:c>
      <x:c r="L1701" s="7" t="n">
        <x:v>498.72</x:v>
      </x:c>
      <x:c r="M1701" s="3" t="str">
        <x:v>Debit Card</x:v>
      </x:c>
      <x:c r="N1701" s="3"/>
      <x:c r="O1701" s="3"/>
      <x:c r="P1701" s="3"/>
      <x:c r="Q1701" s="3"/>
    </x:row>
    <x:row r="1702" ht="21" customHeight="1">
      <x:c r="A1702" s="3" t="str">
        <x:v>ORD-101023</x:v>
      </x:c>
      <x:c r="B1702" s="5" t="n">
        <x:v>45755</x:v>
      </x:c>
      <x:c r="C1702" s="3" t="str">
        <x:v>CUST-00398</x:v>
      </x:c>
      <x:c r="D1702" s="3" t="str">
        <x:v>West</x:v>
      </x:c>
      <x:c r="E1702" s="3" t="str">
        <x:v>Beauty</x:v>
      </x:c>
      <x:c r="F1702" s="3" t="str">
        <x:v>Skincare</x:v>
      </x:c>
      <x:c r="G1702" s="3" t="str">
        <x:v>HydraBoost Moisturizer</x:v>
      </x:c>
      <x:c r="H1702" s="3" t="n">
        <x:v>1</x:v>
      </x:c>
      <x:c r="I1702" s="7" t="n">
        <x:v>1164</x:v>
      </x:c>
      <x:c r="J1702" s="9" t="n">
        <x:v>0.1</x:v>
      </x:c>
      <x:c r="K1702" s="7" t="n">
        <x:v>1047.6</x:v>
      </x:c>
      <x:c r="L1702" s="7" t="n">
        <x:v>447.81</x:v>
      </x:c>
      <x:c r="M1702" s="3" t="str">
        <x:v>Credit Card</x:v>
      </x:c>
      <x:c r="N1702" s="3"/>
      <x:c r="O1702" s="3"/>
      <x:c r="P1702" s="3"/>
      <x:c r="Q1702" s="3"/>
    </x:row>
    <x:row r="1703" ht="21" customHeight="1">
      <x:c r="A1703" s="3" t="str">
        <x:v>ORD-100423</x:v>
      </x:c>
      <x:c r="B1703" s="5" t="n">
        <x:v>45756</x:v>
      </x:c>
      <x:c r="C1703" s="3" t="str">
        <x:v>CUST-00067</x:v>
      </x:c>
      <x:c r="D1703" s="3" t="str">
        <x:v>East</x:v>
      </x:c>
      <x:c r="E1703" s="3" t="str">
        <x:v>Fashion</x:v>
      </x:c>
      <x:c r="F1703" s="3" t="str">
        <x:v>Footwear</x:v>
      </x:c>
      <x:c r="G1703" s="3" t="str">
        <x:v>UrbanLoafers</x:v>
      </x:c>
      <x:c r="H1703" s="3" t="n">
        <x:v>4</x:v>
      </x:c>
      <x:c r="I1703" s="7" t="n">
        <x:v>3568.85</x:v>
      </x:c>
      <x:c r="J1703" s="9" t="n">
        <x:v>0.05</x:v>
      </x:c>
      <x:c r="K1703" s="7" t="n">
        <x:v>13561.63</x:v>
      </x:c>
      <x:c r="L1703" s="7" t="n">
        <x:v>5095.3</x:v>
      </x:c>
      <x:c r="M1703" s="3" t="str">
        <x:v>Net Banking</x:v>
      </x:c>
      <x:c r="N1703" s="3"/>
      <x:c r="O1703" s="3"/>
      <x:c r="P1703" s="3"/>
      <x:c r="Q1703" s="3"/>
    </x:row>
    <x:row r="1704" ht="21" customHeight="1">
      <x:c r="A1704" s="3" t="str">
        <x:v>ORD-100594</x:v>
      </x:c>
      <x:c r="B1704" s="5" t="n">
        <x:v>45756</x:v>
      </x:c>
      <x:c r="C1704" s="3" t="str">
        <x:v>CUST-00438</x:v>
      </x:c>
      <x:c r="D1704" s="3" t="str">
        <x:v>South</x:v>
      </x:c>
      <x:c r="E1704" s="3" t="str">
        <x:v>Fashion</x:v>
      </x:c>
      <x:c r="F1704" s="3" t="str">
        <x:v>Footwear</x:v>
      </x:c>
      <x:c r="G1704" s="3" t="str">
        <x:v>UrbanLoafers</x:v>
      </x:c>
      <x:c r="H1704" s="3" t="n">
        <x:v>1</x:v>
      </x:c>
      <x:c r="I1704" s="7" t="n">
        <x:v>3671.13</x:v>
      </x:c>
      <x:c r="J1704" s="9" t="n">
        <x:v>0.1</x:v>
      </x:c>
      <x:c r="K1704" s="7" t="n">
        <x:v>3304.02</x:v>
      </x:c>
      <x:c r="L1704" s="7" t="n">
        <x:v>1058.74</x:v>
      </x:c>
      <x:c r="M1704" s="3" t="str">
        <x:v>UPI</x:v>
      </x:c>
      <x:c r="N1704" s="3"/>
      <x:c r="O1704" s="3"/>
      <x:c r="P1704" s="3"/>
      <x:c r="Q1704" s="3"/>
    </x:row>
    <x:row r="1705" ht="21" customHeight="1">
      <x:c r="A1705" s="3" t="str">
        <x:v>ORD-100843</x:v>
      </x:c>
      <x:c r="B1705" s="5" t="n">
        <x:v>45756</x:v>
      </x:c>
      <x:c r="C1705" s="3" t="str">
        <x:v>CUST-00450</x:v>
      </x:c>
      <x:c r="D1705" s="3" t="str">
        <x:v>North</x:v>
      </x:c>
      <x:c r="E1705" s="3" t="str">
        <x:v>Fashion</x:v>
      </x:c>
      <x:c r="F1705" s="3" t="str">
        <x:v>Footwear</x:v>
      </x:c>
      <x:c r="G1705" s="3" t="str">
        <x:v>RunFlex Sneakers</x:v>
      </x:c>
      <x:c r="H1705" s="3" t="n">
        <x:v>2</x:v>
      </x:c>
      <x:c r="I1705" s="7" t="n">
        <x:v>3095</x:v>
      </x:c>
      <x:c r="J1705" s="9" t="n">
        <x:v>0.1</x:v>
      </x:c>
      <x:c r="K1705" s="7" t="n">
        <x:v>5571</x:v>
      </x:c>
      <x:c r="L1705" s="7" t="n">
        <x:v>1703.33</x:v>
      </x:c>
      <x:c r="M1705" s="3" t="str">
        <x:v>UPI</x:v>
      </x:c>
      <x:c r="N1705" s="3"/>
      <x:c r="O1705" s="3"/>
      <x:c r="P1705" s="3"/>
      <x:c r="Q1705" s="3"/>
    </x:row>
    <x:row r="1706" ht="21" customHeight="1">
      <x:c r="A1706" s="3" t="str">
        <x:v>ORD-101081</x:v>
      </x:c>
      <x:c r="B1706" s="5" t="n">
        <x:v>45756</x:v>
      </x:c>
      <x:c r="C1706" s="3" t="str">
        <x:v>CUST-00193</x:v>
      </x:c>
      <x:c r="D1706" s="3" t="str">
        <x:v>North</x:v>
      </x:c>
      <x:c r="E1706" s="3" t="str">
        <x:v>Beauty</x:v>
      </x:c>
      <x:c r="F1706" s="3" t="str">
        <x:v>Makeup</x:v>
      </x:c>
      <x:c r="G1706" s="3" t="str">
        <x:v>HD Foundation Kit</x:v>
      </x:c>
      <x:c r="H1706" s="3" t="n">
        <x:v>1</x:v>
      </x:c>
      <x:c r="I1706" s="7" t="n">
        <x:v>1485.21</x:v>
      </x:c>
      <x:c r="J1706" s="9" t="n">
        <x:v>0.05</x:v>
      </x:c>
      <x:c r="K1706" s="7" t="n">
        <x:v>1410.95</x:v>
      </x:c>
      <x:c r="L1706" s="7" t="n">
        <x:v>723.29</x:v>
      </x:c>
      <x:c r="M1706" s="3" t="str">
        <x:v>Credit Card</x:v>
      </x:c>
      <x:c r="N1706" s="3"/>
      <x:c r="O1706" s="3"/>
      <x:c r="P1706" s="3"/>
      <x:c r="Q1706" s="3"/>
    </x:row>
    <x:row r="1707" ht="21" customHeight="1">
      <x:c r="A1707" s="3" t="str">
        <x:v>ORD-101559</x:v>
      </x:c>
      <x:c r="B1707" s="5" t="n">
        <x:v>45756</x:v>
      </x:c>
      <x:c r="C1707" s="3" t="str">
        <x:v>CUST-00202</x:v>
      </x:c>
      <x:c r="D1707" s="3" t="str">
        <x:v>North</x:v>
      </x:c>
      <x:c r="E1707" s="3" t="str">
        <x:v>Electronics</x:v>
      </x:c>
      <x:c r="F1707" s="3" t="str">
        <x:v>Audio</x:v>
      </x:c>
      <x:c r="G1707" s="3" t="str">
        <x:v>SoundPods Pro</x:v>
      </x:c>
      <x:c r="H1707" s="3" t="n">
        <x:v>3</x:v>
      </x:c>
      <x:c r="I1707" s="7" t="n">
        <x:v>5017.82</x:v>
      </x:c>
      <x:c r="J1707" s="9" t="n">
        <x:v>0.15</x:v>
      </x:c>
      <x:c r="K1707" s="7" t="n">
        <x:v>12795.44</x:v>
      </x:c>
      <x:c r="L1707" s="7" t="n">
        <x:v>498.01</x:v>
      </x:c>
      <x:c r="M1707" s="3" t="str">
        <x:v>Credit Card</x:v>
      </x:c>
      <x:c r="N1707" s="3"/>
      <x:c r="O1707" s="3"/>
      <x:c r="P1707" s="3"/>
      <x:c r="Q1707" s="3"/>
    </x:row>
    <x:row r="1708" ht="21" customHeight="1">
      <x:c r="A1708" s="3" t="str">
        <x:v>ORD-101021</x:v>
      </x:c>
      <x:c r="B1708" s="5" t="n">
        <x:v>45757</x:v>
      </x:c>
      <x:c r="C1708" s="3" t="str">
        <x:v>CUST-00157</x:v>
      </x:c>
      <x:c r="D1708" s="3" t="str">
        <x:v>South</x:v>
      </x:c>
      <x:c r="E1708" s="3" t="str">
        <x:v>Beauty</x:v>
      </x:c>
      <x:c r="F1708" s="3" t="str">
        <x:v>Makeup</x:v>
      </x:c>
      <x:c r="G1708" s="3" t="str">
        <x:v>HD Foundation Kit</x:v>
      </x:c>
      <x:c r="H1708" s="3" t="n">
        <x:v>2</x:v>
      </x:c>
      <x:c r="I1708" s="7" t="n">
        <x:v>1560.5</x:v>
      </x:c>
      <x:c r="J1708" s="9" t="n">
        <x:v>0.05</x:v>
      </x:c>
      <x:c r="K1708" s="7" t="n">
        <x:v>2964.95</x:v>
      </x:c>
      <x:c r="L1708" s="7" t="n">
        <x:v>1398.01</x:v>
      </x:c>
      <x:c r="M1708" s="3" t="str">
        <x:v>UPI</x:v>
      </x:c>
      <x:c r="N1708" s="3"/>
      <x:c r="O1708" s="3"/>
      <x:c r="P1708" s="3"/>
      <x:c r="Q1708" s="3"/>
    </x:row>
    <x:row r="1709" ht="21" customHeight="1">
      <x:c r="A1709" s="3" t="str">
        <x:v>ORD-101208</x:v>
      </x:c>
      <x:c r="B1709" s="5" t="n">
        <x:v>45757</x:v>
      </x:c>
      <x:c r="C1709" s="3" t="str">
        <x:v>CUST-00127</x:v>
      </x:c>
      <x:c r="D1709" s="3" t="str">
        <x:v>West</x:v>
      </x:c>
      <x:c r="E1709" s="3" t="str">
        <x:v>Home &amp; Kitchen</x:v>
      </x:c>
      <x:c r="F1709" s="3" t="str">
        <x:v>Appliances</x:v>
      </x:c>
      <x:c r="G1709" s="3" t="str">
        <x:v>ColdBrew Coffee Maker</x:v>
      </x:c>
      <x:c r="H1709" s="3" t="n">
        <x:v>3</x:v>
      </x:c>
      <x:c r="I1709" s="7" t="n">
        <x:v>6647.47</x:v>
      </x:c>
      <x:c r="J1709" s="9" t="n">
        <x:v>0</x:v>
      </x:c>
      <x:c r="K1709" s="7" t="n">
        <x:v>19942.41</x:v>
      </x:c>
      <x:c r="L1709" s="7" t="n">
        <x:v>7070.31</x:v>
      </x:c>
      <x:c r="M1709" s="3" t="str">
        <x:v>UPI</x:v>
      </x:c>
      <x:c r="N1709" s="3"/>
      <x:c r="O1709" s="3"/>
      <x:c r="P1709" s="3"/>
      <x:c r="Q1709" s="3"/>
    </x:row>
    <x:row r="1710" ht="21" customHeight="1">
      <x:c r="A1710" s="3" t="str">
        <x:v>ORD-100455</x:v>
      </x:c>
      <x:c r="B1710" s="5" t="n">
        <x:v>45759</x:v>
      </x:c>
      <x:c r="C1710" s="3" t="str">
        <x:v>CUST-00066</x:v>
      </x:c>
      <x:c r="D1710" s="3" t="str">
        <x:v>South</x:v>
      </x:c>
      <x:c r="E1710" s="3" t="str">
        <x:v>Beauty</x:v>
      </x:c>
      <x:c r="F1710" s="3" t="str">
        <x:v>Skincare</x:v>
      </x:c>
      <x:c r="G1710" s="3" t="str">
        <x:v>Vitamin C Serum</x:v>
      </x:c>
      <x:c r="H1710" s="3" t="n">
        <x:v>2</x:v>
      </x:c>
      <x:c r="I1710" s="7" t="n">
        <x:v>869.54</x:v>
      </x:c>
      <x:c r="J1710" s="9" t="n">
        <x:v>0</x:v>
      </x:c>
      <x:c r="K1710" s="7" t="n">
        <x:v>1739.08</x:v>
      </x:c>
      <x:c r="L1710" s="7" t="n">
        <x:v>893.88</x:v>
      </x:c>
      <x:c r="M1710" s="3" t="str">
        <x:v>Debit Card</x:v>
      </x:c>
      <x:c r="N1710" s="3"/>
      <x:c r="O1710" s="3"/>
      <x:c r="P1710" s="3"/>
      <x:c r="Q1710" s="3"/>
    </x:row>
    <x:row r="1711" ht="21" customHeight="1">
      <x:c r="A1711" s="3" t="str">
        <x:v>ORD-100892</x:v>
      </x:c>
      <x:c r="B1711" s="5" t="n">
        <x:v>45759</x:v>
      </x:c>
      <x:c r="C1711" s="3" t="str">
        <x:v>CUST-00446</x:v>
      </x:c>
      <x:c r="D1711" s="3" t="str">
        <x:v>East</x:v>
      </x:c>
      <x:c r="E1711" s="3" t="str">
        <x:v>Home &amp; Kitchen</x:v>
      </x:c>
      <x:c r="F1711" s="3" t="str">
        <x:v>Decor</x:v>
      </x:c>
      <x:c r="G1711" s="3" t="str">
        <x:v>Ceramic Vase Set</x:v>
      </x:c>
      <x:c r="H1711" s="3" t="n">
        <x:v>1</x:v>
      </x:c>
      <x:c r="I1711" s="7" t="n">
        <x:v>1448.45</x:v>
      </x:c>
      <x:c r="J1711" s="9" t="n">
        <x:v>0.05</x:v>
      </x:c>
      <x:c r="K1711" s="7" t="n">
        <x:v>1376.03</x:v>
      </x:c>
      <x:c r="L1711" s="7" t="n">
        <x:v>380.12</x:v>
      </x:c>
      <x:c r="M1711" s="3" t="str">
        <x:v>Credit Card</x:v>
      </x:c>
      <x:c r="N1711" s="3"/>
      <x:c r="O1711" s="3"/>
      <x:c r="P1711" s="3"/>
      <x:c r="Q1711" s="3"/>
    </x:row>
    <x:row r="1712" ht="21" customHeight="1">
      <x:c r="A1712" s="3" t="str">
        <x:v>ORD-101149</x:v>
      </x:c>
      <x:c r="B1712" s="5" t="n">
        <x:v>45759</x:v>
      </x:c>
      <x:c r="C1712" s="3" t="str">
        <x:v>CUST-00341</x:v>
      </x:c>
      <x:c r="D1712" s="3" t="str">
        <x:v>East</x:v>
      </x:c>
      <x:c r="E1712" s="3" t="str">
        <x:v>Beauty</x:v>
      </x:c>
      <x:c r="F1712" s="3" t="str">
        <x:v>Skincare</x:v>
      </x:c>
      <x:c r="G1712" s="3" t="str">
        <x:v>HydraBoost Moisturizer</x:v>
      </x:c>
      <x:c r="H1712" s="3" t="n">
        <x:v>2</x:v>
      </x:c>
      <x:c r="I1712" s="7" t="n">
        <x:v>1143.78</x:v>
      </x:c>
      <x:c r="J1712" s="9" t="n">
        <x:v>0.15</x:v>
      </x:c>
      <x:c r="K1712" s="7" t="n">
        <x:v>1944.43</x:v>
      </x:c>
      <x:c r="L1712" s="7" t="n">
        <x:v>806.22</x:v>
      </x:c>
      <x:c r="M1712" s="3" t="str">
        <x:v>UPI</x:v>
      </x:c>
      <x:c r="N1712" s="3"/>
      <x:c r="O1712" s="3"/>
      <x:c r="P1712" s="3"/>
      <x:c r="Q1712" s="3"/>
    </x:row>
    <x:row r="1713" ht="21" customHeight="1">
      <x:c r="A1713" s="3" t="str">
        <x:v>ORD-101223</x:v>
      </x:c>
      <x:c r="B1713" s="5" t="n">
        <x:v>45759</x:v>
      </x:c>
      <x:c r="C1713" s="3" t="str">
        <x:v>CUST-00535</x:v>
      </x:c>
      <x:c r="D1713" s="3" t="str">
        <x:v>East</x:v>
      </x:c>
      <x:c r="E1713" s="3" t="str">
        <x:v>Beauty</x:v>
      </x:c>
      <x:c r="F1713" s="3" t="str">
        <x:v>Makeup</x:v>
      </x:c>
      <x:c r="G1713" s="3" t="str">
        <x:v>HD Foundation Kit</x:v>
      </x:c>
      <x:c r="H1713" s="3" t="n">
        <x:v>3</x:v>
      </x:c>
      <x:c r="I1713" s="7" t="n">
        <x:v>1548.51</x:v>
      </x:c>
      <x:c r="J1713" s="9" t="n">
        <x:v>0.1</x:v>
      </x:c>
      <x:c r="K1713" s="7" t="n">
        <x:v>4180.98</x:v>
      </x:c>
      <x:c r="L1713" s="7" t="n">
        <x:v>1866.14</x:v>
      </x:c>
      <x:c r="M1713" s="3" t="str">
        <x:v>Debit Card</x:v>
      </x:c>
      <x:c r="N1713" s="3"/>
      <x:c r="O1713" s="3"/>
      <x:c r="P1713" s="3"/>
      <x:c r="Q1713" s="3"/>
    </x:row>
    <x:row r="1714" ht="21" customHeight="1">
      <x:c r="A1714" s="3" t="str">
        <x:v>ORD-100270</x:v>
      </x:c>
      <x:c r="B1714" s="5" t="n">
        <x:v>45760</x:v>
      </x:c>
      <x:c r="C1714" s="3" t="str">
        <x:v>CUST-00185</x:v>
      </x:c>
      <x:c r="D1714" s="3" t="str">
        <x:v>West</x:v>
      </x:c>
      <x:c r="E1714" s="3" t="str">
        <x:v>Beauty</x:v>
      </x:c>
      <x:c r="F1714" s="3" t="str">
        <x:v>Skincare</x:v>
      </x:c>
      <x:c r="G1714" s="3" t="str">
        <x:v>HydraBoost Moisturizer</x:v>
      </x:c>
      <x:c r="H1714" s="3" t="n">
        <x:v>1</x:v>
      </x:c>
      <x:c r="I1714" s="7" t="n">
        <x:v>1243.46</x:v>
      </x:c>
      <x:c r="J1714" s="9" t="n">
        <x:v>0.05</x:v>
      </x:c>
      <x:c r="K1714" s="7" t="n">
        <x:v>1181.29</x:v>
      </x:c>
      <x:c r="L1714" s="7" t="n">
        <x:v>548.78</x:v>
      </x:c>
      <x:c r="M1714" s="3" t="str">
        <x:v>UPI</x:v>
      </x:c>
      <x:c r="N1714" s="3"/>
      <x:c r="O1714" s="3"/>
      <x:c r="P1714" s="3"/>
      <x:c r="Q1714" s="3"/>
    </x:row>
    <x:row r="1715" ht="21" customHeight="1">
      <x:c r="A1715" s="3" t="str">
        <x:v>ORD-100475</x:v>
      </x:c>
      <x:c r="B1715" s="5" t="n">
        <x:v>45760</x:v>
      </x:c>
      <x:c r="C1715" s="3" t="str">
        <x:v>CUST-00401</x:v>
      </x:c>
      <x:c r="D1715" s="3" t="str">
        <x:v>North</x:v>
      </x:c>
      <x:c r="E1715" s="3" t="str">
        <x:v>Home &amp; Kitchen</x:v>
      </x:c>
      <x:c r="F1715" s="3" t="str">
        <x:v>Decor</x:v>
      </x:c>
      <x:c r="G1715" s="3" t="str">
        <x:v>LED Wall Lamp</x:v>
      </x:c>
      <x:c r="H1715" s="3" t="n">
        <x:v>3</x:v>
      </x:c>
      <x:c r="I1715" s="7" t="n">
        <x:v>1029.85</x:v>
      </x:c>
      <x:c r="J1715" s="9" t="n">
        <x:v>0.25</x:v>
      </x:c>
      <x:c r="K1715" s="7" t="n">
        <x:v>2317.16</x:v>
      </x:c>
      <x:c r="L1715" s="7" t="n">
        <x:v>180.21</x:v>
      </x:c>
      <x:c r="M1715" s="3" t="str">
        <x:v>Net Banking</x:v>
      </x:c>
      <x:c r="N1715" s="3"/>
      <x:c r="O1715" s="3"/>
      <x:c r="P1715" s="3"/>
      <x:c r="Q1715" s="3"/>
    </x:row>
    <x:row r="1716" ht="21" customHeight="1">
      <x:c r="A1716" s="3" t="str">
        <x:v>ORD-100669</x:v>
      </x:c>
      <x:c r="B1716" s="5" t="n">
        <x:v>45760</x:v>
      </x:c>
      <x:c r="C1716" s="3" t="str">
        <x:v>CUST-00592</x:v>
      </x:c>
      <x:c r="D1716" s="3" t="str">
        <x:v>West</x:v>
      </x:c>
      <x:c r="E1716" s="3" t="str">
        <x:v>Beauty</x:v>
      </x:c>
      <x:c r="F1716" s="3" t="str">
        <x:v>Makeup</x:v>
      </x:c>
      <x:c r="G1716" s="3" t="str">
        <x:v>Matte Lipstick Set</x:v>
      </x:c>
      <x:c r="H1716" s="3" t="n">
        <x:v>1</x:v>
      </x:c>
      <x:c r="I1716" s="7" t="n">
        <x:v>1007.03</x:v>
      </x:c>
      <x:c r="J1716" s="9" t="n">
        <x:v>0.15</x:v>
      </x:c>
      <x:c r="K1716" s="7" t="n">
        <x:v>855.98</x:v>
      </x:c>
      <x:c r="L1716" s="7" t="n">
        <x:v>344.02</x:v>
      </x:c>
      <x:c r="M1716" s="3" t="str">
        <x:v>Debit Card</x:v>
      </x:c>
      <x:c r="N1716" s="3"/>
      <x:c r="O1716" s="3"/>
      <x:c r="P1716" s="3"/>
      <x:c r="Q1716" s="3"/>
    </x:row>
    <x:row r="1717" ht="21" customHeight="1">
      <x:c r="A1717" s="3" t="str">
        <x:v>ORD-101927</x:v>
      </x:c>
      <x:c r="B1717" s="5" t="n">
        <x:v>45761</x:v>
      </x:c>
      <x:c r="C1717" s="3" t="str">
        <x:v>CUST-00292</x:v>
      </x:c>
      <x:c r="D1717" s="3" t="str">
        <x:v>West</x:v>
      </x:c>
      <x:c r="E1717" s="3" t="str">
        <x:v>Beauty</x:v>
      </x:c>
      <x:c r="F1717" s="3" t="str">
        <x:v>Skincare</x:v>
      </x:c>
      <x:c r="G1717" s="3" t="str">
        <x:v>Vitamin C Serum</x:v>
      </x:c>
      <x:c r="H1717" s="3" t="n">
        <x:v>1</x:v>
      </x:c>
      <x:c r="I1717" s="7" t="n">
        <x:v>860.88</x:v>
      </x:c>
      <x:c r="J1717" s="9" t="n">
        <x:v>0</x:v>
      </x:c>
      <x:c r="K1717" s="7" t="n">
        <x:v>860.88</x:v>
      </x:c>
      <x:c r="L1717" s="7" t="n">
        <x:v>456.84</x:v>
      </x:c>
      <x:c r="M1717" s="3" t="str">
        <x:v>Debit Card</x:v>
      </x:c>
      <x:c r="N1717" s="3"/>
      <x:c r="O1717" s="3"/>
      <x:c r="P1717" s="3"/>
      <x:c r="Q1717" s="3"/>
    </x:row>
    <x:row r="1718" ht="21" customHeight="1">
      <x:c r="A1718" s="3" t="str">
        <x:v>ORD-100263</x:v>
      </x:c>
      <x:c r="B1718" s="5" t="n">
        <x:v>45762</x:v>
      </x:c>
      <x:c r="C1718" s="3" t="str">
        <x:v>CUST-00478</x:v>
      </x:c>
      <x:c r="D1718" s="3" t="str">
        <x:v>East</x:v>
      </x:c>
      <x:c r="E1718" s="3" t="str">
        <x:v>Fashion</x:v>
      </x:c>
      <x:c r="F1718" s="3" t="str">
        <x:v>Footwear</x:v>
      </x:c>
      <x:c r="G1718" s="3" t="str">
        <x:v>RunFlex Sneakers</x:v>
      </x:c>
      <x:c r="H1718" s="3" t="n">
        <x:v>1</x:v>
      </x:c>
      <x:c r="I1718" s="7" t="n">
        <x:v>3131.86</x:v>
      </x:c>
      <x:c r="J1718" s="9" t="n">
        <x:v>0.1</x:v>
      </x:c>
      <x:c r="K1718" s="7" t="n">
        <x:v>2818.67</x:v>
      </x:c>
      <x:c r="L1718" s="7" t="n">
        <x:v>907.67</x:v>
      </x:c>
      <x:c r="M1718" s="3" t="str">
        <x:v>UPI</x:v>
      </x:c>
      <x:c r="N1718" s="3"/>
      <x:c r="O1718" s="3"/>
      <x:c r="P1718" s="3"/>
      <x:c r="Q1718" s="3"/>
    </x:row>
    <x:row r="1719" ht="21" customHeight="1">
      <x:c r="A1719" s="3" t="str">
        <x:v>ORD-100712</x:v>
      </x:c>
      <x:c r="B1719" s="5" t="n">
        <x:v>45762</x:v>
      </x:c>
      <x:c r="C1719" s="3" t="str">
        <x:v>CUST-00181</x:v>
      </x:c>
      <x:c r="D1719" s="3" t="str">
        <x:v>South</x:v>
      </x:c>
      <x:c r="E1719" s="3" t="str">
        <x:v>Beauty</x:v>
      </x:c>
      <x:c r="F1719" s="3" t="str">
        <x:v>Makeup</x:v>
      </x:c>
      <x:c r="G1719" s="3" t="str">
        <x:v>Matte Lipstick Set</x:v>
      </x:c>
      <x:c r="H1719" s="3" t="n">
        <x:v>1</x:v>
      </x:c>
      <x:c r="I1719" s="7" t="n">
        <x:v>992.4</x:v>
      </x:c>
      <x:c r="J1719" s="9" t="n">
        <x:v>0.15</x:v>
      </x:c>
      <x:c r="K1719" s="7" t="n">
        <x:v>843.54</x:v>
      </x:c>
      <x:c r="L1719" s="7" t="n">
        <x:v>294.7</x:v>
      </x:c>
      <x:c r="M1719" s="3" t="str">
        <x:v>Credit Card</x:v>
      </x:c>
      <x:c r="N1719" s="3"/>
      <x:c r="O1719" s="3"/>
      <x:c r="P1719" s="3"/>
      <x:c r="Q1719" s="3"/>
    </x:row>
    <x:row r="1720" ht="21" customHeight="1">
      <x:c r="A1720" s="3" t="str">
        <x:v>ORD-100026</x:v>
      </x:c>
      <x:c r="B1720" s="5" t="n">
        <x:v>45763</x:v>
      </x:c>
      <x:c r="C1720" s="3" t="str">
        <x:v>CUST-00234</x:v>
      </x:c>
      <x:c r="D1720" s="3" t="str">
        <x:v>South</x:v>
      </x:c>
      <x:c r="E1720" s="3" t="str">
        <x:v>Sports</x:v>
      </x:c>
      <x:c r="F1720" s="3" t="str">
        <x:v>Fitness</x:v>
      </x:c>
      <x:c r="G1720" s="3" t="str">
        <x:v>Adjustable Dumbbell 24kg</x:v>
      </x:c>
      <x:c r="H1720" s="3" t="n">
        <x:v>1</x:v>
      </x:c>
      <x:c r="I1720" s="7" t="n">
        <x:v>9881.55</x:v>
      </x:c>
      <x:c r="J1720" s="9" t="n">
        <x:v>0.15</x:v>
      </x:c>
      <x:c r="K1720" s="7" t="n">
        <x:v>8399.32</x:v>
      </x:c>
      <x:c r="L1720" s="7" t="n">
        <x:v>1432.91</x:v>
      </x:c>
      <x:c r="M1720" s="3" t="str">
        <x:v>UPI</x:v>
      </x:c>
      <x:c r="N1720" s="3"/>
      <x:c r="O1720" s="3"/>
      <x:c r="P1720" s="3"/>
      <x:c r="Q1720" s="3"/>
    </x:row>
    <x:row r="1721" ht="21" customHeight="1">
      <x:c r="A1721" s="3" t="str">
        <x:v>ORD-101128</x:v>
      </x:c>
      <x:c r="B1721" s="5" t="n">
        <x:v>45763</x:v>
      </x:c>
      <x:c r="C1721" s="3" t="str">
        <x:v>CUST-00335</x:v>
      </x:c>
      <x:c r="D1721" s="3" t="str">
        <x:v>South</x:v>
      </x:c>
      <x:c r="E1721" s="3" t="str">
        <x:v>Fashion</x:v>
      </x:c>
      <x:c r="F1721" s="3" t="str">
        <x:v>Footwear</x:v>
      </x:c>
      <x:c r="G1721" s="3" t="str">
        <x:v>UrbanLoafers</x:v>
      </x:c>
      <x:c r="H1721" s="3" t="n">
        <x:v>1</x:v>
      </x:c>
      <x:c r="I1721" s="7" t="n">
        <x:v>3544.72</x:v>
      </x:c>
      <x:c r="J1721" s="9" t="n">
        <x:v>0.05</x:v>
      </x:c>
      <x:c r="K1721" s="7" t="n">
        <x:v>3367.48</x:v>
      </x:c>
      <x:c r="L1721" s="7" t="n">
        <x:v>1186.03</x:v>
      </x:c>
      <x:c r="M1721" s="3" t="str">
        <x:v>UPI</x:v>
      </x:c>
      <x:c r="N1721" s="3"/>
      <x:c r="O1721" s="3"/>
      <x:c r="P1721" s="3"/>
      <x:c r="Q1721" s="3"/>
    </x:row>
    <x:row r="1722" ht="21" customHeight="1">
      <x:c r="A1722" s="3" t="str">
        <x:v>ORD-101199</x:v>
      </x:c>
      <x:c r="B1722" s="5" t="n">
        <x:v>45763</x:v>
      </x:c>
      <x:c r="C1722" s="3" t="str">
        <x:v>CUST-00018</x:v>
      </x:c>
      <x:c r="D1722" s="3" t="str">
        <x:v>North</x:v>
      </x:c>
      <x:c r="E1722" s="3" t="str">
        <x:v>Beauty</x:v>
      </x:c>
      <x:c r="F1722" s="3" t="str">
        <x:v>Makeup</x:v>
      </x:c>
      <x:c r="G1722" s="3" t="str">
        <x:v>Matte Lipstick Set</x:v>
      </x:c>
      <x:c r="H1722" s="3" t="n">
        <x:v>2</x:v>
      </x:c>
      <x:c r="I1722" s="7" t="n">
        <x:v>995.98</x:v>
      </x:c>
      <x:c r="J1722" s="9" t="n">
        <x:v>0</x:v>
      </x:c>
      <x:c r="K1722" s="7" t="n">
        <x:v>1991.96</x:v>
      </x:c>
      <x:c r="L1722" s="7" t="n">
        <x:v>1080.72</x:v>
      </x:c>
      <x:c r="M1722" s="3" t="str">
        <x:v>Credit Card</x:v>
      </x:c>
      <x:c r="N1722" s="3"/>
      <x:c r="O1722" s="3"/>
      <x:c r="P1722" s="3"/>
      <x:c r="Q1722" s="3"/>
    </x:row>
    <x:row r="1723" ht="21" customHeight="1">
      <x:c r="A1723" s="3" t="str">
        <x:v>ORD-101286</x:v>
      </x:c>
      <x:c r="B1723" s="5" t="n">
        <x:v>45763</x:v>
      </x:c>
      <x:c r="C1723" s="3" t="str">
        <x:v>CUST-00143</x:v>
      </x:c>
      <x:c r="D1723" s="3" t="str">
        <x:v>North</x:v>
      </x:c>
      <x:c r="E1723" s="3" t="str">
        <x:v>Electronics</x:v>
      </x:c>
      <x:c r="F1723" s="3" t="str">
        <x:v>Audio</x:v>
      </x:c>
      <x:c r="G1723" s="3" t="str">
        <x:v>SoundPods Pro</x:v>
      </x:c>
      <x:c r="H1723" s="3" t="n">
        <x:v>1</x:v>
      </x:c>
      <x:c r="I1723" s="7" t="n">
        <x:v>4824.5</x:v>
      </x:c>
      <x:c r="J1723" s="9" t="n">
        <x:v>0</x:v>
      </x:c>
      <x:c r="K1723" s="7" t="n">
        <x:v>4824.5</x:v>
      </x:c>
      <x:c r="L1723" s="7" t="n">
        <x:v>734.01</x:v>
      </x:c>
      <x:c r="M1723" s="3" t="str">
        <x:v>UPI</x:v>
      </x:c>
      <x:c r="N1723" s="3"/>
      <x:c r="O1723" s="3"/>
      <x:c r="P1723" s="3"/>
      <x:c r="Q1723" s="3"/>
    </x:row>
    <x:row r="1724" ht="21" customHeight="1">
      <x:c r="A1724" s="3" t="str">
        <x:v>ORD-101752</x:v>
      </x:c>
      <x:c r="B1724" s="5" t="n">
        <x:v>45763</x:v>
      </x:c>
      <x:c r="C1724" s="3" t="str">
        <x:v>CUST-00192</x:v>
      </x:c>
      <x:c r="D1724" s="3" t="str">
        <x:v>South</x:v>
      </x:c>
      <x:c r="E1724" s="3" t="str">
        <x:v>Fashion</x:v>
      </x:c>
      <x:c r="F1724" s="3" t="str">
        <x:v>Footwear</x:v>
      </x:c>
      <x:c r="G1724" s="3" t="str">
        <x:v>UrbanLoafers</x:v>
      </x:c>
      <x:c r="H1724" s="3" t="n">
        <x:v>1</x:v>
      </x:c>
      <x:c r="I1724" s="7" t="n">
        <x:v>3627.97</x:v>
      </x:c>
      <x:c r="J1724" s="9" t="n">
        <x:v>0</x:v>
      </x:c>
      <x:c r="K1724" s="7" t="n">
        <x:v>3627.97</x:v>
      </x:c>
      <x:c r="L1724" s="7" t="n">
        <x:v>1646.1</x:v>
      </x:c>
      <x:c r="M1724" s="3" t="str">
        <x:v>Debit Card</x:v>
      </x:c>
      <x:c r="N1724" s="3"/>
      <x:c r="O1724" s="3"/>
      <x:c r="P1724" s="3"/>
      <x:c r="Q1724" s="3"/>
    </x:row>
    <x:row r="1725" ht="21" customHeight="1">
      <x:c r="A1725" s="3" t="str">
        <x:v>ORD-101844</x:v>
      </x:c>
      <x:c r="B1725" s="5" t="n">
        <x:v>45763</x:v>
      </x:c>
      <x:c r="C1725" s="3" t="str">
        <x:v>CUST-00420</x:v>
      </x:c>
      <x:c r="D1725" s="3" t="str">
        <x:v>South</x:v>
      </x:c>
      <x:c r="E1725" s="3" t="str">
        <x:v>Home &amp; Kitchen</x:v>
      </x:c>
      <x:c r="F1725" s="3" t="str">
        <x:v>Appliances</x:v>
      </x:c>
      <x:c r="G1725" s="3" t="str">
        <x:v>AirFryer Deluxe</x:v>
      </x:c>
      <x:c r="H1725" s="3" t="n">
        <x:v>5</x:v>
      </x:c>
      <x:c r="I1725" s="7" t="n">
        <x:v>8112.61</x:v>
      </x:c>
      <x:c r="J1725" s="9" t="n">
        <x:v>0</x:v>
      </x:c>
      <x:c r="K1725" s="7" t="n">
        <x:v>40563.05</x:v>
      </x:c>
      <x:c r="L1725" s="7" t="n">
        <x:v>14042.98</x:v>
      </x:c>
      <x:c r="M1725" s="3" t="str">
        <x:v>UPI</x:v>
      </x:c>
      <x:c r="N1725" s="3"/>
      <x:c r="O1725" s="3"/>
      <x:c r="P1725" s="3"/>
      <x:c r="Q1725" s="3"/>
    </x:row>
    <x:row r="1726" ht="21" customHeight="1">
      <x:c r="A1726" s="3" t="str">
        <x:v>ORD-100310</x:v>
      </x:c>
      <x:c r="B1726" s="5" t="n">
        <x:v>45764</x:v>
      </x:c>
      <x:c r="C1726" s="3" t="str">
        <x:v>CUST-00075</x:v>
      </x:c>
      <x:c r="D1726" s="3" t="str">
        <x:v>East</x:v>
      </x:c>
      <x:c r="E1726" s="3" t="str">
        <x:v>Fashion</x:v>
      </x:c>
      <x:c r="F1726" s="3" t="str">
        <x:v>Men</x:v>
      </x:c>
      <x:c r="G1726" s="3" t="str">
        <x:v>SlimFit Denim Jeans</x:v>
      </x:c>
      <x:c r="H1726" s="3" t="n">
        <x:v>1</x:v>
      </x:c>
      <x:c r="I1726" s="7" t="n">
        <x:v>1937.9</x:v>
      </x:c>
      <x:c r="J1726" s="9" t="n">
        <x:v>0.2</x:v>
      </x:c>
      <x:c r="K1726" s="7" t="n">
        <x:v>1550.32</x:v>
      </x:c>
      <x:c r="L1726" s="7" t="n">
        <x:v>255.04</x:v>
      </x:c>
      <x:c r="M1726" s="3" t="str">
        <x:v>Net Banking</x:v>
      </x:c>
      <x:c r="N1726" s="3"/>
      <x:c r="O1726" s="3"/>
      <x:c r="P1726" s="3"/>
      <x:c r="Q1726" s="3"/>
    </x:row>
    <x:row r="1727" ht="21" customHeight="1">
      <x:c r="A1727" s="3" t="str">
        <x:v>ORD-100618</x:v>
      </x:c>
      <x:c r="B1727" s="5" t="n">
        <x:v>45764</x:v>
      </x:c>
      <x:c r="C1727" s="3" t="str">
        <x:v>CUST-00088</x:v>
      </x:c>
      <x:c r="D1727" s="3" t="str">
        <x:v>East</x:v>
      </x:c>
      <x:c r="E1727" s="3" t="str">
        <x:v>Fashion</x:v>
      </x:c>
      <x:c r="F1727" s="3" t="str">
        <x:v>Women</x:v>
      </x:c>
      <x:c r="G1727" s="3" t="str">
        <x:v>Floral Summer Dress</x:v>
      </x:c>
      <x:c r="H1727" s="3" t="n">
        <x:v>1</x:v>
      </x:c>
      <x:c r="I1727" s="7" t="n">
        <x:v>1794.4</x:v>
      </x:c>
      <x:c r="J1727" s="9" t="n">
        <x:v>0.15</x:v>
      </x:c>
      <x:c r="K1727" s="7" t="n">
        <x:v>1525.24</x:v>
      </x:c>
      <x:c r="L1727" s="7" t="n">
        <x:v>379.43</x:v>
      </x:c>
      <x:c r="M1727" s="3" t="str">
        <x:v>Debit Card</x:v>
      </x:c>
      <x:c r="N1727" s="3"/>
      <x:c r="O1727" s="3"/>
      <x:c r="P1727" s="3"/>
      <x:c r="Q1727" s="3"/>
    </x:row>
    <x:row r="1728" ht="21" customHeight="1">
      <x:c r="A1728" s="3" t="str">
        <x:v>ORD-101624</x:v>
      </x:c>
      <x:c r="B1728" s="5" t="n">
        <x:v>45764</x:v>
      </x:c>
      <x:c r="C1728" s="3" t="str">
        <x:v>CUST-00393</x:v>
      </x:c>
      <x:c r="D1728" s="3" t="str">
        <x:v>North</x:v>
      </x:c>
      <x:c r="E1728" s="3" t="str">
        <x:v>Fashion</x:v>
      </x:c>
      <x:c r="F1728" s="3" t="str">
        <x:v>Men</x:v>
      </x:c>
      <x:c r="G1728" s="3" t="str">
        <x:v>Oxford Casual Shirt</x:v>
      </x:c>
      <x:c r="H1728" s="3" t="n">
        <x:v>2</x:v>
      </x:c>
      <x:c r="I1728" s="7" t="n">
        <x:v>1246.84</x:v>
      </x:c>
      <x:c r="J1728" s="9" t="n">
        <x:v>0.05</x:v>
      </x:c>
      <x:c r="K1728" s="7" t="n">
        <x:v>2369</x:v>
      </x:c>
      <x:c r="L1728" s="7" t="n">
        <x:v>832.66</x:v>
      </x:c>
      <x:c r="M1728" s="3" t="str">
        <x:v>Net Banking</x:v>
      </x:c>
      <x:c r="N1728" s="3"/>
      <x:c r="O1728" s="3"/>
      <x:c r="P1728" s="3"/>
      <x:c r="Q1728" s="3"/>
    </x:row>
    <x:row r="1729" ht="21" customHeight="1">
      <x:c r="A1729" s="3" t="str">
        <x:v>ORD-100061</x:v>
      </x:c>
      <x:c r="B1729" s="5" t="n">
        <x:v>45765</x:v>
      </x:c>
      <x:c r="C1729" s="3" t="str">
        <x:v>CUST-00193</x:v>
      </x:c>
      <x:c r="D1729" s="3" t="str">
        <x:v>South</x:v>
      </x:c>
      <x:c r="E1729" s="3" t="str">
        <x:v>Home &amp; Kitchen</x:v>
      </x:c>
      <x:c r="F1729" s="3" t="str">
        <x:v>Appliances</x:v>
      </x:c>
      <x:c r="G1729" s="3" t="str">
        <x:v>ColdBrew Coffee Maker</x:v>
      </x:c>
      <x:c r="H1729" s="3" t="n">
        <x:v>3</x:v>
      </x:c>
      <x:c r="I1729" s="7" t="n">
        <x:v>6469.64</x:v>
      </x:c>
      <x:c r="J1729" s="9" t="n">
        <x:v>0.1</x:v>
      </x:c>
      <x:c r="K1729" s="7" t="n">
        <x:v>17468.03</x:v>
      </x:c>
      <x:c r="L1729" s="7" t="n">
        <x:v>3496.42</x:v>
      </x:c>
      <x:c r="M1729" s="3" t="str">
        <x:v>Cash on Delivery</x:v>
      </x:c>
      <x:c r="N1729" s="3"/>
      <x:c r="O1729" s="3"/>
      <x:c r="P1729" s="3"/>
      <x:c r="Q1729" s="3"/>
    </x:row>
    <x:row r="1730" ht="21" customHeight="1">
      <x:c r="A1730" s="3" t="str">
        <x:v>ORD-100194</x:v>
      </x:c>
      <x:c r="B1730" s="5" t="n">
        <x:v>45765</x:v>
      </x:c>
      <x:c r="C1730" s="3" t="str">
        <x:v>CUST-00415</x:v>
      </x:c>
      <x:c r="D1730" s="3" t="str">
        <x:v>South</x:v>
      </x:c>
      <x:c r="E1730" s="3" t="str">
        <x:v>Electronics</x:v>
      </x:c>
      <x:c r="F1730" s="3" t="str">
        <x:v>Audio</x:v>
      </x:c>
      <x:c r="G1730" s="3" t="str">
        <x:v>SoundPods Pro</x:v>
      </x:c>
      <x:c r="H1730" s="3" t="n">
        <x:v>4</x:v>
      </x:c>
      <x:c r="I1730" s="7" t="n">
        <x:v>5007</x:v>
      </x:c>
      <x:c r="J1730" s="9" t="n">
        <x:v>0.15</x:v>
      </x:c>
      <x:c r="K1730" s="7" t="n">
        <x:v>17023.8</x:v>
      </x:c>
      <x:c r="L1730" s="7" t="n">
        <x:v>198.38</x:v>
      </x:c>
      <x:c r="M1730" s="3" t="str">
        <x:v>Credit Card</x:v>
      </x:c>
      <x:c r="N1730" s="3"/>
      <x:c r="O1730" s="3"/>
      <x:c r="P1730" s="3"/>
      <x:c r="Q1730" s="3"/>
    </x:row>
    <x:row r="1731" ht="21" customHeight="1">
      <x:c r="A1731" s="3" t="str">
        <x:v>ORD-101512</x:v>
      </x:c>
      <x:c r="B1731" s="5" t="n">
        <x:v>45765</x:v>
      </x:c>
      <x:c r="C1731" s="3" t="str">
        <x:v>CUST-00470</x:v>
      </x:c>
      <x:c r="D1731" s="3" t="str">
        <x:v>West</x:v>
      </x:c>
      <x:c r="E1731" s="3" t="str">
        <x:v>Home &amp; Kitchen</x:v>
      </x:c>
      <x:c r="F1731" s="3" t="str">
        <x:v>Decor</x:v>
      </x:c>
      <x:c r="G1731" s="3" t="str">
        <x:v>LED Wall Lamp</x:v>
      </x:c>
      <x:c r="H1731" s="3" t="n">
        <x:v>1</x:v>
      </x:c>
      <x:c r="I1731" s="7" t="n">
        <x:v>1029.24</x:v>
      </x:c>
      <x:c r="J1731" s="9" t="n">
        <x:v>0.05</x:v>
      </x:c>
      <x:c r="K1731" s="7" t="n">
        <x:v>977.78</x:v>
      </x:c>
      <x:c r="L1731" s="7" t="n">
        <x:v>290.07</x:v>
      </x:c>
      <x:c r="M1731" s="3" t="str">
        <x:v>UPI</x:v>
      </x:c>
      <x:c r="N1731" s="3"/>
      <x:c r="O1731" s="3"/>
      <x:c r="P1731" s="3"/>
      <x:c r="Q1731" s="3"/>
    </x:row>
    <x:row r="1732" ht="21" customHeight="1">
      <x:c r="A1732" s="3" t="str">
        <x:v>ORD-101625</x:v>
      </x:c>
      <x:c r="B1732" s="5" t="n">
        <x:v>45765</x:v>
      </x:c>
      <x:c r="C1732" s="3" t="str">
        <x:v>CUST-00038</x:v>
      </x:c>
      <x:c r="D1732" s="3" t="str">
        <x:v>East</x:v>
      </x:c>
      <x:c r="E1732" s="3" t="str">
        <x:v>Electronics</x:v>
      </x:c>
      <x:c r="F1732" s="3" t="str">
        <x:v>Mobile</x:v>
      </x:c>
      <x:c r="G1732" s="3" t="str">
        <x:v>Pixel Aura 12</x:v>
      </x:c>
      <x:c r="H1732" s="3" t="n">
        <x:v>3</x:v>
      </x:c>
      <x:c r="I1732" s="7" t="n">
        <x:v>33784.86</x:v>
      </x:c>
      <x:c r="J1732" s="9" t="n">
        <x:v>0.05</x:v>
      </x:c>
      <x:c r="K1732" s="7" t="n">
        <x:v>96286.85</x:v>
      </x:c>
      <x:c r="L1732" s="7" t="n">
        <x:v>15575.56</x:v>
      </x:c>
      <x:c r="M1732" s="3" t="str">
        <x:v>Credit Card</x:v>
      </x:c>
      <x:c r="N1732" s="3"/>
      <x:c r="O1732" s="3"/>
      <x:c r="P1732" s="3"/>
      <x:c r="Q1732" s="3"/>
    </x:row>
    <x:row r="1733" ht="21" customHeight="1">
      <x:c r="A1733" s="3" t="str">
        <x:v>ORD-100426</x:v>
      </x:c>
      <x:c r="B1733" s="5" t="n">
        <x:v>45766</x:v>
      </x:c>
      <x:c r="C1733" s="3" t="str">
        <x:v>CUST-00100</x:v>
      </x:c>
      <x:c r="D1733" s="3" t="str">
        <x:v>West</x:v>
      </x:c>
      <x:c r="E1733" s="3" t="str">
        <x:v>Sports</x:v>
      </x:c>
      <x:c r="F1733" s="3" t="str">
        <x:v>Outdoor</x:v>
      </x:c>
      <x:c r="G1733" s="3" t="str">
        <x:v>TrailHike Backpack 60L</x:v>
      </x:c>
      <x:c r="H1733" s="3" t="n">
        <x:v>1</x:v>
      </x:c>
      <x:c r="I1733" s="7" t="n">
        <x:v>3582.75</x:v>
      </x:c>
      <x:c r="J1733" s="9" t="n">
        <x:v>0.1</x:v>
      </x:c>
      <x:c r="K1733" s="7" t="n">
        <x:v>3224.47</x:v>
      </x:c>
      <x:c r="L1733" s="7" t="n">
        <x:v>909.15</x:v>
      </x:c>
      <x:c r="M1733" s="3" t="str">
        <x:v>UPI</x:v>
      </x:c>
      <x:c r="N1733" s="3"/>
      <x:c r="O1733" s="3"/>
      <x:c r="P1733" s="3"/>
      <x:c r="Q1733" s="3"/>
    </x:row>
    <x:row r="1734" ht="21" customHeight="1">
      <x:c r="A1734" s="3" t="str">
        <x:v>ORD-100826</x:v>
      </x:c>
      <x:c r="B1734" s="5" t="n">
        <x:v>45766</x:v>
      </x:c>
      <x:c r="C1734" s="3" t="str">
        <x:v>CUST-00582</x:v>
      </x:c>
      <x:c r="D1734" s="3" t="str">
        <x:v>East</x:v>
      </x:c>
      <x:c r="E1734" s="3" t="str">
        <x:v>Beauty</x:v>
      </x:c>
      <x:c r="F1734" s="3" t="str">
        <x:v>Skincare</x:v>
      </x:c>
      <x:c r="G1734" s="3" t="str">
        <x:v>Vitamin C Serum</x:v>
      </x:c>
      <x:c r="H1734" s="3" t="n">
        <x:v>1</x:v>
      </x:c>
      <x:c r="I1734" s="7" t="n">
        <x:v>893.07</x:v>
      </x:c>
      <x:c r="J1734" s="9" t="n">
        <x:v>0.2</x:v>
      </x:c>
      <x:c r="K1734" s="7" t="n">
        <x:v>714.46</x:v>
      </x:c>
      <x:c r="L1734" s="7" t="n">
        <x:v>224.49</x:v>
      </x:c>
      <x:c r="M1734" s="3" t="str">
        <x:v>Debit Card</x:v>
      </x:c>
      <x:c r="N1734" s="3"/>
      <x:c r="O1734" s="3"/>
      <x:c r="P1734" s="3"/>
      <x:c r="Q1734" s="3"/>
    </x:row>
    <x:row r="1735" ht="21" customHeight="1">
      <x:c r="A1735" s="3" t="str">
        <x:v>ORD-100885</x:v>
      </x:c>
      <x:c r="B1735" s="5" t="n">
        <x:v>45766</x:v>
      </x:c>
      <x:c r="C1735" s="3" t="str">
        <x:v>CUST-00093</x:v>
      </x:c>
      <x:c r="D1735" s="3" t="str">
        <x:v>West</x:v>
      </x:c>
      <x:c r="E1735" s="3" t="str">
        <x:v>Fashion</x:v>
      </x:c>
      <x:c r="F1735" s="3" t="str">
        <x:v>Footwear</x:v>
      </x:c>
      <x:c r="G1735" s="3" t="str">
        <x:v>RunFlex Sneakers</x:v>
      </x:c>
      <x:c r="H1735" s="3" t="n">
        <x:v>1</x:v>
      </x:c>
      <x:c r="I1735" s="7" t="n">
        <x:v>2884.35</x:v>
      </x:c>
      <x:c r="J1735" s="9" t="n">
        <x:v>0.1</x:v>
      </x:c>
      <x:c r="K1735" s="7" t="n">
        <x:v>2595.91</x:v>
      </x:c>
      <x:c r="L1735" s="7" t="n">
        <x:v>784.74</x:v>
      </x:c>
      <x:c r="M1735" s="3" t="str">
        <x:v>UPI</x:v>
      </x:c>
      <x:c r="N1735" s="3"/>
      <x:c r="O1735" s="3"/>
      <x:c r="P1735" s="3"/>
      <x:c r="Q1735" s="3"/>
    </x:row>
    <x:row r="1736" ht="21" customHeight="1">
      <x:c r="A1736" s="3" t="str">
        <x:v>ORD-101160</x:v>
      </x:c>
      <x:c r="B1736" s="5" t="n">
        <x:v>45766</x:v>
      </x:c>
      <x:c r="C1736" s="3" t="str">
        <x:v>CUST-00099</x:v>
      </x:c>
      <x:c r="D1736" s="3" t="str">
        <x:v>South</x:v>
      </x:c>
      <x:c r="E1736" s="3" t="str">
        <x:v>Sports</x:v>
      </x:c>
      <x:c r="F1736" s="3" t="str">
        <x:v>Outdoor</x:v>
      </x:c>
      <x:c r="G1736" s="3" t="str">
        <x:v>AllWeather Tent 4P</x:v>
      </x:c>
      <x:c r="H1736" s="3" t="n">
        <x:v>1</x:v>
      </x:c>
      <x:c r="I1736" s="7" t="n">
        <x:v>11942.5</x:v>
      </x:c>
      <x:c r="J1736" s="9" t="n">
        <x:v>0</x:v>
      </x:c>
      <x:c r="K1736" s="7" t="n">
        <x:v>11942.5</x:v>
      </x:c>
      <x:c r="L1736" s="7" t="n">
        <x:v>4064.01</x:v>
      </x:c>
      <x:c r="M1736" s="3" t="str">
        <x:v>Cash on Delivery</x:v>
      </x:c>
      <x:c r="N1736" s="3"/>
      <x:c r="O1736" s="3"/>
      <x:c r="P1736" s="3"/>
      <x:c r="Q1736" s="3"/>
    </x:row>
    <x:row r="1737" ht="21" customHeight="1">
      <x:c r="A1737" s="3" t="str">
        <x:v>ORD-101385</x:v>
      </x:c>
      <x:c r="B1737" s="5" t="n">
        <x:v>45766</x:v>
      </x:c>
      <x:c r="C1737" s="3" t="str">
        <x:v>CUST-00051</x:v>
      </x:c>
      <x:c r="D1737" s="3" t="str">
        <x:v>North</x:v>
      </x:c>
      <x:c r="E1737" s="3" t="str">
        <x:v>Home &amp; Kitchen</x:v>
      </x:c>
      <x:c r="F1737" s="3" t="str">
        <x:v>Appliances</x:v>
      </x:c>
      <x:c r="G1737" s="3" t="str">
        <x:v>ColdBrew Coffee Maker</x:v>
      </x:c>
      <x:c r="H1737" s="3" t="n">
        <x:v>1</x:v>
      </x:c>
      <x:c r="I1737" s="7" t="n">
        <x:v>6394.88</x:v>
      </x:c>
      <x:c r="J1737" s="9" t="n">
        <x:v>0.2</x:v>
      </x:c>
      <x:c r="K1737" s="7" t="n">
        <x:v>5115.9</x:v>
      </x:c>
      <x:c r="L1737" s="7" t="n">
        <x:v>486.24</x:v>
      </x:c>
      <x:c r="M1737" s="3" t="str">
        <x:v>Debit Card</x:v>
      </x:c>
      <x:c r="N1737" s="3"/>
      <x:c r="O1737" s="3"/>
      <x:c r="P1737" s="3"/>
      <x:c r="Q1737" s="3"/>
    </x:row>
    <x:row r="1738" ht="21" customHeight="1">
      <x:c r="A1738" s="3" t="str">
        <x:v>ORD-101453</x:v>
      </x:c>
      <x:c r="B1738" s="5" t="n">
        <x:v>45767</x:v>
      </x:c>
      <x:c r="C1738" s="3" t="str">
        <x:v>CUST-00113</x:v>
      </x:c>
      <x:c r="D1738" s="3" t="str">
        <x:v>South</x:v>
      </x:c>
      <x:c r="E1738" s="3" t="str">
        <x:v>Home &amp; Kitchen</x:v>
      </x:c>
      <x:c r="F1738" s="3" t="str">
        <x:v>Decor</x:v>
      </x:c>
      <x:c r="G1738" s="3" t="str">
        <x:v>Ceramic Vase Set</x:v>
      </x:c>
      <x:c r="H1738" s="3" t="n">
        <x:v>1</x:v>
      </x:c>
      <x:c r="I1738" s="7" t="n">
        <x:v>1534.84</x:v>
      </x:c>
      <x:c r="J1738" s="9" t="n">
        <x:v>0</x:v>
      </x:c>
      <x:c r="K1738" s="7" t="n">
        <x:v>1534.84</x:v>
      </x:c>
      <x:c r="L1738" s="7" t="n">
        <x:v>564.83</x:v>
      </x:c>
      <x:c r="M1738" s="3" t="str">
        <x:v>Credit Card</x:v>
      </x:c>
      <x:c r="N1738" s="3"/>
      <x:c r="O1738" s="3"/>
      <x:c r="P1738" s="3"/>
      <x:c r="Q1738" s="3"/>
    </x:row>
    <x:row r="1739" ht="21" customHeight="1">
      <x:c r="A1739" s="3" t="str">
        <x:v>ORD-101779</x:v>
      </x:c>
      <x:c r="B1739" s="5" t="n">
        <x:v>45767</x:v>
      </x:c>
      <x:c r="C1739" s="3" t="str">
        <x:v>CUST-00387</x:v>
      </x:c>
      <x:c r="D1739" s="3" t="str">
        <x:v>North</x:v>
      </x:c>
      <x:c r="E1739" s="3" t="str">
        <x:v>Home &amp; Kitchen</x:v>
      </x:c>
      <x:c r="F1739" s="3" t="str">
        <x:v>Furniture</x:v>
      </x:c>
      <x:c r="G1739" s="3" t="str">
        <x:v>ErgoComfort Chair</x:v>
      </x:c>
      <x:c r="H1739" s="3" t="n">
        <x:v>1</x:v>
      </x:c>
      <x:c r="I1739" s="7" t="n">
        <x:v>9097.44</x:v>
      </x:c>
      <x:c r="J1739" s="9" t="n">
        <x:v>0.05</x:v>
      </x:c>
      <x:c r="K1739" s="7" t="n">
        <x:v>8642.57</x:v>
      </x:c>
      <x:c r="L1739" s="7" t="n">
        <x:v>2373.51</x:v>
      </x:c>
      <x:c r="M1739" s="3" t="str">
        <x:v>Net Banking</x:v>
      </x:c>
      <x:c r="N1739" s="3"/>
      <x:c r="O1739" s="3"/>
      <x:c r="P1739" s="3"/>
      <x:c r="Q1739" s="3"/>
    </x:row>
    <x:row r="1740" ht="21" customHeight="1">
      <x:c r="A1740" s="3" t="str">
        <x:v>ORD-101867</x:v>
      </x:c>
      <x:c r="B1740" s="5" t="n">
        <x:v>45767</x:v>
      </x:c>
      <x:c r="C1740" s="3" t="str">
        <x:v>CUST-00030</x:v>
      </x:c>
      <x:c r="D1740" s="3" t="str">
        <x:v>West</x:v>
      </x:c>
      <x:c r="E1740" s="3" t="str">
        <x:v>Sports</x:v>
      </x:c>
      <x:c r="F1740" s="3" t="str">
        <x:v>Outdoor</x:v>
      </x:c>
      <x:c r="G1740" s="3" t="str">
        <x:v>TrailHike Backpack 60L</x:v>
      </x:c>
      <x:c r="H1740" s="3" t="n">
        <x:v>2</x:v>
      </x:c>
      <x:c r="I1740" s="7" t="n">
        <x:v>3449.8</x:v>
      </x:c>
      <x:c r="J1740" s="9" t="n">
        <x:v>0.25</x:v>
      </x:c>
      <x:c r="K1740" s="7" t="n">
        <x:v>5174.7</x:v>
      </x:c>
      <x:c r="L1740" s="7" t="n">
        <x:v>474.26</x:v>
      </x:c>
      <x:c r="M1740" s="3" t="str">
        <x:v>Credit Card</x:v>
      </x:c>
      <x:c r="N1740" s="3"/>
      <x:c r="O1740" s="3"/>
      <x:c r="P1740" s="3"/>
      <x:c r="Q1740" s="3"/>
    </x:row>
    <x:row r="1741" ht="21" customHeight="1">
      <x:c r="A1741" s="3" t="str">
        <x:v>ORD-101962</x:v>
      </x:c>
      <x:c r="B1741" s="5" t="n">
        <x:v>45767</x:v>
      </x:c>
      <x:c r="C1741" s="3" t="str">
        <x:v>CUST-00239</x:v>
      </x:c>
      <x:c r="D1741" s="3" t="str">
        <x:v>North</x:v>
      </x:c>
      <x:c r="E1741" s="3" t="str">
        <x:v>Home &amp; Kitchen</x:v>
      </x:c>
      <x:c r="F1741" s="3" t="str">
        <x:v>Decor</x:v>
      </x:c>
      <x:c r="G1741" s="3" t="str">
        <x:v>Ceramic Vase Set</x:v>
      </x:c>
      <x:c r="H1741" s="3" t="n">
        <x:v>2</x:v>
      </x:c>
      <x:c r="I1741" s="7" t="n">
        <x:v>1438.17</x:v>
      </x:c>
      <x:c r="J1741" s="9" t="n">
        <x:v>0.3</x:v>
      </x:c>
      <x:c r="K1741" s="7" t="n">
        <x:v>2013.44</x:v>
      </x:c>
      <x:c r="L1741" s="7" t="n">
        <x:v>-76.96</x:v>
      </x:c>
      <x:c r="M1741" s="3" t="str">
        <x:v>UPI</x:v>
      </x:c>
      <x:c r="N1741" s="3"/>
      <x:c r="O1741" s="3"/>
      <x:c r="P1741" s="3"/>
      <x:c r="Q1741" s="3"/>
    </x:row>
    <x:row r="1742" ht="21" customHeight="1">
      <x:c r="A1742" s="3" t="str">
        <x:v>ORD-100046</x:v>
      </x:c>
      <x:c r="B1742" s="5" t="n">
        <x:v>45768</x:v>
      </x:c>
      <x:c r="C1742" s="3" t="str">
        <x:v>CUST-00275</x:v>
      </x:c>
      <x:c r="D1742" s="3" t="str">
        <x:v>West</x:v>
      </x:c>
      <x:c r="E1742" s="3" t="str">
        <x:v>Sports</x:v>
      </x:c>
      <x:c r="F1742" s="3" t="str">
        <x:v>Fitness</x:v>
      </x:c>
      <x:c r="G1742" s="3" t="str">
        <x:v>Adjustable Dumbbell 24kg</x:v>
      </x:c>
      <x:c r="H1742" s="3" t="n">
        <x:v>1</x:v>
      </x:c>
      <x:c r="I1742" s="7" t="n">
        <x:v>10149.44</x:v>
      </x:c>
      <x:c r="J1742" s="9" t="n">
        <x:v>0.1</x:v>
      </x:c>
      <x:c r="K1742" s="7" t="n">
        <x:v>9134.5</x:v>
      </x:c>
      <x:c r="L1742" s="7" t="n">
        <x:v>2505.35</x:v>
      </x:c>
      <x:c r="M1742" s="3" t="str">
        <x:v>Debit Card</x:v>
      </x:c>
      <x:c r="N1742" s="3"/>
      <x:c r="O1742" s="3"/>
      <x:c r="P1742" s="3"/>
      <x:c r="Q1742" s="3"/>
    </x:row>
    <x:row r="1743" ht="21" customHeight="1">
      <x:c r="A1743" s="3" t="str">
        <x:v>ORD-100422</x:v>
      </x:c>
      <x:c r="B1743" s="5" t="n">
        <x:v>45768</x:v>
      </x:c>
      <x:c r="C1743" s="3" t="str">
        <x:v>CUST-00230</x:v>
      </x:c>
      <x:c r="D1743" s="3" t="str">
        <x:v>North</x:v>
      </x:c>
      <x:c r="E1743" s="3" t="str">
        <x:v>Beauty</x:v>
      </x:c>
      <x:c r="F1743" s="3" t="str">
        <x:v>Skincare</x:v>
      </x:c>
      <x:c r="G1743" s="3" t="str">
        <x:v>HydraBoost Moisturizer</x:v>
      </x:c>
      <x:c r="H1743" s="3" t="n">
        <x:v>2</x:v>
      </x:c>
      <x:c r="I1743" s="7" t="n">
        <x:v>1235.25</x:v>
      </x:c>
      <x:c r="J1743" s="9" t="n">
        <x:v>0</x:v>
      </x:c>
      <x:c r="K1743" s="7" t="n">
        <x:v>2470.5</x:v>
      </x:c>
      <x:c r="L1743" s="7" t="n">
        <x:v>1398.03</x:v>
      </x:c>
      <x:c r="M1743" s="3" t="str">
        <x:v>UPI</x:v>
      </x:c>
      <x:c r="N1743" s="3"/>
      <x:c r="O1743" s="3"/>
      <x:c r="P1743" s="3"/>
      <x:c r="Q1743" s="3"/>
    </x:row>
    <x:row r="1744" ht="21" customHeight="1">
      <x:c r="A1744" s="3" t="str">
        <x:v>ORD-100605</x:v>
      </x:c>
      <x:c r="B1744" s="5" t="n">
        <x:v>45769</x:v>
      </x:c>
      <x:c r="C1744" s="3" t="str">
        <x:v>CUST-00245</x:v>
      </x:c>
      <x:c r="D1744" s="3" t="str">
        <x:v>East</x:v>
      </x:c>
      <x:c r="E1744" s="3" t="str">
        <x:v>Sports</x:v>
      </x:c>
      <x:c r="F1744" s="3" t="str">
        <x:v>Outdoor</x:v>
      </x:c>
      <x:c r="G1744" s="3" t="str">
        <x:v>AllWeather Tent 4P</x:v>
      </x:c>
      <x:c r="H1744" s="3" t="n">
        <x:v>2</x:v>
      </x:c>
      <x:c r="I1744" s="7" t="n">
        <x:v>11593.77</x:v>
      </x:c>
      <x:c r="J1744" s="9" t="n">
        <x:v>0.05</x:v>
      </x:c>
      <x:c r="K1744" s="7" t="n">
        <x:v>22028.16</x:v>
      </x:c>
      <x:c r="L1744" s="7" t="n">
        <x:v>7023.55</x:v>
      </x:c>
      <x:c r="M1744" s="3" t="str">
        <x:v>UPI</x:v>
      </x:c>
      <x:c r="N1744" s="3"/>
      <x:c r="O1744" s="3"/>
      <x:c r="P1744" s="3"/>
      <x:c r="Q1744" s="3"/>
    </x:row>
    <x:row r="1745" ht="21" customHeight="1">
      <x:c r="A1745" s="3" t="str">
        <x:v>ORD-100614</x:v>
      </x:c>
      <x:c r="B1745" s="5" t="n">
        <x:v>45770</x:v>
      </x:c>
      <x:c r="C1745" s="3" t="str">
        <x:v>CUST-00377</x:v>
      </x:c>
      <x:c r="D1745" s="3" t="str">
        <x:v>East</x:v>
      </x:c>
      <x:c r="E1745" s="3" t="str">
        <x:v>Fashion</x:v>
      </x:c>
      <x:c r="F1745" s="3" t="str">
        <x:v>Men</x:v>
      </x:c>
      <x:c r="G1745" s="3" t="str">
        <x:v>Oxford Casual Shirt</x:v>
      </x:c>
      <x:c r="H1745" s="3" t="n">
        <x:v>1</x:v>
      </x:c>
      <x:c r="I1745" s="7" t="n">
        <x:v>1309.91</x:v>
      </x:c>
      <x:c r="J1745" s="9" t="n">
        <x:v>0.05</x:v>
      </x:c>
      <x:c r="K1745" s="7" t="n">
        <x:v>1244.41</x:v>
      </x:c>
      <x:c r="L1745" s="7" t="n">
        <x:v>447.64</x:v>
      </x:c>
      <x:c r="M1745" s="3" t="str">
        <x:v>Credit Card</x:v>
      </x:c>
      <x:c r="N1745" s="3"/>
      <x:c r="O1745" s="3"/>
      <x:c r="P1745" s="3"/>
      <x:c r="Q1745" s="3"/>
    </x:row>
    <x:row r="1746" ht="21" customHeight="1">
      <x:c r="A1746" s="3" t="str">
        <x:v>ORD-101506</x:v>
      </x:c>
      <x:c r="B1746" s="5" t="n">
        <x:v>45770</x:v>
      </x:c>
      <x:c r="C1746" s="3" t="str">
        <x:v>CUST-00420</x:v>
      </x:c>
      <x:c r="D1746" s="3" t="str">
        <x:v>East</x:v>
      </x:c>
      <x:c r="E1746" s="3" t="str">
        <x:v>Sports</x:v>
      </x:c>
      <x:c r="F1746" s="3" t="str">
        <x:v>Outdoor</x:v>
      </x:c>
      <x:c r="G1746" s="3" t="str">
        <x:v>TrailHike Backpack 60L</x:v>
      </x:c>
      <x:c r="H1746" s="3" t="n">
        <x:v>1</x:v>
      </x:c>
      <x:c r="I1746" s="7" t="n">
        <x:v>3512.38</x:v>
      </x:c>
      <x:c r="J1746" s="9" t="n">
        <x:v>0.2</x:v>
      </x:c>
      <x:c r="K1746" s="7" t="n">
        <x:v>2809.9</x:v>
      </x:c>
      <x:c r="L1746" s="7" t="n">
        <x:v>331.67</x:v>
      </x:c>
      <x:c r="M1746" s="3" t="str">
        <x:v>UPI</x:v>
      </x:c>
      <x:c r="N1746" s="3"/>
      <x:c r="O1746" s="3"/>
      <x:c r="P1746" s="3"/>
      <x:c r="Q1746" s="3"/>
    </x:row>
    <x:row r="1747" ht="21" customHeight="1">
      <x:c r="A1747" s="3" t="str">
        <x:v>ORD-101747</x:v>
      </x:c>
      <x:c r="B1747" s="5" t="n">
        <x:v>45770</x:v>
      </x:c>
      <x:c r="C1747" s="3" t="str">
        <x:v>CUST-00327</x:v>
      </x:c>
      <x:c r="D1747" s="3" t="str">
        <x:v>North</x:v>
      </x:c>
      <x:c r="E1747" s="3" t="str">
        <x:v>Sports</x:v>
      </x:c>
      <x:c r="F1747" s="3" t="str">
        <x:v>Outdoor</x:v>
      </x:c>
      <x:c r="G1747" s="3" t="str">
        <x:v>TrailHike Backpack 60L</x:v>
      </x:c>
      <x:c r="H1747" s="3" t="n">
        <x:v>2</x:v>
      </x:c>
      <x:c r="I1747" s="7" t="n">
        <x:v>3580.15</x:v>
      </x:c>
      <x:c r="J1747" s="9" t="n">
        <x:v>0.3</x:v>
      </x:c>
      <x:c r="K1747" s="7" t="n">
        <x:v>5012.21</x:v>
      </x:c>
      <x:c r="L1747" s="7" t="n">
        <x:v>121.44</x:v>
      </x:c>
      <x:c r="M1747" s="3" t="str">
        <x:v>Debit Card</x:v>
      </x:c>
      <x:c r="N1747" s="3"/>
      <x:c r="O1747" s="3"/>
      <x:c r="P1747" s="3"/>
      <x:c r="Q1747" s="3"/>
    </x:row>
    <x:row r="1748" ht="21" customHeight="1">
      <x:c r="A1748" s="3" t="str">
        <x:v>ORD-101976</x:v>
      </x:c>
      <x:c r="B1748" s="5" t="n">
        <x:v>45770</x:v>
      </x:c>
      <x:c r="C1748" s="3" t="str">
        <x:v>CUST-00400</x:v>
      </x:c>
      <x:c r="D1748" s="3" t="str">
        <x:v>East</x:v>
      </x:c>
      <x:c r="E1748" s="3" t="str">
        <x:v>Sports</x:v>
      </x:c>
      <x:c r="F1748" s="3" t="str">
        <x:v>Outdoor</x:v>
      </x:c>
      <x:c r="G1748" s="3" t="str">
        <x:v>TrailHike Backpack 60L</x:v>
      </x:c>
      <x:c r="H1748" s="3" t="n">
        <x:v>2</x:v>
      </x:c>
      <x:c r="I1748" s="7" t="n">
        <x:v>3329.58</x:v>
      </x:c>
      <x:c r="J1748" s="9" t="n">
        <x:v>0</x:v>
      </x:c>
      <x:c r="K1748" s="7" t="n">
        <x:v>6659.16</x:v>
      </x:c>
      <x:c r="L1748" s="7" t="n">
        <x:v>2342.47</x:v>
      </x:c>
      <x:c r="M1748" s="3" t="str">
        <x:v>Cash on Delivery</x:v>
      </x:c>
      <x:c r="N1748" s="3"/>
      <x:c r="O1748" s="3"/>
      <x:c r="P1748" s="3"/>
      <x:c r="Q1748" s="3"/>
    </x:row>
    <x:row r="1749" ht="21" customHeight="1">
      <x:c r="A1749" s="3" t="str">
        <x:v>ORD-100685</x:v>
      </x:c>
      <x:c r="B1749" s="5" t="n">
        <x:v>45771</x:v>
      </x:c>
      <x:c r="C1749" s="3" t="str">
        <x:v>CUST-00283</x:v>
      </x:c>
      <x:c r="D1749" s="3" t="str">
        <x:v>North</x:v>
      </x:c>
      <x:c r="E1749" s="3" t="str">
        <x:v>Electronics</x:v>
      </x:c>
      <x:c r="F1749" s="3" t="str">
        <x:v>Audio</x:v>
      </x:c>
      <x:c r="G1749" s="3" t="str">
        <x:v>BassBoom Speaker</x:v>
      </x:c>
      <x:c r="H1749" s="3" t="n">
        <x:v>2</x:v>
      </x:c>
      <x:c r="I1749" s="7" t="n">
        <x:v>9096.82</x:v>
      </x:c>
      <x:c r="J1749" s="9" t="n">
        <x:v>0</x:v>
      </x:c>
      <x:c r="K1749" s="7" t="n">
        <x:v>18193.64</x:v>
      </x:c>
      <x:c r="L1749" s="7" t="n">
        <x:v>3575.83</x:v>
      </x:c>
      <x:c r="M1749" s="3" t="str">
        <x:v>Cash on Delivery</x:v>
      </x:c>
      <x:c r="N1749" s="3"/>
      <x:c r="O1749" s="3"/>
      <x:c r="P1749" s="3"/>
      <x:c r="Q1749" s="3"/>
    </x:row>
    <x:row r="1750" ht="21" customHeight="1">
      <x:c r="A1750" s="3" t="str">
        <x:v>ORD-100729</x:v>
      </x:c>
      <x:c r="B1750" s="5" t="n">
        <x:v>45771</x:v>
      </x:c>
      <x:c r="C1750" s="3" t="str">
        <x:v>CUST-00415</x:v>
      </x:c>
      <x:c r="D1750" s="3" t="str">
        <x:v>West</x:v>
      </x:c>
      <x:c r="E1750" s="3" t="str">
        <x:v>Beauty</x:v>
      </x:c>
      <x:c r="F1750" s="3" t="str">
        <x:v>Makeup</x:v>
      </x:c>
      <x:c r="G1750" s="3" t="str">
        <x:v>Matte Lipstick Set</x:v>
      </x:c>
      <x:c r="H1750" s="3" t="n">
        <x:v>2</x:v>
      </x:c>
      <x:c r="I1750" s="7" t="n">
        <x:v>954.64</x:v>
      </x:c>
      <x:c r="J1750" s="9" t="n">
        <x:v>0.05</x:v>
      </x:c>
      <x:c r="K1750" s="7" t="n">
        <x:v>1813.82</x:v>
      </x:c>
      <x:c r="L1750" s="7" t="n">
        <x:v>877.68</x:v>
      </x:c>
      <x:c r="M1750" s="3" t="str">
        <x:v>Cash on Delivery</x:v>
      </x:c>
      <x:c r="N1750" s="3"/>
      <x:c r="O1750" s="3"/>
      <x:c r="P1750" s="3"/>
      <x:c r="Q1750" s="3"/>
    </x:row>
    <x:row r="1751" ht="21" customHeight="1">
      <x:c r="A1751" s="3" t="str">
        <x:v>ORD-100973</x:v>
      </x:c>
      <x:c r="B1751" s="5" t="n">
        <x:v>45771</x:v>
      </x:c>
      <x:c r="C1751" s="3" t="str">
        <x:v>CUST-00308</x:v>
      </x:c>
      <x:c r="D1751" s="3" t="str">
        <x:v>West</x:v>
      </x:c>
      <x:c r="E1751" s="3" t="str">
        <x:v>Fashion</x:v>
      </x:c>
      <x:c r="F1751" s="3" t="str">
        <x:v>Women</x:v>
      </x:c>
      <x:c r="G1751" s="3" t="str">
        <x:v>Floral Summer Dress</x:v>
      </x:c>
      <x:c r="H1751" s="3" t="n">
        <x:v>4</x:v>
      </x:c>
      <x:c r="I1751" s="7" t="n">
        <x:v>1762.39</x:v>
      </x:c>
      <x:c r="J1751" s="9" t="n">
        <x:v>0.25</x:v>
      </x:c>
      <x:c r="K1751" s="7" t="n">
        <x:v>5287.17</x:v>
      </x:c>
      <x:c r="L1751" s="7" t="n">
        <x:v>870.14</x:v>
      </x:c>
      <x:c r="M1751" s="3" t="str">
        <x:v>Net Banking</x:v>
      </x:c>
      <x:c r="N1751" s="3"/>
      <x:c r="O1751" s="3"/>
      <x:c r="P1751" s="3"/>
      <x:c r="Q1751" s="3"/>
    </x:row>
    <x:row r="1752" ht="21" customHeight="1">
      <x:c r="A1752" s="3" t="str">
        <x:v>ORD-101359</x:v>
      </x:c>
      <x:c r="B1752" s="5" t="n">
        <x:v>45772</x:v>
      </x:c>
      <x:c r="C1752" s="3" t="str">
        <x:v>CUST-00016</x:v>
      </x:c>
      <x:c r="D1752" s="3" t="str">
        <x:v>West</x:v>
      </x:c>
      <x:c r="E1752" s="3" t="str">
        <x:v>Fashion</x:v>
      </x:c>
      <x:c r="F1752" s="3" t="str">
        <x:v>Women</x:v>
      </x:c>
      <x:c r="G1752" s="3" t="str">
        <x:v>Floral Summer Dress</x:v>
      </x:c>
      <x:c r="H1752" s="3" t="n">
        <x:v>3</x:v>
      </x:c>
      <x:c r="I1752" s="7" t="n">
        <x:v>1727.14</x:v>
      </x:c>
      <x:c r="J1752" s="9" t="n">
        <x:v>0.1</x:v>
      </x:c>
      <x:c r="K1752" s="7" t="n">
        <x:v>4663.28</x:v>
      </x:c>
      <x:c r="L1752" s="7" t="n">
        <x:v>1464.87</x:v>
      </x:c>
      <x:c r="M1752" s="3" t="str">
        <x:v>Credit Card</x:v>
      </x:c>
      <x:c r="N1752" s="3"/>
      <x:c r="O1752" s="3"/>
      <x:c r="P1752" s="3"/>
      <x:c r="Q1752" s="3"/>
    </x:row>
    <x:row r="1753" ht="21" customHeight="1">
      <x:c r="A1753" s="3" t="str">
        <x:v>ORD-101401</x:v>
      </x:c>
      <x:c r="B1753" s="5" t="n">
        <x:v>45773</x:v>
      </x:c>
      <x:c r="C1753" s="3" t="str">
        <x:v>CUST-00097</x:v>
      </x:c>
      <x:c r="D1753" s="3" t="str">
        <x:v>East</x:v>
      </x:c>
      <x:c r="E1753" s="3" t="str">
        <x:v>Beauty</x:v>
      </x:c>
      <x:c r="F1753" s="3" t="str">
        <x:v>Makeup</x:v>
      </x:c>
      <x:c r="G1753" s="3" t="str">
        <x:v>HD Foundation Kit</x:v>
      </x:c>
      <x:c r="H1753" s="3" t="n">
        <x:v>2</x:v>
      </x:c>
      <x:c r="I1753" s="7" t="n">
        <x:v>1512.27</x:v>
      </x:c>
      <x:c r="J1753" s="9" t="n">
        <x:v>0</x:v>
      </x:c>
      <x:c r="K1753" s="7" t="n">
        <x:v>3024.54</x:v>
      </x:c>
      <x:c r="L1753" s="7" t="n">
        <x:v>1618.24</x:v>
      </x:c>
      <x:c r="M1753" s="3" t="str">
        <x:v>Credit Card</x:v>
      </x:c>
      <x:c r="N1753" s="3"/>
      <x:c r="O1753" s="3"/>
      <x:c r="P1753" s="3"/>
      <x:c r="Q1753" s="3"/>
    </x:row>
    <x:row r="1754" ht="21" customHeight="1">
      <x:c r="A1754" s="3" t="str">
        <x:v>ORD-101713</x:v>
      </x:c>
      <x:c r="B1754" s="5" t="n">
        <x:v>45773</x:v>
      </x:c>
      <x:c r="C1754" s="3" t="str">
        <x:v>CUST-00554</x:v>
      </x:c>
      <x:c r="D1754" s="3" t="str">
        <x:v>South</x:v>
      </x:c>
      <x:c r="E1754" s="3" t="str">
        <x:v>Electronics</x:v>
      </x:c>
      <x:c r="F1754" s="3" t="str">
        <x:v>Laptop</x:v>
      </x:c>
      <x:c r="G1754" s="3" t="str">
        <x:v>ThinkPro 14</x:v>
      </x:c>
      <x:c r="H1754" s="3" t="n">
        <x:v>1</x:v>
      </x:c>
      <x:c r="I1754" s="7" t="n">
        <x:v>53371.72</x:v>
      </x:c>
      <x:c r="J1754" s="9" t="n">
        <x:v>0</x:v>
      </x:c>
      <x:c r="K1754" s="7" t="n">
        <x:v>53371.72</x:v>
      </x:c>
      <x:c r="L1754" s="7" t="n">
        <x:v>10937.05</x:v>
      </x:c>
      <x:c r="M1754" s="3" t="str">
        <x:v>UPI</x:v>
      </x:c>
      <x:c r="N1754" s="3"/>
      <x:c r="O1754" s="3"/>
      <x:c r="P1754" s="3"/>
      <x:c r="Q1754" s="3"/>
    </x:row>
    <x:row r="1755" ht="21" customHeight="1">
      <x:c r="A1755" s="3" t="str">
        <x:v>ORD-101721</x:v>
      </x:c>
      <x:c r="B1755" s="5" t="n">
        <x:v>45773</x:v>
      </x:c>
      <x:c r="C1755" s="3" t="str">
        <x:v>CUST-00079</x:v>
      </x:c>
      <x:c r="D1755" s="3" t="str">
        <x:v>East</x:v>
      </x:c>
      <x:c r="E1755" s="3" t="str">
        <x:v>Home &amp; Kitchen</x:v>
      </x:c>
      <x:c r="F1755" s="3" t="str">
        <x:v>Decor</x:v>
      </x:c>
      <x:c r="G1755" s="3" t="str">
        <x:v>LED Wall Lamp</x:v>
      </x:c>
      <x:c r="H1755" s="3" t="n">
        <x:v>1</x:v>
      </x:c>
      <x:c r="I1755" s="7" t="n">
        <x:v>1002.45</x:v>
      </x:c>
      <x:c r="J1755" s="9" t="n">
        <x:v>0.15</x:v>
      </x:c>
      <x:c r="K1755" s="7" t="n">
        <x:v>852.08</x:v>
      </x:c>
      <x:c r="L1755" s="7" t="n">
        <x:v>159.15</x:v>
      </x:c>
      <x:c r="M1755" s="3" t="str">
        <x:v>UPI</x:v>
      </x:c>
      <x:c r="N1755" s="3"/>
      <x:c r="O1755" s="3"/>
      <x:c r="P1755" s="3"/>
      <x:c r="Q1755" s="3"/>
    </x:row>
    <x:row r="1756" ht="21" customHeight="1">
      <x:c r="A1756" s="3" t="str">
        <x:v>ORD-100078</x:v>
      </x:c>
      <x:c r="B1756" s="5" t="n">
        <x:v>45774</x:v>
      </x:c>
      <x:c r="C1756" s="3" t="str">
        <x:v>CUST-00575</x:v>
      </x:c>
      <x:c r="D1756" s="3" t="str">
        <x:v>West</x:v>
      </x:c>
      <x:c r="E1756" s="3" t="str">
        <x:v>Electronics</x:v>
      </x:c>
      <x:c r="F1756" s="3" t="str">
        <x:v>Laptop</x:v>
      </x:c>
      <x:c r="G1756" s="3" t="str">
        <x:v>ThinkPro 14</x:v>
      </x:c>
      <x:c r="H1756" s="3" t="n">
        <x:v>1</x:v>
      </x:c>
      <x:c r="I1756" s="7" t="n">
        <x:v>55946.86</x:v>
      </x:c>
      <x:c r="J1756" s="9" t="n">
        <x:v>0.1</x:v>
      </x:c>
      <x:c r="K1756" s="7" t="n">
        <x:v>50352.17</x:v>
      </x:c>
      <x:c r="L1756" s="7" t="n">
        <x:v>3613.51</x:v>
      </x:c>
      <x:c r="M1756" s="3" t="str">
        <x:v>Cash on Delivery</x:v>
      </x:c>
      <x:c r="N1756" s="3"/>
      <x:c r="O1756" s="3"/>
      <x:c r="P1756" s="3"/>
      <x:c r="Q1756" s="3"/>
    </x:row>
    <x:row r="1757" ht="21" customHeight="1">
      <x:c r="A1757" s="3" t="str">
        <x:v>ORD-100552</x:v>
      </x:c>
      <x:c r="B1757" s="5" t="n">
        <x:v>45774</x:v>
      </x:c>
      <x:c r="C1757" s="3" t="str">
        <x:v>CUST-00461</x:v>
      </x:c>
      <x:c r="D1757" s="3" t="str">
        <x:v>North</x:v>
      </x:c>
      <x:c r="E1757" s="3" t="str">
        <x:v>Fashion</x:v>
      </x:c>
      <x:c r="F1757" s="3" t="str">
        <x:v>Women</x:v>
      </x:c>
      <x:c r="G1757" s="3" t="str">
        <x:v>Floral Summer Dress</x:v>
      </x:c>
      <x:c r="H1757" s="3" t="n">
        <x:v>1</x:v>
      </x:c>
      <x:c r="I1757" s="7" t="n">
        <x:v>1735.7</x:v>
      </x:c>
      <x:c r="J1757" s="9" t="n">
        <x:v>0.15</x:v>
      </x:c>
      <x:c r="K1757" s="7" t="n">
        <x:v>1475.35</x:v>
      </x:c>
      <x:c r="L1757" s="7" t="n">
        <x:v>355.93</x:v>
      </x:c>
      <x:c r="M1757" s="3" t="str">
        <x:v>Net Banking</x:v>
      </x:c>
      <x:c r="N1757" s="3"/>
      <x:c r="O1757" s="3"/>
      <x:c r="P1757" s="3"/>
      <x:c r="Q1757" s="3"/>
    </x:row>
    <x:row r="1758" ht="21" customHeight="1">
      <x:c r="A1758" s="3" t="str">
        <x:v>ORD-101272</x:v>
      </x:c>
      <x:c r="B1758" s="5" t="n">
        <x:v>45774</x:v>
      </x:c>
      <x:c r="C1758" s="3" t="str">
        <x:v>CUST-00090</x:v>
      </x:c>
      <x:c r="D1758" s="3" t="str">
        <x:v>South</x:v>
      </x:c>
      <x:c r="E1758" s="3" t="str">
        <x:v>Electronics</x:v>
      </x:c>
      <x:c r="F1758" s="3" t="str">
        <x:v>Audio</x:v>
      </x:c>
      <x:c r="G1758" s="3" t="str">
        <x:v>SoundPods Pro</x:v>
      </x:c>
      <x:c r="H1758" s="3" t="n">
        <x:v>1</x:v>
      </x:c>
      <x:c r="I1758" s="7" t="n">
        <x:v>4851.01</x:v>
      </x:c>
      <x:c r="J1758" s="9" t="n">
        <x:v>0.05</x:v>
      </x:c>
      <x:c r="K1758" s="7" t="n">
        <x:v>4608.46</x:v>
      </x:c>
      <x:c r="L1758" s="7" t="n">
        <x:v>583.98</x:v>
      </x:c>
      <x:c r="M1758" s="3" t="str">
        <x:v>Credit Card</x:v>
      </x:c>
      <x:c r="N1758" s="3"/>
      <x:c r="O1758" s="3"/>
      <x:c r="P1758" s="3"/>
      <x:c r="Q1758" s="3"/>
    </x:row>
    <x:row r="1759" ht="21" customHeight="1">
      <x:c r="A1759" s="3" t="str">
        <x:v>ORD-101552</x:v>
      </x:c>
      <x:c r="B1759" s="5" t="n">
        <x:v>45774</x:v>
      </x:c>
      <x:c r="C1759" s="3" t="str">
        <x:v>CUST-00468</x:v>
      </x:c>
      <x:c r="D1759" s="3" t="str">
        <x:v>West</x:v>
      </x:c>
      <x:c r="E1759" s="3" t="str">
        <x:v>Electronics</x:v>
      </x:c>
      <x:c r="F1759" s="3" t="str">
        <x:v>Laptop</x:v>
      </x:c>
      <x:c r="G1759" s="3" t="str">
        <x:v>AirBook Slim</x:v>
      </x:c>
      <x:c r="H1759" s="3" t="n">
        <x:v>1</x:v>
      </x:c>
      <x:c r="I1759" s="7" t="n">
        <x:v>79895.2</x:v>
      </x:c>
      <x:c r="J1759" s="9" t="n">
        <x:v>0.3</x:v>
      </x:c>
      <x:c r="K1759" s="7" t="n">
        <x:v>55926.64</x:v>
      </x:c>
      <x:c r="L1759" s="7" t="n">
        <x:v>-8511.92</x:v>
      </x:c>
      <x:c r="M1759" s="3" t="str">
        <x:v>Net Banking</x:v>
      </x:c>
      <x:c r="N1759" s="3"/>
      <x:c r="O1759" s="3"/>
      <x:c r="P1759" s="3"/>
      <x:c r="Q1759" s="3"/>
    </x:row>
    <x:row r="1760" ht="21" customHeight="1">
      <x:c r="A1760" s="3" t="str">
        <x:v>ORD-101694</x:v>
      </x:c>
      <x:c r="B1760" s="5" t="n">
        <x:v>45774</x:v>
      </x:c>
      <x:c r="C1760" s="3" t="str">
        <x:v>CUST-00006</x:v>
      </x:c>
      <x:c r="D1760" s="3" t="str">
        <x:v>East</x:v>
      </x:c>
      <x:c r="E1760" s="3" t="str">
        <x:v>Electronics</x:v>
      </x:c>
      <x:c r="F1760" s="3" t="str">
        <x:v>Audio</x:v>
      </x:c>
      <x:c r="G1760" s="3" t="str">
        <x:v>SoundPods Pro</x:v>
      </x:c>
      <x:c r="H1760" s="3" t="n">
        <x:v>3</x:v>
      </x:c>
      <x:c r="I1760" s="7" t="n">
        <x:v>5159.98</x:v>
      </x:c>
      <x:c r="J1760" s="9" t="n">
        <x:v>0.1</x:v>
      </x:c>
      <x:c r="K1760" s="7" t="n">
        <x:v>13931.95</x:v>
      </x:c>
      <x:c r="L1760" s="7" t="n">
        <x:v>432.27</x:v>
      </x:c>
      <x:c r="M1760" s="3" t="str">
        <x:v>UPI</x:v>
      </x:c>
      <x:c r="N1760" s="3"/>
      <x:c r="O1760" s="3"/>
      <x:c r="P1760" s="3"/>
      <x:c r="Q1760" s="3"/>
    </x:row>
    <x:row r="1761" ht="21" customHeight="1">
      <x:c r="A1761" s="3" t="str">
        <x:v>ORD-100158</x:v>
      </x:c>
      <x:c r="B1761" s="5" t="n">
        <x:v>45775</x:v>
      </x:c>
      <x:c r="C1761" s="3" t="str">
        <x:v>CUST-00419</x:v>
      </x:c>
      <x:c r="D1761" s="3" t="str">
        <x:v>West</x:v>
      </x:c>
      <x:c r="E1761" s="3" t="str">
        <x:v>Home &amp; Kitchen</x:v>
      </x:c>
      <x:c r="F1761" s="3" t="str">
        <x:v>Furniture</x:v>
      </x:c>
      <x:c r="G1761" s="3" t="str">
        <x:v>Oakwood Study Desk</x:v>
      </x:c>
      <x:c r="H1761" s="3" t="n">
        <x:v>2</x:v>
      </x:c>
      <x:c r="I1761" s="7" t="n">
        <x:v>12796.9</x:v>
      </x:c>
      <x:c r="J1761" s="9" t="n">
        <x:v>0</x:v>
      </x:c>
      <x:c r="K1761" s="7" t="n">
        <x:v>25593.8</x:v>
      </x:c>
      <x:c r="L1761" s="7" t="n">
        <x:v>7552.75</x:v>
      </x:c>
      <x:c r="M1761" s="3" t="str">
        <x:v>Cash on Delivery</x:v>
      </x:c>
      <x:c r="N1761" s="3"/>
      <x:c r="O1761" s="3"/>
      <x:c r="P1761" s="3"/>
      <x:c r="Q1761" s="3"/>
    </x:row>
    <x:row r="1762" ht="21" customHeight="1">
      <x:c r="A1762" s="3" t="str">
        <x:v>ORD-100784</x:v>
      </x:c>
      <x:c r="B1762" s="5" t="n">
        <x:v>45775</x:v>
      </x:c>
      <x:c r="C1762" s="3" t="str">
        <x:v>CUST-00018</x:v>
      </x:c>
      <x:c r="D1762" s="3" t="str">
        <x:v>North</x:v>
      </x:c>
      <x:c r="E1762" s="3" t="str">
        <x:v>Electronics</x:v>
      </x:c>
      <x:c r="F1762" s="3" t="str">
        <x:v>Mobile</x:v>
      </x:c>
      <x:c r="G1762" s="3" t="str">
        <x:v>iPhone Zeta</x:v>
      </x:c>
      <x:c r="H1762" s="3" t="n">
        <x:v>2</x:v>
      </x:c>
      <x:c r="I1762" s="7" t="n">
        <x:v>68964.02</x:v>
      </x:c>
      <x:c r="J1762" s="9" t="n">
        <x:v>0</x:v>
      </x:c>
      <x:c r="K1762" s="7" t="n">
        <x:v>137928.04</x:v>
      </x:c>
      <x:c r="L1762" s="7" t="n">
        <x:v>24538.28</x:v>
      </x:c>
      <x:c r="M1762" s="3" t="str">
        <x:v>Net Banking</x:v>
      </x:c>
      <x:c r="N1762" s="3"/>
      <x:c r="O1762" s="3"/>
      <x:c r="P1762" s="3"/>
      <x:c r="Q1762" s="3"/>
    </x:row>
    <x:row r="1763" ht="21" customHeight="1">
      <x:c r="A1763" s="3" t="str">
        <x:v>ORD-101526</x:v>
      </x:c>
      <x:c r="B1763" s="5" t="n">
        <x:v>45775</x:v>
      </x:c>
      <x:c r="C1763" s="3" t="str">
        <x:v>CUST-00147</x:v>
      </x:c>
      <x:c r="D1763" s="3" t="str">
        <x:v>West</x:v>
      </x:c>
      <x:c r="E1763" s="3" t="str">
        <x:v>Beauty</x:v>
      </x:c>
      <x:c r="F1763" s="3" t="str">
        <x:v>Skincare</x:v>
      </x:c>
      <x:c r="G1763" s="3" t="str">
        <x:v>Vitamin C Serum</x:v>
      </x:c>
      <x:c r="H1763" s="3" t="n">
        <x:v>2</x:v>
      </x:c>
      <x:c r="I1763" s="7" t="n">
        <x:v>913.24</x:v>
      </x:c>
      <x:c r="J1763" s="9" t="n">
        <x:v>0.05</x:v>
      </x:c>
      <x:c r="K1763" s="7" t="n">
        <x:v>1735.16</x:v>
      </x:c>
      <x:c r="L1763" s="7" t="n">
        <x:v>916.55</x:v>
      </x:c>
      <x:c r="M1763" s="3" t="str">
        <x:v>UPI</x:v>
      </x:c>
      <x:c r="N1763" s="3"/>
      <x:c r="O1763" s="3"/>
      <x:c r="P1763" s="3"/>
      <x:c r="Q1763" s="3"/>
    </x:row>
    <x:row r="1764" ht="21" customHeight="1">
      <x:c r="A1764" s="3" t="str">
        <x:v>ORD-101700</x:v>
      </x:c>
      <x:c r="B1764" s="5" t="n">
        <x:v>45775</x:v>
      </x:c>
      <x:c r="C1764" s="3" t="str">
        <x:v>CUST-00136</x:v>
      </x:c>
      <x:c r="D1764" s="3" t="str">
        <x:v>South</x:v>
      </x:c>
      <x:c r="E1764" s="3" t="str">
        <x:v>Beauty</x:v>
      </x:c>
      <x:c r="F1764" s="3" t="str">
        <x:v>Skincare</x:v>
      </x:c>
      <x:c r="G1764" s="3" t="str">
        <x:v>HydraBoost Moisturizer</x:v>
      </x:c>
      <x:c r="H1764" s="3" t="n">
        <x:v>4</x:v>
      </x:c>
      <x:c r="I1764" s="7" t="n">
        <x:v>1225.29</x:v>
      </x:c>
      <x:c r="J1764" s="9" t="n">
        <x:v>0.1</x:v>
      </x:c>
      <x:c r="K1764" s="7" t="n">
        <x:v>4411.04</x:v>
      </x:c>
      <x:c r="L1764" s="7" t="n">
        <x:v>2054.51</x:v>
      </x:c>
      <x:c r="M1764" s="3" t="str">
        <x:v>UPI</x:v>
      </x:c>
      <x:c r="N1764" s="3"/>
      <x:c r="O1764" s="3"/>
      <x:c r="P1764" s="3"/>
      <x:c r="Q1764" s="3"/>
    </x:row>
    <x:row r="1765" ht="21" customHeight="1">
      <x:c r="A1765" s="3" t="str">
        <x:v>ORD-100049</x:v>
      </x:c>
      <x:c r="B1765" s="5" t="n">
        <x:v>45776</x:v>
      </x:c>
      <x:c r="C1765" s="3" t="str">
        <x:v>CUST-00353</x:v>
      </x:c>
      <x:c r="D1765" s="3" t="str">
        <x:v>South</x:v>
      </x:c>
      <x:c r="E1765" s="3" t="str">
        <x:v>Sports</x:v>
      </x:c>
      <x:c r="F1765" s="3" t="str">
        <x:v>Outdoor</x:v>
      </x:c>
      <x:c r="G1765" s="3" t="str">
        <x:v>AllWeather Tent 4P</x:v>
      </x:c>
      <x:c r="H1765" s="3" t="n">
        <x:v>3</x:v>
      </x:c>
      <x:c r="I1765" s="7" t="n">
        <x:v>11664.94</x:v>
      </x:c>
      <x:c r="J1765" s="9" t="n">
        <x:v>0</x:v>
      </x:c>
      <x:c r="K1765" s="7" t="n">
        <x:v>34994.82</x:v>
      </x:c>
      <x:c r="L1765" s="7" t="n">
        <x:v>13834.96</x:v>
      </x:c>
      <x:c r="M1765" s="3" t="str">
        <x:v>Credit Card</x:v>
      </x:c>
      <x:c r="N1765" s="3"/>
      <x:c r="O1765" s="3"/>
      <x:c r="P1765" s="3"/>
      <x:c r="Q1765" s="3"/>
    </x:row>
    <x:row r="1766" ht="21" customHeight="1">
      <x:c r="A1766" s="3" t="str">
        <x:v>ORD-100119</x:v>
      </x:c>
      <x:c r="B1766" s="5" t="n">
        <x:v>45776</x:v>
      </x:c>
      <x:c r="C1766" s="3" t="str">
        <x:v>CUST-00196</x:v>
      </x:c>
      <x:c r="D1766" s="3" t="str">
        <x:v>South</x:v>
      </x:c>
      <x:c r="E1766" s="3" t="str">
        <x:v>Electronics</x:v>
      </x:c>
      <x:c r="F1766" s="3" t="str">
        <x:v>Audio</x:v>
      </x:c>
      <x:c r="G1766" s="3" t="str">
        <x:v>BassBoom Speaker</x:v>
      </x:c>
      <x:c r="H1766" s="3" t="n">
        <x:v>1</x:v>
      </x:c>
      <x:c r="I1766" s="7" t="n">
        <x:v>9260.97</x:v>
      </x:c>
      <x:c r="J1766" s="9" t="n">
        <x:v>0</x:v>
      </x:c>
      <x:c r="K1766" s="7" t="n">
        <x:v>9260.97</x:v>
      </x:c>
      <x:c r="L1766" s="7" t="n">
        <x:v>1952.8</x:v>
      </x:c>
      <x:c r="M1766" s="3" t="str">
        <x:v>UPI</x:v>
      </x:c>
      <x:c r="N1766" s="3"/>
      <x:c r="O1766" s="3"/>
      <x:c r="P1766" s="3"/>
      <x:c r="Q1766" s="3"/>
    </x:row>
    <x:row r="1767" ht="21" customHeight="1">
      <x:c r="A1767" s="3" t="str">
        <x:v>ORD-100255</x:v>
      </x:c>
      <x:c r="B1767" s="5" t="n">
        <x:v>45776</x:v>
      </x:c>
      <x:c r="C1767" s="3" t="str">
        <x:v>CUST-00283</x:v>
      </x:c>
      <x:c r="D1767" s="3" t="str">
        <x:v>South</x:v>
      </x:c>
      <x:c r="E1767" s="3" t="str">
        <x:v>Beauty</x:v>
      </x:c>
      <x:c r="F1767" s="3" t="str">
        <x:v>Skincare</x:v>
      </x:c>
      <x:c r="G1767" s="3" t="str">
        <x:v>Vitamin C Serum</x:v>
      </x:c>
      <x:c r="H1767" s="3" t="n">
        <x:v>2</x:v>
      </x:c>
      <x:c r="I1767" s="7" t="n">
        <x:v>879.77</x:v>
      </x:c>
      <x:c r="J1767" s="9" t="n">
        <x:v>0</x:v>
      </x:c>
      <x:c r="K1767" s="7" t="n">
        <x:v>1759.54</x:v>
      </x:c>
      <x:c r="L1767" s="7" t="n">
        <x:v>972.76</x:v>
      </x:c>
      <x:c r="M1767" s="3" t="str">
        <x:v>UPI</x:v>
      </x:c>
      <x:c r="N1767" s="3"/>
      <x:c r="O1767" s="3"/>
      <x:c r="P1767" s="3"/>
      <x:c r="Q1767" s="3"/>
    </x:row>
    <x:row r="1768" ht="21" customHeight="1">
      <x:c r="A1768" s="3" t="str">
        <x:v>ORD-100350</x:v>
      </x:c>
      <x:c r="B1768" s="5" t="n">
        <x:v>45776</x:v>
      </x:c>
      <x:c r="C1768" s="3" t="str">
        <x:v>CUST-00027</x:v>
      </x:c>
      <x:c r="D1768" s="3" t="str">
        <x:v>North</x:v>
      </x:c>
      <x:c r="E1768" s="3" t="str">
        <x:v>Fashion</x:v>
      </x:c>
      <x:c r="F1768" s="3" t="str">
        <x:v>Footwear</x:v>
      </x:c>
      <x:c r="G1768" s="3" t="str">
        <x:v>RunFlex Sneakers</x:v>
      </x:c>
      <x:c r="H1768" s="3" t="n">
        <x:v>2</x:v>
      </x:c>
      <x:c r="I1768" s="7" t="n">
        <x:v>3059.19</x:v>
      </x:c>
      <x:c r="J1768" s="9" t="n">
        <x:v>0.25</x:v>
      </x:c>
      <x:c r="K1768" s="7" t="n">
        <x:v>4588.78</x:v>
      </x:c>
      <x:c r="L1768" s="7" t="n">
        <x:v>453.85</x:v>
      </x:c>
      <x:c r="M1768" s="3" t="str">
        <x:v>UPI</x:v>
      </x:c>
      <x:c r="N1768" s="3"/>
      <x:c r="O1768" s="3"/>
      <x:c r="P1768" s="3"/>
      <x:c r="Q1768" s="3"/>
    </x:row>
    <x:row r="1769" ht="21" customHeight="1">
      <x:c r="A1769" s="3" t="str">
        <x:v>ORD-101225</x:v>
      </x:c>
      <x:c r="B1769" s="5" t="n">
        <x:v>45776</x:v>
      </x:c>
      <x:c r="C1769" s="3" t="str">
        <x:v>CUST-00121</x:v>
      </x:c>
      <x:c r="D1769" s="3" t="str">
        <x:v>East</x:v>
      </x:c>
      <x:c r="E1769" s="3" t="str">
        <x:v>Home &amp; Kitchen</x:v>
      </x:c>
      <x:c r="F1769" s="3" t="str">
        <x:v>Furniture</x:v>
      </x:c>
      <x:c r="G1769" s="3" t="str">
        <x:v>ErgoComfort Chair</x:v>
      </x:c>
      <x:c r="H1769" s="3" t="n">
        <x:v>1</x:v>
      </x:c>
      <x:c r="I1769" s="7" t="n">
        <x:v>9392.73</x:v>
      </x:c>
      <x:c r="J1769" s="9" t="n">
        <x:v>0.1</x:v>
      </x:c>
      <x:c r="K1769" s="7" t="n">
        <x:v>8453.46</x:v>
      </x:c>
      <x:c r="L1769" s="7" t="n">
        <x:v>1755.15</x:v>
      </x:c>
      <x:c r="M1769" s="3" t="str">
        <x:v>Cash on Delivery</x:v>
      </x:c>
      <x:c r="N1769" s="3"/>
      <x:c r="O1769" s="3"/>
      <x:c r="P1769" s="3"/>
      <x:c r="Q1769" s="3"/>
    </x:row>
    <x:row r="1770" ht="21" customHeight="1">
      <x:c r="A1770" s="3" t="str">
        <x:v>ORD-101724</x:v>
      </x:c>
      <x:c r="B1770" s="5" t="n">
        <x:v>45776</x:v>
      </x:c>
      <x:c r="C1770" s="3" t="str">
        <x:v>CUST-00292</x:v>
      </x:c>
      <x:c r="D1770" s="3" t="str">
        <x:v>North</x:v>
      </x:c>
      <x:c r="E1770" s="3" t="str">
        <x:v>Home &amp; Kitchen</x:v>
      </x:c>
      <x:c r="F1770" s="3" t="str">
        <x:v>Decor</x:v>
      </x:c>
      <x:c r="G1770" s="3" t="str">
        <x:v>LED Wall Lamp</x:v>
      </x:c>
      <x:c r="H1770" s="3" t="n">
        <x:v>2</x:v>
      </x:c>
      <x:c r="I1770" s="7" t="n">
        <x:v>1015.62</x:v>
      </x:c>
      <x:c r="J1770" s="9" t="n">
        <x:v>0</x:v>
      </x:c>
      <x:c r="K1770" s="7" t="n">
        <x:v>2031.24</x:v>
      </x:c>
      <x:c r="L1770" s="7" t="n">
        <x:v>738.86</x:v>
      </x:c>
      <x:c r="M1770" s="3" t="str">
        <x:v>Credit Card</x:v>
      </x:c>
      <x:c r="N1770" s="3"/>
      <x:c r="O1770" s="3"/>
      <x:c r="P1770" s="3"/>
      <x:c r="Q1770" s="3"/>
    </x:row>
    <x:row r="1771" ht="21" customHeight="1">
      <x:c r="A1771" s="3" t="str">
        <x:v>ORD-101831</x:v>
      </x:c>
      <x:c r="B1771" s="5" t="n">
        <x:v>45776</x:v>
      </x:c>
      <x:c r="C1771" s="3" t="str">
        <x:v>CUST-00249</x:v>
      </x:c>
      <x:c r="D1771" s="3" t="str">
        <x:v>East</x:v>
      </x:c>
      <x:c r="E1771" s="3" t="str">
        <x:v>Fashion</x:v>
      </x:c>
      <x:c r="F1771" s="3" t="str">
        <x:v>Women</x:v>
      </x:c>
      <x:c r="G1771" s="3" t="str">
        <x:v>Knit Winter Sweater</x:v>
      </x:c>
      <x:c r="H1771" s="3" t="n">
        <x:v>1</x:v>
      </x:c>
      <x:c r="I1771" s="7" t="n">
        <x:v>2252.97</x:v>
      </x:c>
      <x:c r="J1771" s="9" t="n">
        <x:v>0</x:v>
      </x:c>
      <x:c r="K1771" s="7" t="n">
        <x:v>2252.97</x:v>
      </x:c>
      <x:c r="L1771" s="7" t="n">
        <x:v>987.64</x:v>
      </x:c>
      <x:c r="M1771" s="3" t="str">
        <x:v>UPI</x:v>
      </x:c>
      <x:c r="N1771" s="3"/>
      <x:c r="O1771" s="3"/>
      <x:c r="P1771" s="3"/>
      <x:c r="Q1771" s="3"/>
    </x:row>
    <x:row r="1772" ht="21" customHeight="1">
      <x:c r="A1772" s="3" t="str">
        <x:v>ORD-100088</x:v>
      </x:c>
      <x:c r="B1772" s="5" t="n">
        <x:v>45777</x:v>
      </x:c>
      <x:c r="C1772" s="3" t="str">
        <x:v>CUST-00088</x:v>
      </x:c>
      <x:c r="D1772" s="3" t="str">
        <x:v>North</x:v>
      </x:c>
      <x:c r="E1772" s="3" t="str">
        <x:v>Sports</x:v>
      </x:c>
      <x:c r="F1772" s="3" t="str">
        <x:v>Outdoor</x:v>
      </x:c>
      <x:c r="G1772" s="3" t="str">
        <x:v>AllWeather Tent 4P</x:v>
      </x:c>
      <x:c r="H1772" s="3" t="n">
        <x:v>1</x:v>
      </x:c>
      <x:c r="I1772" s="7" t="n">
        <x:v>11774.08</x:v>
      </x:c>
      <x:c r="J1772" s="9" t="n">
        <x:v>0.15</x:v>
      </x:c>
      <x:c r="K1772" s="7" t="n">
        <x:v>10007.97</x:v>
      </x:c>
      <x:c r="L1772" s="7" t="n">
        <x:v>1926.55</x:v>
      </x:c>
      <x:c r="M1772" s="3" t="str">
        <x:v>Cash on Delivery</x:v>
      </x:c>
      <x:c r="N1772" s="3"/>
      <x:c r="O1772" s="3"/>
      <x:c r="P1772" s="3"/>
      <x:c r="Q1772" s="3"/>
    </x:row>
    <x:row r="1773" ht="21" customHeight="1">
      <x:c r="A1773" s="3" t="str">
        <x:v>ORD-100612</x:v>
      </x:c>
      <x:c r="B1773" s="5" t="n">
        <x:v>45777</x:v>
      </x:c>
      <x:c r="C1773" s="3" t="str">
        <x:v>CUST-00411</x:v>
      </x:c>
      <x:c r="D1773" s="3" t="str">
        <x:v>South</x:v>
      </x:c>
      <x:c r="E1773" s="3" t="str">
        <x:v>Beauty</x:v>
      </x:c>
      <x:c r="F1773" s="3" t="str">
        <x:v>Makeup</x:v>
      </x:c>
      <x:c r="G1773" s="3" t="str">
        <x:v>HD Foundation Kit</x:v>
      </x:c>
      <x:c r="H1773" s="3" t="n">
        <x:v>1</x:v>
      </x:c>
      <x:c r="I1773" s="7" t="n">
        <x:v>1530.85</x:v>
      </x:c>
      <x:c r="J1773" s="9" t="n">
        <x:v>0</x:v>
      </x:c>
      <x:c r="K1773" s="7" t="n">
        <x:v>1530.85</x:v>
      </x:c>
      <x:c r="L1773" s="7" t="n">
        <x:v>845.09</x:v>
      </x:c>
      <x:c r="M1773" s="3" t="str">
        <x:v>Cash on Delivery</x:v>
      </x:c>
      <x:c r="N1773" s="3"/>
      <x:c r="O1773" s="3"/>
      <x:c r="P1773" s="3"/>
      <x:c r="Q1773" s="3"/>
    </x:row>
    <x:row r="1774" ht="21" customHeight="1">
      <x:c r="A1774" s="3" t="str">
        <x:v>ORD-100800</x:v>
      </x:c>
      <x:c r="B1774" s="5" t="n">
        <x:v>45777</x:v>
      </x:c>
      <x:c r="C1774" s="3" t="str">
        <x:v>CUST-00518</x:v>
      </x:c>
      <x:c r="D1774" s="3" t="str">
        <x:v>North</x:v>
      </x:c>
      <x:c r="E1774" s="3" t="str">
        <x:v>Electronics</x:v>
      </x:c>
      <x:c r="F1774" s="3" t="str">
        <x:v>Laptop</x:v>
      </x:c>
      <x:c r="G1774" s="3" t="str">
        <x:v>ThinkPro 14</x:v>
      </x:c>
      <x:c r="H1774" s="3" t="n">
        <x:v>1</x:v>
      </x:c>
      <x:c r="I1774" s="7" t="n">
        <x:v>55569.84</x:v>
      </x:c>
      <x:c r="J1774" s="9" t="n">
        <x:v>0</x:v>
      </x:c>
      <x:c r="K1774" s="7" t="n">
        <x:v>55569.84</x:v>
      </x:c>
      <x:c r="L1774" s="7" t="n">
        <x:v>8317.85</x:v>
      </x:c>
      <x:c r="M1774" s="3" t="str">
        <x:v>UPI</x:v>
      </x:c>
      <x:c r="N1774" s="3"/>
      <x:c r="O1774" s="3"/>
      <x:c r="P1774" s="3"/>
      <x:c r="Q1774" s="3"/>
    </x:row>
    <x:row r="1775" ht="21" customHeight="1">
      <x:c r="A1775" s="3" t="str">
        <x:v>ORD-101336</x:v>
      </x:c>
      <x:c r="B1775" s="5" t="n">
        <x:v>45777</x:v>
      </x:c>
      <x:c r="C1775" s="3" t="str">
        <x:v>CUST-00138</x:v>
      </x:c>
      <x:c r="D1775" s="3" t="str">
        <x:v>West</x:v>
      </x:c>
      <x:c r="E1775" s="3" t="str">
        <x:v>Electronics</x:v>
      </x:c>
      <x:c r="F1775" s="3" t="str">
        <x:v>Audio</x:v>
      </x:c>
      <x:c r="G1775" s="3" t="str">
        <x:v>BassBoom Speaker</x:v>
      </x:c>
      <x:c r="H1775" s="3" t="n">
        <x:v>1</x:v>
      </x:c>
      <x:c r="I1775" s="7" t="n">
        <x:v>8706.45</x:v>
      </x:c>
      <x:c r="J1775" s="9" t="n">
        <x:v>0</x:v>
      </x:c>
      <x:c r="K1775" s="7" t="n">
        <x:v>8706.45</x:v>
      </x:c>
      <x:c r="L1775" s="7" t="n">
        <x:v>1423.76</x:v>
      </x:c>
      <x:c r="M1775" s="3" t="str">
        <x:v>Debit Card</x:v>
      </x:c>
      <x:c r="N1775" s="3"/>
      <x:c r="O1775" s="3"/>
      <x:c r="P1775" s="3"/>
      <x:c r="Q1775" s="3"/>
    </x:row>
    <x:row r="1776" ht="21" customHeight="1">
      <x:c r="A1776" s="3" t="str">
        <x:v>ORD-101375</x:v>
      </x:c>
      <x:c r="B1776" s="5" t="n">
        <x:v>45777</x:v>
      </x:c>
      <x:c r="C1776" s="3" t="str">
        <x:v>CUST-00319</x:v>
      </x:c>
      <x:c r="D1776" s="3" t="str">
        <x:v>South</x:v>
      </x:c>
      <x:c r="E1776" s="3" t="str">
        <x:v>Home &amp; Kitchen</x:v>
      </x:c>
      <x:c r="F1776" s="3" t="str">
        <x:v>Decor</x:v>
      </x:c>
      <x:c r="G1776" s="3" t="str">
        <x:v>Ceramic Vase Set</x:v>
      </x:c>
      <x:c r="H1776" s="3" t="n">
        <x:v>1</x:v>
      </x:c>
      <x:c r="I1776" s="7" t="n">
        <x:v>1567.85</x:v>
      </x:c>
      <x:c r="J1776" s="9" t="n">
        <x:v>0.15</x:v>
      </x:c>
      <x:c r="K1776" s="7" t="n">
        <x:v>1332.67</x:v>
      </x:c>
      <x:c r="L1776" s="7" t="n">
        <x:v>241.14</x:v>
      </x:c>
      <x:c r="M1776" s="3" t="str">
        <x:v>UPI</x:v>
      </x:c>
      <x:c r="N1776" s="3"/>
      <x:c r="O1776" s="3"/>
      <x:c r="P1776" s="3"/>
      <x:c r="Q1776" s="3"/>
    </x:row>
    <x:row r="1777" ht="21" customHeight="1">
      <x:c r="A1777" s="3" t="str">
        <x:v>ORD-101516</x:v>
      </x:c>
      <x:c r="B1777" s="5" t="n">
        <x:v>45777</x:v>
      </x:c>
      <x:c r="C1777" s="3" t="str">
        <x:v>CUST-00109</x:v>
      </x:c>
      <x:c r="D1777" s="3" t="str">
        <x:v>West</x:v>
      </x:c>
      <x:c r="E1777" s="3" t="str">
        <x:v>Fashion</x:v>
      </x:c>
      <x:c r="F1777" s="3" t="str">
        <x:v>Men</x:v>
      </x:c>
      <x:c r="G1777" s="3" t="str">
        <x:v>SlimFit Denim Jeans</x:v>
      </x:c>
      <x:c r="H1777" s="3" t="n">
        <x:v>3</x:v>
      </x:c>
      <x:c r="I1777" s="7" t="n">
        <x:v>1964.99</x:v>
      </x:c>
      <x:c r="J1777" s="9" t="n">
        <x:v>0.15</x:v>
      </x:c>
      <x:c r="K1777" s="7" t="n">
        <x:v>5010.72</x:v>
      </x:c>
      <x:c r="L1777" s="7" t="n">
        <x:v>1162.03</x:v>
      </x:c>
      <x:c r="M1777" s="3" t="str">
        <x:v>Credit Card</x:v>
      </x:c>
      <x:c r="N1777" s="3"/>
      <x:c r="O1777" s="3"/>
      <x:c r="P1777" s="3"/>
      <x:c r="Q1777" s="3"/>
    </x:row>
    <x:row r="1778" ht="21" customHeight="1">
      <x:c r="A1778" s="3" t="str">
        <x:v>ORD-101689</x:v>
      </x:c>
      <x:c r="B1778" s="5" t="n">
        <x:v>45777</x:v>
      </x:c>
      <x:c r="C1778" s="3" t="str">
        <x:v>CUST-00595</x:v>
      </x:c>
      <x:c r="D1778" s="3" t="str">
        <x:v>East</x:v>
      </x:c>
      <x:c r="E1778" s="3" t="str">
        <x:v>Fashion</x:v>
      </x:c>
      <x:c r="F1778" s="3" t="str">
        <x:v>Men</x:v>
      </x:c>
      <x:c r="G1778" s="3" t="str">
        <x:v>SlimFit Denim Jeans</x:v>
      </x:c>
      <x:c r="H1778" s="3" t="n">
        <x:v>2</x:v>
      </x:c>
      <x:c r="I1778" s="7" t="n">
        <x:v>1931.61</x:v>
      </x:c>
      <x:c r="J1778" s="9" t="n">
        <x:v>0.05</x:v>
      </x:c>
      <x:c r="K1778" s="7" t="n">
        <x:v>3670.06</x:v>
      </x:c>
      <x:c r="L1778" s="7" t="n">
        <x:v>1456.92</x:v>
      </x:c>
      <x:c r="M1778" s="3" t="str">
        <x:v>Net Banking</x:v>
      </x:c>
      <x:c r="N1778" s="3"/>
      <x:c r="O1778" s="3"/>
      <x:c r="P1778" s="3"/>
      <x:c r="Q1778" s="3"/>
    </x:row>
    <x:row r="1779" ht="21" customHeight="1">
      <x:c r="A1779" s="3" t="str">
        <x:v>ORD-100499</x:v>
      </x:c>
      <x:c r="B1779" s="5" t="n">
        <x:v>45778</x:v>
      </x:c>
      <x:c r="C1779" s="3" t="str">
        <x:v>CUST-00190</x:v>
      </x:c>
      <x:c r="D1779" s="3" t="str">
        <x:v>North</x:v>
      </x:c>
      <x:c r="E1779" s="3" t="str">
        <x:v>Beauty</x:v>
      </x:c>
      <x:c r="F1779" s="3" t="str">
        <x:v>Skincare</x:v>
      </x:c>
      <x:c r="G1779" s="3" t="str">
        <x:v>Vitamin C Serum</x:v>
      </x:c>
      <x:c r="H1779" s="3" t="n">
        <x:v>1</x:v>
      </x:c>
      <x:c r="I1779" s="7" t="n">
        <x:v>855.31</x:v>
      </x:c>
      <x:c r="J1779" s="9" t="n">
        <x:v>0.1</x:v>
      </x:c>
      <x:c r="K1779" s="7" t="n">
        <x:v>769.78</x:v>
      </x:c>
      <x:c r="L1779" s="7" t="n">
        <x:v>317.43</x:v>
      </x:c>
      <x:c r="M1779" s="3" t="str">
        <x:v>UPI</x:v>
      </x:c>
      <x:c r="N1779" s="3"/>
      <x:c r="O1779" s="3"/>
      <x:c r="P1779" s="3"/>
      <x:c r="Q1779" s="3"/>
    </x:row>
    <x:row r="1780" ht="21" customHeight="1">
      <x:c r="A1780" s="3" t="str">
        <x:v>ORD-101304</x:v>
      </x:c>
      <x:c r="B1780" s="5" t="n">
        <x:v>45778</x:v>
      </x:c>
      <x:c r="C1780" s="3" t="str">
        <x:v>CUST-00059</x:v>
      </x:c>
      <x:c r="D1780" s="3" t="str">
        <x:v>North</x:v>
      </x:c>
      <x:c r="E1780" s="3" t="str">
        <x:v>Sports</x:v>
      </x:c>
      <x:c r="F1780" s="3" t="str">
        <x:v>Outdoor</x:v>
      </x:c>
      <x:c r="G1780" s="3" t="str">
        <x:v>AllWeather Tent 4P</x:v>
      </x:c>
      <x:c r="H1780" s="3" t="n">
        <x:v>3</x:v>
      </x:c>
      <x:c r="I1780" s="7" t="n">
        <x:v>11577.73</x:v>
      </x:c>
      <x:c r="J1780" s="9" t="n">
        <x:v>0.05</x:v>
      </x:c>
      <x:c r="K1780" s="7" t="n">
        <x:v>32996.53</x:v>
      </x:c>
      <x:c r="L1780" s="7" t="n">
        <x:v>10253.96</x:v>
      </x:c>
      <x:c r="M1780" s="3" t="str">
        <x:v>UPI</x:v>
      </x:c>
      <x:c r="N1780" s="3"/>
      <x:c r="O1780" s="3"/>
      <x:c r="P1780" s="3"/>
      <x:c r="Q1780" s="3"/>
    </x:row>
    <x:row r="1781" ht="21" customHeight="1">
      <x:c r="A1781" s="3" t="str">
        <x:v>ORD-101630</x:v>
      </x:c>
      <x:c r="B1781" s="5" t="n">
        <x:v>45778</x:v>
      </x:c>
      <x:c r="C1781" s="3" t="str">
        <x:v>CUST-00417</x:v>
      </x:c>
      <x:c r="D1781" s="3" t="str">
        <x:v>North</x:v>
      </x:c>
      <x:c r="E1781" s="3" t="str">
        <x:v>Fashion</x:v>
      </x:c>
      <x:c r="F1781" s="3" t="str">
        <x:v>Women</x:v>
      </x:c>
      <x:c r="G1781" s="3" t="str">
        <x:v>Floral Summer Dress</x:v>
      </x:c>
      <x:c r="H1781" s="3" t="n">
        <x:v>2</x:v>
      </x:c>
      <x:c r="I1781" s="7" t="n">
        <x:v>1781.17</x:v>
      </x:c>
      <x:c r="J1781" s="9" t="n">
        <x:v>0.3</x:v>
      </x:c>
      <x:c r="K1781" s="7" t="n">
        <x:v>2493.64</x:v>
      </x:c>
      <x:c r="L1781" s="7" t="n">
        <x:v>170.58</x:v>
      </x:c>
      <x:c r="M1781" s="3" t="str">
        <x:v>Credit Card</x:v>
      </x:c>
      <x:c r="N1781" s="3"/>
      <x:c r="O1781" s="3"/>
      <x:c r="P1781" s="3"/>
      <x:c r="Q1781" s="3"/>
    </x:row>
    <x:row r="1782" ht="21" customHeight="1">
      <x:c r="A1782" s="3" t="str">
        <x:v>ORD-101921</x:v>
      </x:c>
      <x:c r="B1782" s="5" t="n">
        <x:v>45778</x:v>
      </x:c>
      <x:c r="C1782" s="3" t="str">
        <x:v>CUST-00119</x:v>
      </x:c>
      <x:c r="D1782" s="3" t="str">
        <x:v>West</x:v>
      </x:c>
      <x:c r="E1782" s="3" t="str">
        <x:v>Sports</x:v>
      </x:c>
      <x:c r="F1782" s="3" t="str">
        <x:v>Fitness</x:v>
      </x:c>
      <x:c r="G1782" s="3" t="str">
        <x:v>ProYoga Mat</x:v>
      </x:c>
      <x:c r="H1782" s="3" t="n">
        <x:v>2</x:v>
      </x:c>
      <x:c r="I1782" s="7" t="n">
        <x:v>1263.12</x:v>
      </x:c>
      <x:c r="J1782" s="9" t="n">
        <x:v>0.15</x:v>
      </x:c>
      <x:c r="K1782" s="7" t="n">
        <x:v>2147.3</x:v>
      </x:c>
      <x:c r="L1782" s="7" t="n">
        <x:v>508.27</x:v>
      </x:c>
      <x:c r="M1782" s="3" t="str">
        <x:v>Cash on Delivery</x:v>
      </x:c>
      <x:c r="N1782" s="3"/>
      <x:c r="O1782" s="3"/>
      <x:c r="P1782" s="3"/>
      <x:c r="Q1782" s="3"/>
    </x:row>
    <x:row r="1783" ht="21" customHeight="1">
      <x:c r="A1783" s="3" t="str">
        <x:v>ORD-101924</x:v>
      </x:c>
      <x:c r="B1783" s="5" t="n">
        <x:v>45778</x:v>
      </x:c>
      <x:c r="C1783" s="3" t="str">
        <x:v>CUST-00374</x:v>
      </x:c>
      <x:c r="D1783" s="3" t="str">
        <x:v>West</x:v>
      </x:c>
      <x:c r="E1783" s="3" t="str">
        <x:v>Sports</x:v>
      </x:c>
      <x:c r="F1783" s="3" t="str">
        <x:v>Outdoor</x:v>
      </x:c>
      <x:c r="G1783" s="3" t="str">
        <x:v>TrailHike Backpack 60L</x:v>
      </x:c>
      <x:c r="H1783" s="3" t="n">
        <x:v>2</x:v>
      </x:c>
      <x:c r="I1783" s="7" t="n">
        <x:v>3598.27</x:v>
      </x:c>
      <x:c r="J1783" s="9" t="n">
        <x:v>0.2</x:v>
      </x:c>
      <x:c r="K1783" s="7" t="n">
        <x:v>5757.23</x:v>
      </x:c>
      <x:c r="L1783" s="7" t="n">
        <x:v>1049.33</x:v>
      </x:c>
      <x:c r="M1783" s="3" t="str">
        <x:v>Credit Card</x:v>
      </x:c>
      <x:c r="N1783" s="3"/>
      <x:c r="O1783" s="3"/>
      <x:c r="P1783" s="3"/>
      <x:c r="Q1783" s="3"/>
    </x:row>
    <x:row r="1784" ht="21" customHeight="1">
      <x:c r="A1784" s="3" t="str">
        <x:v>ORD-100807</x:v>
      </x:c>
      <x:c r="B1784" s="5" t="n">
        <x:v>45779</x:v>
      </x:c>
      <x:c r="C1784" s="3" t="str">
        <x:v>CUST-00238</x:v>
      </x:c>
      <x:c r="D1784" s="3" t="str">
        <x:v>East</x:v>
      </x:c>
      <x:c r="E1784" s="3" t="str">
        <x:v>Beauty</x:v>
      </x:c>
      <x:c r="F1784" s="3" t="str">
        <x:v>Makeup</x:v>
      </x:c>
      <x:c r="G1784" s="3" t="str">
        <x:v>HD Foundation Kit</x:v>
      </x:c>
      <x:c r="H1784" s="3" t="n">
        <x:v>1</x:v>
      </x:c>
      <x:c r="I1784" s="7" t="n">
        <x:v>1533.91</x:v>
      </x:c>
      <x:c r="J1784" s="9" t="n">
        <x:v>0</x:v>
      </x:c>
      <x:c r="K1784" s="7" t="n">
        <x:v>1533.91</x:v>
      </x:c>
      <x:c r="L1784" s="7" t="n">
        <x:v>810.73</x:v>
      </x:c>
      <x:c r="M1784" s="3" t="str">
        <x:v>Credit Card</x:v>
      </x:c>
      <x:c r="N1784" s="3"/>
      <x:c r="O1784" s="3"/>
      <x:c r="P1784" s="3"/>
      <x:c r="Q1784" s="3"/>
    </x:row>
    <x:row r="1785" ht="21" customHeight="1">
      <x:c r="A1785" s="3" t="str">
        <x:v>ORD-101072</x:v>
      </x:c>
      <x:c r="B1785" s="5" t="n">
        <x:v>45779</x:v>
      </x:c>
      <x:c r="C1785" s="3" t="str">
        <x:v>CUST-00116</x:v>
      </x:c>
      <x:c r="D1785" s="3" t="str">
        <x:v>North</x:v>
      </x:c>
      <x:c r="E1785" s="3" t="str">
        <x:v>Home &amp; Kitchen</x:v>
      </x:c>
      <x:c r="F1785" s="3" t="str">
        <x:v>Furniture</x:v>
      </x:c>
      <x:c r="G1785" s="3" t="str">
        <x:v>ErgoComfort Chair</x:v>
      </x:c>
      <x:c r="H1785" s="3" t="n">
        <x:v>1</x:v>
      </x:c>
      <x:c r="I1785" s="7" t="n">
        <x:v>9433.91</x:v>
      </x:c>
      <x:c r="J1785" s="9" t="n">
        <x:v>0.25</x:v>
      </x:c>
      <x:c r="K1785" s="7" t="n">
        <x:v>7075.43</x:v>
      </x:c>
      <x:c r="L1785" s="7" t="n">
        <x:v>535.36</x:v>
      </x:c>
      <x:c r="M1785" s="3" t="str">
        <x:v>Credit Card</x:v>
      </x:c>
      <x:c r="N1785" s="3"/>
      <x:c r="O1785" s="3"/>
      <x:c r="P1785" s="3"/>
      <x:c r="Q1785" s="3"/>
    </x:row>
    <x:row r="1786" ht="21" customHeight="1">
      <x:c r="A1786" s="3" t="str">
        <x:v>ORD-101365</x:v>
      </x:c>
      <x:c r="B1786" s="5" t="n">
        <x:v>45780</x:v>
      </x:c>
      <x:c r="C1786" s="3" t="str">
        <x:v>CUST-00077</x:v>
      </x:c>
      <x:c r="D1786" s="3" t="str">
        <x:v>North</x:v>
      </x:c>
      <x:c r="E1786" s="3" t="str">
        <x:v>Fashion</x:v>
      </x:c>
      <x:c r="F1786" s="3" t="str">
        <x:v>Women</x:v>
      </x:c>
      <x:c r="G1786" s="3" t="str">
        <x:v>Floral Summer Dress</x:v>
      </x:c>
      <x:c r="H1786" s="3" t="n">
        <x:v>2</x:v>
      </x:c>
      <x:c r="I1786" s="7" t="n">
        <x:v>1878.15</x:v>
      </x:c>
      <x:c r="J1786" s="9" t="n">
        <x:v>0.1</x:v>
      </x:c>
      <x:c r="K1786" s="7" t="n">
        <x:v>3380.67</x:v>
      </x:c>
      <x:c r="L1786" s="7" t="n">
        <x:v>1013.73</x:v>
      </x:c>
      <x:c r="M1786" s="3" t="str">
        <x:v>UPI</x:v>
      </x:c>
      <x:c r="N1786" s="3"/>
      <x:c r="O1786" s="3"/>
      <x:c r="P1786" s="3"/>
      <x:c r="Q1786" s="3"/>
    </x:row>
    <x:row r="1787" ht="21" customHeight="1">
      <x:c r="A1787" s="3" t="str">
        <x:v>ORD-100210</x:v>
      </x:c>
      <x:c r="B1787" s="5" t="n">
        <x:v>45781</x:v>
      </x:c>
      <x:c r="C1787" s="3" t="str">
        <x:v>CUST-00393</x:v>
      </x:c>
      <x:c r="D1787" s="3" t="str">
        <x:v>North</x:v>
      </x:c>
      <x:c r="E1787" s="3" t="str">
        <x:v>Electronics</x:v>
      </x:c>
      <x:c r="F1787" s="3" t="str">
        <x:v>Mobile</x:v>
      </x:c>
      <x:c r="G1787" s="3" t="str">
        <x:v>Galaxy Nova X5</x:v>
      </x:c>
      <x:c r="H1787" s="3" t="n">
        <x:v>1</x:v>
      </x:c>
      <x:c r="I1787" s="7" t="n">
        <x:v>24314.5</x:v>
      </x:c>
      <x:c r="J1787" s="9" t="n">
        <x:v>0</x:v>
      </x:c>
      <x:c r="K1787" s="7" t="n">
        <x:v>24314.5</x:v>
      </x:c>
      <x:c r="L1787" s="7" t="n">
        <x:v>4726.71</x:v>
      </x:c>
      <x:c r="M1787" s="3" t="str">
        <x:v>Credit Card</x:v>
      </x:c>
      <x:c r="N1787" s="3"/>
      <x:c r="O1787" s="3"/>
      <x:c r="P1787" s="3"/>
      <x:c r="Q1787" s="3"/>
    </x:row>
    <x:row r="1788" ht="21" customHeight="1">
      <x:c r="A1788" s="3" t="str">
        <x:v>ORD-100546</x:v>
      </x:c>
      <x:c r="B1788" s="5" t="n">
        <x:v>45781</x:v>
      </x:c>
      <x:c r="C1788" s="3" t="str">
        <x:v>CUST-00131</x:v>
      </x:c>
      <x:c r="D1788" s="3" t="str">
        <x:v>South</x:v>
      </x:c>
      <x:c r="E1788" s="3" t="str">
        <x:v>Sports</x:v>
      </x:c>
      <x:c r="F1788" s="3" t="str">
        <x:v>Fitness</x:v>
      </x:c>
      <x:c r="G1788" s="3" t="str">
        <x:v>ProYoga Mat</x:v>
      </x:c>
      <x:c r="H1788" s="3" t="n">
        <x:v>4</x:v>
      </x:c>
      <x:c r="I1788" s="7" t="n">
        <x:v>1318.12</x:v>
      </x:c>
      <x:c r="J1788" s="9" t="n">
        <x:v>0.1</x:v>
      </x:c>
      <x:c r="K1788" s="7" t="n">
        <x:v>4745.23</x:v>
      </x:c>
      <x:c r="L1788" s="7" t="n">
        <x:v>1099.55</x:v>
      </x:c>
      <x:c r="M1788" s="3" t="str">
        <x:v>UPI</x:v>
      </x:c>
      <x:c r="N1788" s="3"/>
      <x:c r="O1788" s="3"/>
      <x:c r="P1788" s="3"/>
      <x:c r="Q1788" s="3"/>
    </x:row>
    <x:row r="1789" ht="21" customHeight="1">
      <x:c r="A1789" s="3" t="str">
        <x:v>ORD-101758</x:v>
      </x:c>
      <x:c r="B1789" s="5" t="n">
        <x:v>45781</x:v>
      </x:c>
      <x:c r="C1789" s="3" t="str">
        <x:v>CUST-00454</x:v>
      </x:c>
      <x:c r="D1789" s="3" t="str">
        <x:v>South</x:v>
      </x:c>
      <x:c r="E1789" s="3" t="str">
        <x:v>Fashion</x:v>
      </x:c>
      <x:c r="F1789" s="3" t="str">
        <x:v>Men</x:v>
      </x:c>
      <x:c r="G1789" s="3" t="str">
        <x:v>SlimFit Denim Jeans</x:v>
      </x:c>
      <x:c r="H1789" s="3" t="n">
        <x:v>1</x:v>
      </x:c>
      <x:c r="I1789" s="7" t="n">
        <x:v>2038.95</x:v>
      </x:c>
      <x:c r="J1789" s="9" t="n">
        <x:v>0.15</x:v>
      </x:c>
      <x:c r="K1789" s="7" t="n">
        <x:v>1733.11</x:v>
      </x:c>
      <x:c r="L1789" s="7" t="n">
        <x:v>364.3</x:v>
      </x:c>
      <x:c r="M1789" s="3" t="str">
        <x:v>Net Banking</x:v>
      </x:c>
      <x:c r="N1789" s="3"/>
      <x:c r="O1789" s="3"/>
      <x:c r="P1789" s="3"/>
      <x:c r="Q1789" s="3"/>
    </x:row>
    <x:row r="1790" ht="21" customHeight="1">
      <x:c r="A1790" s="3" t="str">
        <x:v>ORD-100118</x:v>
      </x:c>
      <x:c r="B1790" s="5" t="n">
        <x:v>45782</x:v>
      </x:c>
      <x:c r="C1790" s="3" t="str">
        <x:v>CUST-00139</x:v>
      </x:c>
      <x:c r="D1790" s="3" t="str">
        <x:v>East</x:v>
      </x:c>
      <x:c r="E1790" s="3" t="str">
        <x:v>Beauty</x:v>
      </x:c>
      <x:c r="F1790" s="3" t="str">
        <x:v>Makeup</x:v>
      </x:c>
      <x:c r="G1790" s="3" t="str">
        <x:v>Matte Lipstick Set</x:v>
      </x:c>
      <x:c r="H1790" s="3" t="n">
        <x:v>1</x:v>
      </x:c>
      <x:c r="I1790" s="7" t="n">
        <x:v>1030.32</x:v>
      </x:c>
      <x:c r="J1790" s="9" t="n">
        <x:v>0.1</x:v>
      </x:c>
      <x:c r="K1790" s="7" t="n">
        <x:v>927.29</x:v>
      </x:c>
      <x:c r="L1790" s="7" t="n">
        <x:v>379.27</x:v>
      </x:c>
      <x:c r="M1790" s="3" t="str">
        <x:v>Credit Card</x:v>
      </x:c>
      <x:c r="N1790" s="3"/>
      <x:c r="O1790" s="3"/>
      <x:c r="P1790" s="3"/>
      <x:c r="Q1790" s="3"/>
    </x:row>
    <x:row r="1791" ht="21" customHeight="1">
      <x:c r="A1791" s="3" t="str">
        <x:v>ORD-100128</x:v>
      </x:c>
      <x:c r="B1791" s="5" t="n">
        <x:v>45782</x:v>
      </x:c>
      <x:c r="C1791" s="3" t="str">
        <x:v>CUST-00420</x:v>
      </x:c>
      <x:c r="D1791" s="3" t="str">
        <x:v>North</x:v>
      </x:c>
      <x:c r="E1791" s="3" t="str">
        <x:v>Electronics</x:v>
      </x:c>
      <x:c r="F1791" s="3" t="str">
        <x:v>Laptop</x:v>
      </x:c>
      <x:c r="G1791" s="3" t="str">
        <x:v>AirBook Slim</x:v>
      </x:c>
      <x:c r="H1791" s="3" t="n">
        <x:v>1</x:v>
      </x:c>
      <x:c r="I1791" s="7" t="n">
        <x:v>76074.23</x:v>
      </x:c>
      <x:c r="J1791" s="9" t="n">
        <x:v>0.4</x:v>
      </x:c>
      <x:c r="K1791" s="7" t="n">
        <x:v>45644.54</x:v>
      </x:c>
      <x:c r="L1791" s="7" t="n">
        <x:v>-11377.37</x:v>
      </x:c>
      <x:c r="M1791" s="3" t="str">
        <x:v>UPI</x:v>
      </x:c>
      <x:c r="N1791" s="3"/>
      <x:c r="O1791" s="3"/>
      <x:c r="P1791" s="3"/>
      <x:c r="Q1791" s="3"/>
    </x:row>
    <x:row r="1792" ht="21" customHeight="1">
      <x:c r="A1792" s="3" t="str">
        <x:v>ORD-101751</x:v>
      </x:c>
      <x:c r="B1792" s="5" t="n">
        <x:v>45782</x:v>
      </x:c>
      <x:c r="C1792" s="3" t="str">
        <x:v>CUST-00137</x:v>
      </x:c>
      <x:c r="D1792" s="3" t="str">
        <x:v>North</x:v>
      </x:c>
      <x:c r="E1792" s="3" t="str">
        <x:v>Electronics</x:v>
      </x:c>
      <x:c r="F1792" s="3" t="str">
        <x:v>Audio</x:v>
      </x:c>
      <x:c r="G1792" s="3" t="str">
        <x:v>SoundPods Pro</x:v>
      </x:c>
      <x:c r="H1792" s="3" t="n">
        <x:v>2</x:v>
      </x:c>
      <x:c r="I1792" s="7" t="n">
        <x:v>5050.72</x:v>
      </x:c>
      <x:c r="J1792" s="9" t="n">
        <x:v>0</x:v>
      </x:c>
      <x:c r="K1792" s="7" t="n">
        <x:v>10101.44</x:v>
      </x:c>
      <x:c r="L1792" s="7" t="n">
        <x:v>1763.7</x:v>
      </x:c>
      <x:c r="M1792" s="3" t="str">
        <x:v>UPI</x:v>
      </x:c>
      <x:c r="N1792" s="3"/>
      <x:c r="O1792" s="3"/>
      <x:c r="P1792" s="3"/>
      <x:c r="Q1792" s="3"/>
    </x:row>
    <x:row r="1793" ht="21" customHeight="1">
      <x:c r="A1793" s="3" t="str">
        <x:v>ORD-100248</x:v>
      </x:c>
      <x:c r="B1793" s="5" t="n">
        <x:v>45783</x:v>
      </x:c>
      <x:c r="C1793" s="3" t="str">
        <x:v>CUST-00027</x:v>
      </x:c>
      <x:c r="D1793" s="3" t="str">
        <x:v>North</x:v>
      </x:c>
      <x:c r="E1793" s="3" t="str">
        <x:v>Fashion</x:v>
      </x:c>
      <x:c r="F1793" s="3" t="str">
        <x:v>Men</x:v>
      </x:c>
      <x:c r="G1793" s="3" t="str">
        <x:v>SlimFit Denim Jeans</x:v>
      </x:c>
      <x:c r="H1793" s="3" t="n">
        <x:v>1</x:v>
      </x:c>
      <x:c r="I1793" s="7" t="n">
        <x:v>1997.19</x:v>
      </x:c>
      <x:c r="J1793" s="9" t="n">
        <x:v>0.1</x:v>
      </x:c>
      <x:c r="K1793" s="7" t="n">
        <x:v>1797.47</x:v>
      </x:c>
      <x:c r="L1793" s="7" t="n">
        <x:v>484.17</x:v>
      </x:c>
      <x:c r="M1793" s="3" t="str">
        <x:v>UPI</x:v>
      </x:c>
      <x:c r="N1793" s="3"/>
      <x:c r="O1793" s="3"/>
      <x:c r="P1793" s="3"/>
      <x:c r="Q1793" s="3"/>
    </x:row>
    <x:row r="1794" ht="21" customHeight="1">
      <x:c r="A1794" s="3" t="str">
        <x:v>ORD-100673</x:v>
      </x:c>
      <x:c r="B1794" s="5" t="n">
        <x:v>45783</x:v>
      </x:c>
      <x:c r="C1794" s="3" t="str">
        <x:v>CUST-00097</x:v>
      </x:c>
      <x:c r="D1794" s="3" t="str">
        <x:v>North</x:v>
      </x:c>
      <x:c r="E1794" s="3" t="str">
        <x:v>Home &amp; Kitchen</x:v>
      </x:c>
      <x:c r="F1794" s="3" t="str">
        <x:v>Furniture</x:v>
      </x:c>
      <x:c r="G1794" s="3" t="str">
        <x:v>Oakwood Study Desk</x:v>
      </x:c>
      <x:c r="H1794" s="3" t="n">
        <x:v>1</x:v>
      </x:c>
      <x:c r="I1794" s="7" t="n">
        <x:v>13182.82</x:v>
      </x:c>
      <x:c r="J1794" s="9" t="n">
        <x:v>0</x:v>
      </x:c>
      <x:c r="K1794" s="7" t="n">
        <x:v>13182.82</x:v>
      </x:c>
      <x:c r="L1794" s="7" t="n">
        <x:v>4781.12</x:v>
      </x:c>
      <x:c r="M1794" s="3" t="str">
        <x:v>Credit Card</x:v>
      </x:c>
      <x:c r="N1794" s="3"/>
      <x:c r="O1794" s="3"/>
      <x:c r="P1794" s="3"/>
      <x:c r="Q1794" s="3"/>
    </x:row>
    <x:row r="1795" ht="21" customHeight="1">
      <x:c r="A1795" s="3" t="str">
        <x:v>ORD-101999</x:v>
      </x:c>
      <x:c r="B1795" s="5" t="n">
        <x:v>45783</x:v>
      </x:c>
      <x:c r="C1795" s="3" t="str">
        <x:v>CUST-00459</x:v>
      </x:c>
      <x:c r="D1795" s="3" t="str">
        <x:v>North</x:v>
      </x:c>
      <x:c r="E1795" s="3" t="str">
        <x:v>Fashion</x:v>
      </x:c>
      <x:c r="F1795" s="3" t="str">
        <x:v>Men</x:v>
      </x:c>
      <x:c r="G1795" s="3" t="str">
        <x:v>SlimFit Denim Jeans</x:v>
      </x:c>
      <x:c r="H1795" s="3" t="n">
        <x:v>1</x:v>
      </x:c>
      <x:c r="I1795" s="7" t="n">
        <x:v>1937.55</x:v>
      </x:c>
      <x:c r="J1795" s="9" t="n">
        <x:v>0</x:v>
      </x:c>
      <x:c r="K1795" s="7" t="n">
        <x:v>1937.55</x:v>
      </x:c>
      <x:c r="L1795" s="7" t="n">
        <x:v>749.83</x:v>
      </x:c>
      <x:c r="M1795" s="3" t="str">
        <x:v>Credit Card</x:v>
      </x:c>
      <x:c r="N1795" s="3"/>
      <x:c r="O1795" s="3"/>
      <x:c r="P1795" s="3"/>
      <x:c r="Q1795" s="3"/>
    </x:row>
    <x:row r="1796" ht="21" customHeight="1">
      <x:c r="A1796" s="3" t="str">
        <x:v>ORD-100900</x:v>
      </x:c>
      <x:c r="B1796" s="5" t="n">
        <x:v>45784</x:v>
      </x:c>
      <x:c r="C1796" s="3" t="str">
        <x:v>CUST-00432</x:v>
      </x:c>
      <x:c r="D1796" s="3" t="str">
        <x:v>South</x:v>
      </x:c>
      <x:c r="E1796" s="3" t="str">
        <x:v>Fashion</x:v>
      </x:c>
      <x:c r="F1796" s="3" t="str">
        <x:v>Women</x:v>
      </x:c>
      <x:c r="G1796" s="3" t="str">
        <x:v>Knit Winter Sweater</x:v>
      </x:c>
      <x:c r="H1796" s="3" t="n">
        <x:v>1</x:v>
      </x:c>
      <x:c r="I1796" s="7" t="n">
        <x:v>2128.6</x:v>
      </x:c>
      <x:c r="J1796" s="9" t="n">
        <x:v>0.05</x:v>
      </x:c>
      <x:c r="K1796" s="7" t="n">
        <x:v>2022.17</x:v>
      </x:c>
      <x:c r="L1796" s="7" t="n">
        <x:v>676.54</x:v>
      </x:c>
      <x:c r="M1796" s="3" t="str">
        <x:v>Credit Card</x:v>
      </x:c>
      <x:c r="N1796" s="3"/>
      <x:c r="O1796" s="3"/>
      <x:c r="P1796" s="3"/>
      <x:c r="Q1796" s="3"/>
    </x:row>
    <x:row r="1797" ht="21" customHeight="1">
      <x:c r="A1797" s="3" t="str">
        <x:v>ORD-101626</x:v>
      </x:c>
      <x:c r="B1797" s="5" t="n">
        <x:v>45784</x:v>
      </x:c>
      <x:c r="C1797" s="3" t="str">
        <x:v>CUST-00236</x:v>
      </x:c>
      <x:c r="D1797" s="3" t="str">
        <x:v>North</x:v>
      </x:c>
      <x:c r="E1797" s="3" t="str">
        <x:v>Home &amp; Kitchen</x:v>
      </x:c>
      <x:c r="F1797" s="3" t="str">
        <x:v>Furniture</x:v>
      </x:c>
      <x:c r="G1797" s="3" t="str">
        <x:v>ErgoComfort Chair</x:v>
      </x:c>
      <x:c r="H1797" s="3" t="n">
        <x:v>1</x:v>
      </x:c>
      <x:c r="I1797" s="7" t="n">
        <x:v>8604.08</x:v>
      </x:c>
      <x:c r="J1797" s="9" t="n">
        <x:v>0.05</x:v>
      </x:c>
      <x:c r="K1797" s="7" t="n">
        <x:v>8173.88</x:v>
      </x:c>
      <x:c r="L1797" s="7" t="n">
        <x:v>2227.41</x:v>
      </x:c>
      <x:c r="M1797" s="3" t="str">
        <x:v>UPI</x:v>
      </x:c>
      <x:c r="N1797" s="3"/>
      <x:c r="O1797" s="3"/>
      <x:c r="P1797" s="3"/>
      <x:c r="Q1797" s="3"/>
    </x:row>
    <x:row r="1798" ht="21" customHeight="1">
      <x:c r="A1798" s="3" t="str">
        <x:v>ORD-100450</x:v>
      </x:c>
      <x:c r="B1798" s="5" t="n">
        <x:v>45785</x:v>
      </x:c>
      <x:c r="C1798" s="3" t="str">
        <x:v>CUST-00549</x:v>
      </x:c>
      <x:c r="D1798" s="3" t="str">
        <x:v>North</x:v>
      </x:c>
      <x:c r="E1798" s="3" t="str">
        <x:v>Beauty</x:v>
      </x:c>
      <x:c r="F1798" s="3" t="str">
        <x:v>Skincare</x:v>
      </x:c>
      <x:c r="G1798" s="3" t="str">
        <x:v>HydraBoost Moisturizer</x:v>
      </x:c>
      <x:c r="H1798" s="3" t="n">
        <x:v>1</x:v>
      </x:c>
      <x:c r="I1798" s="7" t="n">
        <x:v>1226.31</x:v>
      </x:c>
      <x:c r="J1798" s="9" t="n">
        <x:v>0.05</x:v>
      </x:c>
      <x:c r="K1798" s="7" t="n">
        <x:v>1164.99</x:v>
      </x:c>
      <x:c r="L1798" s="7" t="n">
        <x:v>602.86</x:v>
      </x:c>
      <x:c r="M1798" s="3" t="str">
        <x:v>UPI</x:v>
      </x:c>
      <x:c r="N1798" s="3"/>
      <x:c r="O1798" s="3"/>
      <x:c r="P1798" s="3"/>
      <x:c r="Q1798" s="3"/>
    </x:row>
    <x:row r="1799" ht="21" customHeight="1">
      <x:c r="A1799" s="3" t="str">
        <x:v>ORD-100644</x:v>
      </x:c>
      <x:c r="B1799" s="5" t="n">
        <x:v>45785</x:v>
      </x:c>
      <x:c r="C1799" s="3" t="str">
        <x:v>CUST-00391</x:v>
      </x:c>
      <x:c r="D1799" s="3" t="str">
        <x:v>South</x:v>
      </x:c>
      <x:c r="E1799" s="3" t="str">
        <x:v>Fashion</x:v>
      </x:c>
      <x:c r="F1799" s="3" t="str">
        <x:v>Women</x:v>
      </x:c>
      <x:c r="G1799" s="3" t="str">
        <x:v>Knit Winter Sweater</x:v>
      </x:c>
      <x:c r="H1799" s="3" t="n">
        <x:v>1</x:v>
      </x:c>
      <x:c r="I1799" s="7" t="n">
        <x:v>2176.62</x:v>
      </x:c>
      <x:c r="J1799" s="9" t="n">
        <x:v>0.3</x:v>
      </x:c>
      <x:c r="K1799" s="7" t="n">
        <x:v>1523.63</x:v>
      </x:c>
      <x:c r="L1799" s="7" t="n">
        <x:v>73.78</x:v>
      </x:c>
      <x:c r="M1799" s="3" t="str">
        <x:v>Credit Card</x:v>
      </x:c>
      <x:c r="N1799" s="3"/>
      <x:c r="O1799" s="3"/>
      <x:c r="P1799" s="3"/>
      <x:c r="Q1799" s="3"/>
    </x:row>
    <x:row r="1800" ht="21" customHeight="1">
      <x:c r="A1800" s="3" t="str">
        <x:v>ORD-100660</x:v>
      </x:c>
      <x:c r="B1800" s="5" t="n">
        <x:v>45785</x:v>
      </x:c>
      <x:c r="C1800" s="3" t="str">
        <x:v>CUST-00247</x:v>
      </x:c>
      <x:c r="D1800" s="3" t="str">
        <x:v>West</x:v>
      </x:c>
      <x:c r="E1800" s="3" t="str">
        <x:v>Beauty</x:v>
      </x:c>
      <x:c r="F1800" s="3" t="str">
        <x:v>Skincare</x:v>
      </x:c>
      <x:c r="G1800" s="3" t="str">
        <x:v>Vitamin C Serum</x:v>
      </x:c>
      <x:c r="H1800" s="3" t="n">
        <x:v>1</x:v>
      </x:c>
      <x:c r="I1800" s="7" t="n">
        <x:v>928.88</x:v>
      </x:c>
      <x:c r="J1800" s="9" t="n">
        <x:v>0</x:v>
      </x:c>
      <x:c r="K1800" s="7" t="n">
        <x:v>928.88</x:v>
      </x:c>
      <x:c r="L1800" s="7" t="n">
        <x:v>547.76</x:v>
      </x:c>
      <x:c r="M1800" s="3" t="str">
        <x:v>Credit Card</x:v>
      </x:c>
      <x:c r="N1800" s="3"/>
      <x:c r="O1800" s="3"/>
      <x:c r="P1800" s="3"/>
      <x:c r="Q1800" s="3"/>
    </x:row>
    <x:row r="1801" ht="21" customHeight="1">
      <x:c r="A1801" s="3" t="str">
        <x:v>ORD-100173</x:v>
      </x:c>
      <x:c r="B1801" s="5" t="n">
        <x:v>45786</x:v>
      </x:c>
      <x:c r="C1801" s="3" t="str">
        <x:v>CUST-00017</x:v>
      </x:c>
      <x:c r="D1801" s="3" t="str">
        <x:v>East</x:v>
      </x:c>
      <x:c r="E1801" s="3" t="str">
        <x:v>Electronics</x:v>
      </x:c>
      <x:c r="F1801" s="3" t="str">
        <x:v>Audio</x:v>
      </x:c>
      <x:c r="G1801" s="3" t="str">
        <x:v>SoundPods Pro</x:v>
      </x:c>
      <x:c r="H1801" s="3" t="n">
        <x:v>1</x:v>
      </x:c>
      <x:c r="I1801" s="7" t="n">
        <x:v>4935.61</x:v>
      </x:c>
      <x:c r="J1801" s="9" t="n">
        <x:v>0.05</x:v>
      </x:c>
      <x:c r="K1801" s="7" t="n">
        <x:v>4688.83</x:v>
      </x:c>
      <x:c r="L1801" s="7" t="n">
        <x:v>618.58</x:v>
      </x:c>
      <x:c r="M1801" s="3" t="str">
        <x:v>Credit Card</x:v>
      </x:c>
      <x:c r="N1801" s="3"/>
      <x:c r="O1801" s="3"/>
      <x:c r="P1801" s="3"/>
      <x:c r="Q1801" s="3"/>
    </x:row>
    <x:row r="1802" ht="21" customHeight="1">
      <x:c r="A1802" s="3" t="str">
        <x:v>ORD-100328</x:v>
      </x:c>
      <x:c r="B1802" s="5" t="n">
        <x:v>45786</x:v>
      </x:c>
      <x:c r="C1802" s="3" t="str">
        <x:v>CUST-00573</x:v>
      </x:c>
      <x:c r="D1802" s="3" t="str">
        <x:v>North</x:v>
      </x:c>
      <x:c r="E1802" s="3" t="str">
        <x:v>Sports</x:v>
      </x:c>
      <x:c r="F1802" s="3" t="str">
        <x:v>Fitness</x:v>
      </x:c>
      <x:c r="G1802" s="3" t="str">
        <x:v>Adjustable Dumbbell 24kg</x:v>
      </x:c>
      <x:c r="H1802" s="3" t="n">
        <x:v>1</x:v>
      </x:c>
      <x:c r="I1802" s="7" t="n">
        <x:v>9925.08</x:v>
      </x:c>
      <x:c r="J1802" s="9" t="n">
        <x:v>0</x:v>
      </x:c>
      <x:c r="K1802" s="7" t="n">
        <x:v>9925.08</x:v>
      </x:c>
      <x:c r="L1802" s="7" t="n">
        <x:v>3839.31</x:v>
      </x:c>
      <x:c r="M1802" s="3" t="str">
        <x:v>Credit Card</x:v>
      </x:c>
      <x:c r="N1802" s="3"/>
      <x:c r="O1802" s="3"/>
      <x:c r="P1802" s="3"/>
      <x:c r="Q1802" s="3"/>
    </x:row>
    <x:row r="1803" ht="21" customHeight="1">
      <x:c r="A1803" s="3" t="str">
        <x:v>ORD-100925</x:v>
      </x:c>
      <x:c r="B1803" s="5" t="n">
        <x:v>45786</x:v>
      </x:c>
      <x:c r="C1803" s="3" t="str">
        <x:v>CUST-00100</x:v>
      </x:c>
      <x:c r="D1803" s="3" t="str">
        <x:v>South</x:v>
      </x:c>
      <x:c r="E1803" s="3" t="str">
        <x:v>Electronics</x:v>
      </x:c>
      <x:c r="F1803" s="3" t="str">
        <x:v>Mobile</x:v>
      </x:c>
      <x:c r="G1803" s="3" t="str">
        <x:v>Pixel Aura 12</x:v>
      </x:c>
      <x:c r="H1803" s="3" t="n">
        <x:v>2</x:v>
      </x:c>
      <x:c r="I1803" s="7" t="n">
        <x:v>33961.31</x:v>
      </x:c>
      <x:c r="J1803" s="9" t="n">
        <x:v>0.1</x:v>
      </x:c>
      <x:c r="K1803" s="7" t="n">
        <x:v>61130.36</x:v>
      </x:c>
      <x:c r="L1803" s="7" t="n">
        <x:v>5059.12</x:v>
      </x:c>
      <x:c r="M1803" s="3" t="str">
        <x:v>Credit Card</x:v>
      </x:c>
      <x:c r="N1803" s="3"/>
      <x:c r="O1803" s="3"/>
      <x:c r="P1803" s="3"/>
      <x:c r="Q1803" s="3"/>
    </x:row>
    <x:row r="1804" ht="21" customHeight="1">
      <x:c r="A1804" s="3" t="str">
        <x:v>ORD-101055</x:v>
      </x:c>
      <x:c r="B1804" s="5" t="n">
        <x:v>45786</x:v>
      </x:c>
      <x:c r="C1804" s="3" t="str">
        <x:v>CUST-00280</x:v>
      </x:c>
      <x:c r="D1804" s="3" t="str">
        <x:v>North</x:v>
      </x:c>
      <x:c r="E1804" s="3" t="str">
        <x:v>Fashion</x:v>
      </x:c>
      <x:c r="F1804" s="3" t="str">
        <x:v>Women</x:v>
      </x:c>
      <x:c r="G1804" s="3" t="str">
        <x:v>Floral Summer Dress</x:v>
      </x:c>
      <x:c r="H1804" s="3" t="n">
        <x:v>1</x:v>
      </x:c>
      <x:c r="I1804" s="7" t="n">
        <x:v>1794.28</x:v>
      </x:c>
      <x:c r="J1804" s="9" t="n">
        <x:v>0.15</x:v>
      </x:c>
      <x:c r="K1804" s="7" t="n">
        <x:v>1525.14</x:v>
      </x:c>
      <x:c r="L1804" s="7" t="n">
        <x:v>343.72</x:v>
      </x:c>
      <x:c r="M1804" s="3" t="str">
        <x:v>UPI</x:v>
      </x:c>
      <x:c r="N1804" s="3"/>
      <x:c r="O1804" s="3"/>
      <x:c r="P1804" s="3"/>
      <x:c r="Q1804" s="3"/>
    </x:row>
    <x:row r="1805" ht="21" customHeight="1">
      <x:c r="A1805" s="3" t="str">
        <x:v>ORD-100786</x:v>
      </x:c>
      <x:c r="B1805" s="5" t="n">
        <x:v>45787</x:v>
      </x:c>
      <x:c r="C1805" s="3" t="str">
        <x:v>CUST-00532</x:v>
      </x:c>
      <x:c r="D1805" s="3" t="str">
        <x:v>South</x:v>
      </x:c>
      <x:c r="E1805" s="3" t="str">
        <x:v>Beauty</x:v>
      </x:c>
      <x:c r="F1805" s="3" t="str">
        <x:v>Makeup</x:v>
      </x:c>
      <x:c r="G1805" s="3" t="str">
        <x:v>HD Foundation Kit</x:v>
      </x:c>
      <x:c r="H1805" s="3" t="n">
        <x:v>1</x:v>
      </x:c>
      <x:c r="I1805" s="7" t="n">
        <x:v>1548.13</x:v>
      </x:c>
      <x:c r="J1805" s="9" t="n">
        <x:v>0.05</x:v>
      </x:c>
      <x:c r="K1805" s="7" t="n">
        <x:v>1470.72</x:v>
      </x:c>
      <x:c r="L1805" s="7" t="n">
        <x:v>700.93</x:v>
      </x:c>
      <x:c r="M1805" s="3" t="str">
        <x:v>Credit Card</x:v>
      </x:c>
      <x:c r="N1805" s="3"/>
      <x:c r="O1805" s="3"/>
      <x:c r="P1805" s="3"/>
      <x:c r="Q1805" s="3"/>
    </x:row>
    <x:row r="1806" ht="21" customHeight="1">
      <x:c r="A1806" s="3" t="str">
        <x:v>ORD-101273</x:v>
      </x:c>
      <x:c r="B1806" s="5" t="n">
        <x:v>45787</x:v>
      </x:c>
      <x:c r="C1806" s="3" t="str">
        <x:v>CUST-00159</x:v>
      </x:c>
      <x:c r="D1806" s="3" t="str">
        <x:v>South</x:v>
      </x:c>
      <x:c r="E1806" s="3" t="str">
        <x:v>Sports</x:v>
      </x:c>
      <x:c r="F1806" s="3" t="str">
        <x:v>Fitness</x:v>
      </x:c>
      <x:c r="G1806" s="3" t="str">
        <x:v>ProYoga Mat</x:v>
      </x:c>
      <x:c r="H1806" s="3" t="n">
        <x:v>4</x:v>
      </x:c>
      <x:c r="I1806" s="7" t="n">
        <x:v>1275.73</x:v>
      </x:c>
      <x:c r="J1806" s="9" t="n">
        <x:v>0.05</x:v>
      </x:c>
      <x:c r="K1806" s="7" t="n">
        <x:v>4847.77</x:v>
      </x:c>
      <x:c r="L1806" s="7" t="n">
        <x:v>1659.13</x:v>
      </x:c>
      <x:c r="M1806" s="3" t="str">
        <x:v>Credit Card</x:v>
      </x:c>
      <x:c r="N1806" s="3"/>
      <x:c r="O1806" s="3"/>
      <x:c r="P1806" s="3"/>
      <x:c r="Q1806" s="3"/>
    </x:row>
    <x:row r="1807" ht="21" customHeight="1">
      <x:c r="A1807" s="3" t="str">
        <x:v>ORD-101521</x:v>
      </x:c>
      <x:c r="B1807" s="5" t="n">
        <x:v>45787</x:v>
      </x:c>
      <x:c r="C1807" s="3" t="str">
        <x:v>CUST-00352</x:v>
      </x:c>
      <x:c r="D1807" s="3" t="str">
        <x:v>East</x:v>
      </x:c>
      <x:c r="E1807" s="3" t="str">
        <x:v>Electronics</x:v>
      </x:c>
      <x:c r="F1807" s="3" t="str">
        <x:v>Mobile</x:v>
      </x:c>
      <x:c r="G1807" s="3" t="str">
        <x:v>Pixel Aura 12</x:v>
      </x:c>
      <x:c r="H1807" s="3" t="n">
        <x:v>4</x:v>
      </x:c>
      <x:c r="I1807" s="7" t="n">
        <x:v>34546.42</x:v>
      </x:c>
      <x:c r="J1807" s="9" t="n">
        <x:v>0.05</x:v>
      </x:c>
      <x:c r="K1807" s="7" t="n">
        <x:v>131276.4</x:v>
      </x:c>
      <x:c r="L1807" s="7" t="n">
        <x:v>12211.61</x:v>
      </x:c>
      <x:c r="M1807" s="3" t="str">
        <x:v>UPI</x:v>
      </x:c>
      <x:c r="N1807" s="3"/>
      <x:c r="O1807" s="3"/>
      <x:c r="P1807" s="3"/>
      <x:c r="Q1807" s="3"/>
    </x:row>
    <x:row r="1808" ht="21" customHeight="1">
      <x:c r="A1808" s="3" t="str">
        <x:v>ORD-101978</x:v>
      </x:c>
      <x:c r="B1808" s="5" t="n">
        <x:v>45787</x:v>
      </x:c>
      <x:c r="C1808" s="3" t="str">
        <x:v>CUST-00028</x:v>
      </x:c>
      <x:c r="D1808" s="3" t="str">
        <x:v>East</x:v>
      </x:c>
      <x:c r="E1808" s="3" t="str">
        <x:v>Fashion</x:v>
      </x:c>
      <x:c r="F1808" s="3" t="str">
        <x:v>Men</x:v>
      </x:c>
      <x:c r="G1808" s="3" t="str">
        <x:v>SlimFit Denim Jeans</x:v>
      </x:c>
      <x:c r="H1808" s="3" t="n">
        <x:v>1</x:v>
      </x:c>
      <x:c r="I1808" s="7" t="n">
        <x:v>2056.34</x:v>
      </x:c>
      <x:c r="J1808" s="9" t="n">
        <x:v>0.2</x:v>
      </x:c>
      <x:c r="K1808" s="7" t="n">
        <x:v>1645.07</x:v>
      </x:c>
      <x:c r="L1808" s="7" t="n">
        <x:v>305.02</x:v>
      </x:c>
      <x:c r="M1808" s="3" t="str">
        <x:v>Credit Card</x:v>
      </x:c>
      <x:c r="N1808" s="3"/>
      <x:c r="O1808" s="3"/>
      <x:c r="P1808" s="3"/>
      <x:c r="Q1808" s="3"/>
    </x:row>
    <x:row r="1809" ht="21" customHeight="1">
      <x:c r="A1809" s="3" t="str">
        <x:v>ORD-100062</x:v>
      </x:c>
      <x:c r="B1809" s="5" t="n">
        <x:v>45788</x:v>
      </x:c>
      <x:c r="C1809" s="3" t="str">
        <x:v>CUST-00246</x:v>
      </x:c>
      <x:c r="D1809" s="3" t="str">
        <x:v>West</x:v>
      </x:c>
      <x:c r="E1809" s="3" t="str">
        <x:v>Beauty</x:v>
      </x:c>
      <x:c r="F1809" s="3" t="str">
        <x:v>Makeup</x:v>
      </x:c>
      <x:c r="G1809" s="3" t="str">
        <x:v>HD Foundation Kit</x:v>
      </x:c>
      <x:c r="H1809" s="3" t="n">
        <x:v>2</x:v>
      </x:c>
      <x:c r="I1809" s="7" t="n">
        <x:v>1454.56</x:v>
      </x:c>
      <x:c r="J1809" s="9" t="n">
        <x:v>0.15</x:v>
      </x:c>
      <x:c r="K1809" s="7" t="n">
        <x:v>2472.75</x:v>
      </x:c>
      <x:c r="L1809" s="7" t="n">
        <x:v>943.2</x:v>
      </x:c>
      <x:c r="M1809" s="3" t="str">
        <x:v>Credit Card</x:v>
      </x:c>
      <x:c r="N1809" s="3"/>
      <x:c r="O1809" s="3"/>
      <x:c r="P1809" s="3"/>
      <x:c r="Q1809" s="3"/>
    </x:row>
    <x:row r="1810" ht="21" customHeight="1">
      <x:c r="A1810" s="3" t="str">
        <x:v>ORD-100493</x:v>
      </x:c>
      <x:c r="B1810" s="5" t="n">
        <x:v>45788</x:v>
      </x:c>
      <x:c r="C1810" s="3" t="str">
        <x:v>CUST-00167</x:v>
      </x:c>
      <x:c r="D1810" s="3" t="str">
        <x:v>South</x:v>
      </x:c>
      <x:c r="E1810" s="3" t="str">
        <x:v>Home &amp; Kitchen</x:v>
      </x:c>
      <x:c r="F1810" s="3" t="str">
        <x:v>Decor</x:v>
      </x:c>
      <x:c r="G1810" s="3" t="str">
        <x:v>LED Wall Lamp</x:v>
      </x:c>
      <x:c r="H1810" s="3" t="n">
        <x:v>1</x:v>
      </x:c>
      <x:c r="I1810" s="7" t="n">
        <x:v>1031.3</x:v>
      </x:c>
      <x:c r="J1810" s="9" t="n">
        <x:v>0.1</x:v>
      </x:c>
      <x:c r="K1810" s="7" t="n">
        <x:v>928.17</x:v>
      </x:c>
      <x:c r="L1810" s="7" t="n">
        <x:v>163.39</x:v>
      </x:c>
      <x:c r="M1810" s="3" t="str">
        <x:v>UPI</x:v>
      </x:c>
      <x:c r="N1810" s="3"/>
      <x:c r="O1810" s="3"/>
      <x:c r="P1810" s="3"/>
      <x:c r="Q1810" s="3"/>
    </x:row>
    <x:row r="1811" ht="21" customHeight="1">
      <x:c r="A1811" s="3" t="str">
        <x:v>ORD-100039</x:v>
      </x:c>
      <x:c r="B1811" s="5" t="n">
        <x:v>45789</x:v>
      </x:c>
      <x:c r="C1811" s="3" t="str">
        <x:v>CUST-00345</x:v>
      </x:c>
      <x:c r="D1811" s="3" t="str">
        <x:v>South</x:v>
      </x:c>
      <x:c r="E1811" s="3" t="str">
        <x:v>Home &amp; Kitchen</x:v>
      </x:c>
      <x:c r="F1811" s="3" t="str">
        <x:v>Decor</x:v>
      </x:c>
      <x:c r="G1811" s="3" t="str">
        <x:v>LED Wall Lamp</x:v>
      </x:c>
      <x:c r="H1811" s="3" t="n">
        <x:v>1</x:v>
      </x:c>
      <x:c r="I1811" s="7" t="n">
        <x:v>1028.96</x:v>
      </x:c>
      <x:c r="J1811" s="9" t="n">
        <x:v>0.15</x:v>
      </x:c>
      <x:c r="K1811" s="7" t="n">
        <x:v>874.62</x:v>
      </x:c>
      <x:c r="L1811" s="7" t="n">
        <x:v>165.59</x:v>
      </x:c>
      <x:c r="M1811" s="3" t="str">
        <x:v>UPI</x:v>
      </x:c>
      <x:c r="N1811" s="3"/>
      <x:c r="O1811" s="3"/>
      <x:c r="P1811" s="3"/>
      <x:c r="Q1811" s="3"/>
    </x:row>
    <x:row r="1812" ht="21" customHeight="1">
      <x:c r="A1812" s="3" t="str">
        <x:v>ORD-101986</x:v>
      </x:c>
      <x:c r="B1812" s="5" t="n">
        <x:v>45789</x:v>
      </x:c>
      <x:c r="C1812" s="3" t="str">
        <x:v>CUST-00189</x:v>
      </x:c>
      <x:c r="D1812" s="3" t="str">
        <x:v>South</x:v>
      </x:c>
      <x:c r="E1812" s="3" t="str">
        <x:v>Electronics</x:v>
      </x:c>
      <x:c r="F1812" s="3" t="str">
        <x:v>Audio</x:v>
      </x:c>
      <x:c r="G1812" s="3" t="str">
        <x:v>BassBoom Speaker</x:v>
      </x:c>
      <x:c r="H1812" s="3" t="n">
        <x:v>5</x:v>
      </x:c>
      <x:c r="I1812" s="7" t="n">
        <x:v>9089.2</x:v>
      </x:c>
      <x:c r="J1812" s="9" t="n">
        <x:v>0.15</x:v>
      </x:c>
      <x:c r="K1812" s="7" t="n">
        <x:v>38629.1</x:v>
      </x:c>
      <x:c r="L1812" s="7" t="n">
        <x:v>184.2</x:v>
      </x:c>
      <x:c r="M1812" s="3" t="str">
        <x:v>Debit Card</x:v>
      </x:c>
      <x:c r="N1812" s="3"/>
      <x:c r="O1812" s="3"/>
      <x:c r="P1812" s="3"/>
      <x:c r="Q1812" s="3"/>
    </x:row>
    <x:row r="1813" ht="21" customHeight="1">
      <x:c r="A1813" s="3" t="str">
        <x:v>ORD-100550</x:v>
      </x:c>
      <x:c r="B1813" s="5" t="n">
        <x:v>45790</x:v>
      </x:c>
      <x:c r="C1813" s="3" t="str">
        <x:v>CUST-00370</x:v>
      </x:c>
      <x:c r="D1813" s="3" t="str">
        <x:v>East</x:v>
      </x:c>
      <x:c r="E1813" s="3" t="str">
        <x:v>Electronics</x:v>
      </x:c>
      <x:c r="F1813" s="3" t="str">
        <x:v>Laptop</x:v>
      </x:c>
      <x:c r="G1813" s="3" t="str">
        <x:v>ThinkPro 14</x:v>
      </x:c>
      <x:c r="H1813" s="3" t="n">
        <x:v>1</x:v>
      </x:c>
      <x:c r="I1813" s="7" t="n">
        <x:v>53193.58</x:v>
      </x:c>
      <x:c r="J1813" s="9" t="n">
        <x:v>0</x:v>
      </x:c>
      <x:c r="K1813" s="7" t="n">
        <x:v>53193.58</x:v>
      </x:c>
      <x:c r="L1813" s="7" t="n">
        <x:v>9477.48</x:v>
      </x:c>
      <x:c r="M1813" s="3" t="str">
        <x:v>Net Banking</x:v>
      </x:c>
      <x:c r="N1813" s="3"/>
      <x:c r="O1813" s="3"/>
      <x:c r="P1813" s="3"/>
      <x:c r="Q1813" s="3"/>
    </x:row>
    <x:row r="1814" ht="21" customHeight="1">
      <x:c r="A1814" s="3" t="str">
        <x:v>ORD-100944</x:v>
      </x:c>
      <x:c r="B1814" s="5" t="n">
        <x:v>45790</x:v>
      </x:c>
      <x:c r="C1814" s="3" t="str">
        <x:v>CUST-00385</x:v>
      </x:c>
      <x:c r="D1814" s="3" t="str">
        <x:v>North</x:v>
      </x:c>
      <x:c r="E1814" s="3" t="str">
        <x:v>Home &amp; Kitchen</x:v>
      </x:c>
      <x:c r="F1814" s="3" t="str">
        <x:v>Appliances</x:v>
      </x:c>
      <x:c r="G1814" s="3" t="str">
        <x:v>AirFryer Deluxe</x:v>
      </x:c>
      <x:c r="H1814" s="3" t="n">
        <x:v>3</x:v>
      </x:c>
      <x:c r="I1814" s="7" t="n">
        <x:v>7951.09</x:v>
      </x:c>
      <x:c r="J1814" s="9" t="n">
        <x:v>0.1</x:v>
      </x:c>
      <x:c r="K1814" s="7" t="n">
        <x:v>21467.94</x:v>
      </x:c>
      <x:c r="L1814" s="7" t="n">
        <x:v>4227.4</x:v>
      </x:c>
      <x:c r="M1814" s="3" t="str">
        <x:v>UPI</x:v>
      </x:c>
      <x:c r="N1814" s="3"/>
      <x:c r="O1814" s="3"/>
      <x:c r="P1814" s="3"/>
      <x:c r="Q1814" s="3"/>
    </x:row>
    <x:row r="1815" ht="21" customHeight="1">
      <x:c r="A1815" s="3" t="str">
        <x:v>ORD-101027</x:v>
      </x:c>
      <x:c r="B1815" s="5" t="n">
        <x:v>45790</x:v>
      </x:c>
      <x:c r="C1815" s="3" t="str">
        <x:v>CUST-00544</x:v>
      </x:c>
      <x:c r="D1815" s="3" t="str">
        <x:v>North</x:v>
      </x:c>
      <x:c r="E1815" s="3" t="str">
        <x:v>Fashion</x:v>
      </x:c>
      <x:c r="F1815" s="3" t="str">
        <x:v>Footwear</x:v>
      </x:c>
      <x:c r="G1815" s="3" t="str">
        <x:v>UrbanLoafers</x:v>
      </x:c>
      <x:c r="H1815" s="3" t="n">
        <x:v>2</x:v>
      </x:c>
      <x:c r="I1815" s="7" t="n">
        <x:v>3376.77</x:v>
      </x:c>
      <x:c r="J1815" s="9" t="n">
        <x:v>0.15</x:v>
      </x:c>
      <x:c r="K1815" s="7" t="n">
        <x:v>5740.51</x:v>
      </x:c>
      <x:c r="L1815" s="7" t="n">
        <x:v>1336.5</x:v>
      </x:c>
      <x:c r="M1815" s="3" t="str">
        <x:v>Debit Card</x:v>
      </x:c>
      <x:c r="N1815" s="3"/>
      <x:c r="O1815" s="3"/>
      <x:c r="P1815" s="3"/>
      <x:c r="Q1815" s="3"/>
    </x:row>
    <x:row r="1816" ht="21" customHeight="1">
      <x:c r="A1816" s="3" t="str">
        <x:v>ORD-101468</x:v>
      </x:c>
      <x:c r="B1816" s="5" t="n">
        <x:v>45790</x:v>
      </x:c>
      <x:c r="C1816" s="3" t="str">
        <x:v>CUST-00293</x:v>
      </x:c>
      <x:c r="D1816" s="3" t="str">
        <x:v>North</x:v>
      </x:c>
      <x:c r="E1816" s="3" t="str">
        <x:v>Beauty</x:v>
      </x:c>
      <x:c r="F1816" s="3" t="str">
        <x:v>Makeup</x:v>
      </x:c>
      <x:c r="G1816" s="3" t="str">
        <x:v>HD Foundation Kit</x:v>
      </x:c>
      <x:c r="H1816" s="3" t="n">
        <x:v>2</x:v>
      </x:c>
      <x:c r="I1816" s="7" t="n">
        <x:v>1446.98</x:v>
      </x:c>
      <x:c r="J1816" s="9" t="n">
        <x:v>0.3</x:v>
      </x:c>
      <x:c r="K1816" s="7" t="n">
        <x:v>2025.77</x:v>
      </x:c>
      <x:c r="L1816" s="7" t="n">
        <x:v>464.67</x:v>
      </x:c>
      <x:c r="M1816" s="3" t="str">
        <x:v>Credit Card</x:v>
      </x:c>
      <x:c r="N1816" s="3"/>
      <x:c r="O1816" s="3"/>
      <x:c r="P1816" s="3"/>
      <x:c r="Q1816" s="3"/>
    </x:row>
    <x:row r="1817" ht="21" customHeight="1">
      <x:c r="A1817" s="3" t="str">
        <x:v>ORD-101778</x:v>
      </x:c>
      <x:c r="B1817" s="5" t="n">
        <x:v>45790</x:v>
      </x:c>
      <x:c r="C1817" s="3" t="str">
        <x:v>CUST-00280</x:v>
      </x:c>
      <x:c r="D1817" s="3" t="str">
        <x:v>East</x:v>
      </x:c>
      <x:c r="E1817" s="3" t="str">
        <x:v>Home &amp; Kitchen</x:v>
      </x:c>
      <x:c r="F1817" s="3" t="str">
        <x:v>Appliances</x:v>
      </x:c>
      <x:c r="G1817" s="3" t="str">
        <x:v>AirFryer Deluxe</x:v>
      </x:c>
      <x:c r="H1817" s="3" t="n">
        <x:v>2</x:v>
      </x:c>
      <x:c r="I1817" s="7" t="n">
        <x:v>7652.01</x:v>
      </x:c>
      <x:c r="J1817" s="9" t="n">
        <x:v>0.05</x:v>
      </x:c>
      <x:c r="K1817" s="7" t="n">
        <x:v>14538.82</x:v>
      </x:c>
      <x:c r="L1817" s="7" t="n">
        <x:v>4086.75</x:v>
      </x:c>
      <x:c r="M1817" s="3" t="str">
        <x:v>Net Banking</x:v>
      </x:c>
      <x:c r="N1817" s="3"/>
      <x:c r="O1817" s="3"/>
      <x:c r="P1817" s="3"/>
      <x:c r="Q1817" s="3"/>
    </x:row>
    <x:row r="1818" ht="21" customHeight="1">
      <x:c r="A1818" s="3" t="str">
        <x:v>ORD-101806</x:v>
      </x:c>
      <x:c r="B1818" s="5" t="n">
        <x:v>45790</x:v>
      </x:c>
      <x:c r="C1818" s="3" t="str">
        <x:v>CUST-00118</x:v>
      </x:c>
      <x:c r="D1818" s="3" t="str">
        <x:v>South</x:v>
      </x:c>
      <x:c r="E1818" s="3" t="str">
        <x:v>Sports</x:v>
      </x:c>
      <x:c r="F1818" s="3" t="str">
        <x:v>Outdoor</x:v>
      </x:c>
      <x:c r="G1818" s="3" t="str">
        <x:v>AllWeather Tent 4P</x:v>
      </x:c>
      <x:c r="H1818" s="3" t="n">
        <x:v>1</x:v>
      </x:c>
      <x:c r="I1818" s="7" t="n">
        <x:v>12290.59</x:v>
      </x:c>
      <x:c r="J1818" s="9" t="n">
        <x:v>0</x:v>
      </x:c>
      <x:c r="K1818" s="7" t="n">
        <x:v>12290.59</x:v>
      </x:c>
      <x:c r="L1818" s="7" t="n">
        <x:v>4741.51</x:v>
      </x:c>
      <x:c r="M1818" s="3" t="str">
        <x:v>Credit Card</x:v>
      </x:c>
      <x:c r="N1818" s="3"/>
      <x:c r="O1818" s="3"/>
      <x:c r="P1818" s="3"/>
      <x:c r="Q1818" s="3"/>
    </x:row>
    <x:row r="1819" ht="21" customHeight="1">
      <x:c r="A1819" s="3" t="str">
        <x:v>ORD-100691</x:v>
      </x:c>
      <x:c r="B1819" s="5" t="n">
        <x:v>45791</x:v>
      </x:c>
      <x:c r="C1819" s="3" t="str">
        <x:v>CUST-00007</x:v>
      </x:c>
      <x:c r="D1819" s="3" t="str">
        <x:v>West</x:v>
      </x:c>
      <x:c r="E1819" s="3" t="str">
        <x:v>Home &amp; Kitchen</x:v>
      </x:c>
      <x:c r="F1819" s="3" t="str">
        <x:v>Decor</x:v>
      </x:c>
      <x:c r="G1819" s="3" t="str">
        <x:v>Ceramic Vase Set</x:v>
      </x:c>
      <x:c r="H1819" s="3" t="n">
        <x:v>1</x:v>
      </x:c>
      <x:c r="I1819" s="7" t="n">
        <x:v>1483.05</x:v>
      </x:c>
      <x:c r="J1819" s="9" t="n">
        <x:v>0.1</x:v>
      </x:c>
      <x:c r="K1819" s="7" t="n">
        <x:v>1334.74</x:v>
      </x:c>
      <x:c r="L1819" s="7" t="n">
        <x:v>332.14</x:v>
      </x:c>
      <x:c r="M1819" s="3" t="str">
        <x:v>Cash on Delivery</x:v>
      </x:c>
      <x:c r="N1819" s="3"/>
      <x:c r="O1819" s="3"/>
      <x:c r="P1819" s="3"/>
      <x:c r="Q1819" s="3"/>
    </x:row>
    <x:row r="1820" ht="21" customHeight="1">
      <x:c r="A1820" s="3" t="str">
        <x:v>ORD-100737</x:v>
      </x:c>
      <x:c r="B1820" s="5" t="n">
        <x:v>45791</x:v>
      </x:c>
      <x:c r="C1820" s="3" t="str">
        <x:v>CUST-00294</x:v>
      </x:c>
      <x:c r="D1820" s="3" t="str">
        <x:v>North</x:v>
      </x:c>
      <x:c r="E1820" s="3" t="str">
        <x:v>Home &amp; Kitchen</x:v>
      </x:c>
      <x:c r="F1820" s="3" t="str">
        <x:v>Furniture</x:v>
      </x:c>
      <x:c r="G1820" s="3" t="str">
        <x:v>ErgoComfort Chair</x:v>
      </x:c>
      <x:c r="H1820" s="3" t="n">
        <x:v>1</x:v>
      </x:c>
      <x:c r="I1820" s="7" t="n">
        <x:v>8876.01</x:v>
      </x:c>
      <x:c r="J1820" s="9" t="n">
        <x:v>0</x:v>
      </x:c>
      <x:c r="K1820" s="7" t="n">
        <x:v>8876.01</x:v>
      </x:c>
      <x:c r="L1820" s="7" t="n">
        <x:v>2637.4</x:v>
      </x:c>
      <x:c r="M1820" s="3" t="str">
        <x:v>Debit Card</x:v>
      </x:c>
      <x:c r="N1820" s="3"/>
      <x:c r="O1820" s="3"/>
      <x:c r="P1820" s="3"/>
      <x:c r="Q1820" s="3"/>
    </x:row>
    <x:row r="1821" ht="21" customHeight="1">
      <x:c r="A1821" s="3" t="str">
        <x:v>ORD-100980</x:v>
      </x:c>
      <x:c r="B1821" s="5" t="n">
        <x:v>45791</x:v>
      </x:c>
      <x:c r="C1821" s="3" t="str">
        <x:v>CUST-00580</x:v>
      </x:c>
      <x:c r="D1821" s="3" t="str">
        <x:v>East</x:v>
      </x:c>
      <x:c r="E1821" s="3" t="str">
        <x:v>Home &amp; Kitchen</x:v>
      </x:c>
      <x:c r="F1821" s="3" t="str">
        <x:v>Furniture</x:v>
      </x:c>
      <x:c r="G1821" s="3" t="str">
        <x:v>Oakwood Study Desk</x:v>
      </x:c>
      <x:c r="H1821" s="3" t="n">
        <x:v>1</x:v>
      </x:c>
      <x:c r="I1821" s="7" t="n">
        <x:v>12664.59</x:v>
      </x:c>
      <x:c r="J1821" s="9" t="n">
        <x:v>0.15</x:v>
      </x:c>
      <x:c r="K1821" s="7" t="n">
        <x:v>10764.9</x:v>
      </x:c>
      <x:c r="L1821" s="7" t="n">
        <x:v>1691.15</x:v>
      </x:c>
      <x:c r="M1821" s="3" t="str">
        <x:v>Credit Card</x:v>
      </x:c>
      <x:c r="N1821" s="3"/>
      <x:c r="O1821" s="3"/>
      <x:c r="P1821" s="3"/>
      <x:c r="Q1821" s="3"/>
    </x:row>
    <x:row r="1822" ht="21" customHeight="1">
      <x:c r="A1822" s="3" t="str">
        <x:v>ORD-101729</x:v>
      </x:c>
      <x:c r="B1822" s="5" t="n">
        <x:v>45791</x:v>
      </x:c>
      <x:c r="C1822" s="3" t="str">
        <x:v>CUST-00572</x:v>
      </x:c>
      <x:c r="D1822" s="3" t="str">
        <x:v>East</x:v>
      </x:c>
      <x:c r="E1822" s="3" t="str">
        <x:v>Beauty</x:v>
      </x:c>
      <x:c r="F1822" s="3" t="str">
        <x:v>Makeup</x:v>
      </x:c>
      <x:c r="G1822" s="3" t="str">
        <x:v>HD Foundation Kit</x:v>
      </x:c>
      <x:c r="H1822" s="3" t="n">
        <x:v>1</x:v>
      </x:c>
      <x:c r="I1822" s="7" t="n">
        <x:v>1560.14</x:v>
      </x:c>
      <x:c r="J1822" s="9" t="n">
        <x:v>0</x:v>
      </x:c>
      <x:c r="K1822" s="7" t="n">
        <x:v>1560.14</x:v>
      </x:c>
      <x:c r="L1822" s="7" t="n">
        <x:v>908</x:v>
      </x:c>
      <x:c r="M1822" s="3" t="str">
        <x:v>Debit Card</x:v>
      </x:c>
      <x:c r="N1822" s="3"/>
      <x:c r="O1822" s="3"/>
      <x:c r="P1822" s="3"/>
      <x:c r="Q1822" s="3"/>
    </x:row>
    <x:row r="1823" ht="21" customHeight="1">
      <x:c r="A1823" s="3" t="str">
        <x:v>ORD-101812</x:v>
      </x:c>
      <x:c r="B1823" s="5" t="n">
        <x:v>45791</x:v>
      </x:c>
      <x:c r="C1823" s="3" t="str">
        <x:v>CUST-00017</x:v>
      </x:c>
      <x:c r="D1823" s="3" t="str">
        <x:v>South</x:v>
      </x:c>
      <x:c r="E1823" s="3" t="str">
        <x:v>Home &amp; Kitchen</x:v>
      </x:c>
      <x:c r="F1823" s="3" t="str">
        <x:v>Appliances</x:v>
      </x:c>
      <x:c r="G1823" s="3" t="str">
        <x:v>AirFryer Deluxe</x:v>
      </x:c>
      <x:c r="H1823" s="3" t="n">
        <x:v>1</x:v>
      </x:c>
      <x:c r="I1823" s="7" t="n">
        <x:v>8179.14</x:v>
      </x:c>
      <x:c r="J1823" s="9" t="n">
        <x:v>0.4</x:v>
      </x:c>
      <x:c r="K1823" s="7" t="n">
        <x:v>4907.48</x:v>
      </x:c>
      <x:c r="L1823" s="7" t="n">
        <x:v>-452.69</x:v>
      </x:c>
      <x:c r="M1823" s="3" t="str">
        <x:v>Net Banking</x:v>
      </x:c>
      <x:c r="N1823" s="3"/>
      <x:c r="O1823" s="3"/>
      <x:c r="P1823" s="3"/>
      <x:c r="Q1823" s="3"/>
    </x:row>
    <x:row r="1824" ht="21" customHeight="1">
      <x:c r="A1824" s="3" t="str">
        <x:v>ORD-101896</x:v>
      </x:c>
      <x:c r="B1824" s="5" t="n">
        <x:v>45791</x:v>
      </x:c>
      <x:c r="C1824" s="3" t="str">
        <x:v>CUST-00287</x:v>
      </x:c>
      <x:c r="D1824" s="3" t="str">
        <x:v>South</x:v>
      </x:c>
      <x:c r="E1824" s="3" t="str">
        <x:v>Sports</x:v>
      </x:c>
      <x:c r="F1824" s="3" t="str">
        <x:v>Outdoor</x:v>
      </x:c>
      <x:c r="G1824" s="3" t="str">
        <x:v>TrailHike Backpack 60L</x:v>
      </x:c>
      <x:c r="H1824" s="3" t="n">
        <x:v>1</x:v>
      </x:c>
      <x:c r="I1824" s="7" t="n">
        <x:v>3630.85</x:v>
      </x:c>
      <x:c r="J1824" s="9" t="n">
        <x:v>0.2</x:v>
      </x:c>
      <x:c r="K1824" s="7" t="n">
        <x:v>2904.68</x:v>
      </x:c>
      <x:c r="L1824" s="7" t="n">
        <x:v>522.03</x:v>
      </x:c>
      <x:c r="M1824" s="3" t="str">
        <x:v>Debit Card</x:v>
      </x:c>
      <x:c r="N1824" s="3"/>
      <x:c r="O1824" s="3"/>
      <x:c r="P1824" s="3"/>
      <x:c r="Q1824" s="3"/>
    </x:row>
    <x:row r="1825" ht="21" customHeight="1">
      <x:c r="A1825" s="3" t="str">
        <x:v>ORD-100454</x:v>
      </x:c>
      <x:c r="B1825" s="5" t="n">
        <x:v>45792</x:v>
      </x:c>
      <x:c r="C1825" s="3" t="str">
        <x:v>CUST-00483</x:v>
      </x:c>
      <x:c r="D1825" s="3" t="str">
        <x:v>West</x:v>
      </x:c>
      <x:c r="E1825" s="3" t="str">
        <x:v>Home &amp; Kitchen</x:v>
      </x:c>
      <x:c r="F1825" s="3" t="str">
        <x:v>Appliances</x:v>
      </x:c>
      <x:c r="G1825" s="3" t="str">
        <x:v>AirFryer Deluxe</x:v>
      </x:c>
      <x:c r="H1825" s="3" t="n">
        <x:v>1</x:v>
      </x:c>
      <x:c r="I1825" s="7" t="n">
        <x:v>8122.06</x:v>
      </x:c>
      <x:c r="J1825" s="9" t="n">
        <x:v>0</x:v>
      </x:c>
      <x:c r="K1825" s="7" t="n">
        <x:v>8122.06</x:v>
      </x:c>
      <x:c r="L1825" s="7" t="n">
        <x:v>2695.3</x:v>
      </x:c>
      <x:c r="M1825" s="3" t="str">
        <x:v>Net Banking</x:v>
      </x:c>
      <x:c r="N1825" s="3"/>
      <x:c r="O1825" s="3"/>
      <x:c r="P1825" s="3"/>
      <x:c r="Q1825" s="3"/>
    </x:row>
    <x:row r="1826" ht="21" customHeight="1">
      <x:c r="A1826" s="3" t="str">
        <x:v>ORD-100791</x:v>
      </x:c>
      <x:c r="B1826" s="5" t="n">
        <x:v>45792</x:v>
      </x:c>
      <x:c r="C1826" s="3" t="str">
        <x:v>CUST-00441</x:v>
      </x:c>
      <x:c r="D1826" s="3" t="str">
        <x:v>West</x:v>
      </x:c>
      <x:c r="E1826" s="3" t="str">
        <x:v>Home &amp; Kitchen</x:v>
      </x:c>
      <x:c r="F1826" s="3" t="str">
        <x:v>Decor</x:v>
      </x:c>
      <x:c r="G1826" s="3" t="str">
        <x:v>LED Wall Lamp</x:v>
      </x:c>
      <x:c r="H1826" s="3" t="n">
        <x:v>1</x:v>
      </x:c>
      <x:c r="I1826" s="7" t="n">
        <x:v>994.39</x:v>
      </x:c>
      <x:c r="J1826" s="9" t="n">
        <x:v>0</x:v>
      </x:c>
      <x:c r="K1826" s="7" t="n">
        <x:v>994.39</x:v>
      </x:c>
      <x:c r="L1826" s="7" t="n">
        <x:v>305.66</x:v>
      </x:c>
      <x:c r="M1826" s="3" t="str">
        <x:v>UPI</x:v>
      </x:c>
      <x:c r="N1826" s="3"/>
      <x:c r="O1826" s="3"/>
      <x:c r="P1826" s="3"/>
      <x:c r="Q1826" s="3"/>
    </x:row>
    <x:row r="1827" ht="21" customHeight="1">
      <x:c r="A1827" s="3" t="str">
        <x:v>ORD-100854</x:v>
      </x:c>
      <x:c r="B1827" s="5" t="n">
        <x:v>45792</x:v>
      </x:c>
      <x:c r="C1827" s="3" t="str">
        <x:v>CUST-00241</x:v>
      </x:c>
      <x:c r="D1827" s="3" t="str">
        <x:v>East</x:v>
      </x:c>
      <x:c r="E1827" s="3" t="str">
        <x:v>Sports</x:v>
      </x:c>
      <x:c r="F1827" s="3" t="str">
        <x:v>Outdoor</x:v>
      </x:c>
      <x:c r="G1827" s="3" t="str">
        <x:v>AllWeather Tent 4P</x:v>
      </x:c>
      <x:c r="H1827" s="3" t="n">
        <x:v>1</x:v>
      </x:c>
      <x:c r="I1827" s="7" t="n">
        <x:v>11610.47</x:v>
      </x:c>
      <x:c r="J1827" s="9" t="n">
        <x:v>0.05</x:v>
      </x:c>
      <x:c r="K1827" s="7" t="n">
        <x:v>11029.95</x:v>
      </x:c>
      <x:c r="L1827" s="7" t="n">
        <x:v>3959.81</x:v>
      </x:c>
      <x:c r="M1827" s="3" t="str">
        <x:v>UPI</x:v>
      </x:c>
      <x:c r="N1827" s="3"/>
      <x:c r="O1827" s="3"/>
      <x:c r="P1827" s="3"/>
      <x:c r="Q1827" s="3"/>
    </x:row>
    <x:row r="1828" ht="21" customHeight="1">
      <x:c r="A1828" s="3" t="str">
        <x:v>ORD-100866</x:v>
      </x:c>
      <x:c r="B1828" s="5" t="n">
        <x:v>45792</x:v>
      </x:c>
      <x:c r="C1828" s="3" t="str">
        <x:v>CUST-00321</x:v>
      </x:c>
      <x:c r="D1828" s="3" t="str">
        <x:v>North</x:v>
      </x:c>
      <x:c r="E1828" s="3" t="str">
        <x:v>Fashion</x:v>
      </x:c>
      <x:c r="F1828" s="3" t="str">
        <x:v>Men</x:v>
      </x:c>
      <x:c r="G1828" s="3" t="str">
        <x:v>Oxford Casual Shirt</x:v>
      </x:c>
      <x:c r="H1828" s="3" t="n">
        <x:v>2</x:v>
      </x:c>
      <x:c r="I1828" s="7" t="n">
        <x:v>1347.25</x:v>
      </x:c>
      <x:c r="J1828" s="9" t="n">
        <x:v>0.1</x:v>
      </x:c>
      <x:c r="K1828" s="7" t="n">
        <x:v>2425.05</x:v>
      </x:c>
      <x:c r="L1828" s="7" t="n">
        <x:v>694.66</x:v>
      </x:c>
      <x:c r="M1828" s="3" t="str">
        <x:v>Credit Card</x:v>
      </x:c>
      <x:c r="N1828" s="3"/>
      <x:c r="O1828" s="3"/>
      <x:c r="P1828" s="3"/>
      <x:c r="Q1828" s="3"/>
    </x:row>
    <x:row r="1829" ht="21" customHeight="1">
      <x:c r="A1829" s="3" t="str">
        <x:v>ORD-100898</x:v>
      </x:c>
      <x:c r="B1829" s="5" t="n">
        <x:v>45792</x:v>
      </x:c>
      <x:c r="C1829" s="3" t="str">
        <x:v>CUST-00028</x:v>
      </x:c>
      <x:c r="D1829" s="3" t="str">
        <x:v>South</x:v>
      </x:c>
      <x:c r="E1829" s="3" t="str">
        <x:v>Fashion</x:v>
      </x:c>
      <x:c r="F1829" s="3" t="str">
        <x:v>Women</x:v>
      </x:c>
      <x:c r="G1829" s="3" t="str">
        <x:v>Knit Winter Sweater</x:v>
      </x:c>
      <x:c r="H1829" s="3" t="n">
        <x:v>4</x:v>
      </x:c>
      <x:c r="I1829" s="7" t="n">
        <x:v>2249.66</x:v>
      </x:c>
      <x:c r="J1829" s="9" t="n">
        <x:v>0.15</x:v>
      </x:c>
      <x:c r="K1829" s="7" t="n">
        <x:v>7648.84</x:v>
      </x:c>
      <x:c r="L1829" s="7" t="n">
        <x:v>1846.95</x:v>
      </x:c>
      <x:c r="M1829" s="3" t="str">
        <x:v>UPI</x:v>
      </x:c>
      <x:c r="N1829" s="3"/>
      <x:c r="O1829" s="3"/>
      <x:c r="P1829" s="3"/>
      <x:c r="Q1829" s="3"/>
    </x:row>
    <x:row r="1830" ht="21" customHeight="1">
      <x:c r="A1830" s="3" t="str">
        <x:v>ORD-101080</x:v>
      </x:c>
      <x:c r="B1830" s="5" t="n">
        <x:v>45792</x:v>
      </x:c>
      <x:c r="C1830" s="3" t="str">
        <x:v>CUST-00383</x:v>
      </x:c>
      <x:c r="D1830" s="3" t="str">
        <x:v>East</x:v>
      </x:c>
      <x:c r="E1830" s="3" t="str">
        <x:v>Electronics</x:v>
      </x:c>
      <x:c r="F1830" s="3" t="str">
        <x:v>Audio</x:v>
      </x:c>
      <x:c r="G1830" s="3" t="str">
        <x:v>SoundPods Pro</x:v>
      </x:c>
      <x:c r="H1830" s="3" t="n">
        <x:v>1</x:v>
      </x:c>
      <x:c r="I1830" s="7" t="n">
        <x:v>5220.1</x:v>
      </x:c>
      <x:c r="J1830" s="9" t="n">
        <x:v>0.1</x:v>
      </x:c>
      <x:c r="K1830" s="7" t="n">
        <x:v>4698.09</x:v>
      </x:c>
      <x:c r="L1830" s="7" t="n">
        <x:v>395.47</x:v>
      </x:c>
      <x:c r="M1830" s="3" t="str">
        <x:v>Debit Card</x:v>
      </x:c>
      <x:c r="N1830" s="3"/>
      <x:c r="O1830" s="3"/>
      <x:c r="P1830" s="3"/>
      <x:c r="Q1830" s="3"/>
    </x:row>
    <x:row r="1831" ht="21" customHeight="1">
      <x:c r="A1831" s="3" t="str">
        <x:v>ORD-101794</x:v>
      </x:c>
      <x:c r="B1831" s="5" t="n">
        <x:v>45792</x:v>
      </x:c>
      <x:c r="C1831" s="3" t="str">
        <x:v>CUST-00412</x:v>
      </x:c>
      <x:c r="D1831" s="3" t="str">
        <x:v>East</x:v>
      </x:c>
      <x:c r="E1831" s="3" t="str">
        <x:v>Electronics</x:v>
      </x:c>
      <x:c r="F1831" s="3" t="str">
        <x:v>Mobile</x:v>
      </x:c>
      <x:c r="G1831" s="3" t="str">
        <x:v>iPhone Zeta</x:v>
      </x:c>
      <x:c r="H1831" s="3" t="n">
        <x:v>2</x:v>
      </x:c>
      <x:c r="I1831" s="7" t="n">
        <x:v>71004.01</x:v>
      </x:c>
      <x:c r="J1831" s="9" t="n">
        <x:v>0.1</x:v>
      </x:c>
      <x:c r="K1831" s="7" t="n">
        <x:v>127807.22</x:v>
      </x:c>
      <x:c r="L1831" s="7" t="n">
        <x:v>11858.82</x:v>
      </x:c>
      <x:c r="M1831" s="3" t="str">
        <x:v>UPI</x:v>
      </x:c>
      <x:c r="N1831" s="3"/>
      <x:c r="O1831" s="3"/>
      <x:c r="P1831" s="3"/>
      <x:c r="Q1831" s="3"/>
    </x:row>
    <x:row r="1832" ht="21" customHeight="1">
      <x:c r="A1832" s="3" t="str">
        <x:v>ORD-101977</x:v>
      </x:c>
      <x:c r="B1832" s="5" t="n">
        <x:v>45792</x:v>
      </x:c>
      <x:c r="C1832" s="3" t="str">
        <x:v>CUST-00160</x:v>
      </x:c>
      <x:c r="D1832" s="3" t="str">
        <x:v>East</x:v>
      </x:c>
      <x:c r="E1832" s="3" t="str">
        <x:v>Home &amp; Kitchen</x:v>
      </x:c>
      <x:c r="F1832" s="3" t="str">
        <x:v>Furniture</x:v>
      </x:c>
      <x:c r="G1832" s="3" t="str">
        <x:v>ErgoComfort Chair</x:v>
      </x:c>
      <x:c r="H1832" s="3" t="n">
        <x:v>1</x:v>
      </x:c>
      <x:c r="I1832" s="7" t="n">
        <x:v>8649.43</x:v>
      </x:c>
      <x:c r="J1832" s="9" t="n">
        <x:v>0</x:v>
      </x:c>
      <x:c r="K1832" s="7" t="n">
        <x:v>8649.43</x:v>
      </x:c>
      <x:c r="L1832" s="7" t="n">
        <x:v>2804.05</x:v>
      </x:c>
      <x:c r="M1832" s="3" t="str">
        <x:v>UPI</x:v>
      </x:c>
      <x:c r="N1832" s="3"/>
      <x:c r="O1832" s="3"/>
      <x:c r="P1832" s="3"/>
      <x:c r="Q1832" s="3"/>
    </x:row>
    <x:row r="1833" ht="21" customHeight="1">
      <x:c r="A1833" s="3" t="str">
        <x:v>ORD-100045</x:v>
      </x:c>
      <x:c r="B1833" s="5" t="n">
        <x:v>45793</x:v>
      </x:c>
      <x:c r="C1833" s="3" t="str">
        <x:v>CUST-00371</x:v>
      </x:c>
      <x:c r="D1833" s="3" t="str">
        <x:v>North</x:v>
      </x:c>
      <x:c r="E1833" s="3" t="str">
        <x:v>Beauty</x:v>
      </x:c>
      <x:c r="F1833" s="3" t="str">
        <x:v>Skincare</x:v>
      </x:c>
      <x:c r="G1833" s="3" t="str">
        <x:v>HydraBoost Moisturizer</x:v>
      </x:c>
      <x:c r="H1833" s="3" t="n">
        <x:v>1</x:v>
      </x:c>
      <x:c r="I1833" s="7" t="n">
        <x:v>1147.32</x:v>
      </x:c>
      <x:c r="J1833" s="9" t="n">
        <x:v>0.1</x:v>
      </x:c>
      <x:c r="K1833" s="7" t="n">
        <x:v>1032.59</x:v>
      </x:c>
      <x:c r="L1833" s="7" t="n">
        <x:v>461.36</x:v>
      </x:c>
      <x:c r="M1833" s="3" t="str">
        <x:v>Credit Card</x:v>
      </x:c>
      <x:c r="N1833" s="3"/>
      <x:c r="O1833" s="3"/>
      <x:c r="P1833" s="3"/>
      <x:c r="Q1833" s="3"/>
    </x:row>
    <x:row r="1834" ht="21" customHeight="1">
      <x:c r="A1834" s="3" t="str">
        <x:v>ORD-100080</x:v>
      </x:c>
      <x:c r="B1834" s="5" t="n">
        <x:v>45793</x:v>
      </x:c>
      <x:c r="C1834" s="3" t="str">
        <x:v>CUST-00287</x:v>
      </x:c>
      <x:c r="D1834" s="3" t="str">
        <x:v>East</x:v>
      </x:c>
      <x:c r="E1834" s="3" t="str">
        <x:v>Fashion</x:v>
      </x:c>
      <x:c r="F1834" s="3" t="str">
        <x:v>Women</x:v>
      </x:c>
      <x:c r="G1834" s="3" t="str">
        <x:v>Knit Winter Sweater</x:v>
      </x:c>
      <x:c r="H1834" s="3" t="n">
        <x:v>1</x:v>
      </x:c>
      <x:c r="I1834" s="7" t="n">
        <x:v>2242.21</x:v>
      </x:c>
      <x:c r="J1834" s="9" t="n">
        <x:v>0.25</x:v>
      </x:c>
      <x:c r="K1834" s="7" t="n">
        <x:v>1681.66</x:v>
      </x:c>
      <x:c r="L1834" s="7" t="n">
        <x:v>228.23</x:v>
      </x:c>
      <x:c r="M1834" s="3" t="str">
        <x:v>Debit Card</x:v>
      </x:c>
      <x:c r="N1834" s="3"/>
      <x:c r="O1834" s="3"/>
      <x:c r="P1834" s="3"/>
      <x:c r="Q1834" s="3"/>
    </x:row>
    <x:row r="1835" ht="21" customHeight="1">
      <x:c r="A1835" s="3" t="str">
        <x:v>ORD-100369</x:v>
      </x:c>
      <x:c r="B1835" s="5" t="n">
        <x:v>45793</x:v>
      </x:c>
      <x:c r="C1835" s="3" t="str">
        <x:v>CUST-00263</x:v>
      </x:c>
      <x:c r="D1835" s="3" t="str">
        <x:v>East</x:v>
      </x:c>
      <x:c r="E1835" s="3" t="str">
        <x:v>Electronics</x:v>
      </x:c>
      <x:c r="F1835" s="3" t="str">
        <x:v>Mobile</x:v>
      </x:c>
      <x:c r="G1835" s="3" t="str">
        <x:v>Galaxy Nova X5</x:v>
      </x:c>
      <x:c r="H1835" s="3" t="n">
        <x:v>3</x:v>
      </x:c>
      <x:c r="I1835" s="7" t="n">
        <x:v>24962.43</x:v>
      </x:c>
      <x:c r="J1835" s="9" t="n">
        <x:v>0</x:v>
      </x:c>
      <x:c r="K1835" s="7" t="n">
        <x:v>74887.29</x:v>
      </x:c>
      <x:c r="L1835" s="7" t="n">
        <x:v>11075.85</x:v>
      </x:c>
      <x:c r="M1835" s="3" t="str">
        <x:v>Debit Card</x:v>
      </x:c>
      <x:c r="N1835" s="3"/>
      <x:c r="O1835" s="3"/>
      <x:c r="P1835" s="3"/>
      <x:c r="Q1835" s="3"/>
    </x:row>
    <x:row r="1836" ht="21" customHeight="1">
      <x:c r="A1836" s="3" t="str">
        <x:v>ORD-100904</x:v>
      </x:c>
      <x:c r="B1836" s="5" t="n">
        <x:v>45793</x:v>
      </x:c>
      <x:c r="C1836" s="3" t="str">
        <x:v>CUST-00052</x:v>
      </x:c>
      <x:c r="D1836" s="3" t="str">
        <x:v>South</x:v>
      </x:c>
      <x:c r="E1836" s="3" t="str">
        <x:v>Beauty</x:v>
      </x:c>
      <x:c r="F1836" s="3" t="str">
        <x:v>Makeup</x:v>
      </x:c>
      <x:c r="G1836" s="3" t="str">
        <x:v>Matte Lipstick Set</x:v>
      </x:c>
      <x:c r="H1836" s="3" t="n">
        <x:v>1</x:v>
      </x:c>
      <x:c r="I1836" s="7" t="n">
        <x:v>1036.18</x:v>
      </x:c>
      <x:c r="J1836" s="9" t="n">
        <x:v>0.1</x:v>
      </x:c>
      <x:c r="K1836" s="7" t="n">
        <x:v>932.56</x:v>
      </x:c>
      <x:c r="L1836" s="7" t="n">
        <x:v>400.81</x:v>
      </x:c>
      <x:c r="M1836" s="3" t="str">
        <x:v>UPI</x:v>
      </x:c>
      <x:c r="N1836" s="3"/>
      <x:c r="O1836" s="3"/>
      <x:c r="P1836" s="3"/>
      <x:c r="Q1836" s="3"/>
    </x:row>
    <x:row r="1837" ht="21" customHeight="1">
      <x:c r="A1837" s="3" t="str">
        <x:v>ORD-101258</x:v>
      </x:c>
      <x:c r="B1837" s="5" t="n">
        <x:v>45793</x:v>
      </x:c>
      <x:c r="C1837" s="3" t="str">
        <x:v>CUST-00396</x:v>
      </x:c>
      <x:c r="D1837" s="3" t="str">
        <x:v>East</x:v>
      </x:c>
      <x:c r="E1837" s="3" t="str">
        <x:v>Fashion</x:v>
      </x:c>
      <x:c r="F1837" s="3" t="str">
        <x:v>Women</x:v>
      </x:c>
      <x:c r="G1837" s="3" t="str">
        <x:v>Knit Winter Sweater</x:v>
      </x:c>
      <x:c r="H1837" s="3" t="n">
        <x:v>1</x:v>
      </x:c>
      <x:c r="I1837" s="7" t="n">
        <x:v>2295.66</x:v>
      </x:c>
      <x:c r="J1837" s="9" t="n">
        <x:v>0.2</x:v>
      </x:c>
      <x:c r="K1837" s="7" t="n">
        <x:v>1836.53</x:v>
      </x:c>
      <x:c r="L1837" s="7" t="n">
        <x:v>291.08</x:v>
      </x:c>
      <x:c r="M1837" s="3" t="str">
        <x:v>UPI</x:v>
      </x:c>
      <x:c r="N1837" s="3"/>
      <x:c r="O1837" s="3"/>
      <x:c r="P1837" s="3"/>
      <x:c r="Q1837" s="3"/>
    </x:row>
    <x:row r="1838" ht="21" customHeight="1">
      <x:c r="A1838" s="3" t="str">
        <x:v>ORD-101884</x:v>
      </x:c>
      <x:c r="B1838" s="5" t="n">
        <x:v>45793</x:v>
      </x:c>
      <x:c r="C1838" s="3" t="str">
        <x:v>CUST-00087</x:v>
      </x:c>
      <x:c r="D1838" s="3" t="str">
        <x:v>North</x:v>
      </x:c>
      <x:c r="E1838" s="3" t="str">
        <x:v>Electronics</x:v>
      </x:c>
      <x:c r="F1838" s="3" t="str">
        <x:v>Laptop</x:v>
      </x:c>
      <x:c r="G1838" s="3" t="str">
        <x:v>ThinkPro 14</x:v>
      </x:c>
      <x:c r="H1838" s="3" t="n">
        <x:v>2</x:v>
      </x:c>
      <x:c r="I1838" s="7" t="n">
        <x:v>55419.49</x:v>
      </x:c>
      <x:c r="J1838" s="9" t="n">
        <x:v>0</x:v>
      </x:c>
      <x:c r="K1838" s="7" t="n">
        <x:v>110838.98</x:v>
      </x:c>
      <x:c r="L1838" s="7" t="n">
        <x:v>21218.9</x:v>
      </x:c>
      <x:c r="M1838" s="3" t="str">
        <x:v>Credit Card</x:v>
      </x:c>
      <x:c r="N1838" s="3"/>
      <x:c r="O1838" s="3"/>
      <x:c r="P1838" s="3"/>
      <x:c r="Q1838" s="3"/>
    </x:row>
    <x:row r="1839" ht="21" customHeight="1">
      <x:c r="A1839" s="3" t="str">
        <x:v>ORD-100171</x:v>
      </x:c>
      <x:c r="B1839" s="5" t="n">
        <x:v>45794</x:v>
      </x:c>
      <x:c r="C1839" s="3" t="str">
        <x:v>CUST-00361</x:v>
      </x:c>
      <x:c r="D1839" s="3" t="str">
        <x:v>South</x:v>
      </x:c>
      <x:c r="E1839" s="3" t="str">
        <x:v>Home &amp; Kitchen</x:v>
      </x:c>
      <x:c r="F1839" s="3" t="str">
        <x:v>Furniture</x:v>
      </x:c>
      <x:c r="G1839" s="3" t="str">
        <x:v>ErgoComfort Chair</x:v>
      </x:c>
      <x:c r="H1839" s="3" t="n">
        <x:v>2</x:v>
      </x:c>
      <x:c r="I1839" s="7" t="n">
        <x:v>9044.57</x:v>
      </x:c>
      <x:c r="J1839" s="9" t="n">
        <x:v>0</x:v>
      </x:c>
      <x:c r="K1839" s="7" t="n">
        <x:v>18089.14</x:v>
      </x:c>
      <x:c r="L1839" s="7" t="n">
        <x:v>6611.17</x:v>
      </x:c>
      <x:c r="M1839" s="3" t="str">
        <x:v>Debit Card</x:v>
      </x:c>
      <x:c r="N1839" s="3"/>
      <x:c r="O1839" s="3"/>
      <x:c r="P1839" s="3"/>
      <x:c r="Q1839" s="3"/>
    </x:row>
    <x:row r="1840" ht="21" customHeight="1">
      <x:c r="A1840" s="3" t="str">
        <x:v>ORD-101140</x:v>
      </x:c>
      <x:c r="B1840" s="5" t="n">
        <x:v>45794</x:v>
      </x:c>
      <x:c r="C1840" s="3" t="str">
        <x:v>CUST-00299</x:v>
      </x:c>
      <x:c r="D1840" s="3" t="str">
        <x:v>East</x:v>
      </x:c>
      <x:c r="E1840" s="3" t="str">
        <x:v>Electronics</x:v>
      </x:c>
      <x:c r="F1840" s="3" t="str">
        <x:v>Mobile</x:v>
      </x:c>
      <x:c r="G1840" s="3" t="str">
        <x:v>Pixel Aura 12</x:v>
      </x:c>
      <x:c r="H1840" s="3" t="n">
        <x:v>1</x:v>
      </x:c>
      <x:c r="I1840" s="7" t="n">
        <x:v>33272.44</x:v>
      </x:c>
      <x:c r="J1840" s="9" t="n">
        <x:v>0</x:v>
      </x:c>
      <x:c r="K1840" s="7" t="n">
        <x:v>33272.44</x:v>
      </x:c>
      <x:c r="L1840" s="7" t="n">
        <x:v>7288.49</x:v>
      </x:c>
      <x:c r="M1840" s="3" t="str">
        <x:v>Debit Card</x:v>
      </x:c>
      <x:c r="N1840" s="3"/>
      <x:c r="O1840" s="3"/>
      <x:c r="P1840" s="3"/>
      <x:c r="Q1840" s="3"/>
    </x:row>
    <x:row r="1841" ht="21" customHeight="1">
      <x:c r="A1841" s="3" t="str">
        <x:v>ORD-101196</x:v>
      </x:c>
      <x:c r="B1841" s="5" t="n">
        <x:v>45794</x:v>
      </x:c>
      <x:c r="C1841" s="3" t="str">
        <x:v>CUST-00079</x:v>
      </x:c>
      <x:c r="D1841" s="3" t="str">
        <x:v>East</x:v>
      </x:c>
      <x:c r="E1841" s="3" t="str">
        <x:v>Beauty</x:v>
      </x:c>
      <x:c r="F1841" s="3" t="str">
        <x:v>Makeup</x:v>
      </x:c>
      <x:c r="G1841" s="3" t="str">
        <x:v>HD Foundation Kit</x:v>
      </x:c>
      <x:c r="H1841" s="3" t="n">
        <x:v>1</x:v>
      </x:c>
      <x:c r="I1841" s="7" t="n">
        <x:v>1545.88</x:v>
      </x:c>
      <x:c r="J1841" s="9" t="n">
        <x:v>0</x:v>
      </x:c>
      <x:c r="K1841" s="7" t="n">
        <x:v>1545.88</x:v>
      </x:c>
      <x:c r="L1841" s="7" t="n">
        <x:v>862.64</x:v>
      </x:c>
      <x:c r="M1841" s="3" t="str">
        <x:v>Credit Card</x:v>
      </x:c>
      <x:c r="N1841" s="3"/>
      <x:c r="O1841" s="3"/>
      <x:c r="P1841" s="3"/>
      <x:c r="Q1841" s="3"/>
    </x:row>
    <x:row r="1842" ht="21" customHeight="1">
      <x:c r="A1842" s="3" t="str">
        <x:v>ORD-101894</x:v>
      </x:c>
      <x:c r="B1842" s="5" t="n">
        <x:v>45794</x:v>
      </x:c>
      <x:c r="C1842" s="3" t="str">
        <x:v>CUST-00207</x:v>
      </x:c>
      <x:c r="D1842" s="3" t="str">
        <x:v>South</x:v>
      </x:c>
      <x:c r="E1842" s="3" t="str">
        <x:v>Home &amp; Kitchen</x:v>
      </x:c>
      <x:c r="F1842" s="3" t="str">
        <x:v>Appliances</x:v>
      </x:c>
      <x:c r="G1842" s="3" t="str">
        <x:v>ColdBrew Coffee Maker</x:v>
      </x:c>
      <x:c r="H1842" s="3" t="n">
        <x:v>1</x:v>
      </x:c>
      <x:c r="I1842" s="7" t="n">
        <x:v>6805.04</x:v>
      </x:c>
      <x:c r="J1842" s="9" t="n">
        <x:v>0</x:v>
      </x:c>
      <x:c r="K1842" s="7" t="n">
        <x:v>6805.04</x:v>
      </x:c>
      <x:c r="L1842" s="7" t="n">
        <x:v>2384.47</x:v>
      </x:c>
      <x:c r="M1842" s="3" t="str">
        <x:v>UPI</x:v>
      </x:c>
      <x:c r="N1842" s="3"/>
      <x:c r="O1842" s="3"/>
      <x:c r="P1842" s="3"/>
      <x:c r="Q1842" s="3"/>
    </x:row>
    <x:row r="1843" ht="21" customHeight="1">
      <x:c r="A1843" s="3" t="str">
        <x:v>ORD-100662</x:v>
      </x:c>
      <x:c r="B1843" s="5" t="n">
        <x:v>45795</x:v>
      </x:c>
      <x:c r="C1843" s="3" t="str">
        <x:v>CUST-00341</x:v>
      </x:c>
      <x:c r="D1843" s="3" t="str">
        <x:v>West</x:v>
      </x:c>
      <x:c r="E1843" s="3" t="str">
        <x:v>Fashion</x:v>
      </x:c>
      <x:c r="F1843" s="3" t="str">
        <x:v>Footwear</x:v>
      </x:c>
      <x:c r="G1843" s="3" t="str">
        <x:v>UrbanLoafers</x:v>
      </x:c>
      <x:c r="H1843" s="3" t="n">
        <x:v>2</x:v>
      </x:c>
      <x:c r="I1843" s="7" t="n">
        <x:v>3558.69</x:v>
      </x:c>
      <x:c r="J1843" s="9" t="n">
        <x:v>0.3</x:v>
      </x:c>
      <x:c r="K1843" s="7" t="n">
        <x:v>4982.17</x:v>
      </x:c>
      <x:c r="L1843" s="7" t="n">
        <x:v>439.62</x:v>
      </x:c>
      <x:c r="M1843" s="3" t="str">
        <x:v>Credit Card</x:v>
      </x:c>
      <x:c r="N1843" s="3"/>
      <x:c r="O1843" s="3"/>
      <x:c r="P1843" s="3"/>
      <x:c r="Q1843" s="3"/>
    </x:row>
    <x:row r="1844" ht="21" customHeight="1">
      <x:c r="A1844" s="3" t="str">
        <x:v>ORD-101582</x:v>
      </x:c>
      <x:c r="B1844" s="5" t="n">
        <x:v>45795</x:v>
      </x:c>
      <x:c r="C1844" s="3" t="str">
        <x:v>CUST-00152</x:v>
      </x:c>
      <x:c r="D1844" s="3" t="str">
        <x:v>North</x:v>
      </x:c>
      <x:c r="E1844" s="3" t="str">
        <x:v>Fashion</x:v>
      </x:c>
      <x:c r="F1844" s="3" t="str">
        <x:v>Footwear</x:v>
      </x:c>
      <x:c r="G1844" s="3" t="str">
        <x:v>UrbanLoafers</x:v>
      </x:c>
      <x:c r="H1844" s="3" t="n">
        <x:v>1</x:v>
      </x:c>
      <x:c r="I1844" s="7" t="n">
        <x:v>3375.85</x:v>
      </x:c>
      <x:c r="J1844" s="9" t="n">
        <x:v>0.05</x:v>
      </x:c>
      <x:c r="K1844" s="7" t="n">
        <x:v>3207.06</x:v>
      </x:c>
      <x:c r="L1844" s="7" t="n">
        <x:v>1253.81</x:v>
      </x:c>
      <x:c r="M1844" s="3" t="str">
        <x:v>Cash on Delivery</x:v>
      </x:c>
      <x:c r="N1844" s="3"/>
      <x:c r="O1844" s="3"/>
      <x:c r="P1844" s="3"/>
      <x:c r="Q1844" s="3"/>
    </x:row>
    <x:row r="1845" ht="21" customHeight="1">
      <x:c r="A1845" s="3" t="str">
        <x:v>ORD-101635</x:v>
      </x:c>
      <x:c r="B1845" s="5" t="n">
        <x:v>45795</x:v>
      </x:c>
      <x:c r="C1845" s="3" t="str">
        <x:v>CUST-00169</x:v>
      </x:c>
      <x:c r="D1845" s="3" t="str">
        <x:v>South</x:v>
      </x:c>
      <x:c r="E1845" s="3" t="str">
        <x:v>Sports</x:v>
      </x:c>
      <x:c r="F1845" s="3" t="str">
        <x:v>Fitness</x:v>
      </x:c>
      <x:c r="G1845" s="3" t="str">
        <x:v>ProYoga Mat</x:v>
      </x:c>
      <x:c r="H1845" s="3" t="n">
        <x:v>2</x:v>
      </x:c>
      <x:c r="I1845" s="7" t="n">
        <x:v>1341.88</x:v>
      </x:c>
      <x:c r="J1845" s="9" t="n">
        <x:v>0.2</x:v>
      </x:c>
      <x:c r="K1845" s="7" t="n">
        <x:v>2147.01</x:v>
      </x:c>
      <x:c r="L1845" s="7" t="n">
        <x:v>348.03</x:v>
      </x:c>
      <x:c r="M1845" s="3" t="str">
        <x:v>Credit Card</x:v>
      </x:c>
      <x:c r="N1845" s="3"/>
      <x:c r="O1845" s="3"/>
      <x:c r="P1845" s="3"/>
      <x:c r="Q1845" s="3"/>
    </x:row>
    <x:row r="1846" ht="21" customHeight="1">
      <x:c r="A1846" s="3" t="str">
        <x:v>ORD-100238</x:v>
      </x:c>
      <x:c r="B1846" s="5" t="n">
        <x:v>45796</x:v>
      </x:c>
      <x:c r="C1846" s="3" t="str">
        <x:v>CUST-00180</x:v>
      </x:c>
      <x:c r="D1846" s="3" t="str">
        <x:v>West</x:v>
      </x:c>
      <x:c r="E1846" s="3" t="str">
        <x:v>Home &amp; Kitchen</x:v>
      </x:c>
      <x:c r="F1846" s="3" t="str">
        <x:v>Appliances</x:v>
      </x:c>
      <x:c r="G1846" s="3" t="str">
        <x:v>AirFryer Deluxe</x:v>
      </x:c>
      <x:c r="H1846" s="3" t="n">
        <x:v>2</x:v>
      </x:c>
      <x:c r="I1846" s="7" t="n">
        <x:v>8053.11</x:v>
      </x:c>
      <x:c r="J1846" s="9" t="n">
        <x:v>0.05</x:v>
      </x:c>
      <x:c r="K1846" s="7" t="n">
        <x:v>15300.91</x:v>
      </x:c>
      <x:c r="L1846" s="7" t="n">
        <x:v>3731.41</x:v>
      </x:c>
      <x:c r="M1846" s="3" t="str">
        <x:v>Debit Card</x:v>
      </x:c>
      <x:c r="N1846" s="3"/>
      <x:c r="O1846" s="3"/>
      <x:c r="P1846" s="3"/>
      <x:c r="Q1846" s="3"/>
    </x:row>
    <x:row r="1847" ht="21" customHeight="1">
      <x:c r="A1847" s="3" t="str">
        <x:v>ORD-100802</x:v>
      </x:c>
      <x:c r="B1847" s="5" t="n">
        <x:v>45796</x:v>
      </x:c>
      <x:c r="C1847" s="3" t="str">
        <x:v>CUST-00282</x:v>
      </x:c>
      <x:c r="D1847" s="3" t="str">
        <x:v>North</x:v>
      </x:c>
      <x:c r="E1847" s="3" t="str">
        <x:v>Fashion</x:v>
      </x:c>
      <x:c r="F1847" s="3" t="str">
        <x:v>Men</x:v>
      </x:c>
      <x:c r="G1847" s="3" t="str">
        <x:v>SlimFit Denim Jeans</x:v>
      </x:c>
      <x:c r="H1847" s="3" t="n">
        <x:v>1</x:v>
      </x:c>
      <x:c r="I1847" s="7" t="n">
        <x:v>2008.33</x:v>
      </x:c>
      <x:c r="J1847" s="9" t="n">
        <x:v>0.15</x:v>
      </x:c>
      <x:c r="K1847" s="7" t="n">
        <x:v>1707.08</x:v>
      </x:c>
      <x:c r="L1847" s="7" t="n">
        <x:v>419.25</x:v>
      </x:c>
      <x:c r="M1847" s="3" t="str">
        <x:v>Credit Card</x:v>
      </x:c>
      <x:c r="N1847" s="3"/>
      <x:c r="O1847" s="3"/>
      <x:c r="P1847" s="3"/>
      <x:c r="Q1847" s="3"/>
    </x:row>
    <x:row r="1848" ht="21" customHeight="1">
      <x:c r="A1848" s="3" t="str">
        <x:v>ORD-101623</x:v>
      </x:c>
      <x:c r="B1848" s="5" t="n">
        <x:v>45796</x:v>
      </x:c>
      <x:c r="C1848" s="3" t="str">
        <x:v>CUST-00101</x:v>
      </x:c>
      <x:c r="D1848" s="3" t="str">
        <x:v>West</x:v>
      </x:c>
      <x:c r="E1848" s="3" t="str">
        <x:v>Sports</x:v>
      </x:c>
      <x:c r="F1848" s="3" t="str">
        <x:v>Outdoor</x:v>
      </x:c>
      <x:c r="G1848" s="3" t="str">
        <x:v>TrailHike Backpack 60L</x:v>
      </x:c>
      <x:c r="H1848" s="3" t="n">
        <x:v>1</x:v>
      </x:c>
      <x:c r="I1848" s="7" t="n">
        <x:v>3441.95</x:v>
      </x:c>
      <x:c r="J1848" s="9" t="n">
        <x:v>0</x:v>
      </x:c>
      <x:c r="K1848" s="7" t="n">
        <x:v>3441.95</x:v>
      </x:c>
      <x:c r="L1848" s="7" t="n">
        <x:v>1375.25</x:v>
      </x:c>
      <x:c r="M1848" s="3" t="str">
        <x:v>UPI</x:v>
      </x:c>
      <x:c r="N1848" s="3"/>
      <x:c r="O1848" s="3"/>
      <x:c r="P1848" s="3"/>
      <x:c r="Q1848" s="3"/>
    </x:row>
    <x:row r="1849" ht="21" customHeight="1">
      <x:c r="A1849" s="3" t="str">
        <x:v>ORD-101757</x:v>
      </x:c>
      <x:c r="B1849" s="5" t="n">
        <x:v>45796</x:v>
      </x:c>
      <x:c r="C1849" s="3" t="str">
        <x:v>CUST-00479</x:v>
      </x:c>
      <x:c r="D1849" s="3" t="str">
        <x:v>East</x:v>
      </x:c>
      <x:c r="E1849" s="3" t="str">
        <x:v>Electronics</x:v>
      </x:c>
      <x:c r="F1849" s="3" t="str">
        <x:v>Mobile</x:v>
      </x:c>
      <x:c r="G1849" s="3" t="str">
        <x:v>Galaxy Nova X5</x:v>
      </x:c>
      <x:c r="H1849" s="3" t="n">
        <x:v>2</x:v>
      </x:c>
      <x:c r="I1849" s="7" t="n">
        <x:v>24459.89</x:v>
      </x:c>
      <x:c r="J1849" s="9" t="n">
        <x:v>0.05</x:v>
      </x:c>
      <x:c r="K1849" s="7" t="n">
        <x:v>46473.79</x:v>
      </x:c>
      <x:c r="L1849" s="7" t="n">
        <x:v>4748.15</x:v>
      </x:c>
      <x:c r="M1849" s="3" t="str">
        <x:v>UPI</x:v>
      </x:c>
      <x:c r="N1849" s="3"/>
      <x:c r="O1849" s="3"/>
      <x:c r="P1849" s="3"/>
      <x:c r="Q1849" s="3"/>
    </x:row>
    <x:row r="1850" ht="21" customHeight="1">
      <x:c r="A1850" s="3" t="str">
        <x:v>ORD-100100</x:v>
      </x:c>
      <x:c r="B1850" s="5" t="n">
        <x:v>45797</x:v>
      </x:c>
      <x:c r="C1850" s="3" t="str">
        <x:v>CUST-00578</x:v>
      </x:c>
      <x:c r="D1850" s="3" t="str">
        <x:v>North</x:v>
      </x:c>
      <x:c r="E1850" s="3" t="str">
        <x:v>Fashion</x:v>
      </x:c>
      <x:c r="F1850" s="3" t="str">
        <x:v>Men</x:v>
      </x:c>
      <x:c r="G1850" s="3" t="str">
        <x:v>SlimFit Denim Jeans</x:v>
      </x:c>
      <x:c r="H1850" s="3" t="n">
        <x:v>1</x:v>
      </x:c>
      <x:c r="I1850" s="7" t="n">
        <x:v>1929.61</x:v>
      </x:c>
      <x:c r="J1850" s="9" t="n">
        <x:v>0</x:v>
      </x:c>
      <x:c r="K1850" s="7" t="n">
        <x:v>1929.61</x:v>
      </x:c>
      <x:c r="L1850" s="7" t="n">
        <x:v>850.44</x:v>
      </x:c>
      <x:c r="M1850" s="3" t="str">
        <x:v>Cash on Delivery</x:v>
      </x:c>
      <x:c r="N1850" s="3"/>
      <x:c r="O1850" s="3"/>
      <x:c r="P1850" s="3"/>
      <x:c r="Q1850" s="3"/>
    </x:row>
    <x:row r="1851" ht="21" customHeight="1">
      <x:c r="A1851" s="3" t="str">
        <x:v>ORD-100278</x:v>
      </x:c>
      <x:c r="B1851" s="5" t="n">
        <x:v>45797</x:v>
      </x:c>
      <x:c r="C1851" s="3" t="str">
        <x:v>CUST-00093</x:v>
      </x:c>
      <x:c r="D1851" s="3" t="str">
        <x:v>North</x:v>
      </x:c>
      <x:c r="E1851" s="3" t="str">
        <x:v>Home &amp; Kitchen</x:v>
      </x:c>
      <x:c r="F1851" s="3" t="str">
        <x:v>Furniture</x:v>
      </x:c>
      <x:c r="G1851" s="3" t="str">
        <x:v>Oakwood Study Desk</x:v>
      </x:c>
      <x:c r="H1851" s="3" t="n">
        <x:v>1</x:v>
      </x:c>
      <x:c r="I1851" s="7" t="n">
        <x:v>13243.65</x:v>
      </x:c>
      <x:c r="J1851" s="9" t="n">
        <x:v>0.25</x:v>
      </x:c>
      <x:c r="K1851" s="7" t="n">
        <x:v>9932.74</x:v>
      </x:c>
      <x:c r="L1851" s="7" t="n">
        <x:v>406.78</x:v>
      </x:c>
      <x:c r="M1851" s="3" t="str">
        <x:v>UPI</x:v>
      </x:c>
      <x:c r="N1851" s="3"/>
      <x:c r="O1851" s="3"/>
      <x:c r="P1851" s="3"/>
      <x:c r="Q1851" s="3"/>
    </x:row>
    <x:row r="1852" ht="21" customHeight="1">
      <x:c r="A1852" s="3" t="str">
        <x:v>ORD-100488</x:v>
      </x:c>
      <x:c r="B1852" s="5" t="n">
        <x:v>45797</x:v>
      </x:c>
      <x:c r="C1852" s="3" t="str">
        <x:v>CUST-00475</x:v>
      </x:c>
      <x:c r="D1852" s="3" t="str">
        <x:v>South</x:v>
      </x:c>
      <x:c r="E1852" s="3" t="str">
        <x:v>Fashion</x:v>
      </x:c>
      <x:c r="F1852" s="3" t="str">
        <x:v>Men</x:v>
      </x:c>
      <x:c r="G1852" s="3" t="str">
        <x:v>SlimFit Denim Jeans</x:v>
      </x:c>
      <x:c r="H1852" s="3" t="n">
        <x:v>3</x:v>
      </x:c>
      <x:c r="I1852" s="7" t="n">
        <x:v>1997.12</x:v>
      </x:c>
      <x:c r="J1852" s="9" t="n">
        <x:v>0</x:v>
      </x:c>
      <x:c r="K1852" s="7" t="n">
        <x:v>5991.36</x:v>
      </x:c>
      <x:c r="L1852" s="7" t="n">
        <x:v>2671.09</x:v>
      </x:c>
      <x:c r="M1852" s="3" t="str">
        <x:v>Credit Card</x:v>
      </x:c>
      <x:c r="N1852" s="3"/>
      <x:c r="O1852" s="3"/>
      <x:c r="P1852" s="3"/>
      <x:c r="Q1852" s="3"/>
    </x:row>
    <x:row r="1853" ht="21" customHeight="1">
      <x:c r="A1853" s="3" t="str">
        <x:v>ORD-100848</x:v>
      </x:c>
      <x:c r="B1853" s="5" t="n">
        <x:v>45797</x:v>
      </x:c>
      <x:c r="C1853" s="3" t="str">
        <x:v>CUST-00141</x:v>
      </x:c>
      <x:c r="D1853" s="3" t="str">
        <x:v>East</x:v>
      </x:c>
      <x:c r="E1853" s="3" t="str">
        <x:v>Beauty</x:v>
      </x:c>
      <x:c r="F1853" s="3" t="str">
        <x:v>Makeup</x:v>
      </x:c>
      <x:c r="G1853" s="3" t="str">
        <x:v>HD Foundation Kit</x:v>
      </x:c>
      <x:c r="H1853" s="3" t="n">
        <x:v>1</x:v>
      </x:c>
      <x:c r="I1853" s="7" t="n">
        <x:v>1468.26</x:v>
      </x:c>
      <x:c r="J1853" s="9" t="n">
        <x:v>0.2</x:v>
      </x:c>
      <x:c r="K1853" s="7" t="n">
        <x:v>1174.61</x:v>
      </x:c>
      <x:c r="L1853" s="7" t="n">
        <x:v>339.19</x:v>
      </x:c>
      <x:c r="M1853" s="3" t="str">
        <x:v>Debit Card</x:v>
      </x:c>
      <x:c r="N1853" s="3"/>
      <x:c r="O1853" s="3"/>
      <x:c r="P1853" s="3"/>
      <x:c r="Q1853" s="3"/>
    </x:row>
    <x:row r="1854" ht="21" customHeight="1">
      <x:c r="A1854" s="3" t="str">
        <x:v>ORD-101772</x:v>
      </x:c>
      <x:c r="B1854" s="5" t="n">
        <x:v>45797</x:v>
      </x:c>
      <x:c r="C1854" s="3" t="str">
        <x:v>CUST-00177</x:v>
      </x:c>
      <x:c r="D1854" s="3" t="str">
        <x:v>South</x:v>
      </x:c>
      <x:c r="E1854" s="3" t="str">
        <x:v>Beauty</x:v>
      </x:c>
      <x:c r="F1854" s="3" t="str">
        <x:v>Makeup</x:v>
      </x:c>
      <x:c r="G1854" s="3" t="str">
        <x:v>HD Foundation Kit</x:v>
      </x:c>
      <x:c r="H1854" s="3" t="n">
        <x:v>1</x:v>
      </x:c>
      <x:c r="I1854" s="7" t="n">
        <x:v>1502.41</x:v>
      </x:c>
      <x:c r="J1854" s="9" t="n">
        <x:v>0.1</x:v>
      </x:c>
      <x:c r="K1854" s="7" t="n">
        <x:v>1352.17</x:v>
      </x:c>
      <x:c r="L1854" s="7" t="n">
        <x:v>577.22</x:v>
      </x:c>
      <x:c r="M1854" s="3" t="str">
        <x:v>Debit Card</x:v>
      </x:c>
      <x:c r="N1854" s="3"/>
      <x:c r="O1854" s="3"/>
      <x:c r="P1854" s="3"/>
      <x:c r="Q1854" s="3"/>
    </x:row>
    <x:row r="1855" ht="21" customHeight="1">
      <x:c r="A1855" s="3" t="str">
        <x:v>ORD-100427</x:v>
      </x:c>
      <x:c r="B1855" s="5" t="n">
        <x:v>45798</x:v>
      </x:c>
      <x:c r="C1855" s="3" t="str">
        <x:v>CUST-00063</x:v>
      </x:c>
      <x:c r="D1855" s="3" t="str">
        <x:v>East</x:v>
      </x:c>
      <x:c r="E1855" s="3" t="str">
        <x:v>Sports</x:v>
      </x:c>
      <x:c r="F1855" s="3" t="str">
        <x:v>Fitness</x:v>
      </x:c>
      <x:c r="G1855" s="3" t="str">
        <x:v>Adjustable Dumbbell 24kg</x:v>
      </x:c>
      <x:c r="H1855" s="3" t="n">
        <x:v>4</x:v>
      </x:c>
      <x:c r="I1855" s="7" t="n">
        <x:v>9607.78</x:v>
      </x:c>
      <x:c r="J1855" s="9" t="n">
        <x:v>0</x:v>
      </x:c>
      <x:c r="K1855" s="7" t="n">
        <x:v>38431.12</x:v>
      </x:c>
      <x:c r="L1855" s="7" t="n">
        <x:v>15569.42</x:v>
      </x:c>
      <x:c r="M1855" s="3" t="str">
        <x:v>UPI</x:v>
      </x:c>
      <x:c r="N1855" s="3"/>
      <x:c r="O1855" s="3"/>
      <x:c r="P1855" s="3"/>
      <x:c r="Q1855" s="3"/>
    </x:row>
    <x:row r="1856" ht="21" customHeight="1">
      <x:c r="A1856" s="3" t="str">
        <x:v>ORD-101159</x:v>
      </x:c>
      <x:c r="B1856" s="5" t="n">
        <x:v>45798</x:v>
      </x:c>
      <x:c r="C1856" s="3" t="str">
        <x:v>CUST-00469</x:v>
      </x:c>
      <x:c r="D1856" s="3" t="str">
        <x:v>East</x:v>
      </x:c>
      <x:c r="E1856" s="3" t="str">
        <x:v>Sports</x:v>
      </x:c>
      <x:c r="F1856" s="3" t="str">
        <x:v>Fitness</x:v>
      </x:c>
      <x:c r="G1856" s="3" t="str">
        <x:v>Adjustable Dumbbell 24kg</x:v>
      </x:c>
      <x:c r="H1856" s="3" t="n">
        <x:v>1</x:v>
      </x:c>
      <x:c r="I1856" s="7" t="n">
        <x:v>10136.48</x:v>
      </x:c>
      <x:c r="J1856" s="9" t="n">
        <x:v>0</x:v>
      </x:c>
      <x:c r="K1856" s="7" t="n">
        <x:v>10136.48</x:v>
      </x:c>
      <x:c r="L1856" s="7" t="n">
        <x:v>4073.62</x:v>
      </x:c>
      <x:c r="M1856" s="3" t="str">
        <x:v>UPI</x:v>
      </x:c>
      <x:c r="N1856" s="3"/>
      <x:c r="O1856" s="3"/>
      <x:c r="P1856" s="3"/>
      <x:c r="Q1856" s="3"/>
    </x:row>
    <x:row r="1857" ht="21" customHeight="1">
      <x:c r="A1857" s="3" t="str">
        <x:v>ORD-101251</x:v>
      </x:c>
      <x:c r="B1857" s="5" t="n">
        <x:v>45798</x:v>
      </x:c>
      <x:c r="C1857" s="3" t="str">
        <x:v>CUST-00505</x:v>
      </x:c>
      <x:c r="D1857" s="3" t="str">
        <x:v>East</x:v>
      </x:c>
      <x:c r="E1857" s="3" t="str">
        <x:v>Fashion</x:v>
      </x:c>
      <x:c r="F1857" s="3" t="str">
        <x:v>Men</x:v>
      </x:c>
      <x:c r="G1857" s="3" t="str">
        <x:v>Oxford Casual Shirt</x:v>
      </x:c>
      <x:c r="H1857" s="3" t="n">
        <x:v>1</x:v>
      </x:c>
      <x:c r="I1857" s="7" t="n">
        <x:v>1359.21</x:v>
      </x:c>
      <x:c r="J1857" s="9" t="n">
        <x:v>0.15</x:v>
      </x:c>
      <x:c r="K1857" s="7" t="n">
        <x:v>1155.33</x:v>
      </x:c>
      <x:c r="L1857" s="7" t="n">
        <x:v>245.6</x:v>
      </x:c>
      <x:c r="M1857" s="3" t="str">
        <x:v>Cash on Delivery</x:v>
      </x:c>
      <x:c r="N1857" s="3"/>
      <x:c r="O1857" s="3"/>
      <x:c r="P1857" s="3"/>
      <x:c r="Q1857" s="3"/>
    </x:row>
    <x:row r="1858" ht="21" customHeight="1">
      <x:c r="A1858" s="3" t="str">
        <x:v>ORD-101557</x:v>
      </x:c>
      <x:c r="B1858" s="5" t="n">
        <x:v>45799</x:v>
      </x:c>
      <x:c r="C1858" s="3" t="str">
        <x:v>CUST-00004</x:v>
      </x:c>
      <x:c r="D1858" s="3" t="str">
        <x:v>East</x:v>
      </x:c>
      <x:c r="E1858" s="3" t="str">
        <x:v>Electronics</x:v>
      </x:c>
      <x:c r="F1858" s="3" t="str">
        <x:v>Audio</x:v>
      </x:c>
      <x:c r="G1858" s="3" t="str">
        <x:v>SoundPods Pro</x:v>
      </x:c>
      <x:c r="H1858" s="3" t="n">
        <x:v>2</x:v>
      </x:c>
      <x:c r="I1858" s="7" t="n">
        <x:v>5212.24</x:v>
      </x:c>
      <x:c r="J1858" s="9" t="n">
        <x:v>0.15</x:v>
      </x:c>
      <x:c r="K1858" s="7" t="n">
        <x:v>8860.81</x:v>
      </x:c>
      <x:c r="L1858" s="7" t="n">
        <x:v>119.87</x:v>
      </x:c>
      <x:c r="M1858" s="3" t="str">
        <x:v>UPI</x:v>
      </x:c>
      <x:c r="N1858" s="3"/>
      <x:c r="O1858" s="3"/>
      <x:c r="P1858" s="3"/>
      <x:c r="Q1858" s="3"/>
    </x:row>
    <x:row r="1859" ht="21" customHeight="1">
      <x:c r="A1859" s="3" t="str">
        <x:v>ORD-101710</x:v>
      </x:c>
      <x:c r="B1859" s="5" t="n">
        <x:v>45799</x:v>
      </x:c>
      <x:c r="C1859" s="3" t="str">
        <x:v>CUST-00192</x:v>
      </x:c>
      <x:c r="D1859" s="3" t="str">
        <x:v>South</x:v>
      </x:c>
      <x:c r="E1859" s="3" t="str">
        <x:v>Sports</x:v>
      </x:c>
      <x:c r="F1859" s="3" t="str">
        <x:v>Fitness</x:v>
      </x:c>
      <x:c r="G1859" s="3" t="str">
        <x:v>ProYoga Mat</x:v>
      </x:c>
      <x:c r="H1859" s="3" t="n">
        <x:v>1</x:v>
      </x:c>
      <x:c r="I1859" s="7" t="n">
        <x:v>1329.5</x:v>
      </x:c>
      <x:c r="J1859" s="9" t="n">
        <x:v>0.15</x:v>
      </x:c>
      <x:c r="K1859" s="7" t="n">
        <x:v>1130.08</x:v>
      </x:c>
      <x:c r="L1859" s="7" t="n">
        <x:v>267.5</x:v>
      </x:c>
      <x:c r="M1859" s="3" t="str">
        <x:v>Credit Card</x:v>
      </x:c>
      <x:c r="N1859" s="3"/>
      <x:c r="O1859" s="3"/>
      <x:c r="P1859" s="3"/>
      <x:c r="Q1859" s="3"/>
    </x:row>
    <x:row r="1860" ht="21" customHeight="1">
      <x:c r="A1860" s="3" t="str">
        <x:v>ORD-101946</x:v>
      </x:c>
      <x:c r="B1860" s="5" t="n">
        <x:v>45799</x:v>
      </x:c>
      <x:c r="C1860" s="3" t="str">
        <x:v>CUST-00026</x:v>
      </x:c>
      <x:c r="D1860" s="3" t="str">
        <x:v>South</x:v>
      </x:c>
      <x:c r="E1860" s="3" t="str">
        <x:v>Beauty</x:v>
      </x:c>
      <x:c r="F1860" s="3" t="str">
        <x:v>Skincare</x:v>
      </x:c>
      <x:c r="G1860" s="3" t="str">
        <x:v>HydraBoost Moisturizer</x:v>
      </x:c>
      <x:c r="H1860" s="3" t="n">
        <x:v>2</x:v>
      </x:c>
      <x:c r="I1860" s="7" t="n">
        <x:v>1177.83</x:v>
      </x:c>
      <x:c r="J1860" s="9" t="n">
        <x:v>0</x:v>
      </x:c>
      <x:c r="K1860" s="7" t="n">
        <x:v>2355.66</x:v>
      </x:c>
      <x:c r="L1860" s="7" t="n">
        <x:v>1318.7</x:v>
      </x:c>
      <x:c r="M1860" s="3" t="str">
        <x:v>UPI</x:v>
      </x:c>
      <x:c r="N1860" s="3"/>
      <x:c r="O1860" s="3"/>
      <x:c r="P1860" s="3"/>
      <x:c r="Q1860" s="3"/>
    </x:row>
    <x:row r="1861" ht="21" customHeight="1">
      <x:c r="A1861" s="3" t="str">
        <x:v>ORD-101954</x:v>
      </x:c>
      <x:c r="B1861" s="5" t="n">
        <x:v>45799</x:v>
      </x:c>
      <x:c r="C1861" s="3" t="str">
        <x:v>CUST-00390</x:v>
      </x:c>
      <x:c r="D1861" s="3" t="str">
        <x:v>North</x:v>
      </x:c>
      <x:c r="E1861" s="3" t="str">
        <x:v>Electronics</x:v>
      </x:c>
      <x:c r="F1861" s="3" t="str">
        <x:v>Audio</x:v>
      </x:c>
      <x:c r="G1861" s="3" t="str">
        <x:v>BassBoom Speaker</x:v>
      </x:c>
      <x:c r="H1861" s="3" t="n">
        <x:v>1</x:v>
      </x:c>
      <x:c r="I1861" s="7" t="n">
        <x:v>8631.86</x:v>
      </x:c>
      <x:c r="J1861" s="9" t="n">
        <x:v>0.15</x:v>
      </x:c>
      <x:c r="K1861" s="7" t="n">
        <x:v>7337.08</x:v>
      </x:c>
      <x:c r="L1861" s="7" t="n">
        <x:v>138.38</x:v>
      </x:c>
      <x:c r="M1861" s="3" t="str">
        <x:v>UPI</x:v>
      </x:c>
      <x:c r="N1861" s="3"/>
      <x:c r="O1861" s="3"/>
      <x:c r="P1861" s="3"/>
      <x:c r="Q1861" s="3"/>
    </x:row>
    <x:row r="1862" ht="21" customHeight="1">
      <x:c r="A1862" s="3" t="str">
        <x:v>ORD-101141</x:v>
      </x:c>
      <x:c r="B1862" s="5" t="n">
        <x:v>45800</x:v>
      </x:c>
      <x:c r="C1862" s="3" t="str">
        <x:v>CUST-00291</x:v>
      </x:c>
      <x:c r="D1862" s="3" t="str">
        <x:v>East</x:v>
      </x:c>
      <x:c r="E1862" s="3" t="str">
        <x:v>Beauty</x:v>
      </x:c>
      <x:c r="F1862" s="3" t="str">
        <x:v>Skincare</x:v>
      </x:c>
      <x:c r="G1862" s="3" t="str">
        <x:v>HydraBoost Moisturizer</x:v>
      </x:c>
      <x:c r="H1862" s="3" t="n">
        <x:v>1</x:v>
      </x:c>
      <x:c r="I1862" s="7" t="n">
        <x:v>1241.25</x:v>
      </x:c>
      <x:c r="J1862" s="9" t="n">
        <x:v>0.05</x:v>
      </x:c>
      <x:c r="K1862" s="7" t="n">
        <x:v>1179.19</x:v>
      </x:c>
      <x:c r="L1862" s="7" t="n">
        <x:v>548.43</x:v>
      </x:c>
      <x:c r="M1862" s="3" t="str">
        <x:v>Credit Card</x:v>
      </x:c>
      <x:c r="N1862" s="3"/>
      <x:c r="O1862" s="3"/>
      <x:c r="P1862" s="3"/>
      <x:c r="Q1862" s="3"/>
    </x:row>
    <x:row r="1863" ht="21" customHeight="1">
      <x:c r="A1863" s="3" t="str">
        <x:v>ORD-101014</x:v>
      </x:c>
      <x:c r="B1863" s="5" t="n">
        <x:v>45801</x:v>
      </x:c>
      <x:c r="C1863" s="3" t="str">
        <x:v>CUST-00531</x:v>
      </x:c>
      <x:c r="D1863" s="3" t="str">
        <x:v>West</x:v>
      </x:c>
      <x:c r="E1863" s="3" t="str">
        <x:v>Home &amp; Kitchen</x:v>
      </x:c>
      <x:c r="F1863" s="3" t="str">
        <x:v>Appliances</x:v>
      </x:c>
      <x:c r="G1863" s="3" t="str">
        <x:v>ColdBrew Coffee Maker</x:v>
      </x:c>
      <x:c r="H1863" s="3" t="n">
        <x:v>1</x:v>
      </x:c>
      <x:c r="I1863" s="7" t="n">
        <x:v>6708.84</x:v>
      </x:c>
      <x:c r="J1863" s="9" t="n">
        <x:v>0</x:v>
      </x:c>
      <x:c r="K1863" s="7" t="n">
        <x:v>6708.84</x:v>
      </x:c>
      <x:c r="L1863" s="7" t="n">
        <x:v>2420.03</x:v>
      </x:c>
      <x:c r="M1863" s="3" t="str">
        <x:v>Credit Card</x:v>
      </x:c>
      <x:c r="N1863" s="3"/>
      <x:c r="O1863" s="3"/>
      <x:c r="P1863" s="3"/>
      <x:c r="Q1863" s="3"/>
    </x:row>
    <x:row r="1864" ht="21" customHeight="1">
      <x:c r="A1864" s="3" t="str">
        <x:v>ORD-100403</x:v>
      </x:c>
      <x:c r="B1864" s="5" t="n">
        <x:v>45802</x:v>
      </x:c>
      <x:c r="C1864" s="3" t="str">
        <x:v>CUST-00006</x:v>
      </x:c>
      <x:c r="D1864" s="3" t="str">
        <x:v>North</x:v>
      </x:c>
      <x:c r="E1864" s="3" t="str">
        <x:v>Home &amp; Kitchen</x:v>
      </x:c>
      <x:c r="F1864" s="3" t="str">
        <x:v>Appliances</x:v>
      </x:c>
      <x:c r="G1864" s="3" t="str">
        <x:v>AirFryer Deluxe</x:v>
      </x:c>
      <x:c r="H1864" s="3" t="n">
        <x:v>1</x:v>
      </x:c>
      <x:c r="I1864" s="7" t="n">
        <x:v>7761.31</x:v>
      </x:c>
      <x:c r="J1864" s="9" t="n">
        <x:v>0</x:v>
      </x:c>
      <x:c r="K1864" s="7" t="n">
        <x:v>7761.31</x:v>
      </x:c>
      <x:c r="L1864" s="7" t="n">
        <x:v>2637.33</x:v>
      </x:c>
      <x:c r="M1864" s="3" t="str">
        <x:v>Credit Card</x:v>
      </x:c>
      <x:c r="N1864" s="3"/>
      <x:c r="O1864" s="3"/>
      <x:c r="P1864" s="3"/>
      <x:c r="Q1864" s="3"/>
    </x:row>
    <x:row r="1865" ht="21" customHeight="1">
      <x:c r="A1865" s="3" t="str">
        <x:v>ORD-101427</x:v>
      </x:c>
      <x:c r="B1865" s="5" t="n">
        <x:v>45802</x:v>
      </x:c>
      <x:c r="C1865" s="3" t="str">
        <x:v>CUST-00510</x:v>
      </x:c>
      <x:c r="D1865" s="3" t="str">
        <x:v>South</x:v>
      </x:c>
      <x:c r="E1865" s="3" t="str">
        <x:v>Home &amp; Kitchen</x:v>
      </x:c>
      <x:c r="F1865" s="3" t="str">
        <x:v>Appliances</x:v>
      </x:c>
      <x:c r="G1865" s="3" t="str">
        <x:v>ColdBrew Coffee Maker</x:v>
      </x:c>
      <x:c r="H1865" s="3" t="n">
        <x:v>2</x:v>
      </x:c>
      <x:c r="I1865" s="7" t="n">
        <x:v>6751.93</x:v>
      </x:c>
      <x:c r="J1865" s="9" t="n">
        <x:v>0</x:v>
      </x:c>
      <x:c r="K1865" s="7" t="n">
        <x:v>13503.86</x:v>
      </x:c>
      <x:c r="L1865" s="7" t="n">
        <x:v>4462.2</x:v>
      </x:c>
      <x:c r="M1865" s="3" t="str">
        <x:v>UPI</x:v>
      </x:c>
      <x:c r="N1865" s="3"/>
      <x:c r="O1865" s="3"/>
      <x:c r="P1865" s="3"/>
      <x:c r="Q1865" s="3"/>
    </x:row>
    <x:row r="1866" ht="21" customHeight="1">
      <x:c r="A1866" s="3" t="str">
        <x:v>ORD-101802</x:v>
      </x:c>
      <x:c r="B1866" s="5" t="n">
        <x:v>45802</x:v>
      </x:c>
      <x:c r="C1866" s="3" t="str">
        <x:v>CUST-00214</x:v>
      </x:c>
      <x:c r="D1866" s="3" t="str">
        <x:v>South</x:v>
      </x:c>
      <x:c r="E1866" s="3" t="str">
        <x:v>Sports</x:v>
      </x:c>
      <x:c r="F1866" s="3" t="str">
        <x:v>Outdoor</x:v>
      </x:c>
      <x:c r="G1866" s="3" t="str">
        <x:v>AllWeather Tent 4P</x:v>
      </x:c>
      <x:c r="H1866" s="3" t="n">
        <x:v>3</x:v>
      </x:c>
      <x:c r="I1866" s="7" t="n">
        <x:v>11660.54</x:v>
      </x:c>
      <x:c r="J1866" s="9" t="n">
        <x:v>0</x:v>
      </x:c>
      <x:c r="K1866" s="7" t="n">
        <x:v>34981.62</x:v>
      </x:c>
      <x:c r="L1866" s="7" t="n">
        <x:v>12270.75</x:v>
      </x:c>
      <x:c r="M1866" s="3" t="str">
        <x:v>UPI</x:v>
      </x:c>
      <x:c r="N1866" s="3"/>
      <x:c r="O1866" s="3"/>
      <x:c r="P1866" s="3"/>
      <x:c r="Q1866" s="3"/>
    </x:row>
    <x:row r="1867" ht="21" customHeight="1">
      <x:c r="A1867" s="3" t="str">
        <x:v>ORD-101952</x:v>
      </x:c>
      <x:c r="B1867" s="5" t="n">
        <x:v>45802</x:v>
      </x:c>
      <x:c r="C1867" s="3" t="str">
        <x:v>CUST-00021</x:v>
      </x:c>
      <x:c r="D1867" s="3" t="str">
        <x:v>East</x:v>
      </x:c>
      <x:c r="E1867" s="3" t="str">
        <x:v>Fashion</x:v>
      </x:c>
      <x:c r="F1867" s="3" t="str">
        <x:v>Men</x:v>
      </x:c>
      <x:c r="G1867" s="3" t="str">
        <x:v>SlimFit Denim Jeans</x:v>
      </x:c>
      <x:c r="H1867" s="3" t="n">
        <x:v>1</x:v>
      </x:c>
      <x:c r="I1867" s="7" t="n">
        <x:v>2019.94</x:v>
      </x:c>
      <x:c r="J1867" s="9" t="n">
        <x:v>0</x:v>
      </x:c>
      <x:c r="K1867" s="7" t="n">
        <x:v>2019.94</x:v>
      </x:c>
      <x:c r="L1867" s="7" t="n">
        <x:v>900.22</x:v>
      </x:c>
      <x:c r="M1867" s="3" t="str">
        <x:v>UPI</x:v>
      </x:c>
      <x:c r="N1867" s="3"/>
      <x:c r="O1867" s="3"/>
      <x:c r="P1867" s="3"/>
      <x:c r="Q1867" s="3"/>
    </x:row>
    <x:row r="1868" ht="21" customHeight="1">
      <x:c r="A1868" s="3" t="str">
        <x:v>ORD-100516</x:v>
      </x:c>
      <x:c r="B1868" s="5" t="n">
        <x:v>45803</x:v>
      </x:c>
      <x:c r="C1868" s="3" t="str">
        <x:v>CUST-00479</x:v>
      </x:c>
      <x:c r="D1868" s="3" t="str">
        <x:v>South</x:v>
      </x:c>
      <x:c r="E1868" s="3" t="str">
        <x:v>Sports</x:v>
      </x:c>
      <x:c r="F1868" s="3" t="str">
        <x:v>Outdoor</x:v>
      </x:c>
      <x:c r="G1868" s="3" t="str">
        <x:v>TrailHike Backpack 60L</x:v>
      </x:c>
      <x:c r="H1868" s="3" t="n">
        <x:v>1</x:v>
      </x:c>
      <x:c r="I1868" s="7" t="n">
        <x:v>3504.38</x:v>
      </x:c>
      <x:c r="J1868" s="9" t="n">
        <x:v>0</x:v>
      </x:c>
      <x:c r="K1868" s="7" t="n">
        <x:v>3504.38</x:v>
      </x:c>
      <x:c r="L1868" s="7" t="n">
        <x:v>1379.76</x:v>
      </x:c>
      <x:c r="M1868" s="3" t="str">
        <x:v>Net Banking</x:v>
      </x:c>
      <x:c r="N1868" s="3"/>
      <x:c r="O1868" s="3"/>
      <x:c r="P1868" s="3"/>
      <x:c r="Q1868" s="3"/>
    </x:row>
    <x:row r="1869" ht="21" customHeight="1">
      <x:c r="A1869" s="3" t="str">
        <x:v>ORD-100998</x:v>
      </x:c>
      <x:c r="B1869" s="5" t="n">
        <x:v>45803</x:v>
      </x:c>
      <x:c r="C1869" s="3" t="str">
        <x:v>CUST-00267</x:v>
      </x:c>
      <x:c r="D1869" s="3" t="str">
        <x:v>South</x:v>
      </x:c>
      <x:c r="E1869" s="3" t="str">
        <x:v>Beauty</x:v>
      </x:c>
      <x:c r="F1869" s="3" t="str">
        <x:v>Makeup</x:v>
      </x:c>
      <x:c r="G1869" s="3" t="str">
        <x:v>HD Foundation Kit</x:v>
      </x:c>
      <x:c r="H1869" s="3" t="n">
        <x:v>1</x:v>
      </x:c>
      <x:c r="I1869" s="7" t="n">
        <x:v>1551.06</x:v>
      </x:c>
      <x:c r="J1869" s="9" t="n">
        <x:v>0.05</x:v>
      </x:c>
      <x:c r="K1869" s="7" t="n">
        <x:v>1473.51</x:v>
      </x:c>
      <x:c r="L1869" s="7" t="n">
        <x:v>688.33</x:v>
      </x:c>
      <x:c r="M1869" s="3" t="str">
        <x:v>UPI</x:v>
      </x:c>
      <x:c r="N1869" s="3"/>
      <x:c r="O1869" s="3"/>
      <x:c r="P1869" s="3"/>
      <x:c r="Q1869" s="3"/>
    </x:row>
    <x:row r="1870" ht="21" customHeight="1">
      <x:c r="A1870" s="3" t="str">
        <x:v>ORD-101241</x:v>
      </x:c>
      <x:c r="B1870" s="5" t="n">
        <x:v>45803</x:v>
      </x:c>
      <x:c r="C1870" s="3" t="str">
        <x:v>CUST-00175</x:v>
      </x:c>
      <x:c r="D1870" s="3" t="str">
        <x:v>West</x:v>
      </x:c>
      <x:c r="E1870" s="3" t="str">
        <x:v>Electronics</x:v>
      </x:c>
      <x:c r="F1870" s="3" t="str">
        <x:v>Laptop</x:v>
      </x:c>
      <x:c r="G1870" s="3" t="str">
        <x:v>AirBook Slim</x:v>
      </x:c>
      <x:c r="H1870" s="3" t="n">
        <x:v>1</x:v>
      </x:c>
      <x:c r="I1870" s="7" t="n">
        <x:v>78617.74</x:v>
      </x:c>
      <x:c r="J1870" s="9" t="n">
        <x:v>0</x:v>
      </x:c>
      <x:c r="K1870" s="7" t="n">
        <x:v>78617.74</x:v>
      </x:c>
      <x:c r="L1870" s="7" t="n">
        <x:v>15296.17</x:v>
      </x:c>
      <x:c r="M1870" s="3" t="str">
        <x:v>UPI</x:v>
      </x:c>
      <x:c r="N1870" s="3"/>
      <x:c r="O1870" s="3"/>
      <x:c r="P1870" s="3"/>
      <x:c r="Q1870" s="3"/>
    </x:row>
    <x:row r="1871" ht="21" customHeight="1">
      <x:c r="A1871" s="3" t="str">
        <x:v>ORD-101119</x:v>
      </x:c>
      <x:c r="B1871" s="5" t="n">
        <x:v>45804</x:v>
      </x:c>
      <x:c r="C1871" s="3" t="str">
        <x:v>CUST-00059</x:v>
      </x:c>
      <x:c r="D1871" s="3" t="str">
        <x:v>West</x:v>
      </x:c>
      <x:c r="E1871" s="3" t="str">
        <x:v>Beauty</x:v>
      </x:c>
      <x:c r="F1871" s="3" t="str">
        <x:v>Makeup</x:v>
      </x:c>
      <x:c r="G1871" s="3" t="str">
        <x:v>Matte Lipstick Set</x:v>
      </x:c>
      <x:c r="H1871" s="3" t="n">
        <x:v>1</x:v>
      </x:c>
      <x:c r="I1871" s="7" t="n">
        <x:v>973.59</x:v>
      </x:c>
      <x:c r="J1871" s="9" t="n">
        <x:v>0.25</x:v>
      </x:c>
      <x:c r="K1871" s="7" t="n">
        <x:v>730.19</x:v>
      </x:c>
      <x:c r="L1871" s="7" t="n">
        <x:v>162.98</x:v>
      </x:c>
      <x:c r="M1871" s="3" t="str">
        <x:v>Debit Card</x:v>
      </x:c>
      <x:c r="N1871" s="3"/>
      <x:c r="O1871" s="3"/>
      <x:c r="P1871" s="3"/>
      <x:c r="Q1871" s="3"/>
    </x:row>
    <x:row r="1872" ht="21" customHeight="1">
      <x:c r="A1872" s="3" t="str">
        <x:v>ORD-101615</x:v>
      </x:c>
      <x:c r="B1872" s="5" t="n">
        <x:v>45804</x:v>
      </x:c>
      <x:c r="C1872" s="3" t="str">
        <x:v>CUST-00174</x:v>
      </x:c>
      <x:c r="D1872" s="3" t="str">
        <x:v>North</x:v>
      </x:c>
      <x:c r="E1872" s="3" t="str">
        <x:v>Home &amp; Kitchen</x:v>
      </x:c>
      <x:c r="F1872" s="3" t="str">
        <x:v>Furniture</x:v>
      </x:c>
      <x:c r="G1872" s="3" t="str">
        <x:v>Oakwood Study Desk</x:v>
      </x:c>
      <x:c r="H1872" s="3" t="n">
        <x:v>1</x:v>
      </x:c>
      <x:c r="I1872" s="7" t="n">
        <x:v>13471.24</x:v>
      </x:c>
      <x:c r="J1872" s="9" t="n">
        <x:v>0.05</x:v>
      </x:c>
      <x:c r="K1872" s="7" t="n">
        <x:v>12797.68</x:v>
      </x:c>
      <x:c r="L1872" s="7" t="n">
        <x:v>3896.56</x:v>
      </x:c>
      <x:c r="M1872" s="3" t="str">
        <x:v>Debit Card</x:v>
      </x:c>
      <x:c r="N1872" s="3"/>
      <x:c r="O1872" s="3"/>
      <x:c r="P1872" s="3"/>
      <x:c r="Q1872" s="3"/>
    </x:row>
    <x:row r="1873" ht="21" customHeight="1">
      <x:c r="A1873" s="3" t="str">
        <x:v>ORD-100381</x:v>
      </x:c>
      <x:c r="B1873" s="5" t="n">
        <x:v>45805</x:v>
      </x:c>
      <x:c r="C1873" s="3" t="str">
        <x:v>CUST-00134</x:v>
      </x:c>
      <x:c r="D1873" s="3" t="str">
        <x:v>South</x:v>
      </x:c>
      <x:c r="E1873" s="3" t="str">
        <x:v>Home &amp; Kitchen</x:v>
      </x:c>
      <x:c r="F1873" s="3" t="str">
        <x:v>Decor</x:v>
      </x:c>
      <x:c r="G1873" s="3" t="str">
        <x:v>Ceramic Vase Set</x:v>
      </x:c>
      <x:c r="H1873" s="3" t="n">
        <x:v>1</x:v>
      </x:c>
      <x:c r="I1873" s="7" t="n">
        <x:v>1509.71</x:v>
      </x:c>
      <x:c r="J1873" s="9" t="n">
        <x:v>0</x:v>
      </x:c>
      <x:c r="K1873" s="7" t="n">
        <x:v>1509.71</x:v>
      </x:c>
      <x:c r="L1873" s="7" t="n">
        <x:v>443.77</x:v>
      </x:c>
      <x:c r="M1873" s="3" t="str">
        <x:v>UPI</x:v>
      </x:c>
      <x:c r="N1873" s="3"/>
      <x:c r="O1873" s="3"/>
      <x:c r="P1873" s="3"/>
      <x:c r="Q1873" s="3"/>
    </x:row>
    <x:row r="1874" ht="21" customHeight="1">
      <x:c r="A1874" s="3" t="str">
        <x:v>ORD-100434</x:v>
      </x:c>
      <x:c r="B1874" s="5" t="n">
        <x:v>45805</x:v>
      </x:c>
      <x:c r="C1874" s="3" t="str">
        <x:v>CUST-00560</x:v>
      </x:c>
      <x:c r="D1874" s="3" t="str">
        <x:v>West</x:v>
      </x:c>
      <x:c r="E1874" s="3" t="str">
        <x:v>Beauty</x:v>
      </x:c>
      <x:c r="F1874" s="3" t="str">
        <x:v>Makeup</x:v>
      </x:c>
      <x:c r="G1874" s="3" t="str">
        <x:v>HD Foundation Kit</x:v>
      </x:c>
      <x:c r="H1874" s="3" t="n">
        <x:v>1</x:v>
      </x:c>
      <x:c r="I1874" s="7" t="n">
        <x:v>1514.68</x:v>
      </x:c>
      <x:c r="J1874" s="9" t="n">
        <x:v>0</x:v>
      </x:c>
      <x:c r="K1874" s="7" t="n">
        <x:v>1514.68</x:v>
      </x:c>
      <x:c r="L1874" s="7" t="n">
        <x:v>842.52</x:v>
      </x:c>
      <x:c r="M1874" s="3" t="str">
        <x:v>UPI</x:v>
      </x:c>
      <x:c r="N1874" s="3"/>
      <x:c r="O1874" s="3"/>
      <x:c r="P1874" s="3"/>
      <x:c r="Q1874" s="3"/>
    </x:row>
    <x:row r="1875" ht="21" customHeight="1">
      <x:c r="A1875" s="3" t="str">
        <x:v>ORD-100615</x:v>
      </x:c>
      <x:c r="B1875" s="5" t="n">
        <x:v>45805</x:v>
      </x:c>
      <x:c r="C1875" s="3" t="str">
        <x:v>CUST-00081</x:v>
      </x:c>
      <x:c r="D1875" s="3" t="str">
        <x:v>South</x:v>
      </x:c>
      <x:c r="E1875" s="3" t="str">
        <x:v>Sports</x:v>
      </x:c>
      <x:c r="F1875" s="3" t="str">
        <x:v>Outdoor</x:v>
      </x:c>
      <x:c r="G1875" s="3" t="str">
        <x:v>AllWeather Tent 4P</x:v>
      </x:c>
      <x:c r="H1875" s="3" t="n">
        <x:v>1</x:v>
      </x:c>
      <x:c r="I1875" s="7" t="n">
        <x:v>11679.58</x:v>
      </x:c>
      <x:c r="J1875" s="9" t="n">
        <x:v>0</x:v>
      </x:c>
      <x:c r="K1875" s="7" t="n">
        <x:v>11679.58</x:v>
      </x:c>
      <x:c r="L1875" s="7" t="n">
        <x:v>4574.06</x:v>
      </x:c>
      <x:c r="M1875" s="3" t="str">
        <x:v>UPI</x:v>
      </x:c>
      <x:c r="N1875" s="3"/>
      <x:c r="O1875" s="3"/>
      <x:c r="P1875" s="3"/>
      <x:c r="Q1875" s="3"/>
    </x:row>
    <x:row r="1876" ht="21" customHeight="1">
      <x:c r="A1876" s="3" t="str">
        <x:v>ORD-100734</x:v>
      </x:c>
      <x:c r="B1876" s="5" t="n">
        <x:v>45805</x:v>
      </x:c>
      <x:c r="C1876" s="3" t="str">
        <x:v>CUST-00536</x:v>
      </x:c>
      <x:c r="D1876" s="3" t="str">
        <x:v>West</x:v>
      </x:c>
      <x:c r="E1876" s="3" t="str">
        <x:v>Sports</x:v>
      </x:c>
      <x:c r="F1876" s="3" t="str">
        <x:v>Fitness</x:v>
      </x:c>
      <x:c r="G1876" s="3" t="str">
        <x:v>Adjustable Dumbbell 24kg</x:v>
      </x:c>
      <x:c r="H1876" s="3" t="n">
        <x:v>1</x:v>
      </x:c>
      <x:c r="I1876" s="7" t="n">
        <x:v>9577.79</x:v>
      </x:c>
      <x:c r="J1876" s="9" t="n">
        <x:v>0.1</x:v>
      </x:c>
      <x:c r="K1876" s="7" t="n">
        <x:v>8620.01</x:v>
      </x:c>
      <x:c r="L1876" s="7" t="n">
        <x:v>2371.16</x:v>
      </x:c>
      <x:c r="M1876" s="3" t="str">
        <x:v>UPI</x:v>
      </x:c>
      <x:c r="N1876" s="3"/>
      <x:c r="O1876" s="3"/>
      <x:c r="P1876" s="3"/>
      <x:c r="Q1876" s="3"/>
    </x:row>
    <x:row r="1877" ht="21" customHeight="1">
      <x:c r="A1877" s="3" t="str">
        <x:v>ORD-101079</x:v>
      </x:c>
      <x:c r="B1877" s="5" t="n">
        <x:v>45805</x:v>
      </x:c>
      <x:c r="C1877" s="3" t="str">
        <x:v>CUST-00533</x:v>
      </x:c>
      <x:c r="D1877" s="3" t="str">
        <x:v>West</x:v>
      </x:c>
      <x:c r="E1877" s="3" t="str">
        <x:v>Beauty</x:v>
      </x:c>
      <x:c r="F1877" s="3" t="str">
        <x:v>Makeup</x:v>
      </x:c>
      <x:c r="G1877" s="3" t="str">
        <x:v>Matte Lipstick Set</x:v>
      </x:c>
      <x:c r="H1877" s="3" t="n">
        <x:v>3</x:v>
      </x:c>
      <x:c r="I1877" s="7" t="n">
        <x:v>1046.68</x:v>
      </x:c>
      <x:c r="J1877" s="9" t="n">
        <x:v>0.1</x:v>
      </x:c>
      <x:c r="K1877" s="7" t="n">
        <x:v>2826.04</x:v>
      </x:c>
      <x:c r="L1877" s="7" t="n">
        <x:v>1295.41</x:v>
      </x:c>
      <x:c r="M1877" s="3" t="str">
        <x:v>UPI</x:v>
      </x:c>
      <x:c r="N1877" s="3"/>
      <x:c r="O1877" s="3"/>
      <x:c r="P1877" s="3"/>
      <x:c r="Q1877" s="3"/>
    </x:row>
    <x:row r="1878" ht="21" customHeight="1">
      <x:c r="A1878" s="3" t="str">
        <x:v>ORD-101767</x:v>
      </x:c>
      <x:c r="B1878" s="5" t="n">
        <x:v>45805</x:v>
      </x:c>
      <x:c r="C1878" s="3" t="str">
        <x:v>CUST-00132</x:v>
      </x:c>
      <x:c r="D1878" s="3" t="str">
        <x:v>South</x:v>
      </x:c>
      <x:c r="E1878" s="3" t="str">
        <x:v>Beauty</x:v>
      </x:c>
      <x:c r="F1878" s="3" t="str">
        <x:v>Makeup</x:v>
      </x:c>
      <x:c r="G1878" s="3" t="str">
        <x:v>HD Foundation Kit</x:v>
      </x:c>
      <x:c r="H1878" s="3" t="n">
        <x:v>1</x:v>
      </x:c>
      <x:c r="I1878" s="7" t="n">
        <x:v>1563.33</x:v>
      </x:c>
      <x:c r="J1878" s="9" t="n">
        <x:v>0.2</x:v>
      </x:c>
      <x:c r="K1878" s="7" t="n">
        <x:v>1250.66</x:v>
      </x:c>
      <x:c r="L1878" s="7" t="n">
        <x:v>366.35</x:v>
      </x:c>
      <x:c r="M1878" s="3" t="str">
        <x:v>Credit Card</x:v>
      </x:c>
      <x:c r="N1878" s="3"/>
      <x:c r="O1878" s="3"/>
      <x:c r="P1878" s="3"/>
      <x:c r="Q1878" s="3"/>
    </x:row>
    <x:row r="1879" ht="21" customHeight="1">
      <x:c r="A1879" s="3" t="str">
        <x:v>ORD-100235</x:v>
      </x:c>
      <x:c r="B1879" s="5" t="n">
        <x:v>45806</x:v>
      </x:c>
      <x:c r="C1879" s="3" t="str">
        <x:v>CUST-00277</x:v>
      </x:c>
      <x:c r="D1879" s="3" t="str">
        <x:v>South</x:v>
      </x:c>
      <x:c r="E1879" s="3" t="str">
        <x:v>Fashion</x:v>
      </x:c>
      <x:c r="F1879" s="3" t="str">
        <x:v>Footwear</x:v>
      </x:c>
      <x:c r="G1879" s="3" t="str">
        <x:v>RunFlex Sneakers</x:v>
      </x:c>
      <x:c r="H1879" s="3" t="n">
        <x:v>5</x:v>
      </x:c>
      <x:c r="I1879" s="7" t="n">
        <x:v>2956.75</x:v>
      </x:c>
      <x:c r="J1879" s="9" t="n">
        <x:v>0.15</x:v>
      </x:c>
      <x:c r="K1879" s="7" t="n">
        <x:v>12566.19</x:v>
      </x:c>
      <x:c r="L1879" s="7" t="n">
        <x:v>3154.89</x:v>
      </x:c>
      <x:c r="M1879" s="3" t="str">
        <x:v>Net Banking</x:v>
      </x:c>
      <x:c r="N1879" s="3"/>
      <x:c r="O1879" s="3"/>
      <x:c r="P1879" s="3"/>
      <x:c r="Q1879" s="3"/>
    </x:row>
    <x:row r="1880" ht="21" customHeight="1">
      <x:c r="A1880" s="3" t="str">
        <x:v>ORD-101528</x:v>
      </x:c>
      <x:c r="B1880" s="5" t="n">
        <x:v>45806</x:v>
      </x:c>
      <x:c r="C1880" s="3" t="str">
        <x:v>CUST-00378</x:v>
      </x:c>
      <x:c r="D1880" s="3" t="str">
        <x:v>North</x:v>
      </x:c>
      <x:c r="E1880" s="3" t="str">
        <x:v>Fashion</x:v>
      </x:c>
      <x:c r="F1880" s="3" t="str">
        <x:v>Footwear</x:v>
      </x:c>
      <x:c r="G1880" s="3" t="str">
        <x:v>UrbanLoafers</x:v>
      </x:c>
      <x:c r="H1880" s="3" t="n">
        <x:v>1</x:v>
      </x:c>
      <x:c r="I1880" s="7" t="n">
        <x:v>3373.02</x:v>
      </x:c>
      <x:c r="J1880" s="9" t="n">
        <x:v>0.2</x:v>
      </x:c>
      <x:c r="K1880" s="7" t="n">
        <x:v>2698.42</x:v>
      </x:c>
      <x:c r="L1880" s="7" t="n">
        <x:v>590.25</x:v>
      </x:c>
      <x:c r="M1880" s="3" t="str">
        <x:v>UPI</x:v>
      </x:c>
      <x:c r="N1880" s="3"/>
      <x:c r="O1880" s="3"/>
      <x:c r="P1880" s="3"/>
      <x:c r="Q1880" s="3"/>
    </x:row>
    <x:row r="1881" ht="21" customHeight="1">
      <x:c r="A1881" s="3" t="str">
        <x:v>ORD-101824</x:v>
      </x:c>
      <x:c r="B1881" s="5" t="n">
        <x:v>45806</x:v>
      </x:c>
      <x:c r="C1881" s="3" t="str">
        <x:v>CUST-00344</x:v>
      </x:c>
      <x:c r="D1881" s="3" t="str">
        <x:v>North</x:v>
      </x:c>
      <x:c r="E1881" s="3" t="str">
        <x:v>Home &amp; Kitchen</x:v>
      </x:c>
      <x:c r="F1881" s="3" t="str">
        <x:v>Decor</x:v>
      </x:c>
      <x:c r="G1881" s="3" t="str">
        <x:v>Ceramic Vase Set</x:v>
      </x:c>
      <x:c r="H1881" s="3" t="n">
        <x:v>2</x:v>
      </x:c>
      <x:c r="I1881" s="7" t="n">
        <x:v>1484.65</x:v>
      </x:c>
      <x:c r="J1881" s="9" t="n">
        <x:v>0</x:v>
      </x:c>
      <x:c r="K1881" s="7" t="n">
        <x:v>2969.3</x:v>
      </x:c>
      <x:c r="L1881" s="7" t="n">
        <x:v>873.64</x:v>
      </x:c>
      <x:c r="M1881" s="3" t="str">
        <x:v>UPI</x:v>
      </x:c>
      <x:c r="N1881" s="3"/>
      <x:c r="O1881" s="3"/>
      <x:c r="P1881" s="3"/>
      <x:c r="Q1881" s="3"/>
    </x:row>
    <x:row r="1882" ht="21" customHeight="1">
      <x:c r="A1882" s="3" t="str">
        <x:v>ORD-100804</x:v>
      </x:c>
      <x:c r="B1882" s="5" t="n">
        <x:v>45807</x:v>
      </x:c>
      <x:c r="C1882" s="3" t="str">
        <x:v>CUST-00538</x:v>
      </x:c>
      <x:c r="D1882" s="3" t="str">
        <x:v>South</x:v>
      </x:c>
      <x:c r="E1882" s="3" t="str">
        <x:v>Electronics</x:v>
      </x:c>
      <x:c r="F1882" s="3" t="str">
        <x:v>Laptop</x:v>
      </x:c>
      <x:c r="G1882" s="3" t="str">
        <x:v>ThinkPro 14</x:v>
      </x:c>
      <x:c r="H1882" s="3" t="n">
        <x:v>1</x:v>
      </x:c>
      <x:c r="I1882" s="7" t="n">
        <x:v>53771.99</x:v>
      </x:c>
      <x:c r="J1882" s="9" t="n">
        <x:v>0.15</x:v>
      </x:c>
      <x:c r="K1882" s="7" t="n">
        <x:v>45706.19</x:v>
      </x:c>
      <x:c r="L1882" s="7" t="n">
        <x:v>2104.33</x:v>
      </x:c>
      <x:c r="M1882" s="3" t="str">
        <x:v>Net Banking</x:v>
      </x:c>
      <x:c r="N1882" s="3"/>
      <x:c r="O1882" s="3"/>
      <x:c r="P1882" s="3"/>
      <x:c r="Q1882" s="3"/>
    </x:row>
    <x:row r="1883" ht="21" customHeight="1">
      <x:c r="A1883" s="3" t="str">
        <x:v>ORD-101368</x:v>
      </x:c>
      <x:c r="B1883" s="5" t="n">
        <x:v>45807</x:v>
      </x:c>
      <x:c r="C1883" s="3" t="str">
        <x:v>CUST-00574</x:v>
      </x:c>
      <x:c r="D1883" s="3" t="str">
        <x:v>North</x:v>
      </x:c>
      <x:c r="E1883" s="3" t="str">
        <x:v>Fashion</x:v>
      </x:c>
      <x:c r="F1883" s="3" t="str">
        <x:v>Footwear</x:v>
      </x:c>
      <x:c r="G1883" s="3" t="str">
        <x:v>UrbanLoafers</x:v>
      </x:c>
      <x:c r="H1883" s="3" t="n">
        <x:v>1</x:v>
      </x:c>
      <x:c r="I1883" s="7" t="n">
        <x:v>3484.78</x:v>
      </x:c>
      <x:c r="J1883" s="9" t="n">
        <x:v>0.3</x:v>
      </x:c>
      <x:c r="K1883" s="7" t="n">
        <x:v>2439.35</x:v>
      </x:c>
      <x:c r="L1883" s="7" t="n">
        <x:v>126.61</x:v>
      </x:c>
      <x:c r="M1883" s="3" t="str">
        <x:v>Debit Card</x:v>
      </x:c>
      <x:c r="N1883" s="3"/>
      <x:c r="O1883" s="3"/>
      <x:c r="P1883" s="3"/>
      <x:c r="Q1883" s="3"/>
    </x:row>
    <x:row r="1884" ht="21" customHeight="1">
      <x:c r="A1884" s="3" t="str">
        <x:v>ORD-101378</x:v>
      </x:c>
      <x:c r="B1884" s="5" t="n">
        <x:v>45807</x:v>
      </x:c>
      <x:c r="C1884" s="3" t="str">
        <x:v>CUST-00311</x:v>
      </x:c>
      <x:c r="D1884" s="3" t="str">
        <x:v>South</x:v>
      </x:c>
      <x:c r="E1884" s="3" t="str">
        <x:v>Sports</x:v>
      </x:c>
      <x:c r="F1884" s="3" t="str">
        <x:v>Fitness</x:v>
      </x:c>
      <x:c r="G1884" s="3" t="str">
        <x:v>Adjustable Dumbbell 24kg</x:v>
      </x:c>
      <x:c r="H1884" s="3" t="n">
        <x:v>3</x:v>
      </x:c>
      <x:c r="I1884" s="7" t="n">
        <x:v>9934.43</x:v>
      </x:c>
      <x:c r="J1884" s="9" t="n">
        <x:v>0.3</x:v>
      </x:c>
      <x:c r="K1884" s="7" t="n">
        <x:v>20862.3</x:v>
      </x:c>
      <x:c r="L1884" s="7" t="n">
        <x:v>1139.64</x:v>
      </x:c>
      <x:c r="M1884" s="3" t="str">
        <x:v>Credit Card</x:v>
      </x:c>
      <x:c r="N1884" s="3"/>
      <x:c r="O1884" s="3"/>
      <x:c r="P1884" s="3"/>
      <x:c r="Q1884" s="3"/>
    </x:row>
    <x:row r="1885" ht="21" customHeight="1">
      <x:c r="A1885" s="3" t="str">
        <x:v>ORD-100290</x:v>
      </x:c>
      <x:c r="B1885" s="5" t="n">
        <x:v>45808</x:v>
      </x:c>
      <x:c r="C1885" s="3" t="str">
        <x:v>CUST-00511</x:v>
      </x:c>
      <x:c r="D1885" s="3" t="str">
        <x:v>West</x:v>
      </x:c>
      <x:c r="E1885" s="3" t="str">
        <x:v>Home &amp; Kitchen</x:v>
      </x:c>
      <x:c r="F1885" s="3" t="str">
        <x:v>Furniture</x:v>
      </x:c>
      <x:c r="G1885" s="3" t="str">
        <x:v>ErgoComfort Chair</x:v>
      </x:c>
      <x:c r="H1885" s="3" t="n">
        <x:v>1</x:v>
      </x:c>
      <x:c r="I1885" s="7" t="n">
        <x:v>9153.91</x:v>
      </x:c>
      <x:c r="J1885" s="9" t="n">
        <x:v>0.1</x:v>
      </x:c>
      <x:c r="K1885" s="7" t="n">
        <x:v>8238.52</x:v>
      </x:c>
      <x:c r="L1885" s="7" t="n">
        <x:v>1522.95</x:v>
      </x:c>
      <x:c r="M1885" s="3" t="str">
        <x:v>Credit Card</x:v>
      </x:c>
      <x:c r="N1885" s="3"/>
      <x:c r="O1885" s="3"/>
      <x:c r="P1885" s="3"/>
      <x:c r="Q1885" s="3"/>
    </x:row>
    <x:row r="1886" ht="21" customHeight="1">
      <x:c r="A1886" s="3" t="str">
        <x:v>ORD-100373</x:v>
      </x:c>
      <x:c r="B1886" s="5" t="n">
        <x:v>45808</x:v>
      </x:c>
      <x:c r="C1886" s="3" t="str">
        <x:v>CUST-00162</x:v>
      </x:c>
      <x:c r="D1886" s="3" t="str">
        <x:v>East</x:v>
      </x:c>
      <x:c r="E1886" s="3" t="str">
        <x:v>Sports</x:v>
      </x:c>
      <x:c r="F1886" s="3" t="str">
        <x:v>Fitness</x:v>
      </x:c>
      <x:c r="G1886" s="3" t="str">
        <x:v>Adjustable Dumbbell 24kg</x:v>
      </x:c>
      <x:c r="H1886" s="3" t="n">
        <x:v>2</x:v>
      </x:c>
      <x:c r="I1886" s="7" t="n">
        <x:v>9926.08</x:v>
      </x:c>
      <x:c r="J1886" s="9" t="n">
        <x:v>0.15</x:v>
      </x:c>
      <x:c r="K1886" s="7" t="n">
        <x:v>16874.34</x:v>
      </x:c>
      <x:c r="L1886" s="7" t="n">
        <x:v>2966.98</x:v>
      </x:c>
      <x:c r="M1886" s="3" t="str">
        <x:v>Credit Card</x:v>
      </x:c>
      <x:c r="N1886" s="3"/>
      <x:c r="O1886" s="3"/>
      <x:c r="P1886" s="3"/>
      <x:c r="Q1886" s="3"/>
    </x:row>
    <x:row r="1887" ht="21" customHeight="1">
      <x:c r="A1887" s="3" t="str">
        <x:v>ORD-100380</x:v>
      </x:c>
      <x:c r="B1887" s="5" t="n">
        <x:v>45808</x:v>
      </x:c>
      <x:c r="C1887" s="3" t="str">
        <x:v>CUST-00443</x:v>
      </x:c>
      <x:c r="D1887" s="3" t="str">
        <x:v>West</x:v>
      </x:c>
      <x:c r="E1887" s="3" t="str">
        <x:v>Electronics</x:v>
      </x:c>
      <x:c r="F1887" s="3" t="str">
        <x:v>Laptop</x:v>
      </x:c>
      <x:c r="G1887" s="3" t="str">
        <x:v>ThinkPro 14</x:v>
      </x:c>
      <x:c r="H1887" s="3" t="n">
        <x:v>1</x:v>
      </x:c>
      <x:c r="I1887" s="7" t="n">
        <x:v>53091.62</x:v>
      </x:c>
      <x:c r="J1887" s="9" t="n">
        <x:v>0.1</x:v>
      </x:c>
      <x:c r="K1887" s="7" t="n">
        <x:v>47782.46</x:v>
      </x:c>
      <x:c r="L1887" s="7" t="n">
        <x:v>3769.6</x:v>
      </x:c>
      <x:c r="M1887" s="3" t="str">
        <x:v>Cash on Delivery</x:v>
      </x:c>
      <x:c r="N1887" s="3"/>
      <x:c r="O1887" s="3"/>
      <x:c r="P1887" s="3"/>
      <x:c r="Q1887" s="3"/>
    </x:row>
    <x:row r="1888" ht="21" customHeight="1">
      <x:c r="A1888" s="3" t="str">
        <x:v>ORD-100468</x:v>
      </x:c>
      <x:c r="B1888" s="5" t="n">
        <x:v>45808</x:v>
      </x:c>
      <x:c r="C1888" s="3" t="str">
        <x:v>CUST-00544</x:v>
      </x:c>
      <x:c r="D1888" s="3" t="str">
        <x:v>West</x:v>
      </x:c>
      <x:c r="E1888" s="3" t="str">
        <x:v>Beauty</x:v>
      </x:c>
      <x:c r="F1888" s="3" t="str">
        <x:v>Skincare</x:v>
      </x:c>
      <x:c r="G1888" s="3" t="str">
        <x:v>Vitamin C Serum</x:v>
      </x:c>
      <x:c r="H1888" s="3" t="n">
        <x:v>4</x:v>
      </x:c>
      <x:c r="I1888" s="7" t="n">
        <x:v>891.61</x:v>
      </x:c>
      <x:c r="J1888" s="9" t="n">
        <x:v>0.2</x:v>
      </x:c>
      <x:c r="K1888" s="7" t="n">
        <x:v>2853.15</x:v>
      </x:c>
      <x:c r="L1888" s="7" t="n">
        <x:v>808.98</x:v>
      </x:c>
      <x:c r="M1888" s="3" t="str">
        <x:v>Debit Card</x:v>
      </x:c>
      <x:c r="N1888" s="3"/>
      <x:c r="O1888" s="3"/>
      <x:c r="P1888" s="3"/>
      <x:c r="Q1888" s="3"/>
    </x:row>
    <x:row r="1889" ht="21" customHeight="1">
      <x:c r="A1889" s="3" t="str">
        <x:v>ORD-100970</x:v>
      </x:c>
      <x:c r="B1889" s="5" t="n">
        <x:v>45808</x:v>
      </x:c>
      <x:c r="C1889" s="3" t="str">
        <x:v>CUST-00524</x:v>
      </x:c>
      <x:c r="D1889" s="3" t="str">
        <x:v>South</x:v>
      </x:c>
      <x:c r="E1889" s="3" t="str">
        <x:v>Electronics</x:v>
      </x:c>
      <x:c r="F1889" s="3" t="str">
        <x:v>Mobile</x:v>
      </x:c>
      <x:c r="G1889" s="3" t="str">
        <x:v>iPhone Zeta</x:v>
      </x:c>
      <x:c r="H1889" s="3" t="n">
        <x:v>2</x:v>
      </x:c>
      <x:c r="I1889" s="7" t="n">
        <x:v>68932.38</x:v>
      </x:c>
      <x:c r="J1889" s="9" t="n">
        <x:v>0</x:v>
      </x:c>
      <x:c r="K1889" s="7" t="n">
        <x:v>137864.76</x:v>
      </x:c>
      <x:c r="L1889" s="7" t="n">
        <x:v>24292.49</x:v>
      </x:c>
      <x:c r="M1889" s="3" t="str">
        <x:v>Cash on Delivery</x:v>
      </x:c>
      <x:c r="N1889" s="3"/>
      <x:c r="O1889" s="3"/>
      <x:c r="P1889" s="3"/>
      <x:c r="Q1889" s="3"/>
    </x:row>
    <x:row r="1890" ht="21" customHeight="1">
      <x:c r="A1890" s="3" t="str">
        <x:v>ORD-101373</x:v>
      </x:c>
      <x:c r="B1890" s="5" t="n">
        <x:v>45808</x:v>
      </x:c>
      <x:c r="C1890" s="3" t="str">
        <x:v>CUST-00320</x:v>
      </x:c>
      <x:c r="D1890" s="3" t="str">
        <x:v>West</x:v>
      </x:c>
      <x:c r="E1890" s="3" t="str">
        <x:v>Electronics</x:v>
      </x:c>
      <x:c r="F1890" s="3" t="str">
        <x:v>Laptop</x:v>
      </x:c>
      <x:c r="G1890" s="3" t="str">
        <x:v>AirBook Slim</x:v>
      </x:c>
      <x:c r="H1890" s="3" t="n">
        <x:v>2</x:v>
      </x:c>
      <x:c r="I1890" s="7" t="n">
        <x:v>78871.55</x:v>
      </x:c>
      <x:c r="J1890" s="9" t="n">
        <x:v>0</x:v>
      </x:c>
      <x:c r="K1890" s="7" t="n">
        <x:v>157743.1</x:v>
      </x:c>
      <x:c r="L1890" s="7" t="n">
        <x:v>33517.9</x:v>
      </x:c>
      <x:c r="M1890" s="3" t="str">
        <x:v>Credit Card</x:v>
      </x:c>
      <x:c r="N1890" s="3"/>
      <x:c r="O1890" s="3"/>
      <x:c r="P1890" s="3"/>
      <x:c r="Q1890" s="3"/>
    </x:row>
    <x:row r="1891" ht="21" customHeight="1">
      <x:c r="A1891" s="3" t="str">
        <x:v>ORD-100136</x:v>
      </x:c>
      <x:c r="B1891" s="5" t="n">
        <x:v>45809</x:v>
      </x:c>
      <x:c r="C1891" s="3" t="str">
        <x:v>CUST-00247</x:v>
      </x:c>
      <x:c r="D1891" s="3" t="str">
        <x:v>West</x:v>
      </x:c>
      <x:c r="E1891" s="3" t="str">
        <x:v>Home &amp; Kitchen</x:v>
      </x:c>
      <x:c r="F1891" s="3" t="str">
        <x:v>Appliances</x:v>
      </x:c>
      <x:c r="G1891" s="3" t="str">
        <x:v>ColdBrew Coffee Maker</x:v>
      </x:c>
      <x:c r="H1891" s="3" t="n">
        <x:v>1</x:v>
      </x:c>
      <x:c r="I1891" s="7" t="n">
        <x:v>6821.33</x:v>
      </x:c>
      <x:c r="J1891" s="9" t="n">
        <x:v>0</x:v>
      </x:c>
      <x:c r="K1891" s="7" t="n">
        <x:v>6821.33</x:v>
      </x:c>
      <x:c r="L1891" s="7" t="n">
        <x:v>2232.93</x:v>
      </x:c>
      <x:c r="M1891" s="3" t="str">
        <x:v>Credit Card</x:v>
      </x:c>
      <x:c r="N1891" s="3"/>
      <x:c r="O1891" s="3"/>
      <x:c r="P1891" s="3"/>
      <x:c r="Q1891" s="3"/>
    </x:row>
    <x:row r="1892" ht="21" customHeight="1">
      <x:c r="A1892" s="3" t="str">
        <x:v>ORD-100199</x:v>
      </x:c>
      <x:c r="B1892" s="5" t="n">
        <x:v>45809</x:v>
      </x:c>
      <x:c r="C1892" s="3" t="str">
        <x:v>CUST-00419</x:v>
      </x:c>
      <x:c r="D1892" s="3" t="str">
        <x:v>North</x:v>
      </x:c>
      <x:c r="E1892" s="3" t="str">
        <x:v>Home &amp; Kitchen</x:v>
      </x:c>
      <x:c r="F1892" s="3" t="str">
        <x:v>Furniture</x:v>
      </x:c>
      <x:c r="G1892" s="3" t="str">
        <x:v>Oakwood Study Desk</x:v>
      </x:c>
      <x:c r="H1892" s="3" t="n">
        <x:v>1</x:v>
      </x:c>
      <x:c r="I1892" s="7" t="n">
        <x:v>12418.74</x:v>
      </x:c>
      <x:c r="J1892" s="9" t="n">
        <x:v>0.05</x:v>
      </x:c>
      <x:c r="K1892" s="7" t="n">
        <x:v>11797.8</x:v>
      </x:c>
      <x:c r="L1892" s="7" t="n">
        <x:v>3081.86</x:v>
      </x:c>
      <x:c r="M1892" s="3" t="str">
        <x:v>UPI</x:v>
      </x:c>
      <x:c r="N1892" s="3"/>
      <x:c r="O1892" s="3"/>
      <x:c r="P1892" s="3"/>
      <x:c r="Q1892" s="3"/>
    </x:row>
    <x:row r="1893" ht="21" customHeight="1">
      <x:c r="A1893" s="3" t="str">
        <x:v>ORD-101148</x:v>
      </x:c>
      <x:c r="B1893" s="5" t="n">
        <x:v>45809</x:v>
      </x:c>
      <x:c r="C1893" s="3" t="str">
        <x:v>CUST-00401</x:v>
      </x:c>
      <x:c r="D1893" s="3" t="str">
        <x:v>South</x:v>
      </x:c>
      <x:c r="E1893" s="3" t="str">
        <x:v>Home &amp; Kitchen</x:v>
      </x:c>
      <x:c r="F1893" s="3" t="str">
        <x:v>Furniture</x:v>
      </x:c>
      <x:c r="G1893" s="3" t="str">
        <x:v>Oakwood Study Desk</x:v>
      </x:c>
      <x:c r="H1893" s="3" t="n">
        <x:v>1</x:v>
      </x:c>
      <x:c r="I1893" s="7" t="n">
        <x:v>13000.4</x:v>
      </x:c>
      <x:c r="J1893" s="9" t="n">
        <x:v>0.2</x:v>
      </x:c>
      <x:c r="K1893" s="7" t="n">
        <x:v>10400.32</x:v>
      </x:c>
      <x:c r="L1893" s="7" t="n">
        <x:v>799.63</x:v>
      </x:c>
      <x:c r="M1893" s="3" t="str">
        <x:v>Credit Card</x:v>
      </x:c>
      <x:c r="N1893" s="3"/>
      <x:c r="O1893" s="3"/>
      <x:c r="P1893" s="3"/>
      <x:c r="Q1893" s="3"/>
    </x:row>
    <x:row r="1894" ht="21" customHeight="1">
      <x:c r="A1894" s="3" t="str">
        <x:v>ORD-101502</x:v>
      </x:c>
      <x:c r="B1894" s="5" t="n">
        <x:v>45809</x:v>
      </x:c>
      <x:c r="C1894" s="3" t="str">
        <x:v>CUST-00117</x:v>
      </x:c>
      <x:c r="D1894" s="3" t="str">
        <x:v>South</x:v>
      </x:c>
      <x:c r="E1894" s="3" t="str">
        <x:v>Fashion</x:v>
      </x:c>
      <x:c r="F1894" s="3" t="str">
        <x:v>Footwear</x:v>
      </x:c>
      <x:c r="G1894" s="3" t="str">
        <x:v>UrbanLoafers</x:v>
      </x:c>
      <x:c r="H1894" s="3" t="n">
        <x:v>2</x:v>
      </x:c>
      <x:c r="I1894" s="7" t="n">
        <x:v>3395.38</x:v>
      </x:c>
      <x:c r="J1894" s="9" t="n">
        <x:v>0.2</x:v>
      </x:c>
      <x:c r="K1894" s="7" t="n">
        <x:v>5432.61</x:v>
      </x:c>
      <x:c r="L1894" s="7" t="n">
        <x:v>1168.91</x:v>
      </x:c>
      <x:c r="M1894" s="3" t="str">
        <x:v>Debit Card</x:v>
      </x:c>
      <x:c r="N1894" s="3"/>
      <x:c r="O1894" s="3"/>
      <x:c r="P1894" s="3"/>
      <x:c r="Q1894" s="3"/>
    </x:row>
    <x:row r="1895" ht="21" customHeight="1">
      <x:c r="A1895" s="3" t="str">
        <x:v>ORD-101127</x:v>
      </x:c>
      <x:c r="B1895" s="5" t="n">
        <x:v>45810</x:v>
      </x:c>
      <x:c r="C1895" s="3" t="str">
        <x:v>CUST-00104</x:v>
      </x:c>
      <x:c r="D1895" s="3" t="str">
        <x:v>South</x:v>
      </x:c>
      <x:c r="E1895" s="3" t="str">
        <x:v>Home &amp; Kitchen</x:v>
      </x:c>
      <x:c r="F1895" s="3" t="str">
        <x:v>Appliances</x:v>
      </x:c>
      <x:c r="G1895" s="3" t="str">
        <x:v>ColdBrew Coffee Maker</x:v>
      </x:c>
      <x:c r="H1895" s="3" t="n">
        <x:v>1</x:v>
      </x:c>
      <x:c r="I1895" s="7" t="n">
        <x:v>6724.63</x:v>
      </x:c>
      <x:c r="J1895" s="9" t="n">
        <x:v>0.4</x:v>
      </x:c>
      <x:c r="K1895" s="7" t="n">
        <x:v>4034.78</x:v>
      </x:c>
      <x:c r="L1895" s="7" t="n">
        <x:v>-664.04</x:v>
      </x:c>
      <x:c r="M1895" s="3" t="str">
        <x:v>UPI</x:v>
      </x:c>
      <x:c r="N1895" s="3"/>
      <x:c r="O1895" s="3"/>
      <x:c r="P1895" s="3"/>
      <x:c r="Q1895" s="3"/>
    </x:row>
    <x:row r="1896" ht="21" customHeight="1">
      <x:c r="A1896" s="3" t="str">
        <x:v>ORD-101129</x:v>
      </x:c>
      <x:c r="B1896" s="5" t="n">
        <x:v>45810</x:v>
      </x:c>
      <x:c r="C1896" s="3" t="str">
        <x:v>CUST-00158</x:v>
      </x:c>
      <x:c r="D1896" s="3" t="str">
        <x:v>South</x:v>
      </x:c>
      <x:c r="E1896" s="3" t="str">
        <x:v>Home &amp; Kitchen</x:v>
      </x:c>
      <x:c r="F1896" s="3" t="str">
        <x:v>Decor</x:v>
      </x:c>
      <x:c r="G1896" s="3" t="str">
        <x:v>Ceramic Vase Set</x:v>
      </x:c>
      <x:c r="H1896" s="3" t="n">
        <x:v>3</x:v>
      </x:c>
      <x:c r="I1896" s="7" t="n">
        <x:v>1556.49</x:v>
      </x:c>
      <x:c r="J1896" s="9" t="n">
        <x:v>0.1</x:v>
      </x:c>
      <x:c r="K1896" s="7" t="n">
        <x:v>4202.52</x:v>
      </x:c>
      <x:c r="L1896" s="7" t="n">
        <x:v>990.45</x:v>
      </x:c>
      <x:c r="M1896" s="3" t="str">
        <x:v>Credit Card</x:v>
      </x:c>
      <x:c r="N1896" s="3"/>
      <x:c r="O1896" s="3"/>
      <x:c r="P1896" s="3"/>
      <x:c r="Q1896" s="3"/>
    </x:row>
    <x:row r="1897" ht="21" customHeight="1">
      <x:c r="A1897" s="3" t="str">
        <x:v>ORD-100009</x:v>
      </x:c>
      <x:c r="B1897" s="5" t="n">
        <x:v>45811</x:v>
      </x:c>
      <x:c r="C1897" s="3" t="str">
        <x:v>CUST-00157</x:v>
      </x:c>
      <x:c r="D1897" s="3" t="str">
        <x:v>East</x:v>
      </x:c>
      <x:c r="E1897" s="3" t="str">
        <x:v>Electronics</x:v>
      </x:c>
      <x:c r="F1897" s="3" t="str">
        <x:v>Audio</x:v>
      </x:c>
      <x:c r="G1897" s="3" t="str">
        <x:v>BassBoom Speaker</x:v>
      </x:c>
      <x:c r="H1897" s="3" t="n">
        <x:v>5</x:v>
      </x:c>
      <x:c r="I1897" s="7" t="n">
        <x:v>9005.91</x:v>
      </x:c>
      <x:c r="J1897" s="9" t="n">
        <x:v>0.15</x:v>
      </x:c>
      <x:c r="K1897" s="7" t="n">
        <x:v>38275.12</x:v>
      </x:c>
      <x:c r="L1897" s="7" t="n">
        <x:v>-918.11</x:v>
      </x:c>
      <x:c r="M1897" s="3" t="str">
        <x:v>Debit Card</x:v>
      </x:c>
      <x:c r="N1897" s="3"/>
      <x:c r="O1897" s="3"/>
      <x:c r="P1897" s="3"/>
      <x:c r="Q1897" s="3"/>
    </x:row>
    <x:row r="1898" ht="21" customHeight="1">
      <x:c r="A1898" s="3" t="str">
        <x:v>ORD-100267</x:v>
      </x:c>
      <x:c r="B1898" s="5" t="n">
        <x:v>45811</x:v>
      </x:c>
      <x:c r="C1898" s="3" t="str">
        <x:v>CUST-00175</x:v>
      </x:c>
      <x:c r="D1898" s="3" t="str">
        <x:v>West</x:v>
      </x:c>
      <x:c r="E1898" s="3" t="str">
        <x:v>Beauty</x:v>
      </x:c>
      <x:c r="F1898" s="3" t="str">
        <x:v>Skincare</x:v>
      </x:c>
      <x:c r="G1898" s="3" t="str">
        <x:v>HydraBoost Moisturizer</x:v>
      </x:c>
      <x:c r="H1898" s="3" t="n">
        <x:v>2</x:v>
      </x:c>
      <x:c r="I1898" s="7" t="n">
        <x:v>1203.15</x:v>
      </x:c>
      <x:c r="J1898" s="9" t="n">
        <x:v>0</x:v>
      </x:c>
      <x:c r="K1898" s="7" t="n">
        <x:v>2406.3</x:v>
      </x:c>
      <x:c r="L1898" s="7" t="n">
        <x:v>1378.31</x:v>
      </x:c>
      <x:c r="M1898" s="3" t="str">
        <x:v>Credit Card</x:v>
      </x:c>
      <x:c r="N1898" s="3"/>
      <x:c r="O1898" s="3"/>
      <x:c r="P1898" s="3"/>
      <x:c r="Q1898" s="3"/>
    </x:row>
    <x:row r="1899" ht="21" customHeight="1">
      <x:c r="A1899" s="3" t="str">
        <x:v>ORD-100893</x:v>
      </x:c>
      <x:c r="B1899" s="5" t="n">
        <x:v>45811</x:v>
      </x:c>
      <x:c r="C1899" s="3" t="str">
        <x:v>CUST-00437</x:v>
      </x:c>
      <x:c r="D1899" s="3" t="str">
        <x:v>South</x:v>
      </x:c>
      <x:c r="E1899" s="3" t="str">
        <x:v>Sports</x:v>
      </x:c>
      <x:c r="F1899" s="3" t="str">
        <x:v>Outdoor</x:v>
      </x:c>
      <x:c r="G1899" s="3" t="str">
        <x:v>TrailHike Backpack 60L</x:v>
      </x:c>
      <x:c r="H1899" s="3" t="n">
        <x:v>1</x:v>
      </x:c>
      <x:c r="I1899" s="7" t="n">
        <x:v>3442.27</x:v>
      </x:c>
      <x:c r="J1899" s="9" t="n">
        <x:v>0.05</x:v>
      </x:c>
      <x:c r="K1899" s="7" t="n">
        <x:v>3270.16</x:v>
      </x:c>
      <x:c r="L1899" s="7" t="n">
        <x:v>1101.34</x:v>
      </x:c>
      <x:c r="M1899" s="3" t="str">
        <x:v>Cash on Delivery</x:v>
      </x:c>
      <x:c r="N1899" s="3"/>
      <x:c r="O1899" s="3"/>
      <x:c r="P1899" s="3"/>
      <x:c r="Q1899" s="3"/>
    </x:row>
    <x:row r="1900" ht="21" customHeight="1">
      <x:c r="A1900" s="3" t="str">
        <x:v>ORD-100992</x:v>
      </x:c>
      <x:c r="B1900" s="5" t="n">
        <x:v>45811</x:v>
      </x:c>
      <x:c r="C1900" s="3" t="str">
        <x:v>CUST-00549</x:v>
      </x:c>
      <x:c r="D1900" s="3" t="str">
        <x:v>East</x:v>
      </x:c>
      <x:c r="E1900" s="3" t="str">
        <x:v>Electronics</x:v>
      </x:c>
      <x:c r="F1900" s="3" t="str">
        <x:v>Audio</x:v>
      </x:c>
      <x:c r="G1900" s="3" t="str">
        <x:v>SoundPods Pro</x:v>
      </x:c>
      <x:c r="H1900" s="3" t="n">
        <x:v>1</x:v>
      </x:c>
      <x:c r="I1900" s="7" t="n">
        <x:v>5100.2</x:v>
      </x:c>
      <x:c r="J1900" s="9" t="n">
        <x:v>0.2</x:v>
      </x:c>
      <x:c r="K1900" s="7" t="n">
        <x:v>4080.16</x:v>
      </x:c>
      <x:c r="L1900" s="7" t="n">
        <x:v>-107.53</x:v>
      </x:c>
      <x:c r="M1900" s="3" t="str">
        <x:v>UPI</x:v>
      </x:c>
      <x:c r="N1900" s="3"/>
      <x:c r="O1900" s="3"/>
      <x:c r="P1900" s="3"/>
      <x:c r="Q1900" s="3"/>
    </x:row>
    <x:row r="1901" ht="21" customHeight="1">
      <x:c r="A1901" s="3" t="str">
        <x:v>ORD-101314</x:v>
      </x:c>
      <x:c r="B1901" s="5" t="n">
        <x:v>45811</x:v>
      </x:c>
      <x:c r="C1901" s="3" t="str">
        <x:v>CUST-00012</x:v>
      </x:c>
      <x:c r="D1901" s="3" t="str">
        <x:v>North</x:v>
      </x:c>
      <x:c r="E1901" s="3" t="str">
        <x:v>Fashion</x:v>
      </x:c>
      <x:c r="F1901" s="3" t="str">
        <x:v>Men</x:v>
      </x:c>
      <x:c r="G1901" s="3" t="str">
        <x:v>Oxford Casual Shirt</x:v>
      </x:c>
      <x:c r="H1901" s="3" t="n">
        <x:v>4</x:v>
      </x:c>
      <x:c r="I1901" s="7" t="n">
        <x:v>1301.85</x:v>
      </x:c>
      <x:c r="J1901" s="9" t="n">
        <x:v>0.2</x:v>
      </x:c>
      <x:c r="K1901" s="7" t="n">
        <x:v>4165.92</x:v>
      </x:c>
      <x:c r="L1901" s="7" t="n">
        <x:v>870.66</x:v>
      </x:c>
      <x:c r="M1901" s="3" t="str">
        <x:v>Cash on Delivery</x:v>
      </x:c>
      <x:c r="N1901" s="3"/>
      <x:c r="O1901" s="3"/>
      <x:c r="P1901" s="3"/>
      <x:c r="Q1901" s="3"/>
    </x:row>
    <x:row r="1902" ht="21" customHeight="1">
      <x:c r="A1902" s="3" t="str">
        <x:v>ORD-101485</x:v>
      </x:c>
      <x:c r="B1902" s="5" t="n">
        <x:v>45811</x:v>
      </x:c>
      <x:c r="C1902" s="3" t="str">
        <x:v>CUST-00074</x:v>
      </x:c>
      <x:c r="D1902" s="3" t="str">
        <x:v>East</x:v>
      </x:c>
      <x:c r="E1902" s="3" t="str">
        <x:v>Sports</x:v>
      </x:c>
      <x:c r="F1902" s="3" t="str">
        <x:v>Outdoor</x:v>
      </x:c>
      <x:c r="G1902" s="3" t="str">
        <x:v>TrailHike Backpack 60L</x:v>
      </x:c>
      <x:c r="H1902" s="3" t="n">
        <x:v>1</x:v>
      </x:c>
      <x:c r="I1902" s="7" t="n">
        <x:v>3382.21</x:v>
      </x:c>
      <x:c r="J1902" s="9" t="n">
        <x:v>0</x:v>
      </x:c>
      <x:c r="K1902" s="7" t="n">
        <x:v>3382.21</x:v>
      </x:c>
      <x:c r="L1902" s="7" t="n">
        <x:v>1382.7</x:v>
      </x:c>
      <x:c r="M1902" s="3" t="str">
        <x:v>UPI</x:v>
      </x:c>
      <x:c r="N1902" s="3"/>
      <x:c r="O1902" s="3"/>
      <x:c r="P1902" s="3"/>
      <x:c r="Q1902" s="3"/>
    </x:row>
    <x:row r="1903" ht="21" customHeight="1">
      <x:c r="A1903" s="3" t="str">
        <x:v>ORD-100979</x:v>
      </x:c>
      <x:c r="B1903" s="5" t="n">
        <x:v>45812</x:v>
      </x:c>
      <x:c r="C1903" s="3" t="str">
        <x:v>CUST-00258</x:v>
      </x:c>
      <x:c r="D1903" s="3" t="str">
        <x:v>South</x:v>
      </x:c>
      <x:c r="E1903" s="3" t="str">
        <x:v>Electronics</x:v>
      </x:c>
      <x:c r="F1903" s="3" t="str">
        <x:v>Audio</x:v>
      </x:c>
      <x:c r="G1903" s="3" t="str">
        <x:v>BassBoom Speaker</x:v>
      </x:c>
      <x:c r="H1903" s="3" t="n">
        <x:v>1</x:v>
      </x:c>
      <x:c r="I1903" s="7" t="n">
        <x:v>8994.08</x:v>
      </x:c>
      <x:c r="J1903" s="9" t="n">
        <x:v>0.2</x:v>
      </x:c>
      <x:c r="K1903" s="7" t="n">
        <x:v>7195.26</x:v>
      </x:c>
      <x:c r="L1903" s="7" t="n">
        <x:v>-243.72</x:v>
      </x:c>
      <x:c r="M1903" s="3" t="str">
        <x:v>UPI</x:v>
      </x:c>
      <x:c r="N1903" s="3"/>
      <x:c r="O1903" s="3"/>
      <x:c r="P1903" s="3"/>
      <x:c r="Q1903" s="3"/>
    </x:row>
    <x:row r="1904" ht="21" customHeight="1">
      <x:c r="A1904" s="3" t="str">
        <x:v>ORD-101134</x:v>
      </x:c>
      <x:c r="B1904" s="5" t="n">
        <x:v>45813</x:v>
      </x:c>
      <x:c r="C1904" s="3" t="str">
        <x:v>CUST-00415</x:v>
      </x:c>
      <x:c r="D1904" s="3" t="str">
        <x:v>South</x:v>
      </x:c>
      <x:c r="E1904" s="3" t="str">
        <x:v>Beauty</x:v>
      </x:c>
      <x:c r="F1904" s="3" t="str">
        <x:v>Skincare</x:v>
      </x:c>
      <x:c r="G1904" s="3" t="str">
        <x:v>HydraBoost Moisturizer</x:v>
      </x:c>
      <x:c r="H1904" s="3" t="n">
        <x:v>3</x:v>
      </x:c>
      <x:c r="I1904" s="7" t="n">
        <x:v>1168.46</x:v>
      </x:c>
      <x:c r="J1904" s="9" t="n">
        <x:v>0.15</x:v>
      </x:c>
      <x:c r="K1904" s="7" t="n">
        <x:v>2979.57</x:v>
      </x:c>
      <x:c r="L1904" s="7" t="n">
        <x:v>1199.86</x:v>
      </x:c>
      <x:c r="M1904" s="3" t="str">
        <x:v>UPI</x:v>
      </x:c>
      <x:c r="N1904" s="3"/>
      <x:c r="O1904" s="3"/>
      <x:c r="P1904" s="3"/>
      <x:c r="Q1904" s="3"/>
    </x:row>
    <x:row r="1905" ht="21" customHeight="1">
      <x:c r="A1905" s="3" t="str">
        <x:v>ORD-101706</x:v>
      </x:c>
      <x:c r="B1905" s="5" t="n">
        <x:v>45814</x:v>
      </x:c>
      <x:c r="C1905" s="3" t="str">
        <x:v>CUST-00122</x:v>
      </x:c>
      <x:c r="D1905" s="3" t="str">
        <x:v>South</x:v>
      </x:c>
      <x:c r="E1905" s="3" t="str">
        <x:v>Beauty</x:v>
      </x:c>
      <x:c r="F1905" s="3" t="str">
        <x:v>Makeup</x:v>
      </x:c>
      <x:c r="G1905" s="3" t="str">
        <x:v>HD Foundation Kit</x:v>
      </x:c>
      <x:c r="H1905" s="3" t="n">
        <x:v>3</x:v>
      </x:c>
      <x:c r="I1905" s="7" t="n">
        <x:v>1426.49</x:v>
      </x:c>
      <x:c r="J1905" s="9" t="n">
        <x:v>0</x:v>
      </x:c>
      <x:c r="K1905" s="7" t="n">
        <x:v>4279.47</x:v>
      </x:c>
      <x:c r="L1905" s="7" t="n">
        <x:v>2265.75</x:v>
      </x:c>
      <x:c r="M1905" s="3" t="str">
        <x:v>Debit Card</x:v>
      </x:c>
      <x:c r="N1905" s="3"/>
      <x:c r="O1905" s="3"/>
      <x:c r="P1905" s="3"/>
      <x:c r="Q1905" s="3"/>
    </x:row>
    <x:row r="1906" ht="21" customHeight="1">
      <x:c r="A1906" s="3" t="str">
        <x:v>ORD-100376</x:v>
      </x:c>
      <x:c r="B1906" s="5" t="n">
        <x:v>45815</x:v>
      </x:c>
      <x:c r="C1906" s="3" t="str">
        <x:v>CUST-00586</x:v>
      </x:c>
      <x:c r="D1906" s="3" t="str">
        <x:v>West</x:v>
      </x:c>
      <x:c r="E1906" s="3" t="str">
        <x:v>Electronics</x:v>
      </x:c>
      <x:c r="F1906" s="3" t="str">
        <x:v>Laptop</x:v>
      </x:c>
      <x:c r="G1906" s="3" t="str">
        <x:v>ThinkPro 14</x:v>
      </x:c>
      <x:c r="H1906" s="3" t="n">
        <x:v>1</x:v>
      </x:c>
      <x:c r="I1906" s="7" t="n">
        <x:v>56492.35</x:v>
      </x:c>
      <x:c r="J1906" s="9" t="n">
        <x:v>0.05</x:v>
      </x:c>
      <x:c r="K1906" s="7" t="n">
        <x:v>53667.73</x:v>
      </x:c>
      <x:c r="L1906" s="7" t="n">
        <x:v>8477.77</x:v>
      </x:c>
      <x:c r="M1906" s="3" t="str">
        <x:v>Net Banking</x:v>
      </x:c>
      <x:c r="N1906" s="3"/>
      <x:c r="O1906" s="3"/>
      <x:c r="P1906" s="3"/>
      <x:c r="Q1906" s="3"/>
    </x:row>
    <x:row r="1907" ht="21" customHeight="1">
      <x:c r="A1907" s="3" t="str">
        <x:v>ORD-100680</x:v>
      </x:c>
      <x:c r="B1907" s="5" t="n">
        <x:v>45815</x:v>
      </x:c>
      <x:c r="C1907" s="3" t="str">
        <x:v>CUST-00430</x:v>
      </x:c>
      <x:c r="D1907" s="3" t="str">
        <x:v>North</x:v>
      </x:c>
      <x:c r="E1907" s="3" t="str">
        <x:v>Sports</x:v>
      </x:c>
      <x:c r="F1907" s="3" t="str">
        <x:v>Fitness</x:v>
      </x:c>
      <x:c r="G1907" s="3" t="str">
        <x:v>Adjustable Dumbbell 24kg</x:v>
      </x:c>
      <x:c r="H1907" s="3" t="n">
        <x:v>1</x:v>
      </x:c>
      <x:c r="I1907" s="7" t="n">
        <x:v>10175.51</x:v>
      </x:c>
      <x:c r="J1907" s="9" t="n">
        <x:v>0.25</x:v>
      </x:c>
      <x:c r="K1907" s="7" t="n">
        <x:v>7631.63</x:v>
      </x:c>
      <x:c r="L1907" s="7" t="n">
        <x:v>974.68</x:v>
      </x:c>
      <x:c r="M1907" s="3" t="str">
        <x:v>UPI</x:v>
      </x:c>
      <x:c r="N1907" s="3"/>
      <x:c r="O1907" s="3"/>
      <x:c r="P1907" s="3"/>
      <x:c r="Q1907" s="3"/>
    </x:row>
    <x:row r="1908" ht="21" customHeight="1">
      <x:c r="A1908" s="3" t="str">
        <x:v>ORD-100763</x:v>
      </x:c>
      <x:c r="B1908" s="5" t="n">
        <x:v>45815</x:v>
      </x:c>
      <x:c r="C1908" s="3" t="str">
        <x:v>CUST-00420</x:v>
      </x:c>
      <x:c r="D1908" s="3" t="str">
        <x:v>East</x:v>
      </x:c>
      <x:c r="E1908" s="3" t="str">
        <x:v>Home &amp; Kitchen</x:v>
      </x:c>
      <x:c r="F1908" s="3" t="str">
        <x:v>Appliances</x:v>
      </x:c>
      <x:c r="G1908" s="3" t="str">
        <x:v>AirFryer Deluxe</x:v>
      </x:c>
      <x:c r="H1908" s="3" t="n">
        <x:v>2</x:v>
      </x:c>
      <x:c r="I1908" s="7" t="n">
        <x:v>8052.71</x:v>
      </x:c>
      <x:c r="J1908" s="9" t="n">
        <x:v>0.05</x:v>
      </x:c>
      <x:c r="K1908" s="7" t="n">
        <x:v>15300.15</x:v>
      </x:c>
      <x:c r="L1908" s="7" t="n">
        <x:v>4015.02</x:v>
      </x:c>
      <x:c r="M1908" s="3" t="str">
        <x:v>UPI</x:v>
      </x:c>
      <x:c r="N1908" s="3"/>
      <x:c r="O1908" s="3"/>
      <x:c r="P1908" s="3"/>
      <x:c r="Q1908" s="3"/>
    </x:row>
    <x:row r="1909" ht="21" customHeight="1">
      <x:c r="A1909" s="3" t="str">
        <x:v>ORD-101613</x:v>
      </x:c>
      <x:c r="B1909" s="5" t="n">
        <x:v>45816</x:v>
      </x:c>
      <x:c r="C1909" s="3" t="str">
        <x:v>CUST-00482</x:v>
      </x:c>
      <x:c r="D1909" s="3" t="str">
        <x:v>South</x:v>
      </x:c>
      <x:c r="E1909" s="3" t="str">
        <x:v>Sports</x:v>
      </x:c>
      <x:c r="F1909" s="3" t="str">
        <x:v>Fitness</x:v>
      </x:c>
      <x:c r="G1909" s="3" t="str">
        <x:v>Adjustable Dumbbell 24kg</x:v>
      </x:c>
      <x:c r="H1909" s="3" t="n">
        <x:v>2</x:v>
      </x:c>
      <x:c r="I1909" s="7" t="n">
        <x:v>9725.72</x:v>
      </x:c>
      <x:c r="J1909" s="9" t="n">
        <x:v>0</x:v>
      </x:c>
      <x:c r="K1909" s="7" t="n">
        <x:v>19451.44</x:v>
      </x:c>
      <x:c r="L1909" s="7" t="n">
        <x:v>6787.7</x:v>
      </x:c>
      <x:c r="M1909" s="3" t="str">
        <x:v>Credit Card</x:v>
      </x:c>
      <x:c r="N1909" s="3"/>
      <x:c r="O1909" s="3"/>
      <x:c r="P1909" s="3"/>
      <x:c r="Q1909" s="3"/>
    </x:row>
    <x:row r="1910" ht="21" customHeight="1">
      <x:c r="A1910" s="3" t="str">
        <x:v>ORD-101774</x:v>
      </x:c>
      <x:c r="B1910" s="5" t="n">
        <x:v>45816</x:v>
      </x:c>
      <x:c r="C1910" s="3" t="str">
        <x:v>CUST-00484</x:v>
      </x:c>
      <x:c r="D1910" s="3" t="str">
        <x:v>West</x:v>
      </x:c>
      <x:c r="E1910" s="3" t="str">
        <x:v>Electronics</x:v>
      </x:c>
      <x:c r="F1910" s="3" t="str">
        <x:v>Laptop</x:v>
      </x:c>
      <x:c r="G1910" s="3" t="str">
        <x:v>AirBook Slim</x:v>
      </x:c>
      <x:c r="H1910" s="3" t="n">
        <x:v>1</x:v>
      </x:c>
      <x:c r="I1910" s="7" t="n">
        <x:v>76264.89</x:v>
      </x:c>
      <x:c r="J1910" s="9" t="n">
        <x:v>0.05</x:v>
      </x:c>
      <x:c r="K1910" s="7" t="n">
        <x:v>72451.65</x:v>
      </x:c>
      <x:c r="L1910" s="7" t="n">
        <x:v>11146.1</x:v>
      </x:c>
      <x:c r="M1910" s="3" t="str">
        <x:v>UPI</x:v>
      </x:c>
      <x:c r="N1910" s="3"/>
      <x:c r="O1910" s="3"/>
      <x:c r="P1910" s="3"/>
      <x:c r="Q1910" s="3"/>
    </x:row>
    <x:row r="1911" ht="21" customHeight="1">
      <x:c r="A1911" s="3" t="str">
        <x:v>ORD-101877</x:v>
      </x:c>
      <x:c r="B1911" s="5" t="n">
        <x:v>45816</x:v>
      </x:c>
      <x:c r="C1911" s="3" t="str">
        <x:v>CUST-00033</x:v>
      </x:c>
      <x:c r="D1911" s="3" t="str">
        <x:v>North</x:v>
      </x:c>
      <x:c r="E1911" s="3" t="str">
        <x:v>Fashion</x:v>
      </x:c>
      <x:c r="F1911" s="3" t="str">
        <x:v>Women</x:v>
      </x:c>
      <x:c r="G1911" s="3" t="str">
        <x:v>Floral Summer Dress</x:v>
      </x:c>
      <x:c r="H1911" s="3" t="n">
        <x:v>1</x:v>
      </x:c>
      <x:c r="I1911" s="7" t="n">
        <x:v>1752.3</x:v>
      </x:c>
      <x:c r="J1911" s="9" t="n">
        <x:v>0.1</x:v>
      </x:c>
      <x:c r="K1911" s="7" t="n">
        <x:v>1577.07</x:v>
      </x:c>
      <x:c r="L1911" s="7" t="n">
        <x:v>435.69</x:v>
      </x:c>
      <x:c r="M1911" s="3" t="str">
        <x:v>UPI</x:v>
      </x:c>
      <x:c r="N1911" s="3"/>
      <x:c r="O1911" s="3"/>
      <x:c r="P1911" s="3"/>
      <x:c r="Q1911" s="3"/>
    </x:row>
    <x:row r="1912" ht="21" customHeight="1">
      <x:c r="A1912" s="3" t="str">
        <x:v>ORD-100084</x:v>
      </x:c>
      <x:c r="B1912" s="5" t="n">
        <x:v>45817</x:v>
      </x:c>
      <x:c r="C1912" s="3" t="str">
        <x:v>CUST-00463</x:v>
      </x:c>
      <x:c r="D1912" s="3" t="str">
        <x:v>North</x:v>
      </x:c>
      <x:c r="E1912" s="3" t="str">
        <x:v>Fashion</x:v>
      </x:c>
      <x:c r="F1912" s="3" t="str">
        <x:v>Footwear</x:v>
      </x:c>
      <x:c r="G1912" s="3" t="str">
        <x:v>UrbanLoafers</x:v>
      </x:c>
      <x:c r="H1912" s="3" t="n">
        <x:v>1</x:v>
      </x:c>
      <x:c r="I1912" s="7" t="n">
        <x:v>3368.4</x:v>
      </x:c>
      <x:c r="J1912" s="9" t="n">
        <x:v>0</x:v>
      </x:c>
      <x:c r="K1912" s="7" t="n">
        <x:v>3368.4</x:v>
      </x:c>
      <x:c r="L1912" s="7" t="n">
        <x:v>1393.43</x:v>
      </x:c>
      <x:c r="M1912" s="3" t="str">
        <x:v>UPI</x:v>
      </x:c>
      <x:c r="N1912" s="3"/>
      <x:c r="O1912" s="3"/>
      <x:c r="P1912" s="3"/>
      <x:c r="Q1912" s="3"/>
    </x:row>
    <x:row r="1913" ht="21" customHeight="1">
      <x:c r="A1913" s="3" t="str">
        <x:v>ORD-100708</x:v>
      </x:c>
      <x:c r="B1913" s="5" t="n">
        <x:v>45817</x:v>
      </x:c>
      <x:c r="C1913" s="3" t="str">
        <x:v>CUST-00538</x:v>
      </x:c>
      <x:c r="D1913" s="3" t="str">
        <x:v>East</x:v>
      </x:c>
      <x:c r="E1913" s="3" t="str">
        <x:v>Sports</x:v>
      </x:c>
      <x:c r="F1913" s="3" t="str">
        <x:v>Outdoor</x:v>
      </x:c>
      <x:c r="G1913" s="3" t="str">
        <x:v>AllWeather Tent 4P</x:v>
      </x:c>
      <x:c r="H1913" s="3" t="n">
        <x:v>2</x:v>
      </x:c>
      <x:c r="I1913" s="7" t="n">
        <x:v>11403.37</x:v>
      </x:c>
      <x:c r="J1913" s="9" t="n">
        <x:v>0</x:v>
      </x:c>
      <x:c r="K1913" s="7" t="n">
        <x:v>22806.74</x:v>
      </x:c>
      <x:c r="L1913" s="7" t="n">
        <x:v>8797.74</x:v>
      </x:c>
      <x:c r="M1913" s="3" t="str">
        <x:v>UPI</x:v>
      </x:c>
      <x:c r="N1913" s="3"/>
      <x:c r="O1913" s="3"/>
      <x:c r="P1913" s="3"/>
      <x:c r="Q1913" s="3"/>
    </x:row>
    <x:row r="1914" ht="21" customHeight="1">
      <x:c r="A1914" s="3" t="str">
        <x:v>ORD-100776</x:v>
      </x:c>
      <x:c r="B1914" s="5" t="n">
        <x:v>45817</x:v>
      </x:c>
      <x:c r="C1914" s="3" t="str">
        <x:v>CUST-00410</x:v>
      </x:c>
      <x:c r="D1914" s="3" t="str">
        <x:v>West</x:v>
      </x:c>
      <x:c r="E1914" s="3" t="str">
        <x:v>Home &amp; Kitchen</x:v>
      </x:c>
      <x:c r="F1914" s="3" t="str">
        <x:v>Appliances</x:v>
      </x:c>
      <x:c r="G1914" s="3" t="str">
        <x:v>ColdBrew Coffee Maker</x:v>
      </x:c>
      <x:c r="H1914" s="3" t="n">
        <x:v>2</x:v>
      </x:c>
      <x:c r="I1914" s="7" t="n">
        <x:v>6242.72</x:v>
      </x:c>
      <x:c r="J1914" s="9" t="n">
        <x:v>0.2</x:v>
      </x:c>
      <x:c r="K1914" s="7" t="n">
        <x:v>9988.35</x:v>
      </x:c>
      <x:c r="L1914" s="7" t="n">
        <x:v>703.23</x:v>
      </x:c>
      <x:c r="M1914" s="3" t="str">
        <x:v>UPI</x:v>
      </x:c>
      <x:c r="N1914" s="3"/>
      <x:c r="O1914" s="3"/>
      <x:c r="P1914" s="3"/>
      <x:c r="Q1914" s="3"/>
    </x:row>
    <x:row r="1915" ht="21" customHeight="1">
      <x:c r="A1915" s="3" t="str">
        <x:v>ORD-101415</x:v>
      </x:c>
      <x:c r="B1915" s="5" t="n">
        <x:v>45817</x:v>
      </x:c>
      <x:c r="C1915" s="3" t="str">
        <x:v>CUST-00041</x:v>
      </x:c>
      <x:c r="D1915" s="3" t="str">
        <x:v>North</x:v>
      </x:c>
      <x:c r="E1915" s="3" t="str">
        <x:v>Fashion</x:v>
      </x:c>
      <x:c r="F1915" s="3" t="str">
        <x:v>Footwear</x:v>
      </x:c>
      <x:c r="G1915" s="3" t="str">
        <x:v>UrbanLoafers</x:v>
      </x:c>
      <x:c r="H1915" s="3" t="n">
        <x:v>4</x:v>
      </x:c>
      <x:c r="I1915" s="7" t="n">
        <x:v>3436.21</x:v>
      </x:c>
      <x:c r="J1915" s="9" t="n">
        <x:v>0.1</x:v>
      </x:c>
      <x:c r="K1915" s="7" t="n">
        <x:v>12370.36</x:v>
      </x:c>
      <x:c r="L1915" s="7" t="n">
        <x:v>3944.67</x:v>
      </x:c>
      <x:c r="M1915" s="3" t="str">
        <x:v>Credit Card</x:v>
      </x:c>
      <x:c r="N1915" s="3"/>
      <x:c r="O1915" s="3"/>
      <x:c r="P1915" s="3"/>
      <x:c r="Q1915" s="3"/>
    </x:row>
    <x:row r="1916" ht="21" customHeight="1">
      <x:c r="A1916" s="3" t="str">
        <x:v>ORD-100909</x:v>
      </x:c>
      <x:c r="B1916" s="5" t="n">
        <x:v>45818</x:v>
      </x:c>
      <x:c r="C1916" s="3" t="str">
        <x:v>CUST-00250</x:v>
      </x:c>
      <x:c r="D1916" s="3" t="str">
        <x:v>North</x:v>
      </x:c>
      <x:c r="E1916" s="3" t="str">
        <x:v>Sports</x:v>
      </x:c>
      <x:c r="F1916" s="3" t="str">
        <x:v>Outdoor</x:v>
      </x:c>
      <x:c r="G1916" s="3" t="str">
        <x:v>TrailHike Backpack 60L</x:v>
      </x:c>
      <x:c r="H1916" s="3" t="n">
        <x:v>1</x:v>
      </x:c>
      <x:c r="I1916" s="7" t="n">
        <x:v>3576.54</x:v>
      </x:c>
      <x:c r="J1916" s="9" t="n">
        <x:v>0.15</x:v>
      </x:c>
      <x:c r="K1916" s="7" t="n">
        <x:v>3040.06</x:v>
      </x:c>
      <x:c r="L1916" s="7" t="n">
        <x:v>689.83</x:v>
      </x:c>
      <x:c r="M1916" s="3" t="str">
        <x:v>Net Banking</x:v>
      </x:c>
      <x:c r="N1916" s="3"/>
      <x:c r="O1916" s="3"/>
      <x:c r="P1916" s="3"/>
      <x:c r="Q1916" s="3"/>
    </x:row>
    <x:row r="1917" ht="21" customHeight="1">
      <x:c r="A1917" s="3" t="str">
        <x:v>ORD-101231</x:v>
      </x:c>
      <x:c r="B1917" s="5" t="n">
        <x:v>45818</x:v>
      </x:c>
      <x:c r="C1917" s="3" t="str">
        <x:v>CUST-00401</x:v>
      </x:c>
      <x:c r="D1917" s="3" t="str">
        <x:v>North</x:v>
      </x:c>
      <x:c r="E1917" s="3" t="str">
        <x:v>Beauty</x:v>
      </x:c>
      <x:c r="F1917" s="3" t="str">
        <x:v>Makeup</x:v>
      </x:c>
      <x:c r="G1917" s="3" t="str">
        <x:v>Matte Lipstick Set</x:v>
      </x:c>
      <x:c r="H1917" s="3" t="n">
        <x:v>3</x:v>
      </x:c>
      <x:c r="I1917" s="7" t="n">
        <x:v>965.46</x:v>
      </x:c>
      <x:c r="J1917" s="9" t="n">
        <x:v>0.2</x:v>
      </x:c>
      <x:c r="K1917" s="7" t="n">
        <x:v>2317.1</x:v>
      </x:c>
      <x:c r="L1917" s="7" t="n">
        <x:v>788.25</x:v>
      </x:c>
      <x:c r="M1917" s="3" t="str">
        <x:v>Credit Card</x:v>
      </x:c>
      <x:c r="N1917" s="3"/>
      <x:c r="O1917" s="3"/>
      <x:c r="P1917" s="3"/>
      <x:c r="Q1917" s="3"/>
    </x:row>
    <x:row r="1918" ht="21" customHeight="1">
      <x:c r="A1918" s="3" t="str">
        <x:v>ORD-101578</x:v>
      </x:c>
      <x:c r="B1918" s="5" t="n">
        <x:v>45818</x:v>
      </x:c>
      <x:c r="C1918" s="3" t="str">
        <x:v>CUST-00130</x:v>
      </x:c>
      <x:c r="D1918" s="3" t="str">
        <x:v>South</x:v>
      </x:c>
      <x:c r="E1918" s="3" t="str">
        <x:v>Beauty</x:v>
      </x:c>
      <x:c r="F1918" s="3" t="str">
        <x:v>Makeup</x:v>
      </x:c>
      <x:c r="G1918" s="3" t="str">
        <x:v>HD Foundation Kit</x:v>
      </x:c>
      <x:c r="H1918" s="3" t="n">
        <x:v>2</x:v>
      </x:c>
      <x:c r="I1918" s="7" t="n">
        <x:v>1556.7</x:v>
      </x:c>
      <x:c r="J1918" s="9" t="n">
        <x:v>0.15</x:v>
      </x:c>
      <x:c r="K1918" s="7" t="n">
        <x:v>2646.39</x:v>
      </x:c>
      <x:c r="L1918" s="7" t="n">
        <x:v>947.21</x:v>
      </x:c>
      <x:c r="M1918" s="3" t="str">
        <x:v>Debit Card</x:v>
      </x:c>
      <x:c r="N1918" s="3"/>
      <x:c r="O1918" s="3"/>
      <x:c r="P1918" s="3"/>
      <x:c r="Q1918" s="3"/>
    </x:row>
    <x:row r="1919" ht="21" customHeight="1">
      <x:c r="A1919" s="3" t="str">
        <x:v>ORD-100559</x:v>
      </x:c>
      <x:c r="B1919" s="5" t="n">
        <x:v>45819</x:v>
      </x:c>
      <x:c r="C1919" s="3" t="str">
        <x:v>CUST-00107</x:v>
      </x:c>
      <x:c r="D1919" s="3" t="str">
        <x:v>East</x:v>
      </x:c>
      <x:c r="E1919" s="3" t="str">
        <x:v>Beauty</x:v>
      </x:c>
      <x:c r="F1919" s="3" t="str">
        <x:v>Skincare</x:v>
      </x:c>
      <x:c r="G1919" s="3" t="str">
        <x:v>Vitamin C Serum</x:v>
      </x:c>
      <x:c r="H1919" s="3" t="n">
        <x:v>2</x:v>
      </x:c>
      <x:c r="I1919" s="7" t="n">
        <x:v>943.38</x:v>
      </x:c>
      <x:c r="J1919" s="9" t="n">
        <x:v>0.05</x:v>
      </x:c>
      <x:c r="K1919" s="7" t="n">
        <x:v>1792.42</x:v>
      </x:c>
      <x:c r="L1919" s="7" t="n">
        <x:v>923.62</x:v>
      </x:c>
      <x:c r="M1919" s="3" t="str">
        <x:v>Debit Card</x:v>
      </x:c>
      <x:c r="N1919" s="3"/>
      <x:c r="O1919" s="3"/>
      <x:c r="P1919" s="3"/>
      <x:c r="Q1919" s="3"/>
    </x:row>
    <x:row r="1920" ht="21" customHeight="1">
      <x:c r="A1920" s="3" t="str">
        <x:v>ORD-101243</x:v>
      </x:c>
      <x:c r="B1920" s="5" t="n">
        <x:v>45819</x:v>
      </x:c>
      <x:c r="C1920" s="3" t="str">
        <x:v>CUST-00327</x:v>
      </x:c>
      <x:c r="D1920" s="3" t="str">
        <x:v>East</x:v>
      </x:c>
      <x:c r="E1920" s="3" t="str">
        <x:v>Beauty</x:v>
      </x:c>
      <x:c r="F1920" s="3" t="str">
        <x:v>Makeup</x:v>
      </x:c>
      <x:c r="G1920" s="3" t="str">
        <x:v>Matte Lipstick Set</x:v>
      </x:c>
      <x:c r="H1920" s="3" t="n">
        <x:v>2</x:v>
      </x:c>
      <x:c r="I1920" s="7" t="n">
        <x:v>1031.94</x:v>
      </x:c>
      <x:c r="J1920" s="9" t="n">
        <x:v>0.05</x:v>
      </x:c>
      <x:c r="K1920" s="7" t="n">
        <x:v>1960.69</x:v>
      </x:c>
      <x:c r="L1920" s="7" t="n">
        <x:v>1010.25</x:v>
      </x:c>
      <x:c r="M1920" s="3" t="str">
        <x:v>Credit Card</x:v>
      </x:c>
      <x:c r="N1920" s="3"/>
      <x:c r="O1920" s="3"/>
      <x:c r="P1920" s="3"/>
      <x:c r="Q1920" s="3"/>
    </x:row>
    <x:row r="1921" ht="21" customHeight="1">
      <x:c r="A1921" s="3" t="str">
        <x:v>ORD-101309</x:v>
      </x:c>
      <x:c r="B1921" s="5" t="n">
        <x:v>45819</x:v>
      </x:c>
      <x:c r="C1921" s="3" t="str">
        <x:v>CUST-00297</x:v>
      </x:c>
      <x:c r="D1921" s="3" t="str">
        <x:v>South</x:v>
      </x:c>
      <x:c r="E1921" s="3" t="str">
        <x:v>Home &amp; Kitchen</x:v>
      </x:c>
      <x:c r="F1921" s="3" t="str">
        <x:v>Furniture</x:v>
      </x:c>
      <x:c r="G1921" s="3" t="str">
        <x:v>ErgoComfort Chair</x:v>
      </x:c>
      <x:c r="H1921" s="3" t="n">
        <x:v>1</x:v>
      </x:c>
      <x:c r="I1921" s="7" t="n">
        <x:v>8759</x:v>
      </x:c>
      <x:c r="J1921" s="9" t="n">
        <x:v>0</x:v>
      </x:c>
      <x:c r="K1921" s="7" t="n">
        <x:v>8759</x:v>
      </x:c>
      <x:c r="L1921" s="7" t="n">
        <x:v>2662.17</x:v>
      </x:c>
      <x:c r="M1921" s="3" t="str">
        <x:v>UPI</x:v>
      </x:c>
      <x:c r="N1921" s="3"/>
      <x:c r="O1921" s="3"/>
      <x:c r="P1921" s="3"/>
      <x:c r="Q1921" s="3"/>
    </x:row>
    <x:row r="1922" ht="21" customHeight="1">
      <x:c r="A1922" s="3" t="str">
        <x:v>ORD-101839</x:v>
      </x:c>
      <x:c r="B1922" s="5" t="n">
        <x:v>45819</x:v>
      </x:c>
      <x:c r="C1922" s="3" t="str">
        <x:v>CUST-00473</x:v>
      </x:c>
      <x:c r="D1922" s="3" t="str">
        <x:v>North</x:v>
      </x:c>
      <x:c r="E1922" s="3" t="str">
        <x:v>Beauty</x:v>
      </x:c>
      <x:c r="F1922" s="3" t="str">
        <x:v>Skincare</x:v>
      </x:c>
      <x:c r="G1922" s="3" t="str">
        <x:v>Vitamin C Serum</x:v>
      </x:c>
      <x:c r="H1922" s="3" t="n">
        <x:v>1</x:v>
      </x:c>
      <x:c r="I1922" s="7" t="n">
        <x:v>874.24</x:v>
      </x:c>
      <x:c r="J1922" s="9" t="n">
        <x:v>0.05</x:v>
      </x:c>
      <x:c r="K1922" s="7" t="n">
        <x:v>830.53</x:v>
      </x:c>
      <x:c r="L1922" s="7" t="n">
        <x:v>438.69</x:v>
      </x:c>
      <x:c r="M1922" s="3" t="str">
        <x:v>UPI</x:v>
      </x:c>
      <x:c r="N1922" s="3"/>
      <x:c r="O1922" s="3"/>
      <x:c r="P1922" s="3"/>
      <x:c r="Q1922" s="3"/>
    </x:row>
    <x:row r="1923" ht="21" customHeight="1">
      <x:c r="A1923" s="3" t="str">
        <x:v>ORD-100319</x:v>
      </x:c>
      <x:c r="B1923" s="5" t="n">
        <x:v>45820</x:v>
      </x:c>
      <x:c r="C1923" s="3" t="str">
        <x:v>CUST-00354</x:v>
      </x:c>
      <x:c r="D1923" s="3" t="str">
        <x:v>South</x:v>
      </x:c>
      <x:c r="E1923" s="3" t="str">
        <x:v>Fashion</x:v>
      </x:c>
      <x:c r="F1923" s="3" t="str">
        <x:v>Women</x:v>
      </x:c>
      <x:c r="G1923" s="3" t="str">
        <x:v>Knit Winter Sweater</x:v>
      </x:c>
      <x:c r="H1923" s="3" t="n">
        <x:v>1</x:v>
      </x:c>
      <x:c r="I1923" s="7" t="n">
        <x:v>2272.77</x:v>
      </x:c>
      <x:c r="J1923" s="9" t="n">
        <x:v>0.1</x:v>
      </x:c>
      <x:c r="K1923" s="7" t="n">
        <x:v>2045.49</x:v>
      </x:c>
      <x:c r="L1923" s="7" t="n">
        <x:v>626.6</x:v>
      </x:c>
      <x:c r="M1923" s="3" t="str">
        <x:v>Net Banking</x:v>
      </x:c>
      <x:c r="N1923" s="3"/>
      <x:c r="O1923" s="3"/>
      <x:c r="P1923" s="3"/>
      <x:c r="Q1923" s="3"/>
    </x:row>
    <x:row r="1924" ht="21" customHeight="1">
      <x:c r="A1924" s="3" t="str">
        <x:v>ORD-100416</x:v>
      </x:c>
      <x:c r="B1924" s="5" t="n">
        <x:v>45820</x:v>
      </x:c>
      <x:c r="C1924" s="3" t="str">
        <x:v>CUST-00136</x:v>
      </x:c>
      <x:c r="D1924" s="3" t="str">
        <x:v>South</x:v>
      </x:c>
      <x:c r="E1924" s="3" t="str">
        <x:v>Beauty</x:v>
      </x:c>
      <x:c r="F1924" s="3" t="str">
        <x:v>Skincare</x:v>
      </x:c>
      <x:c r="G1924" s="3" t="str">
        <x:v>Vitamin C Serum</x:v>
      </x:c>
      <x:c r="H1924" s="3" t="n">
        <x:v>1</x:v>
      </x:c>
      <x:c r="I1924" s="7" t="n">
        <x:v>932.61</x:v>
      </x:c>
      <x:c r="J1924" s="9" t="n">
        <x:v>0.05</x:v>
      </x:c>
      <x:c r="K1924" s="7" t="n">
        <x:v>885.98</x:v>
      </x:c>
      <x:c r="L1924" s="7" t="n">
        <x:v>422.9</x:v>
      </x:c>
      <x:c r="M1924" s="3" t="str">
        <x:v>Debit Card</x:v>
      </x:c>
      <x:c r="N1924" s="3"/>
      <x:c r="O1924" s="3"/>
      <x:c r="P1924" s="3"/>
      <x:c r="Q1924" s="3"/>
    </x:row>
    <x:row r="1925" ht="21" customHeight="1">
      <x:c r="A1925" s="3" t="str">
        <x:v>ORD-101754</x:v>
      </x:c>
      <x:c r="B1925" s="5" t="n">
        <x:v>45820</x:v>
      </x:c>
      <x:c r="C1925" s="3" t="str">
        <x:v>CUST-00142</x:v>
      </x:c>
      <x:c r="D1925" s="3" t="str">
        <x:v>North</x:v>
      </x:c>
      <x:c r="E1925" s="3" t="str">
        <x:v>Fashion</x:v>
      </x:c>
      <x:c r="F1925" s="3" t="str">
        <x:v>Men</x:v>
      </x:c>
      <x:c r="G1925" s="3" t="str">
        <x:v>SlimFit Denim Jeans</x:v>
      </x:c>
      <x:c r="H1925" s="3" t="n">
        <x:v>1</x:v>
      </x:c>
      <x:c r="I1925" s="7" t="n">
        <x:v>1912.1</x:v>
      </x:c>
      <x:c r="J1925" s="9" t="n">
        <x:v>0.4</x:v>
      </x:c>
      <x:c r="K1925" s="7" t="n">
        <x:v>1147.26</x:v>
      </x:c>
      <x:c r="L1925" s="7" t="n">
        <x:v>-35.17</x:v>
      </x:c>
      <x:c r="M1925" s="3" t="str">
        <x:v>Debit Card</x:v>
      </x:c>
      <x:c r="N1925" s="3"/>
      <x:c r="O1925" s="3"/>
      <x:c r="P1925" s="3"/>
      <x:c r="Q1925" s="3"/>
    </x:row>
    <x:row r="1926" ht="21" customHeight="1">
      <x:c r="A1926" s="3" t="str">
        <x:v>ORD-101798</x:v>
      </x:c>
      <x:c r="B1926" s="5" t="n">
        <x:v>45820</x:v>
      </x:c>
      <x:c r="C1926" s="3" t="str">
        <x:v>CUST-00287</x:v>
      </x:c>
      <x:c r="D1926" s="3" t="str">
        <x:v>East</x:v>
      </x:c>
      <x:c r="E1926" s="3" t="str">
        <x:v>Home &amp; Kitchen</x:v>
      </x:c>
      <x:c r="F1926" s="3" t="str">
        <x:v>Decor</x:v>
      </x:c>
      <x:c r="G1926" s="3" t="str">
        <x:v>Ceramic Vase Set</x:v>
      </x:c>
      <x:c r="H1926" s="3" t="n">
        <x:v>1</x:v>
      </x:c>
      <x:c r="I1926" s="7" t="n">
        <x:v>1502.72</x:v>
      </x:c>
      <x:c r="J1926" s="9" t="n">
        <x:v>0.1</x:v>
      </x:c>
      <x:c r="K1926" s="7" t="n">
        <x:v>1352.45</x:v>
      </x:c>
      <x:c r="L1926" s="7" t="n">
        <x:v>303.53</x:v>
      </x:c>
      <x:c r="M1926" s="3" t="str">
        <x:v>Debit Card</x:v>
      </x:c>
      <x:c r="N1926" s="3"/>
      <x:c r="O1926" s="3"/>
      <x:c r="P1926" s="3"/>
      <x:c r="Q1926" s="3"/>
    </x:row>
    <x:row r="1927" ht="21" customHeight="1">
      <x:c r="A1927" s="3" t="str">
        <x:v>ORD-100034</x:v>
      </x:c>
      <x:c r="B1927" s="5" t="n">
        <x:v>45822</x:v>
      </x:c>
      <x:c r="C1927" s="3" t="str">
        <x:v>CUST-00571</x:v>
      </x:c>
      <x:c r="D1927" s="3" t="str">
        <x:v>North</x:v>
      </x:c>
      <x:c r="E1927" s="3" t="str">
        <x:v>Fashion</x:v>
      </x:c>
      <x:c r="F1927" s="3" t="str">
        <x:v>Footwear</x:v>
      </x:c>
      <x:c r="G1927" s="3" t="str">
        <x:v>RunFlex Sneakers</x:v>
      </x:c>
      <x:c r="H1927" s="3" t="n">
        <x:v>4</x:v>
      </x:c>
      <x:c r="I1927" s="7" t="n">
        <x:v>3114.6</x:v>
      </x:c>
      <x:c r="J1927" s="9" t="n">
        <x:v>0.2</x:v>
      </x:c>
      <x:c r="K1927" s="7" t="n">
        <x:v>9966.72</x:v>
      </x:c>
      <x:c r="L1927" s="7" t="n">
        <x:v>2115.67</x:v>
      </x:c>
      <x:c r="M1927" s="3" t="str">
        <x:v>Debit Card</x:v>
      </x:c>
      <x:c r="N1927" s="3"/>
      <x:c r="O1927" s="3"/>
      <x:c r="P1927" s="3"/>
      <x:c r="Q1927" s="3"/>
    </x:row>
    <x:row r="1928" ht="21" customHeight="1">
      <x:c r="A1928" s="3" t="str">
        <x:v>ORD-101905</x:v>
      </x:c>
      <x:c r="B1928" s="5" t="n">
        <x:v>45822</x:v>
      </x:c>
      <x:c r="C1928" s="3" t="str">
        <x:v>CUST-00275</x:v>
      </x:c>
      <x:c r="D1928" s="3" t="str">
        <x:v>North</x:v>
      </x:c>
      <x:c r="E1928" s="3" t="str">
        <x:v>Electronics</x:v>
      </x:c>
      <x:c r="F1928" s="3" t="str">
        <x:v>Mobile</x:v>
      </x:c>
      <x:c r="G1928" s="3" t="str">
        <x:v>Galaxy Nova X5</x:v>
      </x:c>
      <x:c r="H1928" s="3" t="n">
        <x:v>3</x:v>
      </x:c>
      <x:c r="I1928" s="7" t="n">
        <x:v>23816.71</x:v>
      </x:c>
      <x:c r="J1928" s="9" t="n">
        <x:v>0.2</x:v>
      </x:c>
      <x:c r="K1928" s="7" t="n">
        <x:v>57160.1</x:v>
      </x:c>
      <x:c r="L1928" s="7" t="n">
        <x:v>-804.14</x:v>
      </x:c>
      <x:c r="M1928" s="3" t="str">
        <x:v>Net Banking</x:v>
      </x:c>
      <x:c r="N1928" s="3"/>
      <x:c r="O1928" s="3"/>
      <x:c r="P1928" s="3"/>
      <x:c r="Q1928" s="3"/>
    </x:row>
    <x:row r="1929" ht="21" customHeight="1">
      <x:c r="A1929" s="3" t="str">
        <x:v>ORD-101172</x:v>
      </x:c>
      <x:c r="B1929" s="5" t="n">
        <x:v>45823</x:v>
      </x:c>
      <x:c r="C1929" s="3" t="str">
        <x:v>CUST-00455</x:v>
      </x:c>
      <x:c r="D1929" s="3" t="str">
        <x:v>West</x:v>
      </x:c>
      <x:c r="E1929" s="3" t="str">
        <x:v>Fashion</x:v>
      </x:c>
      <x:c r="F1929" s="3" t="str">
        <x:v>Women</x:v>
      </x:c>
      <x:c r="G1929" s="3" t="str">
        <x:v>Floral Summer Dress</x:v>
      </x:c>
      <x:c r="H1929" s="3" t="n">
        <x:v>1</x:v>
      </x:c>
      <x:c r="I1929" s="7" t="n">
        <x:v>1731.22</x:v>
      </x:c>
      <x:c r="J1929" s="9" t="n">
        <x:v>0.1</x:v>
      </x:c>
      <x:c r="K1929" s="7" t="n">
        <x:v>1558.1</x:v>
      </x:c>
      <x:c r="L1929" s="7" t="n">
        <x:v>458.86</x:v>
      </x:c>
      <x:c r="M1929" s="3" t="str">
        <x:v>UPI</x:v>
      </x:c>
      <x:c r="N1929" s="3"/>
      <x:c r="O1929" s="3"/>
      <x:c r="P1929" s="3"/>
      <x:c r="Q1929" s="3"/>
    </x:row>
    <x:row r="1930" ht="21" customHeight="1">
      <x:c r="A1930" s="3" t="str">
        <x:v>ORD-100156</x:v>
      </x:c>
      <x:c r="B1930" s="5" t="n">
        <x:v>45824</x:v>
      </x:c>
      <x:c r="C1930" s="3" t="str">
        <x:v>CUST-00211</x:v>
      </x:c>
      <x:c r="D1930" s="3" t="str">
        <x:v>North</x:v>
      </x:c>
      <x:c r="E1930" s="3" t="str">
        <x:v>Home &amp; Kitchen</x:v>
      </x:c>
      <x:c r="F1930" s="3" t="str">
        <x:v>Furniture</x:v>
      </x:c>
      <x:c r="G1930" s="3" t="str">
        <x:v>Oakwood Study Desk</x:v>
      </x:c>
      <x:c r="H1930" s="3" t="n">
        <x:v>1</x:v>
      </x:c>
      <x:c r="I1930" s="7" t="n">
        <x:v>13006.13</x:v>
      </x:c>
      <x:c r="J1930" s="9" t="n">
        <x:v>0.1</x:v>
      </x:c>
      <x:c r="K1930" s="7" t="n">
        <x:v>11705.52</x:v>
      </x:c>
      <x:c r="L1930" s="7" t="n">
        <x:v>2584.77</x:v>
      </x:c>
      <x:c r="M1930" s="3" t="str">
        <x:v>UPI</x:v>
      </x:c>
      <x:c r="N1930" s="3"/>
      <x:c r="O1930" s="3"/>
      <x:c r="P1930" s="3"/>
      <x:c r="Q1930" s="3"/>
    </x:row>
    <x:row r="1931" ht="21" customHeight="1">
      <x:c r="A1931" s="3" t="str">
        <x:v>ORD-100226</x:v>
      </x:c>
      <x:c r="B1931" s="5" t="n">
        <x:v>45824</x:v>
      </x:c>
      <x:c r="C1931" s="3" t="str">
        <x:v>CUST-00382</x:v>
      </x:c>
      <x:c r="D1931" s="3" t="str">
        <x:v>North</x:v>
      </x:c>
      <x:c r="E1931" s="3" t="str">
        <x:v>Fashion</x:v>
      </x:c>
      <x:c r="F1931" s="3" t="str">
        <x:v>Women</x:v>
      </x:c>
      <x:c r="G1931" s="3" t="str">
        <x:v>Knit Winter Sweater</x:v>
      </x:c>
      <x:c r="H1931" s="3" t="n">
        <x:v>5</x:v>
      </x:c>
      <x:c r="I1931" s="7" t="n">
        <x:v>2120.36</x:v>
      </x:c>
      <x:c r="J1931" s="9" t="n">
        <x:v>0.3</x:v>
      </x:c>
      <x:c r="K1931" s="7" t="n">
        <x:v>7421.26</x:v>
      </x:c>
      <x:c r="L1931" s="7" t="n">
        <x:v>425.88</x:v>
      </x:c>
      <x:c r="M1931" s="3" t="str">
        <x:v>UPI</x:v>
      </x:c>
      <x:c r="N1931" s="3"/>
      <x:c r="O1931" s="3"/>
      <x:c r="P1931" s="3"/>
      <x:c r="Q1931" s="3"/>
    </x:row>
    <x:row r="1932" ht="21" customHeight="1">
      <x:c r="A1932" s="3" t="str">
        <x:v>ORD-100276</x:v>
      </x:c>
      <x:c r="B1932" s="5" t="n">
        <x:v>45824</x:v>
      </x:c>
      <x:c r="C1932" s="3" t="str">
        <x:v>CUST-00141</x:v>
      </x:c>
      <x:c r="D1932" s="3" t="str">
        <x:v>East</x:v>
      </x:c>
      <x:c r="E1932" s="3" t="str">
        <x:v>Sports</x:v>
      </x:c>
      <x:c r="F1932" s="3" t="str">
        <x:v>Outdoor</x:v>
      </x:c>
      <x:c r="G1932" s="3" t="str">
        <x:v>AllWeather Tent 4P</x:v>
      </x:c>
      <x:c r="H1932" s="3" t="n">
        <x:v>1</x:v>
      </x:c>
      <x:c r="I1932" s="7" t="n">
        <x:v>12241.22</x:v>
      </x:c>
      <x:c r="J1932" s="9" t="n">
        <x:v>0</x:v>
      </x:c>
      <x:c r="K1932" s="7" t="n">
        <x:v>12241.22</x:v>
      </x:c>
      <x:c r="L1932" s="7" t="n">
        <x:v>4363.26</x:v>
      </x:c>
      <x:c r="M1932" s="3" t="str">
        <x:v>UPI</x:v>
      </x:c>
      <x:c r="N1932" s="3"/>
      <x:c r="O1932" s="3"/>
      <x:c r="P1932" s="3"/>
      <x:c r="Q1932" s="3"/>
    </x:row>
    <x:row r="1933" ht="21" customHeight="1">
      <x:c r="A1933" s="3" t="str">
        <x:v>ORD-100477</x:v>
      </x:c>
      <x:c r="B1933" s="5" t="n">
        <x:v>45824</x:v>
      </x:c>
      <x:c r="C1933" s="3" t="str">
        <x:v>CUST-00422</x:v>
      </x:c>
      <x:c r="D1933" s="3" t="str">
        <x:v>North</x:v>
      </x:c>
      <x:c r="E1933" s="3" t="str">
        <x:v>Fashion</x:v>
      </x:c>
      <x:c r="F1933" s="3" t="str">
        <x:v>Women</x:v>
      </x:c>
      <x:c r="G1933" s="3" t="str">
        <x:v>Knit Winter Sweater</x:v>
      </x:c>
      <x:c r="H1933" s="3" t="n">
        <x:v>1</x:v>
      </x:c>
      <x:c r="I1933" s="7" t="n">
        <x:v>2093.77</x:v>
      </x:c>
      <x:c r="J1933" s="9" t="n">
        <x:v>0.15</x:v>
      </x:c>
      <x:c r="K1933" s="7" t="n">
        <x:v>1779.7</x:v>
      </x:c>
      <x:c r="L1933" s="7" t="n">
        <x:v>396.21</x:v>
      </x:c>
      <x:c r="M1933" s="3" t="str">
        <x:v>Debit Card</x:v>
      </x:c>
      <x:c r="N1933" s="3"/>
      <x:c r="O1933" s="3"/>
      <x:c r="P1933" s="3"/>
      <x:c r="Q1933" s="3"/>
    </x:row>
    <x:row r="1934" ht="21" customHeight="1">
      <x:c r="A1934" s="3" t="str">
        <x:v>ORD-101904</x:v>
      </x:c>
      <x:c r="B1934" s="5" t="n">
        <x:v>45824</x:v>
      </x:c>
      <x:c r="C1934" s="3" t="str">
        <x:v>CUST-00005</x:v>
      </x:c>
      <x:c r="D1934" s="3" t="str">
        <x:v>West</x:v>
      </x:c>
      <x:c r="E1934" s="3" t="str">
        <x:v>Sports</x:v>
      </x:c>
      <x:c r="F1934" s="3" t="str">
        <x:v>Outdoor</x:v>
      </x:c>
      <x:c r="G1934" s="3" t="str">
        <x:v>AllWeather Tent 4P</x:v>
      </x:c>
      <x:c r="H1934" s="3" t="n">
        <x:v>1</x:v>
      </x:c>
      <x:c r="I1934" s="7" t="n">
        <x:v>12155.16</x:v>
      </x:c>
      <x:c r="J1934" s="9" t="n">
        <x:v>0</x:v>
      </x:c>
      <x:c r="K1934" s="7" t="n">
        <x:v>12155.16</x:v>
      </x:c>
      <x:c r="L1934" s="7" t="n">
        <x:v>4785.15</x:v>
      </x:c>
      <x:c r="M1934" s="3" t="str">
        <x:v>Debit Card</x:v>
      </x:c>
      <x:c r="N1934" s="3"/>
      <x:c r="O1934" s="3"/>
      <x:c r="P1934" s="3"/>
      <x:c r="Q1934" s="3"/>
    </x:row>
    <x:row r="1935" ht="21" customHeight="1">
      <x:c r="A1935" s="3" t="str">
        <x:v>ORD-100036</x:v>
      </x:c>
      <x:c r="B1935" s="5" t="n">
        <x:v>45825</x:v>
      </x:c>
      <x:c r="C1935" s="3" t="str">
        <x:v>CUST-00245</x:v>
      </x:c>
      <x:c r="D1935" s="3" t="str">
        <x:v>East</x:v>
      </x:c>
      <x:c r="E1935" s="3" t="str">
        <x:v>Sports</x:v>
      </x:c>
      <x:c r="F1935" s="3" t="str">
        <x:v>Outdoor</x:v>
      </x:c>
      <x:c r="G1935" s="3" t="str">
        <x:v>TrailHike Backpack 60L</x:v>
      </x:c>
      <x:c r="H1935" s="3" t="n">
        <x:v>2</x:v>
      </x:c>
      <x:c r="I1935" s="7" t="n">
        <x:v>3414.74</x:v>
      </x:c>
      <x:c r="J1935" s="9" t="n">
        <x:v>0.05</x:v>
      </x:c>
      <x:c r="K1935" s="7" t="n">
        <x:v>6488.01</x:v>
      </x:c>
      <x:c r="L1935" s="7" t="n">
        <x:v>1961.19</x:v>
      </x:c>
      <x:c r="M1935" s="3" t="str">
        <x:v>Debit Card</x:v>
      </x:c>
      <x:c r="N1935" s="3"/>
      <x:c r="O1935" s="3"/>
      <x:c r="P1935" s="3"/>
      <x:c r="Q1935" s="3"/>
    </x:row>
    <x:row r="1936" ht="21" customHeight="1">
      <x:c r="A1936" s="3" t="str">
        <x:v>ORD-100163</x:v>
      </x:c>
      <x:c r="B1936" s="5" t="n">
        <x:v>45825</x:v>
      </x:c>
      <x:c r="C1936" s="3" t="str">
        <x:v>CUST-00308</x:v>
      </x:c>
      <x:c r="D1936" s="3" t="str">
        <x:v>West</x:v>
      </x:c>
      <x:c r="E1936" s="3" t="str">
        <x:v>Fashion</x:v>
      </x:c>
      <x:c r="F1936" s="3" t="str">
        <x:v>Footwear</x:v>
      </x:c>
      <x:c r="G1936" s="3" t="str">
        <x:v>UrbanLoafers</x:v>
      </x:c>
      <x:c r="H1936" s="3" t="n">
        <x:v>2</x:v>
      </x:c>
      <x:c r="I1936" s="7" t="n">
        <x:v>3610.4</x:v>
      </x:c>
      <x:c r="J1936" s="9" t="n">
        <x:v>0.15</x:v>
      </x:c>
      <x:c r="K1936" s="7" t="n">
        <x:v>6137.68</x:v>
      </x:c>
      <x:c r="L1936" s="7" t="n">
        <x:v>1389.89</x:v>
      </x:c>
      <x:c r="M1936" s="3" t="str">
        <x:v>Cash on Delivery</x:v>
      </x:c>
      <x:c r="N1936" s="3"/>
      <x:c r="O1936" s="3"/>
      <x:c r="P1936" s="3"/>
      <x:c r="Q1936" s="3"/>
    </x:row>
    <x:row r="1937" ht="21" customHeight="1">
      <x:c r="A1937" s="3" t="str">
        <x:v>ORD-100822</x:v>
      </x:c>
      <x:c r="B1937" s="5" t="n">
        <x:v>45825</x:v>
      </x:c>
      <x:c r="C1937" s="3" t="str">
        <x:v>CUST-00567</x:v>
      </x:c>
      <x:c r="D1937" s="3" t="str">
        <x:v>North</x:v>
      </x:c>
      <x:c r="E1937" s="3" t="str">
        <x:v>Home &amp; Kitchen</x:v>
      </x:c>
      <x:c r="F1937" s="3" t="str">
        <x:v>Appliances</x:v>
      </x:c>
      <x:c r="G1937" s="3" t="str">
        <x:v>AirFryer Deluxe</x:v>
      </x:c>
      <x:c r="H1937" s="3" t="n">
        <x:v>1</x:v>
      </x:c>
      <x:c r="I1937" s="7" t="n">
        <x:v>8163.38</x:v>
      </x:c>
      <x:c r="J1937" s="9" t="n">
        <x:v>0.25</x:v>
      </x:c>
      <x:c r="K1937" s="7" t="n">
        <x:v>6122.53</x:v>
      </x:c>
      <x:c r="L1937" s="7" t="n">
        <x:v>319.9</x:v>
      </x:c>
      <x:c r="M1937" s="3" t="str">
        <x:v>UPI</x:v>
      </x:c>
      <x:c r="N1937" s="3"/>
      <x:c r="O1937" s="3"/>
      <x:c r="P1937" s="3"/>
      <x:c r="Q1937" s="3"/>
    </x:row>
    <x:row r="1938" ht="21" customHeight="1">
      <x:c r="A1938" s="3" t="str">
        <x:v>ORD-101289</x:v>
      </x:c>
      <x:c r="B1938" s="5" t="n">
        <x:v>45825</x:v>
      </x:c>
      <x:c r="C1938" s="3" t="str">
        <x:v>CUST-00289</x:v>
      </x:c>
      <x:c r="D1938" s="3" t="str">
        <x:v>West</x:v>
      </x:c>
      <x:c r="E1938" s="3" t="str">
        <x:v>Fashion</x:v>
      </x:c>
      <x:c r="F1938" s="3" t="str">
        <x:v>Women</x:v>
      </x:c>
      <x:c r="G1938" s="3" t="str">
        <x:v>Knit Winter Sweater</x:v>
      </x:c>
      <x:c r="H1938" s="3" t="n">
        <x:v>1</x:v>
      </x:c>
      <x:c r="I1938" s="7" t="n">
        <x:v>2234.26</x:v>
      </x:c>
      <x:c r="J1938" s="9" t="n">
        <x:v>0.1</x:v>
      </x:c>
      <x:c r="K1938" s="7" t="n">
        <x:v>2010.83</x:v>
      </x:c>
      <x:c r="L1938" s="7" t="n">
        <x:v>606.12</x:v>
      </x:c>
      <x:c r="M1938" s="3" t="str">
        <x:v>Debit Card</x:v>
      </x:c>
      <x:c r="N1938" s="3"/>
      <x:c r="O1938" s="3"/>
      <x:c r="P1938" s="3"/>
      <x:c r="Q1938" s="3"/>
    </x:row>
    <x:row r="1939" ht="21" customHeight="1">
      <x:c r="A1939" s="3" t="str">
        <x:v>ORD-101853</x:v>
      </x:c>
      <x:c r="B1939" s="5" t="n">
        <x:v>45825</x:v>
      </x:c>
      <x:c r="C1939" s="3" t="str">
        <x:v>CUST-00091</x:v>
      </x:c>
      <x:c r="D1939" s="3" t="str">
        <x:v>South</x:v>
      </x:c>
      <x:c r="E1939" s="3" t="str">
        <x:v>Electronics</x:v>
      </x:c>
      <x:c r="F1939" s="3" t="str">
        <x:v>Audio</x:v>
      </x:c>
      <x:c r="G1939" s="3" t="str">
        <x:v>BassBoom Speaker</x:v>
      </x:c>
      <x:c r="H1939" s="3" t="n">
        <x:v>4</x:v>
      </x:c>
      <x:c r="I1939" s="7" t="n">
        <x:v>9445.67</x:v>
      </x:c>
      <x:c r="J1939" s="9" t="n">
        <x:v>0.15</x:v>
      </x:c>
      <x:c r="K1939" s="7" t="n">
        <x:v>32115.28</x:v>
      </x:c>
      <x:c r="L1939" s="7" t="n">
        <x:v>-264.1</x:v>
      </x:c>
      <x:c r="M1939" s="3" t="str">
        <x:v>Net Banking</x:v>
      </x:c>
      <x:c r="N1939" s="3"/>
      <x:c r="O1939" s="3"/>
      <x:c r="P1939" s="3"/>
      <x:c r="Q1939" s="3"/>
    </x:row>
    <x:row r="1940" ht="21" customHeight="1">
      <x:c r="A1940" s="3" t="str">
        <x:v>ORD-101980</x:v>
      </x:c>
      <x:c r="B1940" s="5" t="n">
        <x:v>45825</x:v>
      </x:c>
      <x:c r="C1940" s="3" t="str">
        <x:v>CUST-00507</x:v>
      </x:c>
      <x:c r="D1940" s="3" t="str">
        <x:v>East</x:v>
      </x:c>
      <x:c r="E1940" s="3" t="str">
        <x:v>Electronics</x:v>
      </x:c>
      <x:c r="F1940" s="3" t="str">
        <x:v>Laptop</x:v>
      </x:c>
      <x:c r="G1940" s="3" t="str">
        <x:v>AirBook Slim</x:v>
      </x:c>
      <x:c r="H1940" s="3" t="n">
        <x:v>1</x:v>
      </x:c>
      <x:c r="I1940" s="7" t="n">
        <x:v>82855.67</x:v>
      </x:c>
      <x:c r="J1940" s="9" t="n">
        <x:v>0</x:v>
      </x:c>
      <x:c r="K1940" s="7" t="n">
        <x:v>82855.67</x:v>
      </x:c>
      <x:c r="L1940" s="7" t="n">
        <x:v>11638.76</x:v>
      </x:c>
      <x:c r="M1940" s="3" t="str">
        <x:v>UPI</x:v>
      </x:c>
      <x:c r="N1940" s="3"/>
      <x:c r="O1940" s="3"/>
      <x:c r="P1940" s="3"/>
      <x:c r="Q1940" s="3"/>
    </x:row>
    <x:row r="1941" ht="21" customHeight="1">
      <x:c r="A1941" s="3" t="str">
        <x:v>ORD-100578</x:v>
      </x:c>
      <x:c r="B1941" s="5" t="n">
        <x:v>45826</x:v>
      </x:c>
      <x:c r="C1941" s="3" t="str">
        <x:v>CUST-00488</x:v>
      </x:c>
      <x:c r="D1941" s="3" t="str">
        <x:v>East</x:v>
      </x:c>
      <x:c r="E1941" s="3" t="str">
        <x:v>Home &amp; Kitchen</x:v>
      </x:c>
      <x:c r="F1941" s="3" t="str">
        <x:v>Appliances</x:v>
      </x:c>
      <x:c r="G1941" s="3" t="str">
        <x:v>AirFryer Deluxe</x:v>
      </x:c>
      <x:c r="H1941" s="3" t="n">
        <x:v>2</x:v>
      </x:c>
      <x:c r="I1941" s="7" t="n">
        <x:v>8363.09</x:v>
      </x:c>
      <x:c r="J1941" s="9" t="n">
        <x:v>0</x:v>
      </x:c>
      <x:c r="K1941" s="7" t="n">
        <x:v>16726.18</x:v>
      </x:c>
      <x:c r="L1941" s="7" t="n">
        <x:v>5575.62</x:v>
      </x:c>
      <x:c r="M1941" s="3" t="str">
        <x:v>Cash on Delivery</x:v>
      </x:c>
      <x:c r="N1941" s="3"/>
      <x:c r="O1941" s="3"/>
      <x:c r="P1941" s="3"/>
      <x:c r="Q1941" s="3"/>
    </x:row>
    <x:row r="1942" ht="21" customHeight="1">
      <x:c r="A1942" s="3" t="str">
        <x:v>ORD-101459</x:v>
      </x:c>
      <x:c r="B1942" s="5" t="n">
        <x:v>45826</x:v>
      </x:c>
      <x:c r="C1942" s="3" t="str">
        <x:v>CUST-00277</x:v>
      </x:c>
      <x:c r="D1942" s="3" t="str">
        <x:v>East</x:v>
      </x:c>
      <x:c r="E1942" s="3" t="str">
        <x:v>Beauty</x:v>
      </x:c>
      <x:c r="F1942" s="3" t="str">
        <x:v>Makeup</x:v>
      </x:c>
      <x:c r="G1942" s="3" t="str">
        <x:v>Matte Lipstick Set</x:v>
      </x:c>
      <x:c r="H1942" s="3" t="n">
        <x:v>2</x:v>
      </x:c>
      <x:c r="I1942" s="7" t="n">
        <x:v>1042.47</x:v>
      </x:c>
      <x:c r="J1942" s="9" t="n">
        <x:v>0.05</x:v>
      </x:c>
      <x:c r="K1942" s="7" t="n">
        <x:v>1980.69</x:v>
      </x:c>
      <x:c r="L1942" s="7" t="n">
        <x:v>1052.87</x:v>
      </x:c>
      <x:c r="M1942" s="3" t="str">
        <x:v>Credit Card</x:v>
      </x:c>
      <x:c r="N1942" s="3"/>
      <x:c r="O1942" s="3"/>
      <x:c r="P1942" s="3"/>
      <x:c r="Q1942" s="3"/>
    </x:row>
    <x:row r="1943" ht="21" customHeight="1">
      <x:c r="A1943" s="3" t="str">
        <x:v>ORD-100251</x:v>
      </x:c>
      <x:c r="B1943" s="5" t="n">
        <x:v>45827</x:v>
      </x:c>
      <x:c r="C1943" s="3" t="str">
        <x:v>CUST-00549</x:v>
      </x:c>
      <x:c r="D1943" s="3" t="str">
        <x:v>South</x:v>
      </x:c>
      <x:c r="E1943" s="3" t="str">
        <x:v>Electronics</x:v>
      </x:c>
      <x:c r="F1943" s="3" t="str">
        <x:v>Mobile</x:v>
      </x:c>
      <x:c r="G1943" s="3" t="str">
        <x:v>iPhone Zeta</x:v>
      </x:c>
      <x:c r="H1943" s="3" t="n">
        <x:v>1</x:v>
      </x:c>
      <x:c r="I1943" s="7" t="n">
        <x:v>73293.89</x:v>
      </x:c>
      <x:c r="J1943" s="9" t="n">
        <x:v>0.1</x:v>
      </x:c>
      <x:c r="K1943" s="7" t="n">
        <x:v>65964.5</x:v>
      </x:c>
      <x:c r="L1943" s="7" t="n">
        <x:v>4761.19</x:v>
      </x:c>
      <x:c r="M1943" s="3" t="str">
        <x:v>Debit Card</x:v>
      </x:c>
      <x:c r="N1943" s="3"/>
      <x:c r="O1943" s="3"/>
      <x:c r="P1943" s="3"/>
      <x:c r="Q1943" s="3"/>
    </x:row>
    <x:row r="1944" ht="21" customHeight="1">
      <x:c r="A1944" s="3" t="str">
        <x:v>ORD-100327</x:v>
      </x:c>
      <x:c r="B1944" s="5" t="n">
        <x:v>45827</x:v>
      </x:c>
      <x:c r="C1944" s="3" t="str">
        <x:v>CUST-00008</x:v>
      </x:c>
      <x:c r="D1944" s="3" t="str">
        <x:v>East</x:v>
      </x:c>
      <x:c r="E1944" s="3" t="str">
        <x:v>Sports</x:v>
      </x:c>
      <x:c r="F1944" s="3" t="str">
        <x:v>Fitness</x:v>
      </x:c>
      <x:c r="G1944" s="3" t="str">
        <x:v>ProYoga Mat</x:v>
      </x:c>
      <x:c r="H1944" s="3" t="n">
        <x:v>1</x:v>
      </x:c>
      <x:c r="I1944" s="7" t="n">
        <x:v>1287.13</x:v>
      </x:c>
      <x:c r="J1944" s="9" t="n">
        <x:v>0.2</x:v>
      </x:c>
      <x:c r="K1944" s="7" t="n">
        <x:v>1029.7</x:v>
      </x:c>
      <x:c r="L1944" s="7" t="n">
        <x:v>128.84</x:v>
      </x:c>
      <x:c r="M1944" s="3" t="str">
        <x:v>Debit Card</x:v>
      </x:c>
      <x:c r="N1944" s="3"/>
      <x:c r="O1944" s="3"/>
      <x:c r="P1944" s="3"/>
      <x:c r="Q1944" s="3"/>
    </x:row>
    <x:row r="1945" ht="21" customHeight="1">
      <x:c r="A1945" s="3" t="str">
        <x:v>ORD-100459</x:v>
      </x:c>
      <x:c r="B1945" s="5" t="n">
        <x:v>45827</x:v>
      </x:c>
      <x:c r="C1945" s="3" t="str">
        <x:v>CUST-00245</x:v>
      </x:c>
      <x:c r="D1945" s="3" t="str">
        <x:v>North</x:v>
      </x:c>
      <x:c r="E1945" s="3" t="str">
        <x:v>Electronics</x:v>
      </x:c>
      <x:c r="F1945" s="3" t="str">
        <x:v>Audio</x:v>
      </x:c>
      <x:c r="G1945" s="3" t="str">
        <x:v>BassBoom Speaker</x:v>
      </x:c>
      <x:c r="H1945" s="3" t="n">
        <x:v>1</x:v>
      </x:c>
      <x:c r="I1945" s="7" t="n">
        <x:v>9244.28</x:v>
      </x:c>
      <x:c r="J1945" s="9" t="n">
        <x:v>0.15</x:v>
      </x:c>
      <x:c r="K1945" s="7" t="n">
        <x:v>7857.64</x:v>
      </x:c>
      <x:c r="L1945" s="7" t="n">
        <x:v>179.85</x:v>
      </x:c>
      <x:c r="M1945" s="3" t="str">
        <x:v>Credit Card</x:v>
      </x:c>
      <x:c r="N1945" s="3"/>
      <x:c r="O1945" s="3"/>
      <x:c r="P1945" s="3"/>
      <x:c r="Q1945" s="3"/>
    </x:row>
    <x:row r="1946" ht="21" customHeight="1">
      <x:c r="A1946" s="3" t="str">
        <x:v>ORD-100888</x:v>
      </x:c>
      <x:c r="B1946" s="5" t="n">
        <x:v>45827</x:v>
      </x:c>
      <x:c r="C1946" s="3" t="str">
        <x:v>CUST-00175</x:v>
      </x:c>
      <x:c r="D1946" s="3" t="str">
        <x:v>South</x:v>
      </x:c>
      <x:c r="E1946" s="3" t="str">
        <x:v>Home &amp; Kitchen</x:v>
      </x:c>
      <x:c r="F1946" s="3" t="str">
        <x:v>Furniture</x:v>
      </x:c>
      <x:c r="G1946" s="3" t="str">
        <x:v>Oakwood Study Desk</x:v>
      </x:c>
      <x:c r="H1946" s="3" t="n">
        <x:v>5</x:v>
      </x:c>
      <x:c r="I1946" s="7" t="n">
        <x:v>12920.48</x:v>
      </x:c>
      <x:c r="J1946" s="9" t="n">
        <x:v>0</x:v>
      </x:c>
      <x:c r="K1946" s="7" t="n">
        <x:v>64602.4</x:v>
      </x:c>
      <x:c r="L1946" s="7" t="n">
        <x:v>19212.3</x:v>
      </x:c>
      <x:c r="M1946" s="3" t="str">
        <x:v>UPI</x:v>
      </x:c>
      <x:c r="N1946" s="3"/>
      <x:c r="O1946" s="3"/>
      <x:c r="P1946" s="3"/>
      <x:c r="Q1946" s="3"/>
    </x:row>
    <x:row r="1947" ht="21" customHeight="1">
      <x:c r="A1947" s="3" t="str">
        <x:v>ORD-100934</x:v>
      </x:c>
      <x:c r="B1947" s="5" t="n">
        <x:v>45827</x:v>
      </x:c>
      <x:c r="C1947" s="3" t="str">
        <x:v>CUST-00213</x:v>
      </x:c>
      <x:c r="D1947" s="3" t="str">
        <x:v>North</x:v>
      </x:c>
      <x:c r="E1947" s="3" t="str">
        <x:v>Fashion</x:v>
      </x:c>
      <x:c r="F1947" s="3" t="str">
        <x:v>Men</x:v>
      </x:c>
      <x:c r="G1947" s="3" t="str">
        <x:v>Oxford Casual Shirt</x:v>
      </x:c>
      <x:c r="H1947" s="3" t="n">
        <x:v>2</x:v>
      </x:c>
      <x:c r="I1947" s="7" t="n">
        <x:v>1258.73</x:v>
      </x:c>
      <x:c r="J1947" s="9" t="n">
        <x:v>0</x:v>
      </x:c>
      <x:c r="K1947" s="7" t="n">
        <x:v>2517.46</x:v>
      </x:c>
      <x:c r="L1947" s="7" t="n">
        <x:v>1123.93</x:v>
      </x:c>
      <x:c r="M1947" s="3" t="str">
        <x:v>Net Banking</x:v>
      </x:c>
      <x:c r="N1947" s="3"/>
      <x:c r="O1947" s="3"/>
      <x:c r="P1947" s="3"/>
      <x:c r="Q1947" s="3"/>
    </x:row>
    <x:row r="1948" ht="21" customHeight="1">
      <x:c r="A1948" s="3" t="str">
        <x:v>ORD-101542</x:v>
      </x:c>
      <x:c r="B1948" s="5" t="n">
        <x:v>45827</x:v>
      </x:c>
      <x:c r="C1948" s="3" t="str">
        <x:v>CUST-00187</x:v>
      </x:c>
      <x:c r="D1948" s="3" t="str">
        <x:v>South</x:v>
      </x:c>
      <x:c r="E1948" s="3" t="str">
        <x:v>Home &amp; Kitchen</x:v>
      </x:c>
      <x:c r="F1948" s="3" t="str">
        <x:v>Furniture</x:v>
      </x:c>
      <x:c r="G1948" s="3" t="str">
        <x:v>ErgoComfort Chair</x:v>
      </x:c>
      <x:c r="H1948" s="3" t="n">
        <x:v>3</x:v>
      </x:c>
      <x:c r="I1948" s="7" t="n">
        <x:v>8995.71</x:v>
      </x:c>
      <x:c r="J1948" s="9" t="n">
        <x:v>0</x:v>
      </x:c>
      <x:c r="K1948" s="7" t="n">
        <x:v>26987.13</x:v>
      </x:c>
      <x:c r="L1948" s="7" t="n">
        <x:v>9712.88</x:v>
      </x:c>
      <x:c r="M1948" s="3" t="str">
        <x:v>UPI</x:v>
      </x:c>
      <x:c r="N1948" s="3"/>
      <x:c r="O1948" s="3"/>
      <x:c r="P1948" s="3"/>
      <x:c r="Q1948" s="3"/>
    </x:row>
    <x:row r="1949" ht="21" customHeight="1">
      <x:c r="A1949" s="3" t="str">
        <x:v>ORD-101679</x:v>
      </x:c>
      <x:c r="B1949" s="5" t="n">
        <x:v>45827</x:v>
      </x:c>
      <x:c r="C1949" s="3" t="str">
        <x:v>CUST-00218</x:v>
      </x:c>
      <x:c r="D1949" s="3" t="str">
        <x:v>North</x:v>
      </x:c>
      <x:c r="E1949" s="3" t="str">
        <x:v>Home &amp; Kitchen</x:v>
      </x:c>
      <x:c r="F1949" s="3" t="str">
        <x:v>Appliances</x:v>
      </x:c>
      <x:c r="G1949" s="3" t="str">
        <x:v>ColdBrew Coffee Maker</x:v>
      </x:c>
      <x:c r="H1949" s="3" t="n">
        <x:v>1</x:v>
      </x:c>
      <x:c r="I1949" s="7" t="n">
        <x:v>6594.89</x:v>
      </x:c>
      <x:c r="J1949" s="9" t="n">
        <x:v>0.05</x:v>
      </x:c>
      <x:c r="K1949" s="7" t="n">
        <x:v>6265.15</x:v>
      </x:c>
      <x:c r="L1949" s="7" t="n">
        <x:v>1662.43</x:v>
      </x:c>
      <x:c r="M1949" s="3" t="str">
        <x:v>UPI</x:v>
      </x:c>
      <x:c r="N1949" s="3"/>
      <x:c r="O1949" s="3"/>
      <x:c r="P1949" s="3"/>
      <x:c r="Q1949" s="3"/>
    </x:row>
    <x:row r="1950" ht="21" customHeight="1">
      <x:c r="A1950" s="3" t="str">
        <x:v>ORD-101783</x:v>
      </x:c>
      <x:c r="B1950" s="5" t="n">
        <x:v>45827</x:v>
      </x:c>
      <x:c r="C1950" s="3" t="str">
        <x:v>CUST-00207</x:v>
      </x:c>
      <x:c r="D1950" s="3" t="str">
        <x:v>North</x:v>
      </x:c>
      <x:c r="E1950" s="3" t="str">
        <x:v>Sports</x:v>
      </x:c>
      <x:c r="F1950" s="3" t="str">
        <x:v>Outdoor</x:v>
      </x:c>
      <x:c r="G1950" s="3" t="str">
        <x:v>AllWeather Tent 4P</x:v>
      </x:c>
      <x:c r="H1950" s="3" t="n">
        <x:v>1</x:v>
      </x:c>
      <x:c r="I1950" s="7" t="n">
        <x:v>12130.58</x:v>
      </x:c>
      <x:c r="J1950" s="9" t="n">
        <x:v>0.05</x:v>
      </x:c>
      <x:c r="K1950" s="7" t="n">
        <x:v>11524.05</x:v>
      </x:c>
      <x:c r="L1950" s="7" t="n">
        <x:v>4136.6</x:v>
      </x:c>
      <x:c r="M1950" s="3" t="str">
        <x:v>UPI</x:v>
      </x:c>
      <x:c r="N1950" s="3"/>
      <x:c r="O1950" s="3"/>
      <x:c r="P1950" s="3"/>
      <x:c r="Q1950" s="3"/>
    </x:row>
    <x:row r="1951" ht="21" customHeight="1">
      <x:c r="A1951" s="3" t="str">
        <x:v>ORD-100098</x:v>
      </x:c>
      <x:c r="B1951" s="5" t="n">
        <x:v>45828</x:v>
      </x:c>
      <x:c r="C1951" s="3" t="str">
        <x:v>CUST-00318</x:v>
      </x:c>
      <x:c r="D1951" s="3" t="str">
        <x:v>North</x:v>
      </x:c>
      <x:c r="E1951" s="3" t="str">
        <x:v>Fashion</x:v>
      </x:c>
      <x:c r="F1951" s="3" t="str">
        <x:v>Footwear</x:v>
      </x:c>
      <x:c r="G1951" s="3" t="str">
        <x:v>UrbanLoafers</x:v>
      </x:c>
      <x:c r="H1951" s="3" t="n">
        <x:v>3</x:v>
      </x:c>
      <x:c r="I1951" s="7" t="n">
        <x:v>3354.89</x:v>
      </x:c>
      <x:c r="J1951" s="9" t="n">
        <x:v>0.25</x:v>
      </x:c>
      <x:c r="K1951" s="7" t="n">
        <x:v>7548.5</x:v>
      </x:c>
      <x:c r="L1951" s="7" t="n">
        <x:v>1208.2</x:v>
      </x:c>
      <x:c r="M1951" s="3" t="str">
        <x:v>Credit Card</x:v>
      </x:c>
      <x:c r="N1951" s="3"/>
      <x:c r="O1951" s="3"/>
      <x:c r="P1951" s="3"/>
      <x:c r="Q1951" s="3"/>
    </x:row>
    <x:row r="1952" ht="21" customHeight="1">
      <x:c r="A1952" s="3" t="str">
        <x:v>ORD-100894</x:v>
      </x:c>
      <x:c r="B1952" s="5" t="n">
        <x:v>45828</x:v>
      </x:c>
      <x:c r="C1952" s="3" t="str">
        <x:v>CUST-00582</x:v>
      </x:c>
      <x:c r="D1952" s="3" t="str">
        <x:v>East</x:v>
      </x:c>
      <x:c r="E1952" s="3" t="str">
        <x:v>Home &amp; Kitchen</x:v>
      </x:c>
      <x:c r="F1952" s="3" t="str">
        <x:v>Appliances</x:v>
      </x:c>
      <x:c r="G1952" s="3" t="str">
        <x:v>ColdBrew Coffee Maker</x:v>
      </x:c>
      <x:c r="H1952" s="3" t="n">
        <x:v>2</x:v>
      </x:c>
      <x:c r="I1952" s="7" t="n">
        <x:v>6282.18</x:v>
      </x:c>
      <x:c r="J1952" s="9" t="n">
        <x:v>0</x:v>
      </x:c>
      <x:c r="K1952" s="7" t="n">
        <x:v>12564.36</x:v>
      </x:c>
      <x:c r="L1952" s="7" t="n">
        <x:v>3945.79</x:v>
      </x:c>
      <x:c r="M1952" s="3" t="str">
        <x:v>Credit Card</x:v>
      </x:c>
      <x:c r="N1952" s="3"/>
      <x:c r="O1952" s="3"/>
      <x:c r="P1952" s="3"/>
      <x:c r="Q1952" s="3"/>
    </x:row>
    <x:row r="1953" ht="21" customHeight="1">
      <x:c r="A1953" s="3" t="str">
        <x:v>ORD-100907</x:v>
      </x:c>
      <x:c r="B1953" s="5" t="n">
        <x:v>45828</x:v>
      </x:c>
      <x:c r="C1953" s="3" t="str">
        <x:v>CUST-00042</x:v>
      </x:c>
      <x:c r="D1953" s="3" t="str">
        <x:v>West</x:v>
      </x:c>
      <x:c r="E1953" s="3" t="str">
        <x:v>Sports</x:v>
      </x:c>
      <x:c r="F1953" s="3" t="str">
        <x:v>Outdoor</x:v>
      </x:c>
      <x:c r="G1953" s="3" t="str">
        <x:v>AllWeather Tent 4P</x:v>
      </x:c>
      <x:c r="H1953" s="3" t="n">
        <x:v>1</x:v>
      </x:c>
      <x:c r="I1953" s="7" t="n">
        <x:v>12139.68</x:v>
      </x:c>
      <x:c r="J1953" s="9" t="n">
        <x:v>0.05</x:v>
      </x:c>
      <x:c r="K1953" s="7" t="n">
        <x:v>11532.7</x:v>
      </x:c>
      <x:c r="L1953" s="7" t="n">
        <x:v>4105.66</x:v>
      </x:c>
      <x:c r="M1953" s="3" t="str">
        <x:v>Cash on Delivery</x:v>
      </x:c>
      <x:c r="N1953" s="3"/>
      <x:c r="O1953" s="3"/>
      <x:c r="P1953" s="3"/>
      <x:c r="Q1953" s="3"/>
    </x:row>
    <x:row r="1954" ht="21" customHeight="1">
      <x:c r="A1954" s="3" t="str">
        <x:v>ORD-100976</x:v>
      </x:c>
      <x:c r="B1954" s="5" t="n">
        <x:v>45828</x:v>
      </x:c>
      <x:c r="C1954" s="3" t="str">
        <x:v>CUST-00483</x:v>
      </x:c>
      <x:c r="D1954" s="3" t="str">
        <x:v>East</x:v>
      </x:c>
      <x:c r="E1954" s="3" t="str">
        <x:v>Electronics</x:v>
      </x:c>
      <x:c r="F1954" s="3" t="str">
        <x:v>Audio</x:v>
      </x:c>
      <x:c r="G1954" s="3" t="str">
        <x:v>SoundPods Pro</x:v>
      </x:c>
      <x:c r="H1954" s="3" t="n">
        <x:v>1</x:v>
      </x:c>
      <x:c r="I1954" s="7" t="n">
        <x:v>4886.76</x:v>
      </x:c>
      <x:c r="J1954" s="9" t="n">
        <x:v>0</x:v>
      </x:c>
      <x:c r="K1954" s="7" t="n">
        <x:v>4886.76</x:v>
      </x:c>
      <x:c r="L1954" s="7" t="n">
        <x:v>812.17</x:v>
      </x:c>
      <x:c r="M1954" s="3" t="str">
        <x:v>Credit Card</x:v>
      </x:c>
      <x:c r="N1954" s="3"/>
      <x:c r="O1954" s="3"/>
      <x:c r="P1954" s="3"/>
      <x:c r="Q1954" s="3"/>
    </x:row>
    <x:row r="1955" ht="21" customHeight="1">
      <x:c r="A1955" s="3" t="str">
        <x:v>ORD-100164</x:v>
      </x:c>
      <x:c r="B1955" s="5" t="n">
        <x:v>45829</x:v>
      </x:c>
      <x:c r="C1955" s="3" t="str">
        <x:v>CUST-00427</x:v>
      </x:c>
      <x:c r="D1955" s="3" t="str">
        <x:v>West</x:v>
      </x:c>
      <x:c r="E1955" s="3" t="str">
        <x:v>Home &amp; Kitchen</x:v>
      </x:c>
      <x:c r="F1955" s="3" t="str">
        <x:v>Furniture</x:v>
      </x:c>
      <x:c r="G1955" s="3" t="str">
        <x:v>Oakwood Study Desk</x:v>
      </x:c>
      <x:c r="H1955" s="3" t="n">
        <x:v>2</x:v>
      </x:c>
      <x:c r="I1955" s="7" t="n">
        <x:v>12993.31</x:v>
      </x:c>
      <x:c r="J1955" s="9" t="n">
        <x:v>0.05</x:v>
      </x:c>
      <x:c r="K1955" s="7" t="n">
        <x:v>24687.29</x:v>
      </x:c>
      <x:c r="L1955" s="7" t="n">
        <x:v>7660.05</x:v>
      </x:c>
      <x:c r="M1955" s="3" t="str">
        <x:v>Credit Card</x:v>
      </x:c>
      <x:c r="N1955" s="3"/>
      <x:c r="O1955" s="3"/>
      <x:c r="P1955" s="3"/>
      <x:c r="Q1955" s="3"/>
    </x:row>
    <x:row r="1956" ht="21" customHeight="1">
      <x:c r="A1956" s="3" t="str">
        <x:v>ORD-100868</x:v>
      </x:c>
      <x:c r="B1956" s="5" t="n">
        <x:v>45829</x:v>
      </x:c>
      <x:c r="C1956" s="3" t="str">
        <x:v>CUST-00561</x:v>
      </x:c>
      <x:c r="D1956" s="3" t="str">
        <x:v>South</x:v>
      </x:c>
      <x:c r="E1956" s="3" t="str">
        <x:v>Fashion</x:v>
      </x:c>
      <x:c r="F1956" s="3" t="str">
        <x:v>Footwear</x:v>
      </x:c>
      <x:c r="G1956" s="3" t="str">
        <x:v>RunFlex Sneakers</x:v>
      </x:c>
      <x:c r="H1956" s="3" t="n">
        <x:v>1</x:v>
      </x:c>
      <x:c r="I1956" s="7" t="n">
        <x:v>3140.53</x:v>
      </x:c>
      <x:c r="J1956" s="9" t="n">
        <x:v>0.05</x:v>
      </x:c>
      <x:c r="K1956" s="7" t="n">
        <x:v>2983.5</x:v>
      </x:c>
      <x:c r="L1956" s="7" t="n">
        <x:v>971.5</x:v>
      </x:c>
      <x:c r="M1956" s="3" t="str">
        <x:v>UPI</x:v>
      </x:c>
      <x:c r="N1956" s="3"/>
      <x:c r="O1956" s="3"/>
      <x:c r="P1956" s="3"/>
      <x:c r="Q1956" s="3"/>
    </x:row>
    <x:row r="1957" ht="21" customHeight="1">
      <x:c r="A1957" s="3" t="str">
        <x:v>ORD-100930</x:v>
      </x:c>
      <x:c r="B1957" s="5" t="n">
        <x:v>45829</x:v>
      </x:c>
      <x:c r="C1957" s="3" t="str">
        <x:v>CUST-00496</x:v>
      </x:c>
      <x:c r="D1957" s="3" t="str">
        <x:v>West</x:v>
      </x:c>
      <x:c r="E1957" s="3" t="str">
        <x:v>Home &amp; Kitchen</x:v>
      </x:c>
      <x:c r="F1957" s="3" t="str">
        <x:v>Appliances</x:v>
      </x:c>
      <x:c r="G1957" s="3" t="str">
        <x:v>AirFryer Deluxe</x:v>
      </x:c>
      <x:c r="H1957" s="3" t="n">
        <x:v>2</x:v>
      </x:c>
      <x:c r="I1957" s="7" t="n">
        <x:v>8017.67</x:v>
      </x:c>
      <x:c r="J1957" s="9" t="n">
        <x:v>0.05</x:v>
      </x:c>
      <x:c r="K1957" s="7" t="n">
        <x:v>15233.57</x:v>
      </x:c>
      <x:c r="L1957" s="7" t="n">
        <x:v>4002.44</x:v>
      </x:c>
      <x:c r="M1957" s="3" t="str">
        <x:v>Credit Card</x:v>
      </x:c>
      <x:c r="N1957" s="3"/>
      <x:c r="O1957" s="3"/>
      <x:c r="P1957" s="3"/>
      <x:c r="Q1957" s="3"/>
    </x:row>
    <x:row r="1958" ht="21" customHeight="1">
      <x:c r="A1958" s="3" t="str">
        <x:v>ORD-101163</x:v>
      </x:c>
      <x:c r="B1958" s="5" t="n">
        <x:v>45829</x:v>
      </x:c>
      <x:c r="C1958" s="3" t="str">
        <x:v>CUST-00103</x:v>
      </x:c>
      <x:c r="D1958" s="3" t="str">
        <x:v>West</x:v>
      </x:c>
      <x:c r="E1958" s="3" t="str">
        <x:v>Electronics</x:v>
      </x:c>
      <x:c r="F1958" s="3" t="str">
        <x:v>Audio</x:v>
      </x:c>
      <x:c r="G1958" s="3" t="str">
        <x:v>BassBoom Speaker</x:v>
      </x:c>
      <x:c r="H1958" s="3" t="n">
        <x:v>1</x:v>
      </x:c>
      <x:c r="I1958" s="7" t="n">
        <x:v>8818.86</x:v>
      </x:c>
      <x:c r="J1958" s="9" t="n">
        <x:v>0.05</x:v>
      </x:c>
      <x:c r="K1958" s="7" t="n">
        <x:v>8377.92</x:v>
      </x:c>
      <x:c r="L1958" s="7" t="n">
        <x:v>706.41</x:v>
      </x:c>
      <x:c r="M1958" s="3" t="str">
        <x:v>UPI</x:v>
      </x:c>
      <x:c r="N1958" s="3"/>
      <x:c r="O1958" s="3"/>
      <x:c r="P1958" s="3"/>
      <x:c r="Q1958" s="3"/>
    </x:row>
    <x:row r="1959" ht="21" customHeight="1">
      <x:c r="A1959" s="3" t="str">
        <x:v>ORD-101261</x:v>
      </x:c>
      <x:c r="B1959" s="5" t="n">
        <x:v>45829</x:v>
      </x:c>
      <x:c r="C1959" s="3" t="str">
        <x:v>CUST-00437</x:v>
      </x:c>
      <x:c r="D1959" s="3" t="str">
        <x:v>West</x:v>
      </x:c>
      <x:c r="E1959" s="3" t="str">
        <x:v>Electronics</x:v>
      </x:c>
      <x:c r="F1959" s="3" t="str">
        <x:v>Laptop</x:v>
      </x:c>
      <x:c r="G1959" s="3" t="str">
        <x:v>ThinkPro 14</x:v>
      </x:c>
      <x:c r="H1959" s="3" t="n">
        <x:v>1</x:v>
      </x:c>
      <x:c r="I1959" s="7" t="n">
        <x:v>53864.1</x:v>
      </x:c>
      <x:c r="J1959" s="9" t="n">
        <x:v>0</x:v>
      </x:c>
      <x:c r="K1959" s="7" t="n">
        <x:v>53864.1</x:v>
      </x:c>
      <x:c r="L1959" s="7" t="n">
        <x:v>8004.3</x:v>
      </x:c>
      <x:c r="M1959" s="3" t="str">
        <x:v>UPI</x:v>
      </x:c>
      <x:c r="N1959" s="3"/>
      <x:c r="O1959" s="3"/>
      <x:c r="P1959" s="3"/>
      <x:c r="Q1959" s="3"/>
    </x:row>
    <x:row r="1960" ht="21" customHeight="1">
      <x:c r="A1960" s="3" t="str">
        <x:v>ORD-100116</x:v>
      </x:c>
      <x:c r="B1960" s="5" t="n">
        <x:v>45830</x:v>
      </x:c>
      <x:c r="C1960" s="3" t="str">
        <x:v>CUST-00520</x:v>
      </x:c>
      <x:c r="D1960" s="3" t="str">
        <x:v>West</x:v>
      </x:c>
      <x:c r="E1960" s="3" t="str">
        <x:v>Sports</x:v>
      </x:c>
      <x:c r="F1960" s="3" t="str">
        <x:v>Fitness</x:v>
      </x:c>
      <x:c r="G1960" s="3" t="str">
        <x:v>Adjustable Dumbbell 24kg</x:v>
      </x:c>
      <x:c r="H1960" s="3" t="n">
        <x:v>1</x:v>
      </x:c>
      <x:c r="I1960" s="7" t="n">
        <x:v>10163.35</x:v>
      </x:c>
      <x:c r="J1960" s="9" t="n">
        <x:v>0.05</x:v>
      </x:c>
      <x:c r="K1960" s="7" t="n">
        <x:v>9655.18</x:v>
      </x:c>
      <x:c r="L1960" s="7" t="n">
        <x:v>2793.72</x:v>
      </x:c>
      <x:c r="M1960" s="3" t="str">
        <x:v>UPI</x:v>
      </x:c>
      <x:c r="N1960" s="3"/>
      <x:c r="O1960" s="3"/>
      <x:c r="P1960" s="3"/>
      <x:c r="Q1960" s="3"/>
    </x:row>
    <x:row r="1961" ht="21" customHeight="1">
      <x:c r="A1961" s="3" t="str">
        <x:v>ORD-100806</x:v>
      </x:c>
      <x:c r="B1961" s="5" t="n">
        <x:v>45830</x:v>
      </x:c>
      <x:c r="C1961" s="3" t="str">
        <x:v>CUST-00332</x:v>
      </x:c>
      <x:c r="D1961" s="3" t="str">
        <x:v>West</x:v>
      </x:c>
      <x:c r="E1961" s="3" t="str">
        <x:v>Sports</x:v>
      </x:c>
      <x:c r="F1961" s="3" t="str">
        <x:v>Fitness</x:v>
      </x:c>
      <x:c r="G1961" s="3" t="str">
        <x:v>Adjustable Dumbbell 24kg</x:v>
      </x:c>
      <x:c r="H1961" s="3" t="n">
        <x:v>1</x:v>
      </x:c>
      <x:c r="I1961" s="7" t="n">
        <x:v>10157.96</x:v>
      </x:c>
      <x:c r="J1961" s="9" t="n">
        <x:v>0.05</x:v>
      </x:c>
      <x:c r="K1961" s="7" t="n">
        <x:v>9650.06</x:v>
      </x:c>
      <x:c r="L1961" s="7" t="n">
        <x:v>3170.85</x:v>
      </x:c>
      <x:c r="M1961" s="3" t="str">
        <x:v>Debit Card</x:v>
      </x:c>
      <x:c r="N1961" s="3"/>
      <x:c r="O1961" s="3"/>
      <x:c r="P1961" s="3"/>
      <x:c r="Q1961" s="3"/>
    </x:row>
    <x:row r="1962" ht="21" customHeight="1">
      <x:c r="A1962" s="3" t="str">
        <x:v>ORD-100386</x:v>
      </x:c>
      <x:c r="B1962" s="5" t="n">
        <x:v>45831</x:v>
      </x:c>
      <x:c r="C1962" s="3" t="str">
        <x:v>CUST-00175</x:v>
      </x:c>
      <x:c r="D1962" s="3" t="str">
        <x:v>East</x:v>
      </x:c>
      <x:c r="E1962" s="3" t="str">
        <x:v>Fashion</x:v>
      </x:c>
      <x:c r="F1962" s="3" t="str">
        <x:v>Men</x:v>
      </x:c>
      <x:c r="G1962" s="3" t="str">
        <x:v>Oxford Casual Shirt</x:v>
      </x:c>
      <x:c r="H1962" s="3" t="n">
        <x:v>1</x:v>
      </x:c>
      <x:c r="I1962" s="7" t="n">
        <x:v>1362.95</x:v>
      </x:c>
      <x:c r="J1962" s="9" t="n">
        <x:v>0.1</x:v>
      </x:c>
      <x:c r="K1962" s="7" t="n">
        <x:v>1226.65</x:v>
      </x:c>
      <x:c r="L1962" s="7" t="n">
        <x:v>393.27</x:v>
      </x:c>
      <x:c r="M1962" s="3" t="str">
        <x:v>UPI</x:v>
      </x:c>
      <x:c r="N1962" s="3"/>
      <x:c r="O1962" s="3"/>
      <x:c r="P1962" s="3"/>
      <x:c r="Q1962" s="3"/>
    </x:row>
    <x:row r="1963" ht="21" customHeight="1">
      <x:c r="A1963" s="3" t="str">
        <x:v>ORD-100723</x:v>
      </x:c>
      <x:c r="B1963" s="5" t="n">
        <x:v>45831</x:v>
      </x:c>
      <x:c r="C1963" s="3" t="str">
        <x:v>CUST-00225</x:v>
      </x:c>
      <x:c r="D1963" s="3" t="str">
        <x:v>North</x:v>
      </x:c>
      <x:c r="E1963" s="3" t="str">
        <x:v>Sports</x:v>
      </x:c>
      <x:c r="F1963" s="3" t="str">
        <x:v>Outdoor</x:v>
      </x:c>
      <x:c r="G1963" s="3" t="str">
        <x:v>AllWeather Tent 4P</x:v>
      </x:c>
      <x:c r="H1963" s="3" t="n">
        <x:v>1</x:v>
      </x:c>
      <x:c r="I1963" s="7" t="n">
        <x:v>12042.45</x:v>
      </x:c>
      <x:c r="J1963" s="9" t="n">
        <x:v>0.05</x:v>
      </x:c>
      <x:c r="K1963" s="7" t="n">
        <x:v>11440.33</x:v>
      </x:c>
      <x:c r="L1963" s="7" t="n">
        <x:v>3442.5</x:v>
      </x:c>
      <x:c r="M1963" s="3" t="str">
        <x:v>Debit Card</x:v>
      </x:c>
      <x:c r="N1963" s="3"/>
      <x:c r="O1963" s="3"/>
      <x:c r="P1963" s="3"/>
      <x:c r="Q1963" s="3"/>
    </x:row>
    <x:row r="1964" ht="21" customHeight="1">
      <x:c r="A1964" s="3" t="str">
        <x:v>ORD-100788</x:v>
      </x:c>
      <x:c r="B1964" s="5" t="n">
        <x:v>45831</x:v>
      </x:c>
      <x:c r="C1964" s="3" t="str">
        <x:v>CUST-00358</x:v>
      </x:c>
      <x:c r="D1964" s="3" t="str">
        <x:v>South</x:v>
      </x:c>
      <x:c r="E1964" s="3" t="str">
        <x:v>Fashion</x:v>
      </x:c>
      <x:c r="F1964" s="3" t="str">
        <x:v>Women</x:v>
      </x:c>
      <x:c r="G1964" s="3" t="str">
        <x:v>Floral Summer Dress</x:v>
      </x:c>
      <x:c r="H1964" s="3" t="n">
        <x:v>5</x:v>
      </x:c>
      <x:c r="I1964" s="7" t="n">
        <x:v>1831.17</x:v>
      </x:c>
      <x:c r="J1964" s="9" t="n">
        <x:v>0.2</x:v>
      </x:c>
      <x:c r="K1964" s="7" t="n">
        <x:v>7324.68</x:v>
      </x:c>
      <x:c r="L1964" s="7" t="n">
        <x:v>1625.62</x:v>
      </x:c>
      <x:c r="M1964" s="3" t="str">
        <x:v>Cash on Delivery</x:v>
      </x:c>
      <x:c r="N1964" s="3"/>
      <x:c r="O1964" s="3"/>
      <x:c r="P1964" s="3"/>
      <x:c r="Q1964" s="3"/>
    </x:row>
    <x:row r="1965" ht="21" customHeight="1">
      <x:c r="A1965" s="3" t="str">
        <x:v>ORD-101698</x:v>
      </x:c>
      <x:c r="B1965" s="5" t="n">
        <x:v>45831</x:v>
      </x:c>
      <x:c r="C1965" s="3" t="str">
        <x:v>CUST-00031</x:v>
      </x:c>
      <x:c r="D1965" s="3" t="str">
        <x:v>North</x:v>
      </x:c>
      <x:c r="E1965" s="3" t="str">
        <x:v>Fashion</x:v>
      </x:c>
      <x:c r="F1965" s="3" t="str">
        <x:v>Footwear</x:v>
      </x:c>
      <x:c r="G1965" s="3" t="str">
        <x:v>RunFlex Sneakers</x:v>
      </x:c>
      <x:c r="H1965" s="3" t="n">
        <x:v>2</x:v>
      </x:c>
      <x:c r="I1965" s="7" t="n">
        <x:v>2901.19</x:v>
      </x:c>
      <x:c r="J1965" s="9" t="n">
        <x:v>0.05</x:v>
      </x:c>
      <x:c r="K1965" s="7" t="n">
        <x:v>5512.26</x:v>
      </x:c>
      <x:c r="L1965" s="7" t="n">
        <x:v>2161.41</x:v>
      </x:c>
      <x:c r="M1965" s="3" t="str">
        <x:v>UPI</x:v>
      </x:c>
      <x:c r="N1965" s="3"/>
      <x:c r="O1965" s="3"/>
      <x:c r="P1965" s="3"/>
      <x:c r="Q1965" s="3"/>
    </x:row>
    <x:row r="1966" ht="21" customHeight="1">
      <x:c r="A1966" s="3" t="str">
        <x:v>ORD-100114</x:v>
      </x:c>
      <x:c r="B1966" s="5" t="n">
        <x:v>45832</x:v>
      </x:c>
      <x:c r="C1966" s="3" t="str">
        <x:v>CUST-00296</x:v>
      </x:c>
      <x:c r="D1966" s="3" t="str">
        <x:v>West</x:v>
      </x:c>
      <x:c r="E1966" s="3" t="str">
        <x:v>Sports</x:v>
      </x:c>
      <x:c r="F1966" s="3" t="str">
        <x:v>Fitness</x:v>
      </x:c>
      <x:c r="G1966" s="3" t="str">
        <x:v>Adjustable Dumbbell 24kg</x:v>
      </x:c>
      <x:c r="H1966" s="3" t="n">
        <x:v>1</x:v>
      </x:c>
      <x:c r="I1966" s="7" t="n">
        <x:v>9578.27</x:v>
      </x:c>
      <x:c r="J1966" s="9" t="n">
        <x:v>0</x:v>
      </x:c>
      <x:c r="K1966" s="7" t="n">
        <x:v>9578.27</x:v>
      </x:c>
      <x:c r="L1966" s="7" t="n">
        <x:v>3452.72</x:v>
      </x:c>
      <x:c r="M1966" s="3" t="str">
        <x:v>Credit Card</x:v>
      </x:c>
      <x:c r="N1966" s="3"/>
      <x:c r="O1966" s="3"/>
      <x:c r="P1966" s="3"/>
      <x:c r="Q1966" s="3"/>
    </x:row>
    <x:row r="1967" ht="21" customHeight="1">
      <x:c r="A1967" s="3" t="str">
        <x:v>ORD-100580</x:v>
      </x:c>
      <x:c r="B1967" s="5" t="n">
        <x:v>45832</x:v>
      </x:c>
      <x:c r="C1967" s="3" t="str">
        <x:v>CUST-00264</x:v>
      </x:c>
      <x:c r="D1967" s="3" t="str">
        <x:v>North</x:v>
      </x:c>
      <x:c r="E1967" s="3" t="str">
        <x:v>Beauty</x:v>
      </x:c>
      <x:c r="F1967" s="3" t="str">
        <x:v>Makeup</x:v>
      </x:c>
      <x:c r="G1967" s="3" t="str">
        <x:v>HD Foundation Kit</x:v>
      </x:c>
      <x:c r="H1967" s="3" t="n">
        <x:v>2</x:v>
      </x:c>
      <x:c r="I1967" s="7" t="n">
        <x:v>1564.03</x:v>
      </x:c>
      <x:c r="J1967" s="9" t="n">
        <x:v>0.05</x:v>
      </x:c>
      <x:c r="K1967" s="7" t="n">
        <x:v>2971.66</x:v>
      </x:c>
      <x:c r="L1967" s="7" t="n">
        <x:v>1425.49</x:v>
      </x:c>
      <x:c r="M1967" s="3" t="str">
        <x:v>UPI</x:v>
      </x:c>
      <x:c r="N1967" s="3"/>
      <x:c r="O1967" s="3"/>
      <x:c r="P1967" s="3"/>
      <x:c r="Q1967" s="3"/>
    </x:row>
    <x:row r="1968" ht="21" customHeight="1">
      <x:c r="A1968" s="3" t="str">
        <x:v>ORD-100773</x:v>
      </x:c>
      <x:c r="B1968" s="5" t="n">
        <x:v>45832</x:v>
      </x:c>
      <x:c r="C1968" s="3" t="str">
        <x:v>CUST-00490</x:v>
      </x:c>
      <x:c r="D1968" s="3" t="str">
        <x:v>South</x:v>
      </x:c>
      <x:c r="E1968" s="3" t="str">
        <x:v>Fashion</x:v>
      </x:c>
      <x:c r="F1968" s="3" t="str">
        <x:v>Women</x:v>
      </x:c>
      <x:c r="G1968" s="3" t="str">
        <x:v>Floral Summer Dress</x:v>
      </x:c>
      <x:c r="H1968" s="3" t="n">
        <x:v>2</x:v>
      </x:c>
      <x:c r="I1968" s="7" t="n">
        <x:v>1882.8</x:v>
      </x:c>
      <x:c r="J1968" s="9" t="n">
        <x:v>0.2</x:v>
      </x:c>
      <x:c r="K1968" s="7" t="n">
        <x:v>3012.48</x:v>
      </x:c>
      <x:c r="L1968" s="7" t="n">
        <x:v>551.48</x:v>
      </x:c>
      <x:c r="M1968" s="3" t="str">
        <x:v>UPI</x:v>
      </x:c>
      <x:c r="N1968" s="3"/>
      <x:c r="O1968" s="3"/>
      <x:c r="P1968" s="3"/>
      <x:c r="Q1968" s="3"/>
    </x:row>
    <x:row r="1969" ht="21" customHeight="1">
      <x:c r="A1969" s="3" t="str">
        <x:v>ORD-100775</x:v>
      </x:c>
      <x:c r="B1969" s="5" t="n">
        <x:v>45832</x:v>
      </x:c>
      <x:c r="C1969" s="3" t="str">
        <x:v>CUST-00321</x:v>
      </x:c>
      <x:c r="D1969" s="3" t="str">
        <x:v>North</x:v>
      </x:c>
      <x:c r="E1969" s="3" t="str">
        <x:v>Electronics</x:v>
      </x:c>
      <x:c r="F1969" s="3" t="str">
        <x:v>Mobile</x:v>
      </x:c>
      <x:c r="G1969" s="3" t="str">
        <x:v>Pixel Aura 12</x:v>
      </x:c>
      <x:c r="H1969" s="3" t="n">
        <x:v>1</x:v>
      </x:c>
      <x:c r="I1969" s="7" t="n">
        <x:v>32062.28</x:v>
      </x:c>
      <x:c r="J1969" s="9" t="n">
        <x:v>0</x:v>
      </x:c>
      <x:c r="K1969" s="7" t="n">
        <x:v>32062.28</x:v>
      </x:c>
      <x:c r="L1969" s="7" t="n">
        <x:v>6588.19</x:v>
      </x:c>
      <x:c r="M1969" s="3" t="str">
        <x:v>UPI</x:v>
      </x:c>
      <x:c r="N1969" s="3"/>
      <x:c r="O1969" s="3"/>
      <x:c r="P1969" s="3"/>
      <x:c r="Q1969" s="3"/>
    </x:row>
    <x:row r="1970" ht="21" customHeight="1">
      <x:c r="A1970" s="3" t="str">
        <x:v>ORD-100811</x:v>
      </x:c>
      <x:c r="B1970" s="5" t="n">
        <x:v>45832</x:v>
      </x:c>
      <x:c r="C1970" s="3" t="str">
        <x:v>CUST-00213</x:v>
      </x:c>
      <x:c r="D1970" s="3" t="str">
        <x:v>West</x:v>
      </x:c>
      <x:c r="E1970" s="3" t="str">
        <x:v>Electronics</x:v>
      </x:c>
      <x:c r="F1970" s="3" t="str">
        <x:v>Laptop</x:v>
      </x:c>
      <x:c r="G1970" s="3" t="str">
        <x:v>AirBook Slim</x:v>
      </x:c>
      <x:c r="H1970" s="3" t="n">
        <x:v>2</x:v>
      </x:c>
      <x:c r="I1970" s="7" t="n">
        <x:v>77740.64</x:v>
      </x:c>
      <x:c r="J1970" s="9" t="n">
        <x:v>0.2</x:v>
      </x:c>
      <x:c r="K1970" s="7" t="n">
        <x:v>124385.02</x:v>
      </x:c>
      <x:c r="L1970" s="7" t="n">
        <x:v>-4404.61</x:v>
      </x:c>
      <x:c r="M1970" s="3" t="str">
        <x:v>Debit Card</x:v>
      </x:c>
      <x:c r="N1970" s="3"/>
      <x:c r="O1970" s="3"/>
      <x:c r="P1970" s="3"/>
      <x:c r="Q1970" s="3"/>
    </x:row>
    <x:row r="1971" ht="21" customHeight="1">
      <x:c r="A1971" s="3" t="str">
        <x:v>ORD-101350</x:v>
      </x:c>
      <x:c r="B1971" s="5" t="n">
        <x:v>45832</x:v>
      </x:c>
      <x:c r="C1971" s="3" t="str">
        <x:v>CUST-00159</x:v>
      </x:c>
      <x:c r="D1971" s="3" t="str">
        <x:v>South</x:v>
      </x:c>
      <x:c r="E1971" s="3" t="str">
        <x:v>Fashion</x:v>
      </x:c>
      <x:c r="F1971" s="3" t="str">
        <x:v>Footwear</x:v>
      </x:c>
      <x:c r="G1971" s="3" t="str">
        <x:v>UrbanLoafers</x:v>
      </x:c>
      <x:c r="H1971" s="3" t="n">
        <x:v>5</x:v>
      </x:c>
      <x:c r="I1971" s="7" t="n">
        <x:v>3413.43</x:v>
      </x:c>
      <x:c r="J1971" s="9" t="n">
        <x:v>0.05</x:v>
      </x:c>
      <x:c r="K1971" s="7" t="n">
        <x:v>16213.79</x:v>
      </x:c>
      <x:c r="L1971" s="7" t="n">
        <x:v>5927.91</x:v>
      </x:c>
      <x:c r="M1971" s="3" t="str">
        <x:v>Credit Card</x:v>
      </x:c>
      <x:c r="N1971" s="3"/>
      <x:c r="O1971" s="3"/>
      <x:c r="P1971" s="3"/>
      <x:c r="Q1971" s="3"/>
    </x:row>
    <x:row r="1972" ht="21" customHeight="1">
      <x:c r="A1972" s="3" t="str">
        <x:v>ORD-101605</x:v>
      </x:c>
      <x:c r="B1972" s="5" t="n">
        <x:v>45832</x:v>
      </x:c>
      <x:c r="C1972" s="3" t="str">
        <x:v>CUST-00430</x:v>
      </x:c>
      <x:c r="D1972" s="3" t="str">
        <x:v>South</x:v>
      </x:c>
      <x:c r="E1972" s="3" t="str">
        <x:v>Fashion</x:v>
      </x:c>
      <x:c r="F1972" s="3" t="str">
        <x:v>Men</x:v>
      </x:c>
      <x:c r="G1972" s="3" t="str">
        <x:v>Oxford Casual Shirt</x:v>
      </x:c>
      <x:c r="H1972" s="3" t="n">
        <x:v>1</x:v>
      </x:c>
      <x:c r="I1972" s="7" t="n">
        <x:v>1322.01</x:v>
      </x:c>
      <x:c r="J1972" s="9" t="n">
        <x:v>0</x:v>
      </x:c>
      <x:c r="K1972" s="7" t="n">
        <x:v>1322.01</x:v>
      </x:c>
      <x:c r="L1972" s="7" t="n">
        <x:v>585.8</x:v>
      </x:c>
      <x:c r="M1972" s="3" t="str">
        <x:v>Net Banking</x:v>
      </x:c>
      <x:c r="N1972" s="3"/>
      <x:c r="O1972" s="3"/>
      <x:c r="P1972" s="3"/>
      <x:c r="Q1972" s="3"/>
    </x:row>
    <x:row r="1973" ht="21" customHeight="1">
      <x:c r="A1973" s="3" t="str">
        <x:v>ORD-101607</x:v>
      </x:c>
      <x:c r="B1973" s="5" t="n">
        <x:v>45832</x:v>
      </x:c>
      <x:c r="C1973" s="3" t="str">
        <x:v>CUST-00246</x:v>
      </x:c>
      <x:c r="D1973" s="3" t="str">
        <x:v>East</x:v>
      </x:c>
      <x:c r="E1973" s="3" t="str">
        <x:v>Home &amp; Kitchen</x:v>
      </x:c>
      <x:c r="F1973" s="3" t="str">
        <x:v>Furniture</x:v>
      </x:c>
      <x:c r="G1973" s="3" t="str">
        <x:v>ErgoComfort Chair</x:v>
      </x:c>
      <x:c r="H1973" s="3" t="n">
        <x:v>1</x:v>
      </x:c>
      <x:c r="I1973" s="7" t="n">
        <x:v>8771.45</x:v>
      </x:c>
      <x:c r="J1973" s="9" t="n">
        <x:v>0.15</x:v>
      </x:c>
      <x:c r="K1973" s="7" t="n">
        <x:v>7455.73</x:v>
      </x:c>
      <x:c r="L1973" s="7" t="n">
        <x:v>893.53</x:v>
      </x:c>
      <x:c r="M1973" s="3" t="str">
        <x:v>UPI</x:v>
      </x:c>
      <x:c r="N1973" s="3"/>
      <x:c r="O1973" s="3"/>
      <x:c r="P1973" s="3"/>
      <x:c r="Q1973" s="3"/>
    </x:row>
    <x:row r="1974" ht="21" customHeight="1">
      <x:c r="A1974" s="3" t="str">
        <x:v>ORD-101628</x:v>
      </x:c>
      <x:c r="B1974" s="5" t="n">
        <x:v>45832</x:v>
      </x:c>
      <x:c r="C1974" s="3" t="str">
        <x:v>CUST-00152</x:v>
      </x:c>
      <x:c r="D1974" s="3" t="str">
        <x:v>North</x:v>
      </x:c>
      <x:c r="E1974" s="3" t="str">
        <x:v>Beauty</x:v>
      </x:c>
      <x:c r="F1974" s="3" t="str">
        <x:v>Makeup</x:v>
      </x:c>
      <x:c r="G1974" s="3" t="str">
        <x:v>HD Foundation Kit</x:v>
      </x:c>
      <x:c r="H1974" s="3" t="n">
        <x:v>2</x:v>
      </x:c>
      <x:c r="I1974" s="7" t="n">
        <x:v>1448.33</x:v>
      </x:c>
      <x:c r="J1974" s="9" t="n">
        <x:v>0.05</x:v>
      </x:c>
      <x:c r="K1974" s="7" t="n">
        <x:v>2751.83</x:v>
      </x:c>
      <x:c r="L1974" s="7" t="n">
        <x:v>1283.24</x:v>
      </x:c>
      <x:c r="M1974" s="3" t="str">
        <x:v>Debit Card</x:v>
      </x:c>
      <x:c r="N1974" s="3"/>
      <x:c r="O1974" s="3"/>
      <x:c r="P1974" s="3"/>
      <x:c r="Q1974" s="3"/>
    </x:row>
    <x:row r="1975" ht="21" customHeight="1">
      <x:c r="A1975" s="3" t="str">
        <x:v>ORD-100572</x:v>
      </x:c>
      <x:c r="B1975" s="5" t="n">
        <x:v>45833</x:v>
      </x:c>
      <x:c r="C1975" s="3" t="str">
        <x:v>CUST-00218</x:v>
      </x:c>
      <x:c r="D1975" s="3" t="str">
        <x:v>North</x:v>
      </x:c>
      <x:c r="E1975" s="3" t="str">
        <x:v>Sports</x:v>
      </x:c>
      <x:c r="F1975" s="3" t="str">
        <x:v>Outdoor</x:v>
      </x:c>
      <x:c r="G1975" s="3" t="str">
        <x:v>AllWeather Tent 4P</x:v>
      </x:c>
      <x:c r="H1975" s="3" t="n">
        <x:v>3</x:v>
      </x:c>
      <x:c r="I1975" s="7" t="n">
        <x:v>11551.59</x:v>
      </x:c>
      <x:c r="J1975" s="9" t="n">
        <x:v>0</x:v>
      </x:c>
      <x:c r="K1975" s="7" t="n">
        <x:v>34654.77</x:v>
      </x:c>
      <x:c r="L1975" s="7" t="n">
        <x:v>13754.2</x:v>
      </x:c>
      <x:c r="M1975" s="3" t="str">
        <x:v>Debit Card</x:v>
      </x:c>
      <x:c r="N1975" s="3"/>
      <x:c r="O1975" s="3"/>
      <x:c r="P1975" s="3"/>
      <x:c r="Q1975" s="3"/>
    </x:row>
    <x:row r="1976" ht="21" customHeight="1">
      <x:c r="A1976" s="3" t="str">
        <x:v>ORD-100703</x:v>
      </x:c>
      <x:c r="B1976" s="5" t="n">
        <x:v>45833</x:v>
      </x:c>
      <x:c r="C1976" s="3" t="str">
        <x:v>CUST-00244</x:v>
      </x:c>
      <x:c r="D1976" s="3" t="str">
        <x:v>West</x:v>
      </x:c>
      <x:c r="E1976" s="3" t="str">
        <x:v>Sports</x:v>
      </x:c>
      <x:c r="F1976" s="3" t="str">
        <x:v>Outdoor</x:v>
      </x:c>
      <x:c r="G1976" s="3" t="str">
        <x:v>AllWeather Tent 4P</x:v>
      </x:c>
      <x:c r="H1976" s="3" t="n">
        <x:v>1</x:v>
      </x:c>
      <x:c r="I1976" s="7" t="n">
        <x:v>11415.44</x:v>
      </x:c>
      <x:c r="J1976" s="9" t="n">
        <x:v>0</x:v>
      </x:c>
      <x:c r="K1976" s="7" t="n">
        <x:v>11415.44</x:v>
      </x:c>
      <x:c r="L1976" s="7" t="n">
        <x:v>4385.14</x:v>
      </x:c>
      <x:c r="M1976" s="3" t="str">
        <x:v>UPI</x:v>
      </x:c>
      <x:c r="N1976" s="3"/>
      <x:c r="O1976" s="3"/>
      <x:c r="P1976" s="3"/>
      <x:c r="Q1976" s="3"/>
    </x:row>
    <x:row r="1977" ht="21" customHeight="1">
      <x:c r="A1977" s="3" t="str">
        <x:v>ORD-101418</x:v>
      </x:c>
      <x:c r="B1977" s="5" t="n">
        <x:v>45833</x:v>
      </x:c>
      <x:c r="C1977" s="3" t="str">
        <x:v>CUST-00029</x:v>
      </x:c>
      <x:c r="D1977" s="3" t="str">
        <x:v>East</x:v>
      </x:c>
      <x:c r="E1977" s="3" t="str">
        <x:v>Fashion</x:v>
      </x:c>
      <x:c r="F1977" s="3" t="str">
        <x:v>Women</x:v>
      </x:c>
      <x:c r="G1977" s="3" t="str">
        <x:v>Floral Summer Dress</x:v>
      </x:c>
      <x:c r="H1977" s="3" t="n">
        <x:v>4</x:v>
      </x:c>
      <x:c r="I1977" s="7" t="n">
        <x:v>1833.1</x:v>
      </x:c>
      <x:c r="J1977" s="9" t="n">
        <x:v>0</x:v>
      </x:c>
      <x:c r="K1977" s="7" t="n">
        <x:v>7332.4</x:v>
      </x:c>
      <x:c r="L1977" s="7" t="n">
        <x:v>2831.8</x:v>
      </x:c>
      <x:c r="M1977" s="3" t="str">
        <x:v>UPI</x:v>
      </x:c>
      <x:c r="N1977" s="3"/>
      <x:c r="O1977" s="3"/>
      <x:c r="P1977" s="3"/>
      <x:c r="Q1977" s="3"/>
    </x:row>
    <x:row r="1978" ht="21" customHeight="1">
      <x:c r="A1978" s="3" t="str">
        <x:v>ORD-101541</x:v>
      </x:c>
      <x:c r="B1978" s="5" t="n">
        <x:v>45833</x:v>
      </x:c>
      <x:c r="C1978" s="3" t="str">
        <x:v>CUST-00269</x:v>
      </x:c>
      <x:c r="D1978" s="3" t="str">
        <x:v>South</x:v>
      </x:c>
      <x:c r="E1978" s="3" t="str">
        <x:v>Sports</x:v>
      </x:c>
      <x:c r="F1978" s="3" t="str">
        <x:v>Fitness</x:v>
      </x:c>
      <x:c r="G1978" s="3" t="str">
        <x:v>ProYoga Mat</x:v>
      </x:c>
      <x:c r="H1978" s="3" t="n">
        <x:v>1</x:v>
      </x:c>
      <x:c r="I1978" s="7" t="n">
        <x:v>1317.09</x:v>
      </x:c>
      <x:c r="J1978" s="9" t="n">
        <x:v>0.1</x:v>
      </x:c>
      <x:c r="K1978" s="7" t="n">
        <x:v>1185.38</x:v>
      </x:c>
      <x:c r="L1978" s="7" t="n">
        <x:v>352.75</x:v>
      </x:c>
      <x:c r="M1978" s="3" t="str">
        <x:v>UPI</x:v>
      </x:c>
      <x:c r="N1978" s="3"/>
      <x:c r="O1978" s="3"/>
      <x:c r="P1978" s="3"/>
      <x:c r="Q1978" s="3"/>
    </x:row>
    <x:row r="1979" ht="21" customHeight="1">
      <x:c r="A1979" s="3" t="str">
        <x:v>ORD-100165</x:v>
      </x:c>
      <x:c r="B1979" s="5" t="n">
        <x:v>45834</x:v>
      </x:c>
      <x:c r="C1979" s="3" t="str">
        <x:v>CUST-00249</x:v>
      </x:c>
      <x:c r="D1979" s="3" t="str">
        <x:v>South</x:v>
      </x:c>
      <x:c r="E1979" s="3" t="str">
        <x:v>Sports</x:v>
      </x:c>
      <x:c r="F1979" s="3" t="str">
        <x:v>Fitness</x:v>
      </x:c>
      <x:c r="G1979" s="3" t="str">
        <x:v>Adjustable Dumbbell 24kg</x:v>
      </x:c>
      <x:c r="H1979" s="3" t="n">
        <x:v>1</x:v>
      </x:c>
      <x:c r="I1979" s="7" t="n">
        <x:v>9972.52</x:v>
      </x:c>
      <x:c r="J1979" s="9" t="n">
        <x:v>0.15</x:v>
      </x:c>
      <x:c r="K1979" s="7" t="n">
        <x:v>8476.64</x:v>
      </x:c>
      <x:c r="L1979" s="7" t="n">
        <x:v>1995.8</x:v>
      </x:c>
      <x:c r="M1979" s="3" t="str">
        <x:v>Debit Card</x:v>
      </x:c>
      <x:c r="N1979" s="3"/>
      <x:c r="O1979" s="3"/>
      <x:c r="P1979" s="3"/>
      <x:c r="Q1979" s="3"/>
    </x:row>
    <x:row r="1980" ht="21" customHeight="1">
      <x:c r="A1980" s="3" t="str">
        <x:v>ORD-100442</x:v>
      </x:c>
      <x:c r="B1980" s="5" t="n">
        <x:v>45834</x:v>
      </x:c>
      <x:c r="C1980" s="3" t="str">
        <x:v>CUST-00043</x:v>
      </x:c>
      <x:c r="D1980" s="3" t="str">
        <x:v>South</x:v>
      </x:c>
      <x:c r="E1980" s="3" t="str">
        <x:v>Sports</x:v>
      </x:c>
      <x:c r="F1980" s="3" t="str">
        <x:v>Outdoor</x:v>
      </x:c>
      <x:c r="G1980" s="3" t="str">
        <x:v>TrailHike Backpack 60L</x:v>
      </x:c>
      <x:c r="H1980" s="3" t="n">
        <x:v>1</x:v>
      </x:c>
      <x:c r="I1980" s="7" t="n">
        <x:v>3425.1</x:v>
      </x:c>
      <x:c r="J1980" s="9" t="n">
        <x:v>0.05</x:v>
      </x:c>
      <x:c r="K1980" s="7" t="n">
        <x:v>3253.84</x:v>
      </x:c>
      <x:c r="L1980" s="7" t="n">
        <x:v>1126.76</x:v>
      </x:c>
      <x:c r="M1980" s="3" t="str">
        <x:v>UPI</x:v>
      </x:c>
      <x:c r="N1980" s="3"/>
      <x:c r="O1980" s="3"/>
      <x:c r="P1980" s="3"/>
      <x:c r="Q1980" s="3"/>
    </x:row>
    <x:row r="1981" ht="21" customHeight="1">
      <x:c r="A1981" s="3" t="str">
        <x:v>ORD-101902</x:v>
      </x:c>
      <x:c r="B1981" s="5" t="n">
        <x:v>45834</x:v>
      </x:c>
      <x:c r="C1981" s="3" t="str">
        <x:v>CUST-00300</x:v>
      </x:c>
      <x:c r="D1981" s="3" t="str">
        <x:v>South</x:v>
      </x:c>
      <x:c r="E1981" s="3" t="str">
        <x:v>Sports</x:v>
      </x:c>
      <x:c r="F1981" s="3" t="str">
        <x:v>Outdoor</x:v>
      </x:c>
      <x:c r="G1981" s="3" t="str">
        <x:v>TrailHike Backpack 60L</x:v>
      </x:c>
      <x:c r="H1981" s="3" t="n">
        <x:v>1</x:v>
      </x:c>
      <x:c r="I1981" s="7" t="n">
        <x:v>3425.98</x:v>
      </x:c>
      <x:c r="J1981" s="9" t="n">
        <x:v>0.2</x:v>
      </x:c>
      <x:c r="K1981" s="7" t="n">
        <x:v>2740.78</x:v>
      </x:c>
      <x:c r="L1981" s="7" t="n">
        <x:v>445.2</x:v>
      </x:c>
      <x:c r="M1981" s="3" t="str">
        <x:v>UPI</x:v>
      </x:c>
      <x:c r="N1981" s="3"/>
      <x:c r="O1981" s="3"/>
      <x:c r="P1981" s="3"/>
      <x:c r="Q1981" s="3"/>
    </x:row>
    <x:row r="1982" ht="21" customHeight="1">
      <x:c r="A1982" s="3" t="str">
        <x:v>ORD-100086</x:v>
      </x:c>
      <x:c r="B1982" s="5" t="n">
        <x:v>45835</x:v>
      </x:c>
      <x:c r="C1982" s="3" t="str">
        <x:v>CUST-00518</x:v>
      </x:c>
      <x:c r="D1982" s="3" t="str">
        <x:v>South</x:v>
      </x:c>
      <x:c r="E1982" s="3" t="str">
        <x:v>Home &amp; Kitchen</x:v>
      </x:c>
      <x:c r="F1982" s="3" t="str">
        <x:v>Appliances</x:v>
      </x:c>
      <x:c r="G1982" s="3" t="str">
        <x:v>AirFryer Deluxe</x:v>
      </x:c>
      <x:c r="H1982" s="3" t="n">
        <x:v>1</x:v>
      </x:c>
      <x:c r="I1982" s="7" t="n">
        <x:v>8105.45</x:v>
      </x:c>
      <x:c r="J1982" s="9" t="n">
        <x:v>0</x:v>
      </x:c>
      <x:c r="K1982" s="7" t="n">
        <x:v>8105.45</x:v>
      </x:c>
      <x:c r="L1982" s="7" t="n">
        <x:v>2706.15</x:v>
      </x:c>
      <x:c r="M1982" s="3" t="str">
        <x:v>Cash on Delivery</x:v>
      </x:c>
      <x:c r="N1982" s="3"/>
      <x:c r="O1982" s="3"/>
      <x:c r="P1982" s="3"/>
      <x:c r="Q1982" s="3"/>
    </x:row>
    <x:row r="1983" ht="21" customHeight="1">
      <x:c r="A1983" s="3" t="str">
        <x:v>ORD-100272</x:v>
      </x:c>
      <x:c r="B1983" s="5" t="n">
        <x:v>45835</x:v>
      </x:c>
      <x:c r="C1983" s="3" t="str">
        <x:v>CUST-00005</x:v>
      </x:c>
      <x:c r="D1983" s="3" t="str">
        <x:v>South</x:v>
      </x:c>
      <x:c r="E1983" s="3" t="str">
        <x:v>Sports</x:v>
      </x:c>
      <x:c r="F1983" s="3" t="str">
        <x:v>Fitness</x:v>
      </x:c>
      <x:c r="G1983" s="3" t="str">
        <x:v>ProYoga Mat</x:v>
      </x:c>
      <x:c r="H1983" s="3" t="n">
        <x:v>2</x:v>
      </x:c>
      <x:c r="I1983" s="7" t="n">
        <x:v>1286.45</x:v>
      </x:c>
      <x:c r="J1983" s="9" t="n">
        <x:v>0.1</x:v>
      </x:c>
      <x:c r="K1983" s="7" t="n">
        <x:v>2315.61</x:v>
      </x:c>
      <x:c r="L1983" s="7" t="n">
        <x:v>699.84</x:v>
      </x:c>
      <x:c r="M1983" s="3" t="str">
        <x:v>UPI</x:v>
      </x:c>
      <x:c r="N1983" s="3"/>
      <x:c r="O1983" s="3"/>
      <x:c r="P1983" s="3"/>
      <x:c r="Q1983" s="3"/>
    </x:row>
    <x:row r="1984" ht="21" customHeight="1">
      <x:c r="A1984" s="3" t="str">
        <x:v>ORD-100301</x:v>
      </x:c>
      <x:c r="B1984" s="5" t="n">
        <x:v>45835</x:v>
      </x:c>
      <x:c r="C1984" s="3" t="str">
        <x:v>CUST-00575</x:v>
      </x:c>
      <x:c r="D1984" s="3" t="str">
        <x:v>South</x:v>
      </x:c>
      <x:c r="E1984" s="3" t="str">
        <x:v>Fashion</x:v>
      </x:c>
      <x:c r="F1984" s="3" t="str">
        <x:v>Women</x:v>
      </x:c>
      <x:c r="G1984" s="3" t="str">
        <x:v>Knit Winter Sweater</x:v>
      </x:c>
      <x:c r="H1984" s="3" t="n">
        <x:v>1</x:v>
      </x:c>
      <x:c r="I1984" s="7" t="n">
        <x:v>2135.97</x:v>
      </x:c>
      <x:c r="J1984" s="9" t="n">
        <x:v>0</x:v>
      </x:c>
      <x:c r="K1984" s="7" t="n">
        <x:v>2135.97</x:v>
      </x:c>
      <x:c r="L1984" s="7" t="n">
        <x:v>868.38</x:v>
      </x:c>
      <x:c r="M1984" s="3" t="str">
        <x:v>UPI</x:v>
      </x:c>
      <x:c r="N1984" s="3"/>
      <x:c r="O1984" s="3"/>
      <x:c r="P1984" s="3"/>
      <x:c r="Q1984" s="3"/>
    </x:row>
    <x:row r="1985" ht="21" customHeight="1">
      <x:c r="A1985" s="3" t="str">
        <x:v>ORD-100852</x:v>
      </x:c>
      <x:c r="B1985" s="5" t="n">
        <x:v>45835</x:v>
      </x:c>
      <x:c r="C1985" s="3" t="str">
        <x:v>CUST-00185</x:v>
      </x:c>
      <x:c r="D1985" s="3" t="str">
        <x:v>North</x:v>
      </x:c>
      <x:c r="E1985" s="3" t="str">
        <x:v>Sports</x:v>
      </x:c>
      <x:c r="F1985" s="3" t="str">
        <x:v>Fitness</x:v>
      </x:c>
      <x:c r="G1985" s="3" t="str">
        <x:v>ProYoga Mat</x:v>
      </x:c>
      <x:c r="H1985" s="3" t="n">
        <x:v>1</x:v>
      </x:c>
      <x:c r="I1985" s="7" t="n">
        <x:v>1313.73</x:v>
      </x:c>
      <x:c r="J1985" s="9" t="n">
        <x:v>0.1</x:v>
      </x:c>
      <x:c r="K1985" s="7" t="n">
        <x:v>1182.36</x:v>
      </x:c>
      <x:c r="L1985" s="7" t="n">
        <x:v>325.72</x:v>
      </x:c>
      <x:c r="M1985" s="3" t="str">
        <x:v>UPI</x:v>
      </x:c>
      <x:c r="N1985" s="3"/>
      <x:c r="O1985" s="3"/>
      <x:c r="P1985" s="3"/>
      <x:c r="Q1985" s="3"/>
    </x:row>
    <x:row r="1986" ht="21" customHeight="1">
      <x:c r="A1986" s="3" t="str">
        <x:v>ORD-100971</x:v>
      </x:c>
      <x:c r="B1986" s="5" t="n">
        <x:v>45835</x:v>
      </x:c>
      <x:c r="C1986" s="3" t="str">
        <x:v>CUST-00546</x:v>
      </x:c>
      <x:c r="D1986" s="3" t="str">
        <x:v>East</x:v>
      </x:c>
      <x:c r="E1986" s="3" t="str">
        <x:v>Fashion</x:v>
      </x:c>
      <x:c r="F1986" s="3" t="str">
        <x:v>Men</x:v>
      </x:c>
      <x:c r="G1986" s="3" t="str">
        <x:v>SlimFit Denim Jeans</x:v>
      </x:c>
      <x:c r="H1986" s="3" t="n">
        <x:v>3</x:v>
      </x:c>
      <x:c r="I1986" s="7" t="n">
        <x:v>2047.89</x:v>
      </x:c>
      <x:c r="J1986" s="9" t="n">
        <x:v>0</x:v>
      </x:c>
      <x:c r="K1986" s="7" t="n">
        <x:v>6143.67</x:v>
      </x:c>
      <x:c r="L1986" s="7" t="n">
        <x:v>2592.91</x:v>
      </x:c>
      <x:c r="M1986" s="3" t="str">
        <x:v>Credit Card</x:v>
      </x:c>
      <x:c r="N1986" s="3"/>
      <x:c r="O1986" s="3"/>
      <x:c r="P1986" s="3"/>
      <x:c r="Q1986" s="3"/>
    </x:row>
    <x:row r="1987" ht="21" customHeight="1">
      <x:c r="A1987" s="3" t="str">
        <x:v>ORD-101205</x:v>
      </x:c>
      <x:c r="B1987" s="5" t="n">
        <x:v>45835</x:v>
      </x:c>
      <x:c r="C1987" s="3" t="str">
        <x:v>CUST-00024</x:v>
      </x:c>
      <x:c r="D1987" s="3" t="str">
        <x:v>West</x:v>
      </x:c>
      <x:c r="E1987" s="3" t="str">
        <x:v>Home &amp; Kitchen</x:v>
      </x:c>
      <x:c r="F1987" s="3" t="str">
        <x:v>Furniture</x:v>
      </x:c>
      <x:c r="G1987" s="3" t="str">
        <x:v>Oakwood Study Desk</x:v>
      </x:c>
      <x:c r="H1987" s="3" t="n">
        <x:v>2</x:v>
      </x:c>
      <x:c r="I1987" s="7" t="n">
        <x:v>12749.07</x:v>
      </x:c>
      <x:c r="J1987" s="9" t="n">
        <x:v>0.05</x:v>
      </x:c>
      <x:c r="K1987" s="7" t="n">
        <x:v>24223.23</x:v>
      </x:c>
      <x:c r="L1987" s="7" t="n">
        <x:v>7166.87</x:v>
      </x:c>
      <x:c r="M1987" s="3" t="str">
        <x:v>Credit Card</x:v>
      </x:c>
      <x:c r="N1987" s="3"/>
      <x:c r="O1987" s="3"/>
      <x:c r="P1987" s="3"/>
      <x:c r="Q1987" s="3"/>
    </x:row>
    <x:row r="1988" ht="21" customHeight="1">
      <x:c r="A1988" s="3" t="str">
        <x:v>ORD-101866</x:v>
      </x:c>
      <x:c r="B1988" s="5" t="n">
        <x:v>45835</x:v>
      </x:c>
      <x:c r="C1988" s="3" t="str">
        <x:v>CUST-00008</x:v>
      </x:c>
      <x:c r="D1988" s="3" t="str">
        <x:v>South</x:v>
      </x:c>
      <x:c r="E1988" s="3" t="str">
        <x:v>Electronics</x:v>
      </x:c>
      <x:c r="F1988" s="3" t="str">
        <x:v>Mobile</x:v>
      </x:c>
      <x:c r="G1988" s="3" t="str">
        <x:v>Pixel Aura 12</x:v>
      </x:c>
      <x:c r="H1988" s="3" t="n">
        <x:v>2</x:v>
      </x:c>
      <x:c r="I1988" s="7" t="n">
        <x:v>34469.74</x:v>
      </x:c>
      <x:c r="J1988" s="9" t="n">
        <x:v>0.2</x:v>
      </x:c>
      <x:c r="K1988" s="7" t="n">
        <x:v>55151.58</x:v>
      </x:c>
      <x:c r="L1988" s="7" t="n">
        <x:v>-3576.39</x:v>
      </x:c>
      <x:c r="M1988" s="3" t="str">
        <x:v>Debit Card</x:v>
      </x:c>
      <x:c r="N1988" s="3"/>
      <x:c r="O1988" s="3"/>
      <x:c r="P1988" s="3"/>
      <x:c r="Q1988" s="3"/>
    </x:row>
    <x:row r="1989" ht="21" customHeight="1">
      <x:c r="A1989" s="3" t="str">
        <x:v>ORD-101942</x:v>
      </x:c>
      <x:c r="B1989" s="5" t="n">
        <x:v>45835</x:v>
      </x:c>
      <x:c r="C1989" s="3" t="str">
        <x:v>CUST-00222</x:v>
      </x:c>
      <x:c r="D1989" s="3" t="str">
        <x:v>West</x:v>
      </x:c>
      <x:c r="E1989" s="3" t="str">
        <x:v>Sports</x:v>
      </x:c>
      <x:c r="F1989" s="3" t="str">
        <x:v>Outdoor</x:v>
      </x:c>
      <x:c r="G1989" s="3" t="str">
        <x:v>AllWeather Tent 4P</x:v>
      </x:c>
      <x:c r="H1989" s="3" t="n">
        <x:v>1</x:v>
      </x:c>
      <x:c r="I1989" s="7" t="n">
        <x:v>12009.9</x:v>
      </x:c>
      <x:c r="J1989" s="9" t="n">
        <x:v>0.2</x:v>
      </x:c>
      <x:c r="K1989" s="7" t="n">
        <x:v>9607.92</x:v>
      </x:c>
      <x:c r="L1989" s="7" t="n">
        <x:v>1424.83</x:v>
      </x:c>
      <x:c r="M1989" s="3" t="str">
        <x:v>UPI</x:v>
      </x:c>
      <x:c r="N1989" s="3"/>
      <x:c r="O1989" s="3"/>
      <x:c r="P1989" s="3"/>
      <x:c r="Q1989" s="3"/>
    </x:row>
    <x:row r="1990" ht="21" customHeight="1">
      <x:c r="A1990" s="3" t="str">
        <x:v>ORD-100428</x:v>
      </x:c>
      <x:c r="B1990" s="5" t="n">
        <x:v>45836</x:v>
      </x:c>
      <x:c r="C1990" s="3" t="str">
        <x:v>CUST-00592</x:v>
      </x:c>
      <x:c r="D1990" s="3" t="str">
        <x:v>North</x:v>
      </x:c>
      <x:c r="E1990" s="3" t="str">
        <x:v>Electronics</x:v>
      </x:c>
      <x:c r="F1990" s="3" t="str">
        <x:v>Mobile</x:v>
      </x:c>
      <x:c r="G1990" s="3" t="str">
        <x:v>Galaxy Nova X5</x:v>
      </x:c>
      <x:c r="H1990" s="3" t="n">
        <x:v>3</x:v>
      </x:c>
      <x:c r="I1990" s="7" t="n">
        <x:v>25339.32</x:v>
      </x:c>
      <x:c r="J1990" s="9" t="n">
        <x:v>0.25</x:v>
      </x:c>
      <x:c r="K1990" s="7" t="n">
        <x:v>57013.47</x:v>
      </x:c>
      <x:c r="L1990" s="7" t="n">
        <x:v>-8408.65</x:v>
      </x:c>
      <x:c r="M1990" s="3" t="str">
        <x:v>UPI</x:v>
      </x:c>
      <x:c r="N1990" s="3"/>
      <x:c r="O1990" s="3"/>
      <x:c r="P1990" s="3"/>
      <x:c r="Q1990" s="3"/>
    </x:row>
    <x:row r="1991" ht="21" customHeight="1">
      <x:c r="A1991" s="3" t="str">
        <x:v>ORD-100474</x:v>
      </x:c>
      <x:c r="B1991" s="5" t="n">
        <x:v>45836</x:v>
      </x:c>
      <x:c r="C1991" s="3" t="str">
        <x:v>CUST-00546</x:v>
      </x:c>
      <x:c r="D1991" s="3" t="str">
        <x:v>West</x:v>
      </x:c>
      <x:c r="E1991" s="3" t="str">
        <x:v>Beauty</x:v>
      </x:c>
      <x:c r="F1991" s="3" t="str">
        <x:v>Makeup</x:v>
      </x:c>
      <x:c r="G1991" s="3" t="str">
        <x:v>HD Foundation Kit</x:v>
      </x:c>
      <x:c r="H1991" s="3" t="n">
        <x:v>1</x:v>
      </x:c>
      <x:c r="I1991" s="7" t="n">
        <x:v>1491.87</x:v>
      </x:c>
      <x:c r="J1991" s="9" t="n">
        <x:v>0.05</x:v>
      </x:c>
      <x:c r="K1991" s="7" t="n">
        <x:v>1417.28</x:v>
      </x:c>
      <x:c r="L1991" s="7" t="n">
        <x:v>698.17</x:v>
      </x:c>
      <x:c r="M1991" s="3" t="str">
        <x:v>Credit Card</x:v>
      </x:c>
      <x:c r="N1991" s="3"/>
      <x:c r="O1991" s="3"/>
      <x:c r="P1991" s="3"/>
      <x:c r="Q1991" s="3"/>
    </x:row>
    <x:row r="1992" ht="21" customHeight="1">
      <x:c r="A1992" s="3" t="str">
        <x:v>ORD-100494</x:v>
      </x:c>
      <x:c r="B1992" s="5" t="n">
        <x:v>45836</x:v>
      </x:c>
      <x:c r="C1992" s="3" t="str">
        <x:v>CUST-00117</x:v>
      </x:c>
      <x:c r="D1992" s="3" t="str">
        <x:v>East</x:v>
      </x:c>
      <x:c r="E1992" s="3" t="str">
        <x:v>Electronics</x:v>
      </x:c>
      <x:c r="F1992" s="3" t="str">
        <x:v>Mobile</x:v>
      </x:c>
      <x:c r="G1992" s="3" t="str">
        <x:v>Galaxy Nova X5</x:v>
      </x:c>
      <x:c r="H1992" s="3" t="n">
        <x:v>1</x:v>
      </x:c>
      <x:c r="I1992" s="7" t="n">
        <x:v>25736.74</x:v>
      </x:c>
      <x:c r="J1992" s="9" t="n">
        <x:v>0.2</x:v>
      </x:c>
      <x:c r="K1992" s="7" t="n">
        <x:v>20589.39</x:v>
      </x:c>
      <x:c r="L1992" s="7" t="n">
        <x:v>-932.86</x:v>
      </x:c>
      <x:c r="M1992" s="3" t="str">
        <x:v>Cash on Delivery</x:v>
      </x:c>
      <x:c r="N1992" s="3"/>
      <x:c r="O1992" s="3"/>
      <x:c r="P1992" s="3"/>
      <x:c r="Q1992" s="3"/>
    </x:row>
    <x:row r="1993" ht="21" customHeight="1">
      <x:c r="A1993" s="3" t="str">
        <x:v>ORD-101252</x:v>
      </x:c>
      <x:c r="B1993" s="5" t="n">
        <x:v>45836</x:v>
      </x:c>
      <x:c r="C1993" s="3" t="str">
        <x:v>CUST-00537</x:v>
      </x:c>
      <x:c r="D1993" s="3" t="str">
        <x:v>South</x:v>
      </x:c>
      <x:c r="E1993" s="3" t="str">
        <x:v>Sports</x:v>
      </x:c>
      <x:c r="F1993" s="3" t="str">
        <x:v>Fitness</x:v>
      </x:c>
      <x:c r="G1993" s="3" t="str">
        <x:v>Adjustable Dumbbell 24kg</x:v>
      </x:c>
      <x:c r="H1993" s="3" t="n">
        <x:v>1</x:v>
      </x:c>
      <x:c r="I1993" s="7" t="n">
        <x:v>9652.95</x:v>
      </x:c>
      <x:c r="J1993" s="9" t="n">
        <x:v>0.15</x:v>
      </x:c>
      <x:c r="K1993" s="7" t="n">
        <x:v>8205.01</x:v>
      </x:c>
      <x:c r="L1993" s="7" t="n">
        <x:v>1921.84</x:v>
      </x:c>
      <x:c r="M1993" s="3" t="str">
        <x:v>Credit Card</x:v>
      </x:c>
      <x:c r="N1993" s="3"/>
      <x:c r="O1993" s="3"/>
      <x:c r="P1993" s="3"/>
      <x:c r="Q1993" s="3"/>
    </x:row>
    <x:row r="1994" ht="21" customHeight="1">
      <x:c r="A1994" s="3" t="str">
        <x:v>ORD-101496</x:v>
      </x:c>
      <x:c r="B1994" s="5" t="n">
        <x:v>45836</x:v>
      </x:c>
      <x:c r="C1994" s="3" t="str">
        <x:v>CUST-00116</x:v>
      </x:c>
      <x:c r="D1994" s="3" t="str">
        <x:v>North</x:v>
      </x:c>
      <x:c r="E1994" s="3" t="str">
        <x:v>Sports</x:v>
      </x:c>
      <x:c r="F1994" s="3" t="str">
        <x:v>Fitness</x:v>
      </x:c>
      <x:c r="G1994" s="3" t="str">
        <x:v>ProYoga Mat</x:v>
      </x:c>
      <x:c r="H1994" s="3" t="n">
        <x:v>1</x:v>
      </x:c>
      <x:c r="I1994" s="7" t="n">
        <x:v>1273.75</x:v>
      </x:c>
      <x:c r="J1994" s="9" t="n">
        <x:v>0</x:v>
      </x:c>
      <x:c r="K1994" s="7" t="n">
        <x:v>1273.75</x:v>
      </x:c>
      <x:c r="L1994" s="7" t="n">
        <x:v>439.59</x:v>
      </x:c>
      <x:c r="M1994" s="3" t="str">
        <x:v>Credit Card</x:v>
      </x:c>
      <x:c r="N1994" s="3"/>
      <x:c r="O1994" s="3"/>
      <x:c r="P1994" s="3"/>
      <x:c r="Q1994" s="3"/>
    </x:row>
    <x:row r="1995" ht="21" customHeight="1">
      <x:c r="A1995" s="3" t="str">
        <x:v>ORD-101733</x:v>
      </x:c>
      <x:c r="B1995" s="5" t="n">
        <x:v>45836</x:v>
      </x:c>
      <x:c r="C1995" s="3" t="str">
        <x:v>CUST-00141</x:v>
      </x:c>
      <x:c r="D1995" s="3" t="str">
        <x:v>East</x:v>
      </x:c>
      <x:c r="E1995" s="3" t="str">
        <x:v>Electronics</x:v>
      </x:c>
      <x:c r="F1995" s="3" t="str">
        <x:v>Laptop</x:v>
      </x:c>
      <x:c r="G1995" s="3" t="str">
        <x:v>AirBook Slim</x:v>
      </x:c>
      <x:c r="H1995" s="3" t="n">
        <x:v>4</x:v>
      </x:c>
      <x:c r="I1995" s="7" t="n">
        <x:v>77249.3</x:v>
      </x:c>
      <x:c r="J1995" s="9" t="n">
        <x:v>0.05</x:v>
      </x:c>
      <x:c r="K1995" s="7" t="n">
        <x:v>293547.34</x:v>
      </x:c>
      <x:c r="L1995" s="7" t="n">
        <x:v>35495.69</x:v>
      </x:c>
      <x:c r="M1995" s="3" t="str">
        <x:v>Debit Card</x:v>
      </x:c>
      <x:c r="N1995" s="3"/>
      <x:c r="O1995" s="3"/>
      <x:c r="P1995" s="3"/>
      <x:c r="Q1995" s="3"/>
    </x:row>
    <x:row r="1996" ht="21" customHeight="1">
      <x:c r="A1996" s="3" t="str">
        <x:v>ORD-100418</x:v>
      </x:c>
      <x:c r="B1996" s="5" t="n">
        <x:v>45837</x:v>
      </x:c>
      <x:c r="C1996" s="3" t="str">
        <x:v>CUST-00452</x:v>
      </x:c>
      <x:c r="D1996" s="3" t="str">
        <x:v>North</x:v>
      </x:c>
      <x:c r="E1996" s="3" t="str">
        <x:v>Electronics</x:v>
      </x:c>
      <x:c r="F1996" s="3" t="str">
        <x:v>Audio</x:v>
      </x:c>
      <x:c r="G1996" s="3" t="str">
        <x:v>BassBoom Speaker</x:v>
      </x:c>
      <x:c r="H1996" s="3" t="n">
        <x:v>1</x:v>
      </x:c>
      <x:c r="I1996" s="7" t="n">
        <x:v>9123.95</x:v>
      </x:c>
      <x:c r="J1996" s="9" t="n">
        <x:v>0.15</x:v>
      </x:c>
      <x:c r="K1996" s="7" t="n">
        <x:v>7755.36</x:v>
      </x:c>
      <x:c r="L1996" s="7" t="n">
        <x:v>-121.85</x:v>
      </x:c>
      <x:c r="M1996" s="3" t="str">
        <x:v>UPI</x:v>
      </x:c>
      <x:c r="N1996" s="3"/>
      <x:c r="O1996" s="3"/>
      <x:c r="P1996" s="3"/>
      <x:c r="Q1996" s="3"/>
    </x:row>
    <x:row r="1997" ht="21" customHeight="1">
      <x:c r="A1997" s="3" t="str">
        <x:v>ORD-100441</x:v>
      </x:c>
      <x:c r="B1997" s="5" t="n">
        <x:v>45837</x:v>
      </x:c>
      <x:c r="C1997" s="3" t="str">
        <x:v>CUST-00400</x:v>
      </x:c>
      <x:c r="D1997" s="3" t="str">
        <x:v>South</x:v>
      </x:c>
      <x:c r="E1997" s="3" t="str">
        <x:v>Fashion</x:v>
      </x:c>
      <x:c r="F1997" s="3" t="str">
        <x:v>Footwear</x:v>
      </x:c>
      <x:c r="G1997" s="3" t="str">
        <x:v>UrbanLoafers</x:v>
      </x:c>
      <x:c r="H1997" s="3" t="n">
        <x:v>1</x:v>
      </x:c>
      <x:c r="I1997" s="7" t="n">
        <x:v>3610.8</x:v>
      </x:c>
      <x:c r="J1997" s="9" t="n">
        <x:v>0</x:v>
      </x:c>
      <x:c r="K1997" s="7" t="n">
        <x:v>3610.8</x:v>
      </x:c>
      <x:c r="L1997" s="7" t="n">
        <x:v>1387.28</x:v>
      </x:c>
      <x:c r="M1997" s="3" t="str">
        <x:v>Credit Card</x:v>
      </x:c>
      <x:c r="N1997" s="3"/>
      <x:c r="O1997" s="3"/>
      <x:c r="P1997" s="3"/>
      <x:c r="Q1997" s="3"/>
    </x:row>
    <x:row r="1998" ht="21" customHeight="1">
      <x:c r="A1998" s="3" t="str">
        <x:v>ORD-100650</x:v>
      </x:c>
      <x:c r="B1998" s="5" t="n">
        <x:v>45837</x:v>
      </x:c>
      <x:c r="C1998" s="3" t="str">
        <x:v>CUST-00392</x:v>
      </x:c>
      <x:c r="D1998" s="3" t="str">
        <x:v>North</x:v>
      </x:c>
      <x:c r="E1998" s="3" t="str">
        <x:v>Sports</x:v>
      </x:c>
      <x:c r="F1998" s="3" t="str">
        <x:v>Outdoor</x:v>
      </x:c>
      <x:c r="G1998" s="3" t="str">
        <x:v>TrailHike Backpack 60L</x:v>
      </x:c>
      <x:c r="H1998" s="3" t="n">
        <x:v>1</x:v>
      </x:c>
      <x:c r="I1998" s="7" t="n">
        <x:v>3472.04</x:v>
      </x:c>
      <x:c r="J1998" s="9" t="n">
        <x:v>0</x:v>
      </x:c>
      <x:c r="K1998" s="7" t="n">
        <x:v>3472.04</x:v>
      </x:c>
      <x:c r="L1998" s="7" t="n">
        <x:v>1410.97</x:v>
      </x:c>
      <x:c r="M1998" s="3" t="str">
        <x:v>UPI</x:v>
      </x:c>
      <x:c r="N1998" s="3"/>
      <x:c r="O1998" s="3"/>
      <x:c r="P1998" s="3"/>
      <x:c r="Q1998" s="3"/>
    </x:row>
    <x:row r="1999" ht="21" customHeight="1">
      <x:c r="A1999" s="3" t="str">
        <x:v>ORD-100294</x:v>
      </x:c>
      <x:c r="B1999" s="5" t="n">
        <x:v>45838</x:v>
      </x:c>
      <x:c r="C1999" s="3" t="str">
        <x:v>CUST-00433</x:v>
      </x:c>
      <x:c r="D1999" s="3" t="str">
        <x:v>West</x:v>
      </x:c>
      <x:c r="E1999" s="3" t="str">
        <x:v>Fashion</x:v>
      </x:c>
      <x:c r="F1999" s="3" t="str">
        <x:v>Footwear</x:v>
      </x:c>
      <x:c r="G1999" s="3" t="str">
        <x:v>UrbanLoafers</x:v>
      </x:c>
      <x:c r="H1999" s="3" t="n">
        <x:v>2</x:v>
      </x:c>
      <x:c r="I1999" s="7" t="n">
        <x:v>3520.79</x:v>
      </x:c>
      <x:c r="J1999" s="9" t="n">
        <x:v>0.15</x:v>
      </x:c>
      <x:c r="K1999" s="7" t="n">
        <x:v>5985.34</x:v>
      </x:c>
      <x:c r="L1999" s="7" t="n">
        <x:v>1521.02</x:v>
      </x:c>
      <x:c r="M1999" s="3" t="str">
        <x:v>Debit Card</x:v>
      </x:c>
      <x:c r="N1999" s="3"/>
      <x:c r="O1999" s="3"/>
      <x:c r="P1999" s="3"/>
      <x:c r="Q1999" s="3"/>
    </x:row>
    <x:row r="2000" ht="21" customHeight="1">
      <x:c r="A2000" s="3" t="str">
        <x:v>ORD-100923</x:v>
      </x:c>
      <x:c r="B2000" s="5" t="n">
        <x:v>45838</x:v>
      </x:c>
      <x:c r="C2000" s="3" t="str">
        <x:v>CUST-00450</x:v>
      </x:c>
      <x:c r="D2000" s="3" t="str">
        <x:v>West</x:v>
      </x:c>
      <x:c r="E2000" s="3" t="str">
        <x:v>Fashion</x:v>
      </x:c>
      <x:c r="F2000" s="3" t="str">
        <x:v>Women</x:v>
      </x:c>
      <x:c r="G2000" s="3" t="str">
        <x:v>Floral Summer Dress</x:v>
      </x:c>
      <x:c r="H2000" s="3" t="n">
        <x:v>1</x:v>
      </x:c>
      <x:c r="I2000" s="7" t="n">
        <x:v>1830.82</x:v>
      </x:c>
      <x:c r="J2000" s="9" t="n">
        <x:v>0</x:v>
      </x:c>
      <x:c r="K2000" s="7" t="n">
        <x:v>1830.82</x:v>
      </x:c>
      <x:c r="L2000" s="7" t="n">
        <x:v>822.71</x:v>
      </x:c>
      <x:c r="M2000" s="3" t="str">
        <x:v>Net Banking</x:v>
      </x:c>
      <x:c r="N2000" s="3"/>
      <x:c r="O2000" s="3"/>
      <x:c r="P2000" s="3"/>
      <x:c r="Q2000" s="3"/>
    </x:row>
    <x:row r="2001" ht="21" customHeight="1">
      <x:c r="A2001" s="3" t="str">
        <x:v>ORD-101513</x:v>
      </x:c>
      <x:c r="B2001" s="5" t="n">
        <x:v>45838</x:v>
      </x:c>
      <x:c r="C2001" s="3" t="str">
        <x:v>CUST-00297</x:v>
      </x:c>
      <x:c r="D2001" s="3" t="str">
        <x:v>South</x:v>
      </x:c>
      <x:c r="E2001" s="3" t="str">
        <x:v>Beauty</x:v>
      </x:c>
      <x:c r="F2001" s="3" t="str">
        <x:v>Makeup</x:v>
      </x:c>
      <x:c r="G2001" s="3" t="str">
        <x:v>Matte Lipstick Set</x:v>
      </x:c>
      <x:c r="H2001" s="3" t="n">
        <x:v>1</x:v>
      </x:c>
      <x:c r="I2001" s="7" t="n">
        <x:v>1029.81</x:v>
      </x:c>
      <x:c r="J2001" s="9" t="n">
        <x:v>0.1</x:v>
      </x:c>
      <x:c r="K2001" s="7" t="n">
        <x:v>926.83</x:v>
      </x:c>
      <x:c r="L2001" s="7" t="n">
        <x:v>374.02</x:v>
      </x:c>
      <x:c r="M2001" s="3" t="str">
        <x:v>Debit Card</x:v>
      </x:c>
      <x:c r="N2001" s="3"/>
      <x:c r="O2001" s="3"/>
      <x:c r="P2001" s="3"/>
      <x:c r="Q2001" s="3"/>
    </x:row>
  </x:sheetData>
  <x:pageMargins left="0.7" right="0.7" top="0.75" bottom="0.75" header="0.3" footer="0.3"/>
  <x:tableParts count="1">
    <x:tablePart xmlns:r="http://schemas.openxmlformats.org/officeDocument/2006/relationships" r:id="Rdcf8476954d64f9e"/>
  </x:tableParts>
</x:worksheet>
</file>